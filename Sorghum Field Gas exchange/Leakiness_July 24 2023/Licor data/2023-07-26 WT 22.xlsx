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leakiness 20230726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9" i="1" l="1"/>
  <c r="AM229" i="1"/>
  <c r="AK229" i="1"/>
  <c r="AL229" i="1" s="1"/>
  <c r="AJ229" i="1"/>
  <c r="AH229" i="1" s="1"/>
  <c r="Z229" i="1"/>
  <c r="X229" i="1" s="1"/>
  <c r="Y229" i="1"/>
  <c r="Q229" i="1"/>
  <c r="J229" i="1"/>
  <c r="I229" i="1" s="1"/>
  <c r="AB229" i="1" s="1"/>
  <c r="AN228" i="1"/>
  <c r="T228" i="1" s="1"/>
  <c r="AM228" i="1"/>
  <c r="AL228" i="1" s="1"/>
  <c r="AK228" i="1"/>
  <c r="AJ228" i="1"/>
  <c r="AH228" i="1"/>
  <c r="Z228" i="1"/>
  <c r="Y228" i="1"/>
  <c r="X228" i="1"/>
  <c r="Q228" i="1"/>
  <c r="AN227" i="1"/>
  <c r="AM227" i="1"/>
  <c r="AK227" i="1"/>
  <c r="AJ227" i="1"/>
  <c r="AH227" i="1"/>
  <c r="J227" i="1" s="1"/>
  <c r="I227" i="1" s="1"/>
  <c r="Z227" i="1"/>
  <c r="Y227" i="1"/>
  <c r="X227" i="1"/>
  <c r="Q227" i="1"/>
  <c r="O227" i="1"/>
  <c r="L227" i="1"/>
  <c r="K227" i="1"/>
  <c r="AN226" i="1"/>
  <c r="AM226" i="1"/>
  <c r="AL226" i="1"/>
  <c r="AK226" i="1"/>
  <c r="AJ226" i="1"/>
  <c r="AH226" i="1" s="1"/>
  <c r="AI226" i="1"/>
  <c r="Z226" i="1"/>
  <c r="Y226" i="1"/>
  <c r="X226" i="1" s="1"/>
  <c r="T226" i="1"/>
  <c r="Q226" i="1"/>
  <c r="L226" i="1"/>
  <c r="AN225" i="1"/>
  <c r="AM225" i="1"/>
  <c r="AK225" i="1"/>
  <c r="AL225" i="1" s="1"/>
  <c r="AJ225" i="1"/>
  <c r="AH225" i="1" s="1"/>
  <c r="Z225" i="1"/>
  <c r="X225" i="1" s="1"/>
  <c r="Y225" i="1"/>
  <c r="Q225" i="1"/>
  <c r="J225" i="1"/>
  <c r="I225" i="1" s="1"/>
  <c r="AB225" i="1" s="1"/>
  <c r="AN224" i="1"/>
  <c r="AM224" i="1"/>
  <c r="AK224" i="1"/>
  <c r="AJ224" i="1"/>
  <c r="AH224" i="1"/>
  <c r="Z224" i="1"/>
  <c r="Y224" i="1"/>
  <c r="X224" i="1"/>
  <c r="Q224" i="1"/>
  <c r="AN223" i="1"/>
  <c r="AM223" i="1"/>
  <c r="AK223" i="1"/>
  <c r="AJ223" i="1"/>
  <c r="AI223" i="1"/>
  <c r="AH223" i="1"/>
  <c r="J223" i="1" s="1"/>
  <c r="I223" i="1" s="1"/>
  <c r="Z223" i="1"/>
  <c r="Y223" i="1"/>
  <c r="X223" i="1" s="1"/>
  <c r="Q223" i="1"/>
  <c r="O223" i="1"/>
  <c r="L223" i="1"/>
  <c r="K223" i="1"/>
  <c r="AN222" i="1"/>
  <c r="AM222" i="1"/>
  <c r="AL222" i="1"/>
  <c r="AK222" i="1"/>
  <c r="AJ222" i="1"/>
  <c r="AH222" i="1" s="1"/>
  <c r="AI222" i="1" s="1"/>
  <c r="Z222" i="1"/>
  <c r="Y222" i="1"/>
  <c r="X222" i="1" s="1"/>
  <c r="T222" i="1"/>
  <c r="Q222" i="1"/>
  <c r="L222" i="1"/>
  <c r="AN221" i="1"/>
  <c r="AM221" i="1"/>
  <c r="AK221" i="1"/>
  <c r="AL221" i="1" s="1"/>
  <c r="AJ221" i="1"/>
  <c r="AH221" i="1" s="1"/>
  <c r="Z221" i="1"/>
  <c r="Y221" i="1"/>
  <c r="Q221" i="1"/>
  <c r="O221" i="1"/>
  <c r="J221" i="1"/>
  <c r="I221" i="1" s="1"/>
  <c r="AB221" i="1" s="1"/>
  <c r="AN220" i="1"/>
  <c r="AM220" i="1"/>
  <c r="AK220" i="1"/>
  <c r="AJ220" i="1"/>
  <c r="AH220" i="1"/>
  <c r="Z220" i="1"/>
  <c r="Y220" i="1"/>
  <c r="X220" i="1"/>
  <c r="Q220" i="1"/>
  <c r="AN219" i="1"/>
  <c r="AM219" i="1"/>
  <c r="AK219" i="1"/>
  <c r="AJ219" i="1"/>
  <c r="AI219" i="1"/>
  <c r="AH219" i="1"/>
  <c r="J219" i="1" s="1"/>
  <c r="I219" i="1" s="1"/>
  <c r="Z219" i="1"/>
  <c r="Y219" i="1"/>
  <c r="X219" i="1" s="1"/>
  <c r="Q219" i="1"/>
  <c r="O219" i="1"/>
  <c r="L219" i="1"/>
  <c r="K219" i="1"/>
  <c r="AN218" i="1"/>
  <c r="AM218" i="1"/>
  <c r="AL218" i="1"/>
  <c r="AK218" i="1"/>
  <c r="AJ218" i="1"/>
  <c r="AH218" i="1" s="1"/>
  <c r="AI218" i="1" s="1"/>
  <c r="Z218" i="1"/>
  <c r="Y218" i="1"/>
  <c r="X218" i="1" s="1"/>
  <c r="T218" i="1"/>
  <c r="Q218" i="1"/>
  <c r="L218" i="1"/>
  <c r="AN217" i="1"/>
  <c r="AM217" i="1"/>
  <c r="AK217" i="1"/>
  <c r="AL217" i="1" s="1"/>
  <c r="AJ217" i="1"/>
  <c r="AH217" i="1" s="1"/>
  <c r="Z217" i="1"/>
  <c r="Y217" i="1"/>
  <c r="X217" i="1" s="1"/>
  <c r="Q217" i="1"/>
  <c r="O217" i="1"/>
  <c r="J217" i="1"/>
  <c r="I217" i="1" s="1"/>
  <c r="AB217" i="1" s="1"/>
  <c r="AN216" i="1"/>
  <c r="AM216" i="1"/>
  <c r="AK216" i="1"/>
  <c r="AL216" i="1" s="1"/>
  <c r="AJ216" i="1"/>
  <c r="AH216" i="1"/>
  <c r="Z216" i="1"/>
  <c r="Y216" i="1"/>
  <c r="X216" i="1"/>
  <c r="Q216" i="1"/>
  <c r="AN215" i="1"/>
  <c r="AM215" i="1"/>
  <c r="AK215" i="1"/>
  <c r="AJ215" i="1"/>
  <c r="AI215" i="1"/>
  <c r="AH215" i="1"/>
  <c r="J215" i="1" s="1"/>
  <c r="I215" i="1" s="1"/>
  <c r="Z215" i="1"/>
  <c r="Y215" i="1"/>
  <c r="X215" i="1" s="1"/>
  <c r="Q215" i="1"/>
  <c r="O215" i="1"/>
  <c r="L215" i="1"/>
  <c r="K215" i="1"/>
  <c r="AN214" i="1"/>
  <c r="AM214" i="1"/>
  <c r="AL214" i="1"/>
  <c r="AK214" i="1"/>
  <c r="AJ214" i="1"/>
  <c r="AH214" i="1" s="1"/>
  <c r="AI214" i="1" s="1"/>
  <c r="Z214" i="1"/>
  <c r="Y214" i="1"/>
  <c r="X214" i="1" s="1"/>
  <c r="T214" i="1"/>
  <c r="Q214" i="1"/>
  <c r="AN213" i="1"/>
  <c r="AM213" i="1"/>
  <c r="AK213" i="1"/>
  <c r="AL213" i="1" s="1"/>
  <c r="AJ213" i="1"/>
  <c r="AH213" i="1" s="1"/>
  <c r="Z213" i="1"/>
  <c r="Y213" i="1"/>
  <c r="X213" i="1" s="1"/>
  <c r="Q213" i="1"/>
  <c r="J213" i="1"/>
  <c r="I213" i="1" s="1"/>
  <c r="AN212" i="1"/>
  <c r="AM212" i="1"/>
  <c r="AK212" i="1"/>
  <c r="AL212" i="1" s="1"/>
  <c r="AJ212" i="1"/>
  <c r="AH212" i="1"/>
  <c r="Z212" i="1"/>
  <c r="Y212" i="1"/>
  <c r="X212" i="1"/>
  <c r="Q212" i="1"/>
  <c r="AN211" i="1"/>
  <c r="AM211" i="1"/>
  <c r="AK211" i="1"/>
  <c r="AJ211" i="1"/>
  <c r="AI211" i="1"/>
  <c r="AH211" i="1"/>
  <c r="J211" i="1" s="1"/>
  <c r="I211" i="1" s="1"/>
  <c r="Z211" i="1"/>
  <c r="Y211" i="1"/>
  <c r="X211" i="1" s="1"/>
  <c r="Q211" i="1"/>
  <c r="O211" i="1"/>
  <c r="L211" i="1"/>
  <c r="K211" i="1"/>
  <c r="AN210" i="1"/>
  <c r="AM210" i="1"/>
  <c r="AL210" i="1"/>
  <c r="AK210" i="1"/>
  <c r="AJ210" i="1"/>
  <c r="AH210" i="1" s="1"/>
  <c r="AI210" i="1"/>
  <c r="Z210" i="1"/>
  <c r="Y210" i="1"/>
  <c r="X210" i="1" s="1"/>
  <c r="T210" i="1"/>
  <c r="Q210" i="1"/>
  <c r="AN209" i="1"/>
  <c r="AM209" i="1"/>
  <c r="AK209" i="1"/>
  <c r="AL209" i="1" s="1"/>
  <c r="AJ209" i="1"/>
  <c r="AH209" i="1" s="1"/>
  <c r="Z209" i="1"/>
  <c r="Y209" i="1"/>
  <c r="Q209" i="1"/>
  <c r="O209" i="1"/>
  <c r="J209" i="1"/>
  <c r="I209" i="1"/>
  <c r="AN208" i="1"/>
  <c r="AM208" i="1"/>
  <c r="AK208" i="1"/>
  <c r="AL208" i="1" s="1"/>
  <c r="AJ208" i="1"/>
  <c r="AH208" i="1"/>
  <c r="O208" i="1" s="1"/>
  <c r="Z208" i="1"/>
  <c r="Y208" i="1"/>
  <c r="X208" i="1"/>
  <c r="Q208" i="1"/>
  <c r="AN207" i="1"/>
  <c r="AM207" i="1"/>
  <c r="AK207" i="1"/>
  <c r="AJ207" i="1"/>
  <c r="AI207" i="1"/>
  <c r="AH207" i="1"/>
  <c r="J207" i="1" s="1"/>
  <c r="Z207" i="1"/>
  <c r="Y207" i="1"/>
  <c r="X207" i="1" s="1"/>
  <c r="Q207" i="1"/>
  <c r="O207" i="1"/>
  <c r="L207" i="1"/>
  <c r="K207" i="1"/>
  <c r="I207" i="1"/>
  <c r="AN206" i="1"/>
  <c r="AM206" i="1"/>
  <c r="AK206" i="1"/>
  <c r="AL206" i="1" s="1"/>
  <c r="AJ206" i="1"/>
  <c r="AH206" i="1" s="1"/>
  <c r="J206" i="1" s="1"/>
  <c r="I206" i="1" s="1"/>
  <c r="Z206" i="1"/>
  <c r="Y206" i="1"/>
  <c r="X206" i="1" s="1"/>
  <c r="Q206" i="1"/>
  <c r="L206" i="1"/>
  <c r="K206" i="1"/>
  <c r="AN205" i="1"/>
  <c r="AM205" i="1"/>
  <c r="AK205" i="1"/>
  <c r="AJ205" i="1"/>
  <c r="AH205" i="1" s="1"/>
  <c r="L205" i="1" s="1"/>
  <c r="Z205" i="1"/>
  <c r="Y205" i="1"/>
  <c r="X205" i="1" s="1"/>
  <c r="Q205" i="1"/>
  <c r="K205" i="1"/>
  <c r="AN204" i="1"/>
  <c r="AM204" i="1"/>
  <c r="AK204" i="1"/>
  <c r="AJ204" i="1"/>
  <c r="AH204" i="1"/>
  <c r="Z204" i="1"/>
  <c r="Y204" i="1"/>
  <c r="X204" i="1" s="1"/>
  <c r="Q204" i="1"/>
  <c r="AN203" i="1"/>
  <c r="AM203" i="1"/>
  <c r="AK203" i="1"/>
  <c r="AL203" i="1" s="1"/>
  <c r="AJ203" i="1"/>
  <c r="AI203" i="1"/>
  <c r="AH203" i="1"/>
  <c r="J203" i="1" s="1"/>
  <c r="Z203" i="1"/>
  <c r="Y203" i="1"/>
  <c r="X203" i="1"/>
  <c r="Q203" i="1"/>
  <c r="O203" i="1"/>
  <c r="L203" i="1"/>
  <c r="K203" i="1"/>
  <c r="I203" i="1"/>
  <c r="AN202" i="1"/>
  <c r="AM202" i="1"/>
  <c r="AK202" i="1"/>
  <c r="AJ202" i="1"/>
  <c r="AH202" i="1" s="1"/>
  <c r="J202" i="1" s="1"/>
  <c r="I202" i="1" s="1"/>
  <c r="AI202" i="1"/>
  <c r="Z202" i="1"/>
  <c r="Y202" i="1"/>
  <c r="Q202" i="1"/>
  <c r="O202" i="1"/>
  <c r="L202" i="1"/>
  <c r="K202" i="1"/>
  <c r="AN201" i="1"/>
  <c r="AM201" i="1"/>
  <c r="AL201" i="1" s="1"/>
  <c r="AK201" i="1"/>
  <c r="AJ201" i="1"/>
  <c r="AH201" i="1" s="1"/>
  <c r="Z201" i="1"/>
  <c r="Y201" i="1"/>
  <c r="X201" i="1"/>
  <c r="T201" i="1"/>
  <c r="Q201" i="1"/>
  <c r="AN200" i="1"/>
  <c r="AM200" i="1"/>
  <c r="AK200" i="1"/>
  <c r="AJ200" i="1"/>
  <c r="AH200" i="1" s="1"/>
  <c r="Z200" i="1"/>
  <c r="Y200" i="1"/>
  <c r="X200" i="1" s="1"/>
  <c r="Q200" i="1"/>
  <c r="AN199" i="1"/>
  <c r="AM199" i="1"/>
  <c r="AL199" i="1" s="1"/>
  <c r="AK199" i="1"/>
  <c r="AJ199" i="1"/>
  <c r="AI199" i="1"/>
  <c r="AH199" i="1"/>
  <c r="K199" i="1" s="1"/>
  <c r="Z199" i="1"/>
  <c r="Y199" i="1"/>
  <c r="X199" i="1" s="1"/>
  <c r="T199" i="1"/>
  <c r="Q199" i="1"/>
  <c r="O199" i="1"/>
  <c r="L199" i="1"/>
  <c r="AN198" i="1"/>
  <c r="AM198" i="1"/>
  <c r="AK198" i="1"/>
  <c r="AL198" i="1" s="1"/>
  <c r="AJ198" i="1"/>
  <c r="AH198" i="1" s="1"/>
  <c r="Z198" i="1"/>
  <c r="Y198" i="1"/>
  <c r="X198" i="1" s="1"/>
  <c r="Q198" i="1"/>
  <c r="AN197" i="1"/>
  <c r="AM197" i="1"/>
  <c r="AK197" i="1"/>
  <c r="AL197" i="1" s="1"/>
  <c r="AJ197" i="1"/>
  <c r="AI197" i="1"/>
  <c r="AH197" i="1"/>
  <c r="L197" i="1" s="1"/>
  <c r="Z197" i="1"/>
  <c r="Y197" i="1"/>
  <c r="X197" i="1" s="1"/>
  <c r="Q197" i="1"/>
  <c r="AN196" i="1"/>
  <c r="AM196" i="1"/>
  <c r="AK196" i="1"/>
  <c r="AJ196" i="1"/>
  <c r="AH196" i="1" s="1"/>
  <c r="Z196" i="1"/>
  <c r="Y196" i="1"/>
  <c r="X196" i="1" s="1"/>
  <c r="Q196" i="1"/>
  <c r="K196" i="1"/>
  <c r="AN195" i="1"/>
  <c r="AM195" i="1"/>
  <c r="AL195" i="1" s="1"/>
  <c r="AK195" i="1"/>
  <c r="AJ195" i="1"/>
  <c r="AI195" i="1"/>
  <c r="AH195" i="1"/>
  <c r="K195" i="1" s="1"/>
  <c r="Z195" i="1"/>
  <c r="Y195" i="1"/>
  <c r="X195" i="1" s="1"/>
  <c r="T195" i="1"/>
  <c r="Q195" i="1"/>
  <c r="O195" i="1"/>
  <c r="L195" i="1"/>
  <c r="AN194" i="1"/>
  <c r="AM194" i="1"/>
  <c r="AK194" i="1"/>
  <c r="AL194" i="1" s="1"/>
  <c r="AJ194" i="1"/>
  <c r="AH194" i="1" s="1"/>
  <c r="Z194" i="1"/>
  <c r="Y194" i="1"/>
  <c r="X194" i="1" s="1"/>
  <c r="Q194" i="1"/>
  <c r="AN193" i="1"/>
  <c r="AM193" i="1"/>
  <c r="AK193" i="1"/>
  <c r="AJ193" i="1"/>
  <c r="AI193" i="1"/>
  <c r="AH193" i="1"/>
  <c r="L193" i="1" s="1"/>
  <c r="Z193" i="1"/>
  <c r="Y193" i="1"/>
  <c r="X193" i="1" s="1"/>
  <c r="Q193" i="1"/>
  <c r="K193" i="1"/>
  <c r="AN192" i="1"/>
  <c r="AM192" i="1"/>
  <c r="AK192" i="1"/>
  <c r="AJ192" i="1"/>
  <c r="AH192" i="1" s="1"/>
  <c r="Z192" i="1"/>
  <c r="Y192" i="1"/>
  <c r="X192" i="1" s="1"/>
  <c r="Q192" i="1"/>
  <c r="AN191" i="1"/>
  <c r="AM191" i="1"/>
  <c r="AL191" i="1" s="1"/>
  <c r="AK191" i="1"/>
  <c r="AJ191" i="1"/>
  <c r="AI191" i="1"/>
  <c r="AH191" i="1"/>
  <c r="J191" i="1" s="1"/>
  <c r="Z191" i="1"/>
  <c r="Y191" i="1"/>
  <c r="X191" i="1" s="1"/>
  <c r="U191" i="1"/>
  <c r="V191" i="1" s="1"/>
  <c r="T191" i="1"/>
  <c r="Q191" i="1"/>
  <c r="O191" i="1"/>
  <c r="L191" i="1"/>
  <c r="K191" i="1"/>
  <c r="I191" i="1"/>
  <c r="AN190" i="1"/>
  <c r="AM190" i="1"/>
  <c r="AK190" i="1"/>
  <c r="AJ190" i="1"/>
  <c r="AH190" i="1" s="1"/>
  <c r="Z190" i="1"/>
  <c r="Y190" i="1"/>
  <c r="X190" i="1" s="1"/>
  <c r="Q190" i="1"/>
  <c r="O190" i="1"/>
  <c r="K190" i="1"/>
  <c r="AN189" i="1"/>
  <c r="AM189" i="1"/>
  <c r="AK189" i="1"/>
  <c r="AL189" i="1" s="1"/>
  <c r="AJ189" i="1"/>
  <c r="AI189" i="1"/>
  <c r="AH189" i="1"/>
  <c r="L189" i="1" s="1"/>
  <c r="Z189" i="1"/>
  <c r="Y189" i="1"/>
  <c r="X189" i="1" s="1"/>
  <c r="Q189" i="1"/>
  <c r="O189" i="1"/>
  <c r="K189" i="1"/>
  <c r="AN188" i="1"/>
  <c r="AM188" i="1"/>
  <c r="AK188" i="1"/>
  <c r="AJ188" i="1"/>
  <c r="AH188" i="1" s="1"/>
  <c r="AI188" i="1"/>
  <c r="Z188" i="1"/>
  <c r="Y188" i="1"/>
  <c r="X188" i="1" s="1"/>
  <c r="Q188" i="1"/>
  <c r="O188" i="1"/>
  <c r="AN187" i="1"/>
  <c r="AM187" i="1"/>
  <c r="AK187" i="1"/>
  <c r="AJ187" i="1"/>
  <c r="AI187" i="1"/>
  <c r="AH187" i="1"/>
  <c r="J187" i="1" s="1"/>
  <c r="AB187" i="1"/>
  <c r="Z187" i="1"/>
  <c r="Y187" i="1"/>
  <c r="X187" i="1" s="1"/>
  <c r="Q187" i="1"/>
  <c r="O187" i="1"/>
  <c r="L187" i="1"/>
  <c r="K187" i="1"/>
  <c r="I187" i="1"/>
  <c r="AN186" i="1"/>
  <c r="AM186" i="1"/>
  <c r="AK186" i="1"/>
  <c r="AJ186" i="1"/>
  <c r="AH186" i="1" s="1"/>
  <c r="L186" i="1" s="1"/>
  <c r="AI186" i="1"/>
  <c r="Z186" i="1"/>
  <c r="Y186" i="1"/>
  <c r="Q186" i="1"/>
  <c r="AN185" i="1"/>
  <c r="AM185" i="1"/>
  <c r="AK185" i="1"/>
  <c r="AJ185" i="1"/>
  <c r="AI185" i="1"/>
  <c r="AH185" i="1"/>
  <c r="J185" i="1" s="1"/>
  <c r="AB185" i="1"/>
  <c r="Z185" i="1"/>
  <c r="Y185" i="1"/>
  <c r="X185" i="1"/>
  <c r="T185" i="1"/>
  <c r="Q185" i="1"/>
  <c r="L185" i="1"/>
  <c r="K185" i="1"/>
  <c r="I185" i="1"/>
  <c r="AN184" i="1"/>
  <c r="AM184" i="1"/>
  <c r="AK184" i="1"/>
  <c r="AJ184" i="1"/>
  <c r="AH184" i="1" s="1"/>
  <c r="L184" i="1" s="1"/>
  <c r="AI184" i="1"/>
  <c r="Z184" i="1"/>
  <c r="Y184" i="1"/>
  <c r="Q184" i="1"/>
  <c r="O184" i="1"/>
  <c r="K184" i="1"/>
  <c r="J184" i="1"/>
  <c r="I184" i="1"/>
  <c r="AB184" i="1" s="1"/>
  <c r="AN183" i="1"/>
  <c r="AM183" i="1"/>
  <c r="AL183" i="1" s="1"/>
  <c r="AK183" i="1"/>
  <c r="AJ183" i="1"/>
  <c r="AI183" i="1"/>
  <c r="AH183" i="1"/>
  <c r="J183" i="1" s="1"/>
  <c r="AB183" i="1"/>
  <c r="Z183" i="1"/>
  <c r="Y183" i="1"/>
  <c r="X183" i="1"/>
  <c r="T183" i="1"/>
  <c r="Q183" i="1"/>
  <c r="O183" i="1"/>
  <c r="L183" i="1"/>
  <c r="K183" i="1"/>
  <c r="I183" i="1"/>
  <c r="AN182" i="1"/>
  <c r="AM182" i="1"/>
  <c r="AL182" i="1"/>
  <c r="AK182" i="1"/>
  <c r="AJ182" i="1"/>
  <c r="AH182" i="1"/>
  <c r="Z182" i="1"/>
  <c r="Y182" i="1"/>
  <c r="X182" i="1"/>
  <c r="T182" i="1"/>
  <c r="Q182" i="1"/>
  <c r="AN181" i="1"/>
  <c r="T181" i="1" s="1"/>
  <c r="AM181" i="1"/>
  <c r="AK181" i="1"/>
  <c r="AL181" i="1" s="1"/>
  <c r="AJ181" i="1"/>
  <c r="AH181" i="1"/>
  <c r="L181" i="1" s="1"/>
  <c r="Z181" i="1"/>
  <c r="Y181" i="1"/>
  <c r="X181" i="1"/>
  <c r="Q181" i="1"/>
  <c r="O181" i="1"/>
  <c r="AN180" i="1"/>
  <c r="AM180" i="1"/>
  <c r="AL180" i="1"/>
  <c r="AK180" i="1"/>
  <c r="AJ180" i="1"/>
  <c r="AH180" i="1"/>
  <c r="J180" i="1" s="1"/>
  <c r="I180" i="1" s="1"/>
  <c r="AB180" i="1" s="1"/>
  <c r="Z180" i="1"/>
  <c r="Y180" i="1"/>
  <c r="X180" i="1"/>
  <c r="T180" i="1"/>
  <c r="Q180" i="1"/>
  <c r="O180" i="1"/>
  <c r="L180" i="1"/>
  <c r="K180" i="1"/>
  <c r="AN179" i="1"/>
  <c r="AM179" i="1"/>
  <c r="AK179" i="1"/>
  <c r="AL179" i="1" s="1"/>
  <c r="AJ179" i="1"/>
  <c r="AH179" i="1" s="1"/>
  <c r="Z179" i="1"/>
  <c r="Y179" i="1"/>
  <c r="X179" i="1" s="1"/>
  <c r="Q179" i="1"/>
  <c r="AN178" i="1"/>
  <c r="AM178" i="1"/>
  <c r="AK178" i="1"/>
  <c r="AL178" i="1" s="1"/>
  <c r="AJ178" i="1"/>
  <c r="AH178" i="1"/>
  <c r="Z178" i="1"/>
  <c r="Y178" i="1"/>
  <c r="X178" i="1"/>
  <c r="T178" i="1"/>
  <c r="Q178" i="1"/>
  <c r="AN177" i="1"/>
  <c r="T177" i="1" s="1"/>
  <c r="AM177" i="1"/>
  <c r="AK177" i="1"/>
  <c r="AL177" i="1" s="1"/>
  <c r="AJ177" i="1"/>
  <c r="AH177" i="1"/>
  <c r="L177" i="1" s="1"/>
  <c r="Z177" i="1"/>
  <c r="Y177" i="1"/>
  <c r="X177" i="1"/>
  <c r="Q177" i="1"/>
  <c r="O177" i="1"/>
  <c r="AN176" i="1"/>
  <c r="AM176" i="1"/>
  <c r="AL176" i="1"/>
  <c r="AK176" i="1"/>
  <c r="AJ176" i="1"/>
  <c r="AH176" i="1" s="1"/>
  <c r="Z176" i="1"/>
  <c r="Y176" i="1"/>
  <c r="X176" i="1"/>
  <c r="T176" i="1"/>
  <c r="Q176" i="1"/>
  <c r="AN175" i="1"/>
  <c r="AM175" i="1"/>
  <c r="AK175" i="1"/>
  <c r="AL175" i="1" s="1"/>
  <c r="AJ175" i="1"/>
  <c r="AH175" i="1" s="1"/>
  <c r="Z175" i="1"/>
  <c r="Y175" i="1"/>
  <c r="Q175" i="1"/>
  <c r="J175" i="1"/>
  <c r="I175" i="1" s="1"/>
  <c r="AN174" i="1"/>
  <c r="AM174" i="1"/>
  <c r="AK174" i="1"/>
  <c r="AL174" i="1" s="1"/>
  <c r="AJ174" i="1"/>
  <c r="AH174" i="1"/>
  <c r="Z174" i="1"/>
  <c r="Y174" i="1"/>
  <c r="X174" i="1"/>
  <c r="T174" i="1"/>
  <c r="Q174" i="1"/>
  <c r="AN173" i="1"/>
  <c r="T173" i="1" s="1"/>
  <c r="AM173" i="1"/>
  <c r="AK173" i="1"/>
  <c r="AL173" i="1" s="1"/>
  <c r="AJ173" i="1"/>
  <c r="AH173" i="1"/>
  <c r="L173" i="1" s="1"/>
  <c r="Z173" i="1"/>
  <c r="Y173" i="1"/>
  <c r="X173" i="1"/>
  <c r="Q173" i="1"/>
  <c r="O173" i="1"/>
  <c r="AN172" i="1"/>
  <c r="AM172" i="1"/>
  <c r="AL172" i="1"/>
  <c r="AK172" i="1"/>
  <c r="AJ172" i="1"/>
  <c r="AH172" i="1" s="1"/>
  <c r="Z172" i="1"/>
  <c r="Y172" i="1"/>
  <c r="X172" i="1" s="1"/>
  <c r="T172" i="1"/>
  <c r="Q172" i="1"/>
  <c r="L172" i="1"/>
  <c r="AN171" i="1"/>
  <c r="AM171" i="1"/>
  <c r="AK171" i="1"/>
  <c r="AL171" i="1" s="1"/>
  <c r="AJ171" i="1"/>
  <c r="AH171" i="1" s="1"/>
  <c r="Z171" i="1"/>
  <c r="Y171" i="1"/>
  <c r="Q171" i="1"/>
  <c r="AN170" i="1"/>
  <c r="AM170" i="1"/>
  <c r="AL170" i="1" s="1"/>
  <c r="AK170" i="1"/>
  <c r="AJ170" i="1"/>
  <c r="AH170" i="1"/>
  <c r="Z170" i="1"/>
  <c r="Y170" i="1"/>
  <c r="X170" i="1"/>
  <c r="T170" i="1"/>
  <c r="Q170" i="1"/>
  <c r="AN169" i="1"/>
  <c r="T169" i="1" s="1"/>
  <c r="AM169" i="1"/>
  <c r="AK169" i="1"/>
  <c r="AL169" i="1" s="1"/>
  <c r="AJ169" i="1"/>
  <c r="AH169" i="1" s="1"/>
  <c r="Z169" i="1"/>
  <c r="Y169" i="1"/>
  <c r="X169" i="1" s="1"/>
  <c r="Q169" i="1"/>
  <c r="AN168" i="1"/>
  <c r="AM168" i="1"/>
  <c r="AL168" i="1"/>
  <c r="AK168" i="1"/>
  <c r="AJ168" i="1"/>
  <c r="AH168" i="1" s="1"/>
  <c r="Z168" i="1"/>
  <c r="X168" i="1" s="1"/>
  <c r="Y168" i="1"/>
  <c r="T168" i="1"/>
  <c r="Q168" i="1"/>
  <c r="AN167" i="1"/>
  <c r="AM167" i="1"/>
  <c r="AK167" i="1"/>
  <c r="AL167" i="1" s="1"/>
  <c r="AJ167" i="1"/>
  <c r="AH167" i="1" s="1"/>
  <c r="Z167" i="1"/>
  <c r="Y167" i="1"/>
  <c r="Q167" i="1"/>
  <c r="AN166" i="1"/>
  <c r="AM166" i="1"/>
  <c r="AK166" i="1"/>
  <c r="AL166" i="1" s="1"/>
  <c r="AJ166" i="1"/>
  <c r="AH166" i="1"/>
  <c r="Z166" i="1"/>
  <c r="Y166" i="1"/>
  <c r="X166" i="1"/>
  <c r="T166" i="1"/>
  <c r="Q166" i="1"/>
  <c r="AN165" i="1"/>
  <c r="AM165" i="1"/>
  <c r="AK165" i="1"/>
  <c r="AL165" i="1" s="1"/>
  <c r="AJ165" i="1"/>
  <c r="AH165" i="1" s="1"/>
  <c r="Z165" i="1"/>
  <c r="Y165" i="1"/>
  <c r="X165" i="1" s="1"/>
  <c r="Q165" i="1"/>
  <c r="AN164" i="1"/>
  <c r="AM164" i="1"/>
  <c r="AL164" i="1"/>
  <c r="AK164" i="1"/>
  <c r="AJ164" i="1"/>
  <c r="AH164" i="1"/>
  <c r="AI164" i="1" s="1"/>
  <c r="AB164" i="1"/>
  <c r="Z164" i="1"/>
  <c r="Y164" i="1"/>
  <c r="X164" i="1"/>
  <c r="T164" i="1"/>
  <c r="Q164" i="1"/>
  <c r="O164" i="1"/>
  <c r="L164" i="1"/>
  <c r="K164" i="1"/>
  <c r="J164" i="1"/>
  <c r="I164" i="1"/>
  <c r="AN163" i="1"/>
  <c r="AM163" i="1"/>
  <c r="AK163" i="1"/>
  <c r="AL163" i="1" s="1"/>
  <c r="AJ163" i="1"/>
  <c r="AH163" i="1" s="1"/>
  <c r="Z163" i="1"/>
  <c r="Y163" i="1"/>
  <c r="Q163" i="1"/>
  <c r="AN162" i="1"/>
  <c r="AM162" i="1"/>
  <c r="AK162" i="1"/>
  <c r="AL162" i="1" s="1"/>
  <c r="AJ162" i="1"/>
  <c r="AH162" i="1"/>
  <c r="Z162" i="1"/>
  <c r="Y162" i="1"/>
  <c r="X162" i="1"/>
  <c r="Q162" i="1"/>
  <c r="AN161" i="1"/>
  <c r="AM161" i="1"/>
  <c r="AK161" i="1"/>
  <c r="AL161" i="1" s="1"/>
  <c r="AJ161" i="1"/>
  <c r="AH161" i="1" s="1"/>
  <c r="Z161" i="1"/>
  <c r="Y161" i="1"/>
  <c r="X161" i="1" s="1"/>
  <c r="Q161" i="1"/>
  <c r="AN160" i="1"/>
  <c r="AM160" i="1"/>
  <c r="AK160" i="1"/>
  <c r="AJ160" i="1"/>
  <c r="AH160" i="1" s="1"/>
  <c r="O160" i="1" s="1"/>
  <c r="Z160" i="1"/>
  <c r="Y160" i="1"/>
  <c r="X160" i="1" s="1"/>
  <c r="Q160" i="1"/>
  <c r="L160" i="1"/>
  <c r="K160" i="1"/>
  <c r="AN159" i="1"/>
  <c r="AM159" i="1"/>
  <c r="AK159" i="1"/>
  <c r="AL159" i="1" s="1"/>
  <c r="AJ159" i="1"/>
  <c r="AH159" i="1" s="1"/>
  <c r="K159" i="1" s="1"/>
  <c r="AI159" i="1"/>
  <c r="Z159" i="1"/>
  <c r="Y159" i="1"/>
  <c r="X159" i="1" s="1"/>
  <c r="Q159" i="1"/>
  <c r="O159" i="1"/>
  <c r="L159" i="1"/>
  <c r="J159" i="1"/>
  <c r="I159" i="1"/>
  <c r="AB159" i="1" s="1"/>
  <c r="AN158" i="1"/>
  <c r="AM158" i="1"/>
  <c r="AK158" i="1"/>
  <c r="AJ158" i="1"/>
  <c r="AH158" i="1"/>
  <c r="J158" i="1" s="1"/>
  <c r="I158" i="1" s="1"/>
  <c r="Z158" i="1"/>
  <c r="Y158" i="1"/>
  <c r="X158" i="1"/>
  <c r="Q158" i="1"/>
  <c r="O158" i="1"/>
  <c r="L158" i="1"/>
  <c r="K158" i="1"/>
  <c r="AN157" i="1"/>
  <c r="AM157" i="1"/>
  <c r="AK157" i="1"/>
  <c r="AL157" i="1" s="1"/>
  <c r="AJ157" i="1"/>
  <c r="AH157" i="1" s="1"/>
  <c r="AI157" i="1"/>
  <c r="Z157" i="1"/>
  <c r="Y157" i="1"/>
  <c r="X157" i="1" s="1"/>
  <c r="Q157" i="1"/>
  <c r="AN156" i="1"/>
  <c r="AM156" i="1"/>
  <c r="AK156" i="1"/>
  <c r="AL156" i="1" s="1"/>
  <c r="AJ156" i="1"/>
  <c r="AH156" i="1"/>
  <c r="L156" i="1" s="1"/>
  <c r="Z156" i="1"/>
  <c r="Y156" i="1"/>
  <c r="X156" i="1"/>
  <c r="Q156" i="1"/>
  <c r="O156" i="1"/>
  <c r="K156" i="1"/>
  <c r="AN155" i="1"/>
  <c r="T155" i="1" s="1"/>
  <c r="AM155" i="1"/>
  <c r="AL155" i="1" s="1"/>
  <c r="AK155" i="1"/>
  <c r="AJ155" i="1"/>
  <c r="AH155" i="1" s="1"/>
  <c r="Z155" i="1"/>
  <c r="Y155" i="1"/>
  <c r="X155" i="1" s="1"/>
  <c r="Q155" i="1"/>
  <c r="AN154" i="1"/>
  <c r="AM154" i="1"/>
  <c r="AK154" i="1"/>
  <c r="AJ154" i="1"/>
  <c r="AH154" i="1"/>
  <c r="J154" i="1" s="1"/>
  <c r="I154" i="1" s="1"/>
  <c r="Z154" i="1"/>
  <c r="Y154" i="1"/>
  <c r="X154" i="1"/>
  <c r="Q154" i="1"/>
  <c r="O154" i="1"/>
  <c r="L154" i="1"/>
  <c r="K154" i="1"/>
  <c r="AN153" i="1"/>
  <c r="AM153" i="1"/>
  <c r="AK153" i="1"/>
  <c r="AL153" i="1" s="1"/>
  <c r="AJ153" i="1"/>
  <c r="AH153" i="1" s="1"/>
  <c r="AI153" i="1"/>
  <c r="Z153" i="1"/>
  <c r="Y153" i="1"/>
  <c r="X153" i="1" s="1"/>
  <c r="Q153" i="1"/>
  <c r="AN152" i="1"/>
  <c r="AM152" i="1"/>
  <c r="AK152" i="1"/>
  <c r="AL152" i="1" s="1"/>
  <c r="AJ152" i="1"/>
  <c r="AH152" i="1"/>
  <c r="L152" i="1" s="1"/>
  <c r="Z152" i="1"/>
  <c r="Y152" i="1"/>
  <c r="X152" i="1"/>
  <c r="Q152" i="1"/>
  <c r="O152" i="1"/>
  <c r="K152" i="1"/>
  <c r="AN151" i="1"/>
  <c r="T151" i="1" s="1"/>
  <c r="AM151" i="1"/>
  <c r="AL151" i="1" s="1"/>
  <c r="AK151" i="1"/>
  <c r="AJ151" i="1"/>
  <c r="AH151" i="1" s="1"/>
  <c r="Z151" i="1"/>
  <c r="Y151" i="1"/>
  <c r="X151" i="1" s="1"/>
  <c r="Q151" i="1"/>
  <c r="AN150" i="1"/>
  <c r="AM150" i="1"/>
  <c r="AK150" i="1"/>
  <c r="AJ150" i="1"/>
  <c r="AH150" i="1"/>
  <c r="J150" i="1" s="1"/>
  <c r="I150" i="1" s="1"/>
  <c r="Z150" i="1"/>
  <c r="Y150" i="1"/>
  <c r="X150" i="1"/>
  <c r="Q150" i="1"/>
  <c r="O150" i="1"/>
  <c r="L150" i="1"/>
  <c r="K150" i="1"/>
  <c r="AN149" i="1"/>
  <c r="AM149" i="1"/>
  <c r="AK149" i="1"/>
  <c r="AL149" i="1" s="1"/>
  <c r="AJ149" i="1"/>
  <c r="AH149" i="1" s="1"/>
  <c r="AI149" i="1" s="1"/>
  <c r="Z149" i="1"/>
  <c r="Y149" i="1"/>
  <c r="X149" i="1" s="1"/>
  <c r="Q149" i="1"/>
  <c r="AN148" i="1"/>
  <c r="AM148" i="1"/>
  <c r="AK148" i="1"/>
  <c r="AL148" i="1" s="1"/>
  <c r="AJ148" i="1"/>
  <c r="AH148" i="1"/>
  <c r="L148" i="1" s="1"/>
  <c r="Z148" i="1"/>
  <c r="Y148" i="1"/>
  <c r="X148" i="1"/>
  <c r="Q148" i="1"/>
  <c r="O148" i="1"/>
  <c r="K148" i="1"/>
  <c r="AN147" i="1"/>
  <c r="T147" i="1" s="1"/>
  <c r="AM147" i="1"/>
  <c r="AL147" i="1" s="1"/>
  <c r="AK147" i="1"/>
  <c r="AJ147" i="1"/>
  <c r="AH147" i="1" s="1"/>
  <c r="AI147" i="1" s="1"/>
  <c r="Z147" i="1"/>
  <c r="Y147" i="1"/>
  <c r="X147" i="1" s="1"/>
  <c r="Q147" i="1"/>
  <c r="AN146" i="1"/>
  <c r="AM146" i="1"/>
  <c r="AK146" i="1"/>
  <c r="AJ146" i="1"/>
  <c r="AH146" i="1"/>
  <c r="J146" i="1" s="1"/>
  <c r="I146" i="1" s="1"/>
  <c r="Z146" i="1"/>
  <c r="Y146" i="1"/>
  <c r="X146" i="1"/>
  <c r="Q146" i="1"/>
  <c r="O146" i="1"/>
  <c r="L146" i="1"/>
  <c r="K146" i="1"/>
  <c r="AN145" i="1"/>
  <c r="AM145" i="1"/>
  <c r="AK145" i="1"/>
  <c r="AL145" i="1" s="1"/>
  <c r="AJ145" i="1"/>
  <c r="AH145" i="1" s="1"/>
  <c r="AI145" i="1" s="1"/>
  <c r="Z145" i="1"/>
  <c r="Y145" i="1"/>
  <c r="X145" i="1" s="1"/>
  <c r="Q145" i="1"/>
  <c r="AN144" i="1"/>
  <c r="AM144" i="1"/>
  <c r="AK144" i="1"/>
  <c r="AJ144" i="1"/>
  <c r="AI144" i="1"/>
  <c r="AH144" i="1"/>
  <c r="L144" i="1" s="1"/>
  <c r="Z144" i="1"/>
  <c r="Y144" i="1"/>
  <c r="X144" i="1" s="1"/>
  <c r="Q144" i="1"/>
  <c r="O144" i="1"/>
  <c r="K144" i="1"/>
  <c r="AN143" i="1"/>
  <c r="AM143" i="1"/>
  <c r="AK143" i="1"/>
  <c r="AL143" i="1" s="1"/>
  <c r="AJ143" i="1"/>
  <c r="AH143" i="1" s="1"/>
  <c r="Z143" i="1"/>
  <c r="Y143" i="1"/>
  <c r="X143" i="1" s="1"/>
  <c r="Q143" i="1"/>
  <c r="AN142" i="1"/>
  <c r="AM142" i="1"/>
  <c r="AK142" i="1"/>
  <c r="AJ142" i="1"/>
  <c r="AH142" i="1"/>
  <c r="J142" i="1" s="1"/>
  <c r="I142" i="1" s="1"/>
  <c r="Z142" i="1"/>
  <c r="Y142" i="1"/>
  <c r="X142" i="1"/>
  <c r="Q142" i="1"/>
  <c r="O142" i="1"/>
  <c r="L142" i="1"/>
  <c r="K142" i="1"/>
  <c r="AN141" i="1"/>
  <c r="AM141" i="1"/>
  <c r="AK141" i="1"/>
  <c r="AL141" i="1" s="1"/>
  <c r="AJ141" i="1"/>
  <c r="AH141" i="1" s="1"/>
  <c r="AI141" i="1"/>
  <c r="Z141" i="1"/>
  <c r="Y141" i="1"/>
  <c r="X141" i="1" s="1"/>
  <c r="Q141" i="1"/>
  <c r="K141" i="1"/>
  <c r="AN140" i="1"/>
  <c r="AM140" i="1"/>
  <c r="AK140" i="1"/>
  <c r="AJ140" i="1"/>
  <c r="AI140" i="1"/>
  <c r="AH140" i="1"/>
  <c r="L140" i="1" s="1"/>
  <c r="Z140" i="1"/>
  <c r="Y140" i="1"/>
  <c r="X140" i="1" s="1"/>
  <c r="Q140" i="1"/>
  <c r="O140" i="1"/>
  <c r="K140" i="1"/>
  <c r="AN139" i="1"/>
  <c r="AM139" i="1"/>
  <c r="AK139" i="1"/>
  <c r="AJ139" i="1"/>
  <c r="AH139" i="1" s="1"/>
  <c r="AI139" i="1"/>
  <c r="Z139" i="1"/>
  <c r="Y139" i="1"/>
  <c r="X139" i="1" s="1"/>
  <c r="Q139" i="1"/>
  <c r="O139" i="1"/>
  <c r="AN138" i="1"/>
  <c r="AM138" i="1"/>
  <c r="AL138" i="1"/>
  <c r="AK138" i="1"/>
  <c r="T138" i="1" s="1"/>
  <c r="AJ138" i="1"/>
  <c r="AI138" i="1"/>
  <c r="AH138" i="1"/>
  <c r="J138" i="1" s="1"/>
  <c r="I138" i="1" s="1"/>
  <c r="Z138" i="1"/>
  <c r="Y138" i="1"/>
  <c r="X138" i="1" s="1"/>
  <c r="Q138" i="1"/>
  <c r="O138" i="1"/>
  <c r="L138" i="1"/>
  <c r="K138" i="1"/>
  <c r="AN137" i="1"/>
  <c r="AM137" i="1"/>
  <c r="AK137" i="1"/>
  <c r="AJ137" i="1"/>
  <c r="AH137" i="1" s="1"/>
  <c r="L137" i="1" s="1"/>
  <c r="Z137" i="1"/>
  <c r="Y137" i="1"/>
  <c r="Q137" i="1"/>
  <c r="O137" i="1"/>
  <c r="J137" i="1"/>
  <c r="I137" i="1" s="1"/>
  <c r="AN136" i="1"/>
  <c r="AM136" i="1"/>
  <c r="AL136" i="1"/>
  <c r="AK136" i="1"/>
  <c r="T136" i="1" s="1"/>
  <c r="AJ136" i="1"/>
  <c r="AH136" i="1"/>
  <c r="Z136" i="1"/>
  <c r="Y136" i="1"/>
  <c r="X136" i="1" s="1"/>
  <c r="Q136" i="1"/>
  <c r="AN135" i="1"/>
  <c r="AM135" i="1"/>
  <c r="AK135" i="1"/>
  <c r="AL135" i="1" s="1"/>
  <c r="AJ135" i="1"/>
  <c r="AH135" i="1" s="1"/>
  <c r="Z135" i="1"/>
  <c r="Y135" i="1"/>
  <c r="X135" i="1" s="1"/>
  <c r="Q135" i="1"/>
  <c r="AN134" i="1"/>
  <c r="AM134" i="1"/>
  <c r="AK134" i="1"/>
  <c r="AL134" i="1" s="1"/>
  <c r="AJ134" i="1"/>
  <c r="AI134" i="1"/>
  <c r="AH134" i="1"/>
  <c r="L134" i="1" s="1"/>
  <c r="Z134" i="1"/>
  <c r="Y134" i="1"/>
  <c r="X134" i="1" s="1"/>
  <c r="Q134" i="1"/>
  <c r="O134" i="1"/>
  <c r="K134" i="1"/>
  <c r="J134" i="1"/>
  <c r="I134" i="1"/>
  <c r="AB134" i="1" s="1"/>
  <c r="AN133" i="1"/>
  <c r="T133" i="1" s="1"/>
  <c r="AM133" i="1"/>
  <c r="AL133" i="1" s="1"/>
  <c r="AK133" i="1"/>
  <c r="AJ133" i="1"/>
  <c r="AI133" i="1"/>
  <c r="AH133" i="1"/>
  <c r="L133" i="1" s="1"/>
  <c r="Z133" i="1"/>
  <c r="Y133" i="1"/>
  <c r="X133" i="1" s="1"/>
  <c r="Q133" i="1"/>
  <c r="O133" i="1"/>
  <c r="AN132" i="1"/>
  <c r="AM132" i="1"/>
  <c r="AK132" i="1"/>
  <c r="AJ132" i="1"/>
  <c r="AH132" i="1" s="1"/>
  <c r="Z132" i="1"/>
  <c r="X132" i="1" s="1"/>
  <c r="Y132" i="1"/>
  <c r="Q132" i="1"/>
  <c r="K132" i="1"/>
  <c r="AN131" i="1"/>
  <c r="AM131" i="1"/>
  <c r="AK131" i="1"/>
  <c r="AL131" i="1" s="1"/>
  <c r="AJ131" i="1"/>
  <c r="AH131" i="1" s="1"/>
  <c r="AI131" i="1"/>
  <c r="Z131" i="1"/>
  <c r="Y131" i="1"/>
  <c r="X131" i="1" s="1"/>
  <c r="Q131" i="1"/>
  <c r="AN130" i="1"/>
  <c r="AM130" i="1"/>
  <c r="AK130" i="1"/>
  <c r="AL130" i="1" s="1"/>
  <c r="AJ130" i="1"/>
  <c r="AH130" i="1" s="1"/>
  <c r="Z130" i="1"/>
  <c r="Y130" i="1"/>
  <c r="X130" i="1" s="1"/>
  <c r="Q130" i="1"/>
  <c r="AN129" i="1"/>
  <c r="T129" i="1" s="1"/>
  <c r="AM129" i="1"/>
  <c r="AL129" i="1" s="1"/>
  <c r="AK129" i="1"/>
  <c r="AJ129" i="1"/>
  <c r="AI129" i="1"/>
  <c r="AH129" i="1"/>
  <c r="L129" i="1" s="1"/>
  <c r="Z129" i="1"/>
  <c r="Y129" i="1"/>
  <c r="X129" i="1" s="1"/>
  <c r="Q129" i="1"/>
  <c r="AN128" i="1"/>
  <c r="AM128" i="1"/>
  <c r="AK128" i="1"/>
  <c r="AJ128" i="1"/>
  <c r="AH128" i="1" s="1"/>
  <c r="Z128" i="1"/>
  <c r="X128" i="1" s="1"/>
  <c r="Y128" i="1"/>
  <c r="Q128" i="1"/>
  <c r="K128" i="1"/>
  <c r="AN127" i="1"/>
  <c r="AM127" i="1"/>
  <c r="AL127" i="1" s="1"/>
  <c r="AK127" i="1"/>
  <c r="AJ127" i="1"/>
  <c r="AH127" i="1" s="1"/>
  <c r="Z127" i="1"/>
  <c r="Y127" i="1"/>
  <c r="X127" i="1" s="1"/>
  <c r="T127" i="1"/>
  <c r="Q127" i="1"/>
  <c r="AN126" i="1"/>
  <c r="AM126" i="1"/>
  <c r="AK126" i="1"/>
  <c r="AJ126" i="1"/>
  <c r="AH126" i="1" s="1"/>
  <c r="Z126" i="1"/>
  <c r="Y126" i="1"/>
  <c r="X126" i="1" s="1"/>
  <c r="Q126" i="1"/>
  <c r="O126" i="1"/>
  <c r="K126" i="1"/>
  <c r="AN125" i="1"/>
  <c r="AM125" i="1"/>
  <c r="AL125" i="1" s="1"/>
  <c r="AK125" i="1"/>
  <c r="AJ125" i="1"/>
  <c r="AI125" i="1"/>
  <c r="AH125" i="1"/>
  <c r="L125" i="1" s="1"/>
  <c r="Z125" i="1"/>
  <c r="Y125" i="1"/>
  <c r="X125" i="1" s="1"/>
  <c r="T125" i="1"/>
  <c r="Q125" i="1"/>
  <c r="AN124" i="1"/>
  <c r="AM124" i="1"/>
  <c r="AK124" i="1"/>
  <c r="AJ124" i="1"/>
  <c r="AH124" i="1" s="1"/>
  <c r="Z124" i="1"/>
  <c r="X124" i="1" s="1"/>
  <c r="Y124" i="1"/>
  <c r="Q124" i="1"/>
  <c r="AN123" i="1"/>
  <c r="AM123" i="1"/>
  <c r="AK123" i="1"/>
  <c r="AJ123" i="1"/>
  <c r="AI123" i="1"/>
  <c r="AH123" i="1"/>
  <c r="O123" i="1" s="1"/>
  <c r="Z123" i="1"/>
  <c r="Y123" i="1"/>
  <c r="X123" i="1" s="1"/>
  <c r="T123" i="1"/>
  <c r="Q123" i="1"/>
  <c r="L123" i="1"/>
  <c r="K123" i="1"/>
  <c r="AN122" i="1"/>
  <c r="AM122" i="1"/>
  <c r="AK122" i="1"/>
  <c r="AJ122" i="1"/>
  <c r="AH122" i="1" s="1"/>
  <c r="L122" i="1" s="1"/>
  <c r="AI122" i="1"/>
  <c r="Z122" i="1"/>
  <c r="Y122" i="1"/>
  <c r="Q122" i="1"/>
  <c r="O122" i="1"/>
  <c r="J122" i="1"/>
  <c r="I122" i="1" s="1"/>
  <c r="AN121" i="1"/>
  <c r="AM121" i="1"/>
  <c r="AL121" i="1" s="1"/>
  <c r="AK121" i="1"/>
  <c r="AJ121" i="1"/>
  <c r="AI121" i="1"/>
  <c r="AH121" i="1"/>
  <c r="Z121" i="1"/>
  <c r="Y121" i="1"/>
  <c r="X121" i="1"/>
  <c r="T121" i="1"/>
  <c r="Q121" i="1"/>
  <c r="O121" i="1"/>
  <c r="AN120" i="1"/>
  <c r="T120" i="1" s="1"/>
  <c r="AM120" i="1"/>
  <c r="AK120" i="1"/>
  <c r="AJ120" i="1"/>
  <c r="AH120" i="1" s="1"/>
  <c r="AI120" i="1" s="1"/>
  <c r="Z120" i="1"/>
  <c r="X120" i="1" s="1"/>
  <c r="Y120" i="1"/>
  <c r="Q120" i="1"/>
  <c r="AN119" i="1"/>
  <c r="AM119" i="1"/>
  <c r="AK119" i="1"/>
  <c r="AL119" i="1" s="1"/>
  <c r="AJ119" i="1"/>
  <c r="AH119" i="1" s="1"/>
  <c r="Z119" i="1"/>
  <c r="Y119" i="1"/>
  <c r="X119" i="1" s="1"/>
  <c r="Q119" i="1"/>
  <c r="AN118" i="1"/>
  <c r="AM118" i="1"/>
  <c r="AK118" i="1"/>
  <c r="AJ118" i="1"/>
  <c r="AH118" i="1" s="1"/>
  <c r="Z118" i="1"/>
  <c r="X118" i="1" s="1"/>
  <c r="Y118" i="1"/>
  <c r="Q118" i="1"/>
  <c r="AN117" i="1"/>
  <c r="AM117" i="1"/>
  <c r="AL117" i="1"/>
  <c r="AK117" i="1"/>
  <c r="AJ117" i="1"/>
  <c r="AH117" i="1"/>
  <c r="L117" i="1" s="1"/>
  <c r="Z117" i="1"/>
  <c r="Y117" i="1"/>
  <c r="X117" i="1" s="1"/>
  <c r="T117" i="1"/>
  <c r="Q117" i="1"/>
  <c r="O117" i="1"/>
  <c r="AN116" i="1"/>
  <c r="AM116" i="1"/>
  <c r="AK116" i="1"/>
  <c r="AJ116" i="1"/>
  <c r="AH116" i="1" s="1"/>
  <c r="AI116" i="1" s="1"/>
  <c r="Z116" i="1"/>
  <c r="Y116" i="1"/>
  <c r="X116" i="1" s="1"/>
  <c r="Q116" i="1"/>
  <c r="O116" i="1"/>
  <c r="K116" i="1"/>
  <c r="J116" i="1"/>
  <c r="I116" i="1" s="1"/>
  <c r="AB116" i="1" s="1"/>
  <c r="AN115" i="1"/>
  <c r="AM115" i="1"/>
  <c r="AL115" i="1"/>
  <c r="AK115" i="1"/>
  <c r="AJ115" i="1"/>
  <c r="AH115" i="1"/>
  <c r="O115" i="1" s="1"/>
  <c r="AB115" i="1"/>
  <c r="Z115" i="1"/>
  <c r="Y115" i="1"/>
  <c r="X115" i="1" s="1"/>
  <c r="T115" i="1"/>
  <c r="Q115" i="1"/>
  <c r="J115" i="1"/>
  <c r="I115" i="1"/>
  <c r="AN114" i="1"/>
  <c r="AM114" i="1"/>
  <c r="AK114" i="1"/>
  <c r="AJ114" i="1"/>
  <c r="AH114" i="1" s="1"/>
  <c r="Z114" i="1"/>
  <c r="Y114" i="1"/>
  <c r="X114" i="1" s="1"/>
  <c r="Q114" i="1"/>
  <c r="AN113" i="1"/>
  <c r="AM113" i="1"/>
  <c r="AL113" i="1" s="1"/>
  <c r="AK113" i="1"/>
  <c r="AJ113" i="1"/>
  <c r="AI113" i="1"/>
  <c r="AH113" i="1"/>
  <c r="J113" i="1" s="1"/>
  <c r="I113" i="1" s="1"/>
  <c r="Z113" i="1"/>
  <c r="Y113" i="1"/>
  <c r="X113" i="1" s="1"/>
  <c r="T113" i="1"/>
  <c r="Q113" i="1"/>
  <c r="O113" i="1"/>
  <c r="L113" i="1"/>
  <c r="K113" i="1"/>
  <c r="AN112" i="1"/>
  <c r="T112" i="1" s="1"/>
  <c r="AM112" i="1"/>
  <c r="AL112" i="1" s="1"/>
  <c r="AK112" i="1"/>
  <c r="AJ112" i="1"/>
  <c r="AH112" i="1"/>
  <c r="Z112" i="1"/>
  <c r="Y112" i="1"/>
  <c r="X112" i="1"/>
  <c r="Q112" i="1"/>
  <c r="AN111" i="1"/>
  <c r="T111" i="1" s="1"/>
  <c r="AM111" i="1"/>
  <c r="AL111" i="1"/>
  <c r="AK111" i="1"/>
  <c r="AJ111" i="1"/>
  <c r="AH111" i="1"/>
  <c r="K111" i="1" s="1"/>
  <c r="Z111" i="1"/>
  <c r="Y111" i="1"/>
  <c r="X111" i="1"/>
  <c r="Q111" i="1"/>
  <c r="O111" i="1"/>
  <c r="L111" i="1"/>
  <c r="AN110" i="1"/>
  <c r="AM110" i="1"/>
  <c r="AL110" i="1"/>
  <c r="AK110" i="1"/>
  <c r="AJ110" i="1"/>
  <c r="AH110" i="1" s="1"/>
  <c r="Z110" i="1"/>
  <c r="Y110" i="1"/>
  <c r="X110" i="1" s="1"/>
  <c r="T110" i="1"/>
  <c r="Q110" i="1"/>
  <c r="L110" i="1"/>
  <c r="AN109" i="1"/>
  <c r="AM109" i="1"/>
  <c r="AK109" i="1"/>
  <c r="AL109" i="1" s="1"/>
  <c r="AJ109" i="1"/>
  <c r="AH109" i="1" s="1"/>
  <c r="Z109" i="1"/>
  <c r="X109" i="1" s="1"/>
  <c r="Y109" i="1"/>
  <c r="Q109" i="1"/>
  <c r="J109" i="1"/>
  <c r="I109" i="1" s="1"/>
  <c r="AN108" i="1"/>
  <c r="T108" i="1" s="1"/>
  <c r="AM108" i="1"/>
  <c r="AK108" i="1"/>
  <c r="AL108" i="1" s="1"/>
  <c r="AJ108" i="1"/>
  <c r="AH108" i="1"/>
  <c r="Z108" i="1"/>
  <c r="Y108" i="1"/>
  <c r="X108" i="1"/>
  <c r="Q108" i="1"/>
  <c r="AN107" i="1"/>
  <c r="T107" i="1" s="1"/>
  <c r="AM107" i="1"/>
  <c r="AL107" i="1"/>
  <c r="AK107" i="1"/>
  <c r="AJ107" i="1"/>
  <c r="AH107" i="1"/>
  <c r="K107" i="1" s="1"/>
  <c r="Z107" i="1"/>
  <c r="Y107" i="1"/>
  <c r="X107" i="1"/>
  <c r="Q107" i="1"/>
  <c r="O107" i="1"/>
  <c r="L107" i="1"/>
  <c r="AN106" i="1"/>
  <c r="AM106" i="1"/>
  <c r="AL106" i="1"/>
  <c r="AK106" i="1"/>
  <c r="AJ106" i="1"/>
  <c r="AH106" i="1" s="1"/>
  <c r="Z106" i="1"/>
  <c r="X106" i="1" s="1"/>
  <c r="Y106" i="1"/>
  <c r="T106" i="1"/>
  <c r="Q106" i="1"/>
  <c r="AN105" i="1"/>
  <c r="AM105" i="1"/>
  <c r="AK105" i="1"/>
  <c r="AL105" i="1" s="1"/>
  <c r="AJ105" i="1"/>
  <c r="AH105" i="1" s="1"/>
  <c r="Z105" i="1"/>
  <c r="X105" i="1" s="1"/>
  <c r="Y105" i="1"/>
  <c r="Q105" i="1"/>
  <c r="AN104" i="1"/>
  <c r="T104" i="1" s="1"/>
  <c r="AM104" i="1"/>
  <c r="AL104" i="1"/>
  <c r="AK104" i="1"/>
  <c r="AJ104" i="1"/>
  <c r="AH104" i="1"/>
  <c r="Z104" i="1"/>
  <c r="Y104" i="1"/>
  <c r="X104" i="1"/>
  <c r="Q104" i="1"/>
  <c r="AN103" i="1"/>
  <c r="AM103" i="1"/>
  <c r="AL103" i="1"/>
  <c r="AK103" i="1"/>
  <c r="AJ103" i="1"/>
  <c r="AH103" i="1"/>
  <c r="K103" i="1" s="1"/>
  <c r="Z103" i="1"/>
  <c r="Y103" i="1"/>
  <c r="X103" i="1"/>
  <c r="T103" i="1"/>
  <c r="Q103" i="1"/>
  <c r="O103" i="1"/>
  <c r="L103" i="1"/>
  <c r="AN102" i="1"/>
  <c r="AM102" i="1"/>
  <c r="AL102" i="1"/>
  <c r="AK102" i="1"/>
  <c r="AJ102" i="1"/>
  <c r="AH102" i="1" s="1"/>
  <c r="Z102" i="1"/>
  <c r="X102" i="1" s="1"/>
  <c r="Y102" i="1"/>
  <c r="T102" i="1"/>
  <c r="Q102" i="1"/>
  <c r="L102" i="1"/>
  <c r="J102" i="1"/>
  <c r="I102" i="1" s="1"/>
  <c r="AB102" i="1" s="1"/>
  <c r="AN101" i="1"/>
  <c r="AM101" i="1"/>
  <c r="AK101" i="1"/>
  <c r="AL101" i="1" s="1"/>
  <c r="AJ101" i="1"/>
  <c r="AH101" i="1" s="1"/>
  <c r="Z101" i="1"/>
  <c r="X101" i="1" s="1"/>
  <c r="Y101" i="1"/>
  <c r="Q101" i="1"/>
  <c r="J101" i="1"/>
  <c r="I101" i="1" s="1"/>
  <c r="AN100" i="1"/>
  <c r="T100" i="1" s="1"/>
  <c r="AM100" i="1"/>
  <c r="AL100" i="1" s="1"/>
  <c r="AK100" i="1"/>
  <c r="AJ100" i="1"/>
  <c r="AI100" i="1"/>
  <c r="AH100" i="1"/>
  <c r="Z100" i="1"/>
  <c r="Y100" i="1"/>
  <c r="X100" i="1" s="1"/>
  <c r="Q100" i="1"/>
  <c r="AN99" i="1"/>
  <c r="T99" i="1" s="1"/>
  <c r="AM99" i="1"/>
  <c r="AL99" i="1"/>
  <c r="AK99" i="1"/>
  <c r="AJ99" i="1"/>
  <c r="AH99" i="1"/>
  <c r="K99" i="1" s="1"/>
  <c r="Z99" i="1"/>
  <c r="Y99" i="1"/>
  <c r="X99" i="1"/>
  <c r="Q99" i="1"/>
  <c r="O99" i="1"/>
  <c r="L99" i="1"/>
  <c r="AN98" i="1"/>
  <c r="AM98" i="1"/>
  <c r="AL98" i="1"/>
  <c r="AK98" i="1"/>
  <c r="AJ98" i="1"/>
  <c r="AH98" i="1" s="1"/>
  <c r="Z98" i="1"/>
  <c r="X98" i="1" s="1"/>
  <c r="Y98" i="1"/>
  <c r="T98" i="1"/>
  <c r="Q98" i="1"/>
  <c r="AN97" i="1"/>
  <c r="AM97" i="1"/>
  <c r="AK97" i="1"/>
  <c r="AJ97" i="1"/>
  <c r="AH97" i="1"/>
  <c r="Z97" i="1"/>
  <c r="X97" i="1" s="1"/>
  <c r="Y97" i="1"/>
  <c r="Q97" i="1"/>
  <c r="K97" i="1"/>
  <c r="AN96" i="1"/>
  <c r="T96" i="1" s="1"/>
  <c r="AM96" i="1"/>
  <c r="AL96" i="1" s="1"/>
  <c r="AK96" i="1"/>
  <c r="AJ96" i="1"/>
  <c r="AH96" i="1"/>
  <c r="Z96" i="1"/>
  <c r="Y96" i="1"/>
  <c r="X96" i="1" s="1"/>
  <c r="Q96" i="1"/>
  <c r="AN95" i="1"/>
  <c r="AM95" i="1"/>
  <c r="AK95" i="1"/>
  <c r="T95" i="1" s="1"/>
  <c r="U95" i="1" s="1"/>
  <c r="V95" i="1" s="1"/>
  <c r="AJ95" i="1"/>
  <c r="AH95" i="1"/>
  <c r="AI95" i="1" s="1"/>
  <c r="Z95" i="1"/>
  <c r="X95" i="1" s="1"/>
  <c r="Y95" i="1"/>
  <c r="Q95" i="1"/>
  <c r="O95" i="1"/>
  <c r="J95" i="1"/>
  <c r="I95" i="1" s="1"/>
  <c r="AN94" i="1"/>
  <c r="AM94" i="1"/>
  <c r="AK94" i="1"/>
  <c r="AJ94" i="1"/>
  <c r="AH94" i="1"/>
  <c r="L94" i="1" s="1"/>
  <c r="Z94" i="1"/>
  <c r="Y94" i="1"/>
  <c r="X94" i="1"/>
  <c r="Q94" i="1"/>
  <c r="K94" i="1"/>
  <c r="AN93" i="1"/>
  <c r="AM93" i="1"/>
  <c r="AK93" i="1"/>
  <c r="AJ93" i="1"/>
  <c r="AH93" i="1" s="1"/>
  <c r="K93" i="1" s="1"/>
  <c r="Z93" i="1"/>
  <c r="Y93" i="1"/>
  <c r="X93" i="1" s="1"/>
  <c r="Q93" i="1"/>
  <c r="AN92" i="1"/>
  <c r="AM92" i="1"/>
  <c r="AL92" i="1"/>
  <c r="AK92" i="1"/>
  <c r="AJ92" i="1"/>
  <c r="AH92" i="1" s="1"/>
  <c r="AI92" i="1"/>
  <c r="Z92" i="1"/>
  <c r="Y92" i="1"/>
  <c r="X92" i="1" s="1"/>
  <c r="T92" i="1"/>
  <c r="Q92" i="1"/>
  <c r="AN91" i="1"/>
  <c r="AM91" i="1"/>
  <c r="AK91" i="1"/>
  <c r="AL91" i="1" s="1"/>
  <c r="AJ91" i="1"/>
  <c r="AH91" i="1" s="1"/>
  <c r="Z91" i="1"/>
  <c r="X91" i="1" s="1"/>
  <c r="Y91" i="1"/>
  <c r="Q91" i="1"/>
  <c r="AN90" i="1"/>
  <c r="AM90" i="1"/>
  <c r="AK90" i="1"/>
  <c r="AL90" i="1" s="1"/>
  <c r="AJ90" i="1"/>
  <c r="AH90" i="1"/>
  <c r="L90" i="1" s="1"/>
  <c r="Z90" i="1"/>
  <c r="Y90" i="1"/>
  <c r="X90" i="1"/>
  <c r="Q90" i="1"/>
  <c r="K90" i="1"/>
  <c r="AN89" i="1"/>
  <c r="AM89" i="1"/>
  <c r="AK89" i="1"/>
  <c r="AJ89" i="1"/>
  <c r="AH89" i="1" s="1"/>
  <c r="Z89" i="1"/>
  <c r="Y89" i="1"/>
  <c r="X89" i="1" s="1"/>
  <c r="Q89" i="1"/>
  <c r="AN88" i="1"/>
  <c r="AM88" i="1"/>
  <c r="AL88" i="1"/>
  <c r="AK88" i="1"/>
  <c r="AJ88" i="1"/>
  <c r="AH88" i="1" s="1"/>
  <c r="AI88" i="1"/>
  <c r="Z88" i="1"/>
  <c r="Y88" i="1"/>
  <c r="X88" i="1" s="1"/>
  <c r="T88" i="1"/>
  <c r="Q88" i="1"/>
  <c r="AN87" i="1"/>
  <c r="AM87" i="1"/>
  <c r="AK87" i="1"/>
  <c r="AL87" i="1" s="1"/>
  <c r="AJ87" i="1"/>
  <c r="AH87" i="1" s="1"/>
  <c r="Z87" i="1"/>
  <c r="X87" i="1" s="1"/>
  <c r="Y87" i="1"/>
  <c r="Q87" i="1"/>
  <c r="O87" i="1"/>
  <c r="AN86" i="1"/>
  <c r="AM86" i="1"/>
  <c r="AK86" i="1"/>
  <c r="AJ86" i="1"/>
  <c r="AH86" i="1"/>
  <c r="L86" i="1" s="1"/>
  <c r="Z86" i="1"/>
  <c r="Y86" i="1"/>
  <c r="X86" i="1"/>
  <c r="Q86" i="1"/>
  <c r="K86" i="1"/>
  <c r="AN85" i="1"/>
  <c r="AM85" i="1"/>
  <c r="AK85" i="1"/>
  <c r="AJ85" i="1"/>
  <c r="AH85" i="1" s="1"/>
  <c r="Z85" i="1"/>
  <c r="Y85" i="1"/>
  <c r="X85" i="1" s="1"/>
  <c r="Q85" i="1"/>
  <c r="AN84" i="1"/>
  <c r="AM84" i="1"/>
  <c r="AL84" i="1" s="1"/>
  <c r="AK84" i="1"/>
  <c r="AJ84" i="1"/>
  <c r="AH84" i="1" s="1"/>
  <c r="AI84" i="1"/>
  <c r="Z84" i="1"/>
  <c r="Y84" i="1"/>
  <c r="X84" i="1" s="1"/>
  <c r="T84" i="1"/>
  <c r="Q84" i="1"/>
  <c r="AN83" i="1"/>
  <c r="AM83" i="1"/>
  <c r="AK83" i="1"/>
  <c r="AL83" i="1" s="1"/>
  <c r="AJ83" i="1"/>
  <c r="AH83" i="1" s="1"/>
  <c r="Z83" i="1"/>
  <c r="X83" i="1" s="1"/>
  <c r="Y83" i="1"/>
  <c r="Q83" i="1"/>
  <c r="AN82" i="1"/>
  <c r="AM82" i="1"/>
  <c r="AK82" i="1"/>
  <c r="AJ82" i="1"/>
  <c r="AI82" i="1"/>
  <c r="AH82" i="1"/>
  <c r="L82" i="1" s="1"/>
  <c r="Z82" i="1"/>
  <c r="Y82" i="1"/>
  <c r="X82" i="1" s="1"/>
  <c r="Q82" i="1"/>
  <c r="K82" i="1"/>
  <c r="AN81" i="1"/>
  <c r="AM81" i="1"/>
  <c r="AK81" i="1"/>
  <c r="AJ81" i="1"/>
  <c r="AH81" i="1" s="1"/>
  <c r="Z81" i="1"/>
  <c r="Y81" i="1"/>
  <c r="X81" i="1" s="1"/>
  <c r="Q81" i="1"/>
  <c r="K81" i="1"/>
  <c r="AN80" i="1"/>
  <c r="AM80" i="1"/>
  <c r="AL80" i="1" s="1"/>
  <c r="AK80" i="1"/>
  <c r="AJ80" i="1"/>
  <c r="AI80" i="1"/>
  <c r="AH80" i="1"/>
  <c r="K80" i="1" s="1"/>
  <c r="Z80" i="1"/>
  <c r="Y80" i="1"/>
  <c r="X80" i="1" s="1"/>
  <c r="T80" i="1"/>
  <c r="Q80" i="1"/>
  <c r="O80" i="1"/>
  <c r="L80" i="1"/>
  <c r="J80" i="1"/>
  <c r="I80" i="1"/>
  <c r="AN79" i="1"/>
  <c r="AM79" i="1"/>
  <c r="AK79" i="1"/>
  <c r="AL79" i="1" s="1"/>
  <c r="AJ79" i="1"/>
  <c r="AH79" i="1" s="1"/>
  <c r="Z79" i="1"/>
  <c r="X79" i="1" s="1"/>
  <c r="Y79" i="1"/>
  <c r="Q79" i="1"/>
  <c r="O79" i="1"/>
  <c r="AN78" i="1"/>
  <c r="AM78" i="1"/>
  <c r="AK78" i="1"/>
  <c r="AL78" i="1" s="1"/>
  <c r="AJ78" i="1"/>
  <c r="AI78" i="1"/>
  <c r="AH78" i="1"/>
  <c r="L78" i="1" s="1"/>
  <c r="Z78" i="1"/>
  <c r="Y78" i="1"/>
  <c r="X78" i="1" s="1"/>
  <c r="Q78" i="1"/>
  <c r="K78" i="1"/>
  <c r="AN77" i="1"/>
  <c r="AM77" i="1"/>
  <c r="AK77" i="1"/>
  <c r="AJ77" i="1"/>
  <c r="AH77" i="1" s="1"/>
  <c r="Z77" i="1"/>
  <c r="Y77" i="1"/>
  <c r="X77" i="1" s="1"/>
  <c r="Q77" i="1"/>
  <c r="K77" i="1"/>
  <c r="AN76" i="1"/>
  <c r="AM76" i="1"/>
  <c r="AL76" i="1" s="1"/>
  <c r="AK76" i="1"/>
  <c r="AJ76" i="1"/>
  <c r="AI76" i="1"/>
  <c r="AH76" i="1"/>
  <c r="K76" i="1" s="1"/>
  <c r="Z76" i="1"/>
  <c r="Y76" i="1"/>
  <c r="X76" i="1" s="1"/>
  <c r="T76" i="1"/>
  <c r="Q76" i="1"/>
  <c r="O76" i="1"/>
  <c r="L76" i="1"/>
  <c r="J76" i="1"/>
  <c r="I76" i="1"/>
  <c r="AN75" i="1"/>
  <c r="AM75" i="1"/>
  <c r="AK75" i="1"/>
  <c r="AL75" i="1" s="1"/>
  <c r="AJ75" i="1"/>
  <c r="AH75" i="1" s="1"/>
  <c r="Z75" i="1"/>
  <c r="X75" i="1" s="1"/>
  <c r="Y75" i="1"/>
  <c r="Q75" i="1"/>
  <c r="O75" i="1"/>
  <c r="AN74" i="1"/>
  <c r="AM74" i="1"/>
  <c r="AK74" i="1"/>
  <c r="AL74" i="1" s="1"/>
  <c r="AJ74" i="1"/>
  <c r="AI74" i="1"/>
  <c r="AH74" i="1"/>
  <c r="L74" i="1" s="1"/>
  <c r="Z74" i="1"/>
  <c r="Y74" i="1"/>
  <c r="X74" i="1" s="1"/>
  <c r="Q74" i="1"/>
  <c r="K74" i="1"/>
  <c r="AN73" i="1"/>
  <c r="AM73" i="1"/>
  <c r="AK73" i="1"/>
  <c r="AJ73" i="1"/>
  <c r="AH73" i="1" s="1"/>
  <c r="K73" i="1" s="1"/>
  <c r="Z73" i="1"/>
  <c r="Y73" i="1"/>
  <c r="X73" i="1" s="1"/>
  <c r="Q73" i="1"/>
  <c r="AN72" i="1"/>
  <c r="AM72" i="1"/>
  <c r="AL72" i="1" s="1"/>
  <c r="AK72" i="1"/>
  <c r="AJ72" i="1"/>
  <c r="AI72" i="1"/>
  <c r="AH72" i="1"/>
  <c r="K72" i="1" s="1"/>
  <c r="Z72" i="1"/>
  <c r="Y72" i="1"/>
  <c r="X72" i="1" s="1"/>
  <c r="T72" i="1"/>
  <c r="Q72" i="1"/>
  <c r="O72" i="1"/>
  <c r="L72" i="1"/>
  <c r="AN71" i="1"/>
  <c r="AM71" i="1"/>
  <c r="AK71" i="1"/>
  <c r="AL71" i="1" s="1"/>
  <c r="AJ71" i="1"/>
  <c r="AH71" i="1" s="1"/>
  <c r="Z71" i="1"/>
  <c r="X71" i="1" s="1"/>
  <c r="Y71" i="1"/>
  <c r="Q71" i="1"/>
  <c r="AN70" i="1"/>
  <c r="AM70" i="1"/>
  <c r="AK70" i="1"/>
  <c r="AJ70" i="1"/>
  <c r="AI70" i="1"/>
  <c r="AH70" i="1"/>
  <c r="L70" i="1" s="1"/>
  <c r="Z70" i="1"/>
  <c r="Y70" i="1"/>
  <c r="X70" i="1" s="1"/>
  <c r="Q70" i="1"/>
  <c r="K70" i="1"/>
  <c r="AN69" i="1"/>
  <c r="AM69" i="1"/>
  <c r="AK69" i="1"/>
  <c r="AJ69" i="1"/>
  <c r="AH69" i="1" s="1"/>
  <c r="Z69" i="1"/>
  <c r="Y69" i="1"/>
  <c r="X69" i="1" s="1"/>
  <c r="Q69" i="1"/>
  <c r="AN68" i="1"/>
  <c r="AM68" i="1"/>
  <c r="AL68" i="1" s="1"/>
  <c r="AK68" i="1"/>
  <c r="AJ68" i="1"/>
  <c r="AI68" i="1"/>
  <c r="AH68" i="1"/>
  <c r="K68" i="1" s="1"/>
  <c r="Z68" i="1"/>
  <c r="Y68" i="1"/>
  <c r="X68" i="1" s="1"/>
  <c r="T68" i="1"/>
  <c r="Q68" i="1"/>
  <c r="O68" i="1"/>
  <c r="L68" i="1"/>
  <c r="AN67" i="1"/>
  <c r="AM67" i="1"/>
  <c r="AK67" i="1"/>
  <c r="AL67" i="1" s="1"/>
  <c r="AJ67" i="1"/>
  <c r="AH67" i="1" s="1"/>
  <c r="Z67" i="1"/>
  <c r="X67" i="1" s="1"/>
  <c r="Y67" i="1"/>
  <c r="Q67" i="1"/>
  <c r="AN66" i="1"/>
  <c r="AM66" i="1"/>
  <c r="AK66" i="1"/>
  <c r="AJ66" i="1"/>
  <c r="AI66" i="1"/>
  <c r="AH66" i="1"/>
  <c r="L66" i="1" s="1"/>
  <c r="Z66" i="1"/>
  <c r="Y66" i="1"/>
  <c r="X66" i="1" s="1"/>
  <c r="Q66" i="1"/>
  <c r="K66" i="1"/>
  <c r="AN65" i="1"/>
  <c r="AM65" i="1"/>
  <c r="AK65" i="1"/>
  <c r="AJ65" i="1"/>
  <c r="AH65" i="1" s="1"/>
  <c r="AI65" i="1" s="1"/>
  <c r="Z65" i="1"/>
  <c r="Y65" i="1"/>
  <c r="X65" i="1" s="1"/>
  <c r="Q65" i="1"/>
  <c r="AN64" i="1"/>
  <c r="AM64" i="1"/>
  <c r="AL64" i="1" s="1"/>
  <c r="AK64" i="1"/>
  <c r="AJ64" i="1"/>
  <c r="AI64" i="1"/>
  <c r="AH64" i="1"/>
  <c r="K64" i="1" s="1"/>
  <c r="Z64" i="1"/>
  <c r="Y64" i="1"/>
  <c r="X64" i="1" s="1"/>
  <c r="T64" i="1"/>
  <c r="Q64" i="1"/>
  <c r="O64" i="1"/>
  <c r="L64" i="1"/>
  <c r="AN63" i="1"/>
  <c r="AM63" i="1"/>
  <c r="AK63" i="1"/>
  <c r="AJ63" i="1"/>
  <c r="AH63" i="1" s="1"/>
  <c r="Z63" i="1"/>
  <c r="X63" i="1" s="1"/>
  <c r="Y63" i="1"/>
  <c r="Q63" i="1"/>
  <c r="O63" i="1"/>
  <c r="K63" i="1"/>
  <c r="AN62" i="1"/>
  <c r="AM62" i="1"/>
  <c r="AK62" i="1"/>
  <c r="AJ62" i="1"/>
  <c r="AI62" i="1"/>
  <c r="AH62" i="1"/>
  <c r="L62" i="1" s="1"/>
  <c r="Z62" i="1"/>
  <c r="Y62" i="1"/>
  <c r="X62" i="1" s="1"/>
  <c r="Q62" i="1"/>
  <c r="K62" i="1"/>
  <c r="AN61" i="1"/>
  <c r="AM61" i="1"/>
  <c r="AK61" i="1"/>
  <c r="AJ61" i="1"/>
  <c r="AH61" i="1" s="1"/>
  <c r="AI61" i="1"/>
  <c r="Z61" i="1"/>
  <c r="Y61" i="1"/>
  <c r="X61" i="1" s="1"/>
  <c r="Q61" i="1"/>
  <c r="O61" i="1"/>
  <c r="K61" i="1"/>
  <c r="AN60" i="1"/>
  <c r="AM60" i="1"/>
  <c r="AL60" i="1" s="1"/>
  <c r="AK60" i="1"/>
  <c r="AJ60" i="1"/>
  <c r="AI60" i="1"/>
  <c r="AH60" i="1"/>
  <c r="K60" i="1" s="1"/>
  <c r="Z60" i="1"/>
  <c r="Y60" i="1"/>
  <c r="X60" i="1" s="1"/>
  <c r="T60" i="1"/>
  <c r="Q60" i="1"/>
  <c r="O60" i="1"/>
  <c r="L60" i="1"/>
  <c r="AN59" i="1"/>
  <c r="AM59" i="1"/>
  <c r="AK59" i="1"/>
  <c r="AJ59" i="1"/>
  <c r="AH59" i="1" s="1"/>
  <c r="O59" i="1" s="1"/>
  <c r="Z59" i="1"/>
  <c r="Y59" i="1"/>
  <c r="Q59" i="1"/>
  <c r="K59" i="1"/>
  <c r="AN58" i="1"/>
  <c r="AM58" i="1"/>
  <c r="AK58" i="1"/>
  <c r="AJ58" i="1"/>
  <c r="AH58" i="1"/>
  <c r="AI58" i="1" s="1"/>
  <c r="Z58" i="1"/>
  <c r="Y58" i="1"/>
  <c r="X58" i="1" s="1"/>
  <c r="Q58" i="1"/>
  <c r="AN57" i="1"/>
  <c r="AM57" i="1"/>
  <c r="AK57" i="1"/>
  <c r="AJ57" i="1"/>
  <c r="AH57" i="1" s="1"/>
  <c r="L57" i="1" s="1"/>
  <c r="Z57" i="1"/>
  <c r="Y57" i="1"/>
  <c r="X57" i="1" s="1"/>
  <c r="Q57" i="1"/>
  <c r="AN56" i="1"/>
  <c r="AM56" i="1"/>
  <c r="AL56" i="1"/>
  <c r="AK56" i="1"/>
  <c r="AJ56" i="1"/>
  <c r="AH56" i="1"/>
  <c r="K56" i="1" s="1"/>
  <c r="Z56" i="1"/>
  <c r="Y56" i="1"/>
  <c r="X56" i="1"/>
  <c r="T56" i="1"/>
  <c r="Q56" i="1"/>
  <c r="L56" i="1"/>
  <c r="AN55" i="1"/>
  <c r="AM55" i="1"/>
  <c r="AK55" i="1"/>
  <c r="AL55" i="1" s="1"/>
  <c r="AJ55" i="1"/>
  <c r="AH55" i="1" s="1"/>
  <c r="Z55" i="1"/>
  <c r="X55" i="1" s="1"/>
  <c r="Y55" i="1"/>
  <c r="Q55" i="1"/>
  <c r="AN54" i="1"/>
  <c r="AM54" i="1"/>
  <c r="AK54" i="1"/>
  <c r="AL54" i="1" s="1"/>
  <c r="AJ54" i="1"/>
  <c r="AI54" i="1"/>
  <c r="AH54" i="1"/>
  <c r="O54" i="1" s="1"/>
  <c r="Z54" i="1"/>
  <c r="Y54" i="1"/>
  <c r="X54" i="1" s="1"/>
  <c r="Q54" i="1"/>
  <c r="AN53" i="1"/>
  <c r="AM53" i="1"/>
  <c r="AK53" i="1"/>
  <c r="AL53" i="1" s="1"/>
  <c r="AJ53" i="1"/>
  <c r="AH53" i="1"/>
  <c r="L53" i="1" s="1"/>
  <c r="Z53" i="1"/>
  <c r="Y53" i="1"/>
  <c r="X53" i="1"/>
  <c r="Q53" i="1"/>
  <c r="O53" i="1"/>
  <c r="K53" i="1"/>
  <c r="AN52" i="1"/>
  <c r="AM52" i="1"/>
  <c r="AL52" i="1" s="1"/>
  <c r="AK52" i="1"/>
  <c r="AJ52" i="1"/>
  <c r="AI52" i="1"/>
  <c r="AH52" i="1"/>
  <c r="K52" i="1" s="1"/>
  <c r="Z52" i="1"/>
  <c r="Y52" i="1"/>
  <c r="X52" i="1" s="1"/>
  <c r="T52" i="1"/>
  <c r="Q52" i="1"/>
  <c r="O52" i="1"/>
  <c r="L52" i="1"/>
  <c r="AN51" i="1"/>
  <c r="AM51" i="1"/>
  <c r="AK51" i="1"/>
  <c r="AL51" i="1" s="1"/>
  <c r="AJ51" i="1"/>
  <c r="AH51" i="1" s="1"/>
  <c r="Z51" i="1"/>
  <c r="X51" i="1" s="1"/>
  <c r="Y51" i="1"/>
  <c r="Q51" i="1"/>
  <c r="AN50" i="1"/>
  <c r="AM50" i="1"/>
  <c r="AK50" i="1"/>
  <c r="AL50" i="1" s="1"/>
  <c r="AJ50" i="1"/>
  <c r="AI50" i="1"/>
  <c r="AH50" i="1"/>
  <c r="O50" i="1" s="1"/>
  <c r="Z50" i="1"/>
  <c r="Y50" i="1"/>
  <c r="X50" i="1" s="1"/>
  <c r="Q50" i="1"/>
  <c r="AN49" i="1"/>
  <c r="AM49" i="1"/>
  <c r="AK49" i="1"/>
  <c r="AL49" i="1" s="1"/>
  <c r="AJ49" i="1"/>
  <c r="AH49" i="1"/>
  <c r="L49" i="1" s="1"/>
  <c r="Z49" i="1"/>
  <c r="Y49" i="1"/>
  <c r="X49" i="1"/>
  <c r="Q49" i="1"/>
  <c r="O49" i="1"/>
  <c r="K49" i="1"/>
  <c r="AN48" i="1"/>
  <c r="AM48" i="1"/>
  <c r="AL48" i="1" s="1"/>
  <c r="AK48" i="1"/>
  <c r="AJ48" i="1"/>
  <c r="AI48" i="1"/>
  <c r="AH48" i="1"/>
  <c r="K48" i="1" s="1"/>
  <c r="Z48" i="1"/>
  <c r="Y48" i="1"/>
  <c r="X48" i="1" s="1"/>
  <c r="T48" i="1"/>
  <c r="Q48" i="1"/>
  <c r="O48" i="1"/>
  <c r="L48" i="1"/>
  <c r="AN47" i="1"/>
  <c r="AM47" i="1"/>
  <c r="AK47" i="1"/>
  <c r="AL47" i="1" s="1"/>
  <c r="AJ47" i="1"/>
  <c r="AH47" i="1" s="1"/>
  <c r="Z47" i="1"/>
  <c r="Y47" i="1"/>
  <c r="X47" i="1" s="1"/>
  <c r="Q47" i="1"/>
  <c r="AN46" i="1"/>
  <c r="AM46" i="1"/>
  <c r="AK46" i="1"/>
  <c r="AL46" i="1" s="1"/>
  <c r="AJ46" i="1"/>
  <c r="AI46" i="1"/>
  <c r="AH46" i="1"/>
  <c r="O46" i="1" s="1"/>
  <c r="Z46" i="1"/>
  <c r="Y46" i="1"/>
  <c r="X46" i="1" s="1"/>
  <c r="Q46" i="1"/>
  <c r="AN45" i="1"/>
  <c r="AM45" i="1"/>
  <c r="AK45" i="1"/>
  <c r="AL45" i="1" s="1"/>
  <c r="AJ45" i="1"/>
  <c r="AI45" i="1"/>
  <c r="AH45" i="1"/>
  <c r="L45" i="1" s="1"/>
  <c r="Z45" i="1"/>
  <c r="Y45" i="1"/>
  <c r="X45" i="1" s="1"/>
  <c r="Q45" i="1"/>
  <c r="O45" i="1"/>
  <c r="K45" i="1"/>
  <c r="J45" i="1"/>
  <c r="I45" i="1"/>
  <c r="AB45" i="1" s="1"/>
  <c r="AN44" i="1"/>
  <c r="AM44" i="1"/>
  <c r="AL44" i="1" s="1"/>
  <c r="AK44" i="1"/>
  <c r="AJ44" i="1"/>
  <c r="AI44" i="1"/>
  <c r="AH44" i="1"/>
  <c r="K44" i="1" s="1"/>
  <c r="Z44" i="1"/>
  <c r="Y44" i="1"/>
  <c r="X44" i="1" s="1"/>
  <c r="T44" i="1"/>
  <c r="Q44" i="1"/>
  <c r="O44" i="1"/>
  <c r="L44" i="1"/>
  <c r="AN43" i="1"/>
  <c r="AM43" i="1"/>
  <c r="AK43" i="1"/>
  <c r="AL43" i="1" s="1"/>
  <c r="AJ43" i="1"/>
  <c r="AH43" i="1" s="1"/>
  <c r="Z43" i="1"/>
  <c r="Y43" i="1"/>
  <c r="X43" i="1" s="1"/>
  <c r="Q43" i="1"/>
  <c r="AN42" i="1"/>
  <c r="AM42" i="1"/>
  <c r="AK42" i="1"/>
  <c r="AL42" i="1" s="1"/>
  <c r="AJ42" i="1"/>
  <c r="AI42" i="1"/>
  <c r="AH42" i="1"/>
  <c r="O42" i="1" s="1"/>
  <c r="Z42" i="1"/>
  <c r="Y42" i="1"/>
  <c r="X42" i="1" s="1"/>
  <c r="Q42" i="1"/>
  <c r="AN41" i="1"/>
  <c r="AM41" i="1"/>
  <c r="AK41" i="1"/>
  <c r="AL41" i="1" s="1"/>
  <c r="AJ41" i="1"/>
  <c r="AH41" i="1" s="1"/>
  <c r="Z41" i="1"/>
  <c r="Y41" i="1"/>
  <c r="X41" i="1" s="1"/>
  <c r="Q41" i="1"/>
  <c r="AN40" i="1"/>
  <c r="AM40" i="1"/>
  <c r="AL40" i="1" s="1"/>
  <c r="AK40" i="1"/>
  <c r="AJ40" i="1"/>
  <c r="AI40" i="1"/>
  <c r="AH40" i="1"/>
  <c r="K40" i="1" s="1"/>
  <c r="Z40" i="1"/>
  <c r="Y40" i="1"/>
  <c r="X40" i="1" s="1"/>
  <c r="T40" i="1"/>
  <c r="Q40" i="1"/>
  <c r="O40" i="1"/>
  <c r="L40" i="1"/>
  <c r="AN39" i="1"/>
  <c r="AM39" i="1"/>
  <c r="AK39" i="1"/>
  <c r="AL39" i="1" s="1"/>
  <c r="AJ39" i="1"/>
  <c r="AH39" i="1" s="1"/>
  <c r="Z39" i="1"/>
  <c r="Y39" i="1"/>
  <c r="X39" i="1" s="1"/>
  <c r="Q39" i="1"/>
  <c r="AN38" i="1"/>
  <c r="AM38" i="1"/>
  <c r="AK38" i="1"/>
  <c r="AL38" i="1" s="1"/>
  <c r="AJ38" i="1"/>
  <c r="AI38" i="1"/>
  <c r="AH38" i="1"/>
  <c r="O38" i="1" s="1"/>
  <c r="Z38" i="1"/>
  <c r="Y38" i="1"/>
  <c r="X38" i="1" s="1"/>
  <c r="Q38" i="1"/>
  <c r="AN37" i="1"/>
  <c r="AM37" i="1"/>
  <c r="AK37" i="1"/>
  <c r="AL37" i="1" s="1"/>
  <c r="AJ37" i="1"/>
  <c r="AH37" i="1" s="1"/>
  <c r="Z37" i="1"/>
  <c r="Y37" i="1"/>
  <c r="X37" i="1" s="1"/>
  <c r="Q37" i="1"/>
  <c r="AN36" i="1"/>
  <c r="AM36" i="1"/>
  <c r="AL36" i="1" s="1"/>
  <c r="AK36" i="1"/>
  <c r="AJ36" i="1"/>
  <c r="AI36" i="1"/>
  <c r="AH36" i="1"/>
  <c r="K36" i="1" s="1"/>
  <c r="Z36" i="1"/>
  <c r="Y36" i="1"/>
  <c r="X36" i="1" s="1"/>
  <c r="T36" i="1"/>
  <c r="Q36" i="1"/>
  <c r="O36" i="1"/>
  <c r="L36" i="1"/>
  <c r="AN35" i="1"/>
  <c r="AM35" i="1"/>
  <c r="AK35" i="1"/>
  <c r="AL35" i="1" s="1"/>
  <c r="AJ35" i="1"/>
  <c r="AH35" i="1" s="1"/>
  <c r="Z35" i="1"/>
  <c r="Y35" i="1"/>
  <c r="X35" i="1" s="1"/>
  <c r="Q35" i="1"/>
  <c r="AN34" i="1"/>
  <c r="AM34" i="1"/>
  <c r="AK34" i="1"/>
  <c r="AL34" i="1" s="1"/>
  <c r="AJ34" i="1"/>
  <c r="AI34" i="1"/>
  <c r="AH34" i="1"/>
  <c r="O34" i="1" s="1"/>
  <c r="Z34" i="1"/>
  <c r="Y34" i="1"/>
  <c r="X34" i="1" s="1"/>
  <c r="Q34" i="1"/>
  <c r="AN33" i="1"/>
  <c r="AM33" i="1"/>
  <c r="AK33" i="1"/>
  <c r="AL33" i="1" s="1"/>
  <c r="AJ33" i="1"/>
  <c r="AH33" i="1" s="1"/>
  <c r="Z33" i="1"/>
  <c r="Y33" i="1"/>
  <c r="X33" i="1" s="1"/>
  <c r="Q33" i="1"/>
  <c r="AN32" i="1"/>
  <c r="AM32" i="1"/>
  <c r="AL32" i="1" s="1"/>
  <c r="AK32" i="1"/>
  <c r="AJ32" i="1"/>
  <c r="AI32" i="1"/>
  <c r="AH32" i="1"/>
  <c r="K32" i="1" s="1"/>
  <c r="Z32" i="1"/>
  <c r="Y32" i="1"/>
  <c r="X32" i="1" s="1"/>
  <c r="T32" i="1"/>
  <c r="Q32" i="1"/>
  <c r="O32" i="1"/>
  <c r="L32" i="1"/>
  <c r="AN31" i="1"/>
  <c r="AM31" i="1"/>
  <c r="AK31" i="1"/>
  <c r="AL31" i="1" s="1"/>
  <c r="AJ31" i="1"/>
  <c r="AH31" i="1" s="1"/>
  <c r="Z31" i="1"/>
  <c r="Y31" i="1"/>
  <c r="X31" i="1" s="1"/>
  <c r="Q31" i="1"/>
  <c r="AN30" i="1"/>
  <c r="AM30" i="1"/>
  <c r="AK30" i="1"/>
  <c r="AL30" i="1" s="1"/>
  <c r="AJ30" i="1"/>
  <c r="AI30" i="1"/>
  <c r="AH30" i="1"/>
  <c r="O30" i="1" s="1"/>
  <c r="Z30" i="1"/>
  <c r="Y30" i="1"/>
  <c r="X30" i="1" s="1"/>
  <c r="Q30" i="1"/>
  <c r="AN29" i="1"/>
  <c r="AM29" i="1"/>
  <c r="AK29" i="1"/>
  <c r="AL29" i="1" s="1"/>
  <c r="AJ29" i="1"/>
  <c r="AH29" i="1" s="1"/>
  <c r="Z29" i="1"/>
  <c r="Y29" i="1"/>
  <c r="X29" i="1" s="1"/>
  <c r="Q29" i="1"/>
  <c r="AN28" i="1"/>
  <c r="AM28" i="1"/>
  <c r="AL28" i="1" s="1"/>
  <c r="AK28" i="1"/>
  <c r="AJ28" i="1"/>
  <c r="AI28" i="1"/>
  <c r="AH28" i="1"/>
  <c r="K28" i="1" s="1"/>
  <c r="Z28" i="1"/>
  <c r="Y28" i="1"/>
  <c r="X28" i="1" s="1"/>
  <c r="T28" i="1"/>
  <c r="Q28" i="1"/>
  <c r="O28" i="1"/>
  <c r="L28" i="1"/>
  <c r="AN27" i="1"/>
  <c r="AM27" i="1"/>
  <c r="AK27" i="1"/>
  <c r="AL27" i="1" s="1"/>
  <c r="AJ27" i="1"/>
  <c r="AH27" i="1" s="1"/>
  <c r="Z27" i="1"/>
  <c r="Y27" i="1"/>
  <c r="X27" i="1" s="1"/>
  <c r="Q27" i="1"/>
  <c r="AN26" i="1"/>
  <c r="AM26" i="1"/>
  <c r="AK26" i="1"/>
  <c r="AL26" i="1" s="1"/>
  <c r="AJ26" i="1"/>
  <c r="AI26" i="1"/>
  <c r="AH26" i="1"/>
  <c r="O26" i="1" s="1"/>
  <c r="Z26" i="1"/>
  <c r="Y26" i="1"/>
  <c r="X26" i="1" s="1"/>
  <c r="Q26" i="1"/>
  <c r="AN25" i="1"/>
  <c r="AM25" i="1"/>
  <c r="AK25" i="1"/>
  <c r="AL25" i="1" s="1"/>
  <c r="AJ25" i="1"/>
  <c r="AH25" i="1" s="1"/>
  <c r="Z25" i="1"/>
  <c r="Y25" i="1"/>
  <c r="X25" i="1" s="1"/>
  <c r="Q25" i="1"/>
  <c r="AN24" i="1"/>
  <c r="AM24" i="1"/>
  <c r="AL24" i="1" s="1"/>
  <c r="AK24" i="1"/>
  <c r="AJ24" i="1"/>
  <c r="AI24" i="1"/>
  <c r="AH24" i="1"/>
  <c r="K24" i="1" s="1"/>
  <c r="Z24" i="1"/>
  <c r="Y24" i="1"/>
  <c r="X24" i="1" s="1"/>
  <c r="T24" i="1"/>
  <c r="Q24" i="1"/>
  <c r="O24" i="1"/>
  <c r="L24" i="1"/>
  <c r="AN23" i="1"/>
  <c r="AM23" i="1"/>
  <c r="AK23" i="1"/>
  <c r="AL23" i="1" s="1"/>
  <c r="AJ23" i="1"/>
  <c r="AH23" i="1" s="1"/>
  <c r="Z23" i="1"/>
  <c r="X23" i="1" s="1"/>
  <c r="Y23" i="1"/>
  <c r="Q23" i="1"/>
  <c r="AN22" i="1"/>
  <c r="AM22" i="1"/>
  <c r="AK22" i="1"/>
  <c r="AL22" i="1" s="1"/>
  <c r="AJ22" i="1"/>
  <c r="AI22" i="1"/>
  <c r="AH22" i="1"/>
  <c r="O22" i="1" s="1"/>
  <c r="Z22" i="1"/>
  <c r="Y22" i="1"/>
  <c r="X22" i="1" s="1"/>
  <c r="Q22" i="1"/>
  <c r="AN21" i="1"/>
  <c r="AM21" i="1"/>
  <c r="AK21" i="1"/>
  <c r="AL21" i="1" s="1"/>
  <c r="AJ21" i="1"/>
  <c r="AH21" i="1" s="1"/>
  <c r="Z21" i="1"/>
  <c r="Y21" i="1"/>
  <c r="X21" i="1" s="1"/>
  <c r="Q21" i="1"/>
  <c r="AN20" i="1"/>
  <c r="AM20" i="1"/>
  <c r="AL20" i="1" s="1"/>
  <c r="AK20" i="1"/>
  <c r="AJ20" i="1"/>
  <c r="AI20" i="1"/>
  <c r="AH20" i="1"/>
  <c r="K20" i="1" s="1"/>
  <c r="AB20" i="1"/>
  <c r="Z20" i="1"/>
  <c r="Y20" i="1"/>
  <c r="X20" i="1" s="1"/>
  <c r="U20" i="1"/>
  <c r="V20" i="1" s="1"/>
  <c r="T20" i="1"/>
  <c r="Q20" i="1"/>
  <c r="O20" i="1"/>
  <c r="L20" i="1"/>
  <c r="J20" i="1"/>
  <c r="I20" i="1"/>
  <c r="AN19" i="1"/>
  <c r="AM19" i="1"/>
  <c r="AK19" i="1"/>
  <c r="AL19" i="1" s="1"/>
  <c r="AJ19" i="1"/>
  <c r="AH19" i="1" s="1"/>
  <c r="Z19" i="1"/>
  <c r="X19" i="1" s="1"/>
  <c r="Y19" i="1"/>
  <c r="Q19" i="1"/>
  <c r="AN18" i="1"/>
  <c r="AM18" i="1"/>
  <c r="AK18" i="1"/>
  <c r="AL18" i="1" s="1"/>
  <c r="AJ18" i="1"/>
  <c r="AI18" i="1"/>
  <c r="AH18" i="1"/>
  <c r="O18" i="1" s="1"/>
  <c r="Z18" i="1"/>
  <c r="Y18" i="1"/>
  <c r="X18" i="1" s="1"/>
  <c r="Q18" i="1"/>
  <c r="AN17" i="1"/>
  <c r="AM17" i="1"/>
  <c r="AK17" i="1"/>
  <c r="AL17" i="1" s="1"/>
  <c r="AJ17" i="1"/>
  <c r="AH17" i="1" s="1"/>
  <c r="Z17" i="1"/>
  <c r="Y17" i="1"/>
  <c r="X17" i="1" s="1"/>
  <c r="Q17" i="1"/>
  <c r="L25" i="1" l="1"/>
  <c r="O25" i="1"/>
  <c r="K25" i="1"/>
  <c r="J25" i="1"/>
  <c r="I25" i="1" s="1"/>
  <c r="AI25" i="1"/>
  <c r="O37" i="1"/>
  <c r="L37" i="1"/>
  <c r="K37" i="1"/>
  <c r="J37" i="1"/>
  <c r="I37" i="1" s="1"/>
  <c r="AI37" i="1"/>
  <c r="J39" i="1"/>
  <c r="I39" i="1" s="1"/>
  <c r="AI39" i="1"/>
  <c r="K39" i="1"/>
  <c r="O39" i="1"/>
  <c r="L39" i="1"/>
  <c r="AC20" i="1"/>
  <c r="AE20" i="1" s="1"/>
  <c r="W20" i="1"/>
  <c r="AA20" i="1" s="1"/>
  <c r="AD20" i="1"/>
  <c r="R20" i="1"/>
  <c r="P20" i="1" s="1"/>
  <c r="S20" i="1" s="1"/>
  <c r="M20" i="1" s="1"/>
  <c r="N20" i="1" s="1"/>
  <c r="L29" i="1"/>
  <c r="O29" i="1"/>
  <c r="K29" i="1"/>
  <c r="J29" i="1"/>
  <c r="I29" i="1" s="1"/>
  <c r="AI29" i="1"/>
  <c r="J31" i="1"/>
  <c r="I31" i="1" s="1"/>
  <c r="AI31" i="1"/>
  <c r="K31" i="1"/>
  <c r="O31" i="1"/>
  <c r="L31" i="1"/>
  <c r="J55" i="1"/>
  <c r="I55" i="1" s="1"/>
  <c r="AI55" i="1"/>
  <c r="K55" i="1"/>
  <c r="O55" i="1"/>
  <c r="L55" i="1"/>
  <c r="L41" i="1"/>
  <c r="K41" i="1"/>
  <c r="O41" i="1"/>
  <c r="J41" i="1"/>
  <c r="I41" i="1" s="1"/>
  <c r="AI41" i="1"/>
  <c r="J43" i="1"/>
  <c r="I43" i="1" s="1"/>
  <c r="AI43" i="1"/>
  <c r="O43" i="1"/>
  <c r="L43" i="1"/>
  <c r="K43" i="1"/>
  <c r="J51" i="1"/>
  <c r="I51" i="1" s="1"/>
  <c r="AI51" i="1"/>
  <c r="O51" i="1"/>
  <c r="K51" i="1"/>
  <c r="L51" i="1"/>
  <c r="L21" i="1"/>
  <c r="K21" i="1"/>
  <c r="J21" i="1"/>
  <c r="I21" i="1" s="1"/>
  <c r="AI21" i="1"/>
  <c r="O21" i="1"/>
  <c r="J23" i="1"/>
  <c r="I23" i="1" s="1"/>
  <c r="AI23" i="1"/>
  <c r="K23" i="1"/>
  <c r="O23" i="1"/>
  <c r="L23" i="1"/>
  <c r="J47" i="1"/>
  <c r="I47" i="1" s="1"/>
  <c r="AI47" i="1"/>
  <c r="O47" i="1"/>
  <c r="L47" i="1"/>
  <c r="K47" i="1"/>
  <c r="J27" i="1"/>
  <c r="I27" i="1" s="1"/>
  <c r="AI27" i="1"/>
  <c r="O27" i="1"/>
  <c r="K27" i="1"/>
  <c r="L27" i="1"/>
  <c r="O17" i="1"/>
  <c r="L17" i="1"/>
  <c r="K17" i="1"/>
  <c r="J17" i="1"/>
  <c r="I17" i="1" s="1"/>
  <c r="AI17" i="1"/>
  <c r="J19" i="1"/>
  <c r="I19" i="1" s="1"/>
  <c r="AI19" i="1"/>
  <c r="O19" i="1"/>
  <c r="K19" i="1"/>
  <c r="L19" i="1"/>
  <c r="L33" i="1"/>
  <c r="O33" i="1"/>
  <c r="K33" i="1"/>
  <c r="J33" i="1"/>
  <c r="I33" i="1" s="1"/>
  <c r="AI33" i="1"/>
  <c r="J35" i="1"/>
  <c r="I35" i="1" s="1"/>
  <c r="AI35" i="1"/>
  <c r="O35" i="1"/>
  <c r="K35" i="1"/>
  <c r="L35" i="1"/>
  <c r="AL66" i="1"/>
  <c r="T66" i="1"/>
  <c r="L71" i="1"/>
  <c r="K71" i="1"/>
  <c r="J71" i="1"/>
  <c r="I71" i="1" s="1"/>
  <c r="AI71" i="1"/>
  <c r="J18" i="1"/>
  <c r="I18" i="1" s="1"/>
  <c r="T19" i="1"/>
  <c r="J22" i="1"/>
  <c r="I22" i="1" s="1"/>
  <c r="T23" i="1"/>
  <c r="J26" i="1"/>
  <c r="I26" i="1" s="1"/>
  <c r="T27" i="1"/>
  <c r="J30" i="1"/>
  <c r="I30" i="1" s="1"/>
  <c r="T31" i="1"/>
  <c r="J34" i="1"/>
  <c r="I34" i="1" s="1"/>
  <c r="T35" i="1"/>
  <c r="J38" i="1"/>
  <c r="I38" i="1" s="1"/>
  <c r="T39" i="1"/>
  <c r="J42" i="1"/>
  <c r="I42" i="1" s="1"/>
  <c r="T43" i="1"/>
  <c r="J46" i="1"/>
  <c r="I46" i="1" s="1"/>
  <c r="T47" i="1"/>
  <c r="J50" i="1"/>
  <c r="I50" i="1" s="1"/>
  <c r="T51" i="1"/>
  <c r="J54" i="1"/>
  <c r="I54" i="1" s="1"/>
  <c r="T55" i="1"/>
  <c r="J57" i="1"/>
  <c r="I57" i="1" s="1"/>
  <c r="AL57" i="1"/>
  <c r="T57" i="1"/>
  <c r="J69" i="1"/>
  <c r="I69" i="1" s="1"/>
  <c r="AI69" i="1"/>
  <c r="O69" i="1"/>
  <c r="L69" i="1"/>
  <c r="U80" i="1"/>
  <c r="V80" i="1" s="1"/>
  <c r="AB80" i="1"/>
  <c r="R80" i="1"/>
  <c r="P80" i="1" s="1"/>
  <c r="S80" i="1" s="1"/>
  <c r="M80" i="1" s="1"/>
  <c r="N80" i="1" s="1"/>
  <c r="AL85" i="1"/>
  <c r="T85" i="1"/>
  <c r="O88" i="1"/>
  <c r="L88" i="1"/>
  <c r="K88" i="1"/>
  <c r="J88" i="1"/>
  <c r="I88" i="1" s="1"/>
  <c r="U92" i="1"/>
  <c r="V92" i="1" s="1"/>
  <c r="AL93" i="1"/>
  <c r="T93" i="1"/>
  <c r="AB95" i="1"/>
  <c r="R95" i="1"/>
  <c r="P95" i="1" s="1"/>
  <c r="S95" i="1" s="1"/>
  <c r="L58" i="1"/>
  <c r="J58" i="1"/>
  <c r="I58" i="1" s="1"/>
  <c r="O58" i="1"/>
  <c r="J85" i="1"/>
  <c r="I85" i="1" s="1"/>
  <c r="AI85" i="1"/>
  <c r="O85" i="1"/>
  <c r="L85" i="1"/>
  <c r="K18" i="1"/>
  <c r="K22" i="1"/>
  <c r="K26" i="1"/>
  <c r="K30" i="1"/>
  <c r="K34" i="1"/>
  <c r="K38" i="1"/>
  <c r="K42" i="1"/>
  <c r="K46" i="1"/>
  <c r="AI49" i="1"/>
  <c r="K50" i="1"/>
  <c r="AI53" i="1"/>
  <c r="K54" i="1"/>
  <c r="O56" i="1"/>
  <c r="AI56" i="1"/>
  <c r="K57" i="1"/>
  <c r="L67" i="1"/>
  <c r="K67" i="1"/>
  <c r="J67" i="1"/>
  <c r="I67" i="1" s="1"/>
  <c r="AI67" i="1"/>
  <c r="AL69" i="1"/>
  <c r="T69" i="1"/>
  <c r="O71" i="1"/>
  <c r="U76" i="1"/>
  <c r="V76" i="1" s="1"/>
  <c r="R76" i="1" s="1"/>
  <c r="P76" i="1" s="1"/>
  <c r="S76" i="1" s="1"/>
  <c r="M76" i="1" s="1"/>
  <c r="N76" i="1" s="1"/>
  <c r="AB76" i="1"/>
  <c r="K85" i="1"/>
  <c r="AD95" i="1"/>
  <c r="AC95" i="1"/>
  <c r="L96" i="1"/>
  <c r="K96" i="1"/>
  <c r="O96" i="1"/>
  <c r="AI96" i="1"/>
  <c r="AB101" i="1"/>
  <c r="AL73" i="1"/>
  <c r="T73" i="1"/>
  <c r="J93" i="1"/>
  <c r="I93" i="1" s="1"/>
  <c r="AI93" i="1"/>
  <c r="O93" i="1"/>
  <c r="L93" i="1"/>
  <c r="L18" i="1"/>
  <c r="T18" i="1"/>
  <c r="L22" i="1"/>
  <c r="T22" i="1"/>
  <c r="L26" i="1"/>
  <c r="T26" i="1"/>
  <c r="L30" i="1"/>
  <c r="T30" i="1"/>
  <c r="L34" i="1"/>
  <c r="T34" i="1"/>
  <c r="L38" i="1"/>
  <c r="T38" i="1"/>
  <c r="L42" i="1"/>
  <c r="T42" i="1"/>
  <c r="L46" i="1"/>
  <c r="T46" i="1"/>
  <c r="J49" i="1"/>
  <c r="I49" i="1" s="1"/>
  <c r="L50" i="1"/>
  <c r="T50" i="1"/>
  <c r="J53" i="1"/>
  <c r="I53" i="1" s="1"/>
  <c r="L54" i="1"/>
  <c r="T54" i="1"/>
  <c r="AL58" i="1"/>
  <c r="T58" i="1"/>
  <c r="K69" i="1"/>
  <c r="AL82" i="1"/>
  <c r="L91" i="1"/>
  <c r="K91" i="1"/>
  <c r="J91" i="1"/>
  <c r="I91" i="1" s="1"/>
  <c r="AI91" i="1"/>
  <c r="AB109" i="1"/>
  <c r="AL65" i="1"/>
  <c r="T65" i="1"/>
  <c r="O57" i="1"/>
  <c r="L59" i="1"/>
  <c r="AI59" i="1"/>
  <c r="O67" i="1"/>
  <c r="L83" i="1"/>
  <c r="K83" i="1"/>
  <c r="J83" i="1"/>
  <c r="I83" i="1" s="1"/>
  <c r="AI83" i="1"/>
  <c r="J89" i="1"/>
  <c r="I89" i="1" s="1"/>
  <c r="AI89" i="1"/>
  <c r="O89" i="1"/>
  <c r="L89" i="1"/>
  <c r="W95" i="1"/>
  <c r="AA95" i="1" s="1"/>
  <c r="AI105" i="1"/>
  <c r="O105" i="1"/>
  <c r="L105" i="1"/>
  <c r="K105" i="1"/>
  <c r="J105" i="1"/>
  <c r="I105" i="1" s="1"/>
  <c r="T17" i="1"/>
  <c r="T21" i="1"/>
  <c r="J24" i="1"/>
  <c r="I24" i="1" s="1"/>
  <c r="T25" i="1"/>
  <c r="J28" i="1"/>
  <c r="I28" i="1" s="1"/>
  <c r="T29" i="1"/>
  <c r="J32" i="1"/>
  <c r="I32" i="1" s="1"/>
  <c r="T33" i="1"/>
  <c r="J36" i="1"/>
  <c r="I36" i="1" s="1"/>
  <c r="T37" i="1"/>
  <c r="J40" i="1"/>
  <c r="I40" i="1" s="1"/>
  <c r="T41" i="1"/>
  <c r="J44" i="1"/>
  <c r="I44" i="1" s="1"/>
  <c r="T45" i="1"/>
  <c r="J48" i="1"/>
  <c r="I48" i="1" s="1"/>
  <c r="T49" i="1"/>
  <c r="J52" i="1"/>
  <c r="I52" i="1" s="1"/>
  <c r="T53" i="1"/>
  <c r="J56" i="1"/>
  <c r="I56" i="1" s="1"/>
  <c r="K58" i="1"/>
  <c r="AL59" i="1"/>
  <c r="T59" i="1"/>
  <c r="K65" i="1"/>
  <c r="L79" i="1"/>
  <c r="K79" i="1"/>
  <c r="J79" i="1"/>
  <c r="I79" i="1" s="1"/>
  <c r="AI79" i="1"/>
  <c r="AC80" i="1"/>
  <c r="J81" i="1"/>
  <c r="I81" i="1" s="1"/>
  <c r="AI81" i="1"/>
  <c r="O81" i="1"/>
  <c r="L81" i="1"/>
  <c r="U88" i="1"/>
  <c r="V88" i="1" s="1"/>
  <c r="AC88" i="1" s="1"/>
  <c r="AL89" i="1"/>
  <c r="T89" i="1"/>
  <c r="O91" i="1"/>
  <c r="O92" i="1"/>
  <c r="L92" i="1"/>
  <c r="K92" i="1"/>
  <c r="J92" i="1"/>
  <c r="I92" i="1" s="1"/>
  <c r="J96" i="1"/>
  <c r="I96" i="1" s="1"/>
  <c r="J59" i="1"/>
  <c r="I59" i="1" s="1"/>
  <c r="J61" i="1"/>
  <c r="I61" i="1" s="1"/>
  <c r="L61" i="1"/>
  <c r="L63" i="1"/>
  <c r="J63" i="1"/>
  <c r="I63" i="1" s="1"/>
  <c r="AI63" i="1"/>
  <c r="O65" i="1"/>
  <c r="L75" i="1"/>
  <c r="K75" i="1"/>
  <c r="J75" i="1"/>
  <c r="I75" i="1" s="1"/>
  <c r="AI75" i="1"/>
  <c r="AC76" i="1"/>
  <c r="J77" i="1"/>
  <c r="I77" i="1" s="1"/>
  <c r="AI77" i="1"/>
  <c r="O77" i="1"/>
  <c r="L77" i="1"/>
  <c r="AL81" i="1"/>
  <c r="T81" i="1"/>
  <c r="O83" i="1"/>
  <c r="O84" i="1"/>
  <c r="L84" i="1"/>
  <c r="K84" i="1"/>
  <c r="J84" i="1"/>
  <c r="I84" i="1" s="1"/>
  <c r="AL86" i="1"/>
  <c r="K89" i="1"/>
  <c r="AL94" i="1"/>
  <c r="AI101" i="1"/>
  <c r="O101" i="1"/>
  <c r="L101" i="1"/>
  <c r="K101" i="1"/>
  <c r="O112" i="1"/>
  <c r="L112" i="1"/>
  <c r="K112" i="1"/>
  <c r="J112" i="1"/>
  <c r="I112" i="1" s="1"/>
  <c r="AI112" i="1"/>
  <c r="AI57" i="1"/>
  <c r="X59" i="1"/>
  <c r="AL61" i="1"/>
  <c r="T61" i="1"/>
  <c r="AL62" i="1"/>
  <c r="T62" i="1"/>
  <c r="AL63" i="1"/>
  <c r="T63" i="1"/>
  <c r="J65" i="1"/>
  <c r="I65" i="1" s="1"/>
  <c r="L65" i="1"/>
  <c r="AL70" i="1"/>
  <c r="J73" i="1"/>
  <c r="I73" i="1" s="1"/>
  <c r="AI73" i="1"/>
  <c r="O73" i="1"/>
  <c r="L73" i="1"/>
  <c r="AL77" i="1"/>
  <c r="T77" i="1"/>
  <c r="L87" i="1"/>
  <c r="K87" i="1"/>
  <c r="J87" i="1"/>
  <c r="I87" i="1" s="1"/>
  <c r="AI87" i="1"/>
  <c r="AE95" i="1"/>
  <c r="J60" i="1"/>
  <c r="I60" i="1" s="1"/>
  <c r="J64" i="1"/>
  <c r="I64" i="1" s="1"/>
  <c r="J68" i="1"/>
  <c r="I68" i="1" s="1"/>
  <c r="J72" i="1"/>
  <c r="I72" i="1" s="1"/>
  <c r="AI97" i="1"/>
  <c r="O97" i="1"/>
  <c r="L97" i="1"/>
  <c r="K98" i="1"/>
  <c r="AI98" i="1"/>
  <c r="O98" i="1"/>
  <c r="U113" i="1"/>
  <c r="V113" i="1" s="1"/>
  <c r="J124" i="1"/>
  <c r="I124" i="1" s="1"/>
  <c r="AI124" i="1"/>
  <c r="L124" i="1"/>
  <c r="O124" i="1"/>
  <c r="K124" i="1"/>
  <c r="O62" i="1"/>
  <c r="O66" i="1"/>
  <c r="O70" i="1"/>
  <c r="O74" i="1"/>
  <c r="O78" i="1"/>
  <c r="O82" i="1"/>
  <c r="O86" i="1"/>
  <c r="O90" i="1"/>
  <c r="O94" i="1"/>
  <c r="O100" i="1"/>
  <c r="L100" i="1"/>
  <c r="K100" i="1"/>
  <c r="J100" i="1"/>
  <c r="I100" i="1" s="1"/>
  <c r="U104" i="1"/>
  <c r="V104" i="1" s="1"/>
  <c r="K106" i="1"/>
  <c r="J106" i="1"/>
  <c r="I106" i="1" s="1"/>
  <c r="AI106" i="1"/>
  <c r="O106" i="1"/>
  <c r="AL116" i="1"/>
  <c r="AL123" i="1"/>
  <c r="AL97" i="1"/>
  <c r="T97" i="1"/>
  <c r="U102" i="1"/>
  <c r="V102" i="1" s="1"/>
  <c r="R102" i="1" s="1"/>
  <c r="P102" i="1" s="1"/>
  <c r="S102" i="1" s="1"/>
  <c r="M102" i="1" s="1"/>
  <c r="N102" i="1" s="1"/>
  <c r="O108" i="1"/>
  <c r="L108" i="1"/>
  <c r="K108" i="1"/>
  <c r="J108" i="1"/>
  <c r="I108" i="1" s="1"/>
  <c r="AI108" i="1"/>
  <c r="U110" i="1"/>
  <c r="V110" i="1" s="1"/>
  <c r="AI86" i="1"/>
  <c r="AI90" i="1"/>
  <c r="AI94" i="1"/>
  <c r="K95" i="1"/>
  <c r="AL95" i="1"/>
  <c r="L106" i="1"/>
  <c r="U112" i="1"/>
  <c r="V112" i="1" s="1"/>
  <c r="J62" i="1"/>
  <c r="I62" i="1" s="1"/>
  <c r="J66" i="1"/>
  <c r="I66" i="1" s="1"/>
  <c r="T67" i="1"/>
  <c r="J70" i="1"/>
  <c r="I70" i="1" s="1"/>
  <c r="T71" i="1"/>
  <c r="J74" i="1"/>
  <c r="I74" i="1" s="1"/>
  <c r="T75" i="1"/>
  <c r="J78" i="1"/>
  <c r="I78" i="1" s="1"/>
  <c r="T79" i="1"/>
  <c r="J82" i="1"/>
  <c r="I82" i="1" s="1"/>
  <c r="T83" i="1"/>
  <c r="J86" i="1"/>
  <c r="I86" i="1" s="1"/>
  <c r="T87" i="1"/>
  <c r="J90" i="1"/>
  <c r="I90" i="1" s="1"/>
  <c r="T91" i="1"/>
  <c r="J94" i="1"/>
  <c r="I94" i="1" s="1"/>
  <c r="L95" i="1"/>
  <c r="O104" i="1"/>
  <c r="L104" i="1"/>
  <c r="K104" i="1"/>
  <c r="J104" i="1"/>
  <c r="I104" i="1" s="1"/>
  <c r="AI104" i="1"/>
  <c r="AI109" i="1"/>
  <c r="O109" i="1"/>
  <c r="L109" i="1"/>
  <c r="K109" i="1"/>
  <c r="R113" i="1"/>
  <c r="P113" i="1" s="1"/>
  <c r="S113" i="1" s="1"/>
  <c r="M113" i="1" s="1"/>
  <c r="N113" i="1" s="1"/>
  <c r="AB113" i="1"/>
  <c r="L118" i="1"/>
  <c r="O118" i="1"/>
  <c r="AI118" i="1"/>
  <c r="K118" i="1"/>
  <c r="J118" i="1"/>
  <c r="I118" i="1" s="1"/>
  <c r="O119" i="1"/>
  <c r="L119" i="1"/>
  <c r="AI119" i="1"/>
  <c r="K119" i="1"/>
  <c r="J119" i="1"/>
  <c r="I119" i="1" s="1"/>
  <c r="AB122" i="1"/>
  <c r="O135" i="1"/>
  <c r="L135" i="1"/>
  <c r="K135" i="1"/>
  <c r="J135" i="1"/>
  <c r="I135" i="1" s="1"/>
  <c r="AI135" i="1"/>
  <c r="J98" i="1"/>
  <c r="I98" i="1" s="1"/>
  <c r="U98" i="1" s="1"/>
  <c r="V98" i="1" s="1"/>
  <c r="U106" i="1"/>
  <c r="V106" i="1" s="1"/>
  <c r="O127" i="1"/>
  <c r="L127" i="1"/>
  <c r="K127" i="1"/>
  <c r="J127" i="1"/>
  <c r="I127" i="1" s="1"/>
  <c r="AI127" i="1"/>
  <c r="T70" i="1"/>
  <c r="T74" i="1"/>
  <c r="T78" i="1"/>
  <c r="T82" i="1"/>
  <c r="T86" i="1"/>
  <c r="T90" i="1"/>
  <c r="T94" i="1"/>
  <c r="J97" i="1"/>
  <c r="I97" i="1" s="1"/>
  <c r="L98" i="1"/>
  <c r="K102" i="1"/>
  <c r="AI102" i="1"/>
  <c r="O102" i="1"/>
  <c r="K110" i="1"/>
  <c r="J110" i="1"/>
  <c r="I110" i="1" s="1"/>
  <c r="AI110" i="1"/>
  <c r="O110" i="1"/>
  <c r="L114" i="1"/>
  <c r="O114" i="1"/>
  <c r="AI114" i="1"/>
  <c r="K114" i="1"/>
  <c r="J114" i="1"/>
  <c r="I114" i="1" s="1"/>
  <c r="U120" i="1"/>
  <c r="V120" i="1" s="1"/>
  <c r="L130" i="1"/>
  <c r="K130" i="1"/>
  <c r="J130" i="1"/>
  <c r="I130" i="1" s="1"/>
  <c r="AI130" i="1"/>
  <c r="O130" i="1"/>
  <c r="AL124" i="1"/>
  <c r="T124" i="1"/>
  <c r="O131" i="1"/>
  <c r="L131" i="1"/>
  <c r="K131" i="1"/>
  <c r="J131" i="1"/>
  <c r="I131" i="1" s="1"/>
  <c r="J136" i="1"/>
  <c r="I136" i="1" s="1"/>
  <c r="K136" i="1"/>
  <c r="O136" i="1"/>
  <c r="AI136" i="1"/>
  <c r="AB138" i="1"/>
  <c r="AB158" i="1"/>
  <c r="T101" i="1"/>
  <c r="T105" i="1"/>
  <c r="T109" i="1"/>
  <c r="T116" i="1"/>
  <c r="J120" i="1"/>
  <c r="I120" i="1" s="1"/>
  <c r="J128" i="1"/>
  <c r="I128" i="1" s="1"/>
  <c r="AI128" i="1"/>
  <c r="O128" i="1"/>
  <c r="L128" i="1"/>
  <c r="AI99" i="1"/>
  <c r="AI103" i="1"/>
  <c r="AI107" i="1"/>
  <c r="AI111" i="1"/>
  <c r="K115" i="1"/>
  <c r="U115" i="1"/>
  <c r="V115" i="1" s="1"/>
  <c r="AI115" i="1"/>
  <c r="L116" i="1"/>
  <c r="T119" i="1"/>
  <c r="K120" i="1"/>
  <c r="AL122" i="1"/>
  <c r="T122" i="1"/>
  <c r="L126" i="1"/>
  <c r="J126" i="1"/>
  <c r="I126" i="1" s="1"/>
  <c r="AI126" i="1"/>
  <c r="AL128" i="1"/>
  <c r="T128" i="1"/>
  <c r="J132" i="1"/>
  <c r="I132" i="1" s="1"/>
  <c r="AI132" i="1"/>
  <c r="O132" i="1"/>
  <c r="L132" i="1"/>
  <c r="AL144" i="1"/>
  <c r="T144" i="1"/>
  <c r="J99" i="1"/>
  <c r="I99" i="1" s="1"/>
  <c r="J103" i="1"/>
  <c r="I103" i="1" s="1"/>
  <c r="J107" i="1"/>
  <c r="I107" i="1" s="1"/>
  <c r="U107" i="1" s="1"/>
  <c r="V107" i="1" s="1"/>
  <c r="J111" i="1"/>
  <c r="I111" i="1" s="1"/>
  <c r="U111" i="1" s="1"/>
  <c r="V111" i="1" s="1"/>
  <c r="L115" i="1"/>
  <c r="K117" i="1"/>
  <c r="J117" i="1"/>
  <c r="I117" i="1" s="1"/>
  <c r="L120" i="1"/>
  <c r="AL126" i="1"/>
  <c r="T126" i="1"/>
  <c r="AL132" i="1"/>
  <c r="T132" i="1"/>
  <c r="L136" i="1"/>
  <c r="U138" i="1"/>
  <c r="V138" i="1" s="1"/>
  <c r="AI117" i="1"/>
  <c r="X122" i="1"/>
  <c r="U123" i="1"/>
  <c r="V123" i="1" s="1"/>
  <c r="U155" i="1"/>
  <c r="V155" i="1" s="1"/>
  <c r="AL114" i="1"/>
  <c r="T114" i="1"/>
  <c r="L143" i="1"/>
  <c r="K143" i="1"/>
  <c r="J143" i="1"/>
  <c r="I143" i="1" s="1"/>
  <c r="O143" i="1"/>
  <c r="AI143" i="1"/>
  <c r="AL118" i="1"/>
  <c r="T118" i="1"/>
  <c r="O120" i="1"/>
  <c r="AL120" i="1"/>
  <c r="L121" i="1"/>
  <c r="K121" i="1"/>
  <c r="J121" i="1"/>
  <c r="I121" i="1" s="1"/>
  <c r="K122" i="1"/>
  <c r="AB137" i="1"/>
  <c r="J123" i="1"/>
  <c r="I123" i="1" s="1"/>
  <c r="K137" i="1"/>
  <c r="AI137" i="1"/>
  <c r="AB175" i="1"/>
  <c r="T187" i="1"/>
  <c r="AL187" i="1"/>
  <c r="O125" i="1"/>
  <c r="O129" i="1"/>
  <c r="AB146" i="1"/>
  <c r="AB154" i="1"/>
  <c r="AL158" i="1"/>
  <c r="T158" i="1"/>
  <c r="T131" i="1"/>
  <c r="T135" i="1"/>
  <c r="X137" i="1"/>
  <c r="AL137" i="1"/>
  <c r="T137" i="1"/>
  <c r="AB142" i="1"/>
  <c r="O145" i="1"/>
  <c r="L145" i="1"/>
  <c r="K145" i="1"/>
  <c r="J145" i="1"/>
  <c r="I145" i="1" s="1"/>
  <c r="U151" i="1"/>
  <c r="V151" i="1" s="1"/>
  <c r="O157" i="1"/>
  <c r="L157" i="1"/>
  <c r="K157" i="1"/>
  <c r="J157" i="1"/>
  <c r="I157" i="1" s="1"/>
  <c r="T160" i="1"/>
  <c r="AL160" i="1"/>
  <c r="O178" i="1"/>
  <c r="L178" i="1"/>
  <c r="K178" i="1"/>
  <c r="J178" i="1"/>
  <c r="I178" i="1" s="1"/>
  <c r="AI178" i="1"/>
  <c r="O141" i="1"/>
  <c r="L141" i="1"/>
  <c r="J141" i="1"/>
  <c r="I141" i="1" s="1"/>
  <c r="AL146" i="1"/>
  <c r="T146" i="1"/>
  <c r="AB150" i="1"/>
  <c r="AL154" i="1"/>
  <c r="T154" i="1"/>
  <c r="L194" i="1"/>
  <c r="K194" i="1"/>
  <c r="J194" i="1"/>
  <c r="I194" i="1" s="1"/>
  <c r="AI194" i="1"/>
  <c r="O194" i="1"/>
  <c r="J125" i="1"/>
  <c r="I125" i="1" s="1"/>
  <c r="J129" i="1"/>
  <c r="I129" i="1" s="1"/>
  <c r="T130" i="1"/>
  <c r="J133" i="1"/>
  <c r="I133" i="1" s="1"/>
  <c r="T134" i="1"/>
  <c r="L139" i="1"/>
  <c r="K139" i="1"/>
  <c r="J139" i="1"/>
  <c r="I139" i="1" s="1"/>
  <c r="AL142" i="1"/>
  <c r="T142" i="1"/>
  <c r="O153" i="1"/>
  <c r="L153" i="1"/>
  <c r="K153" i="1"/>
  <c r="J153" i="1"/>
  <c r="I153" i="1" s="1"/>
  <c r="L155" i="1"/>
  <c r="K155" i="1"/>
  <c r="J155" i="1"/>
  <c r="I155" i="1" s="1"/>
  <c r="AI155" i="1"/>
  <c r="O155" i="1"/>
  <c r="AI167" i="1"/>
  <c r="O167" i="1"/>
  <c r="L167" i="1"/>
  <c r="K167" i="1"/>
  <c r="J167" i="1"/>
  <c r="I167" i="1" s="1"/>
  <c r="O182" i="1"/>
  <c r="L182" i="1"/>
  <c r="K182" i="1"/>
  <c r="J182" i="1"/>
  <c r="I182" i="1" s="1"/>
  <c r="AI182" i="1"/>
  <c r="K125" i="1"/>
  <c r="K129" i="1"/>
  <c r="K133" i="1"/>
  <c r="AL139" i="1"/>
  <c r="AL140" i="1"/>
  <c r="T140" i="1"/>
  <c r="AL150" i="1"/>
  <c r="T150" i="1"/>
  <c r="K176" i="1"/>
  <c r="J176" i="1"/>
  <c r="I176" i="1" s="1"/>
  <c r="AI176" i="1"/>
  <c r="O176" i="1"/>
  <c r="L176" i="1"/>
  <c r="L147" i="1"/>
  <c r="K147" i="1"/>
  <c r="J147" i="1"/>
  <c r="I147" i="1" s="1"/>
  <c r="O147" i="1"/>
  <c r="O149" i="1"/>
  <c r="L149" i="1"/>
  <c r="K149" i="1"/>
  <c r="J149" i="1"/>
  <c r="I149" i="1" s="1"/>
  <c r="L151" i="1"/>
  <c r="K151" i="1"/>
  <c r="J151" i="1"/>
  <c r="I151" i="1" s="1"/>
  <c r="AI151" i="1"/>
  <c r="O151" i="1"/>
  <c r="AI163" i="1"/>
  <c r="O163" i="1"/>
  <c r="L163" i="1"/>
  <c r="K163" i="1"/>
  <c r="AI171" i="1"/>
  <c r="O171" i="1"/>
  <c r="L171" i="1"/>
  <c r="K171" i="1"/>
  <c r="U177" i="1"/>
  <c r="V177" i="1" s="1"/>
  <c r="U181" i="1"/>
  <c r="V181" i="1" s="1"/>
  <c r="AI148" i="1"/>
  <c r="AI152" i="1"/>
  <c r="AI156" i="1"/>
  <c r="AC164" i="1"/>
  <c r="K168" i="1"/>
  <c r="J168" i="1"/>
  <c r="I168" i="1" s="1"/>
  <c r="AI168" i="1"/>
  <c r="O168" i="1"/>
  <c r="AI179" i="1"/>
  <c r="O179" i="1"/>
  <c r="L179" i="1"/>
  <c r="K179" i="1"/>
  <c r="U180" i="1"/>
  <c r="V180" i="1" s="1"/>
  <c r="J140" i="1"/>
  <c r="I140" i="1" s="1"/>
  <c r="T141" i="1"/>
  <c r="J144" i="1"/>
  <c r="I144" i="1" s="1"/>
  <c r="T145" i="1"/>
  <c r="J148" i="1"/>
  <c r="I148" i="1" s="1"/>
  <c r="T149" i="1"/>
  <c r="J152" i="1"/>
  <c r="I152" i="1" s="1"/>
  <c r="T153" i="1"/>
  <c r="J156" i="1"/>
  <c r="I156" i="1" s="1"/>
  <c r="T157" i="1"/>
  <c r="U164" i="1"/>
  <c r="V164" i="1" s="1"/>
  <c r="R164" i="1" s="1"/>
  <c r="P164" i="1" s="1"/>
  <c r="S164" i="1" s="1"/>
  <c r="M164" i="1" s="1"/>
  <c r="N164" i="1" s="1"/>
  <c r="K172" i="1"/>
  <c r="J172" i="1"/>
  <c r="I172" i="1" s="1"/>
  <c r="AI172" i="1"/>
  <c r="O172" i="1"/>
  <c r="O174" i="1"/>
  <c r="L174" i="1"/>
  <c r="K174" i="1"/>
  <c r="J174" i="1"/>
  <c r="I174" i="1" s="1"/>
  <c r="AI174" i="1"/>
  <c r="X175" i="1"/>
  <c r="U176" i="1"/>
  <c r="V176" i="1" s="1"/>
  <c r="U183" i="1"/>
  <c r="V183" i="1" s="1"/>
  <c r="L201" i="1"/>
  <c r="K201" i="1"/>
  <c r="J201" i="1"/>
  <c r="I201" i="1" s="1"/>
  <c r="AI201" i="1"/>
  <c r="O201" i="1"/>
  <c r="J163" i="1"/>
  <c r="I163" i="1" s="1"/>
  <c r="L165" i="1"/>
  <c r="K165" i="1"/>
  <c r="J165" i="1"/>
  <c r="I165" i="1" s="1"/>
  <c r="AI165" i="1"/>
  <c r="O165" i="1"/>
  <c r="L168" i="1"/>
  <c r="J171" i="1"/>
  <c r="I171" i="1" s="1"/>
  <c r="U182" i="1"/>
  <c r="V182" i="1" s="1"/>
  <c r="T148" i="1"/>
  <c r="T152" i="1"/>
  <c r="T156" i="1"/>
  <c r="L169" i="1"/>
  <c r="K169" i="1"/>
  <c r="J169" i="1"/>
  <c r="I169" i="1" s="1"/>
  <c r="AI169" i="1"/>
  <c r="O169" i="1"/>
  <c r="AI175" i="1"/>
  <c r="O175" i="1"/>
  <c r="L175" i="1"/>
  <c r="K175" i="1"/>
  <c r="J179" i="1"/>
  <c r="I179" i="1" s="1"/>
  <c r="AL196" i="1"/>
  <c r="T196" i="1"/>
  <c r="AI142" i="1"/>
  <c r="AI146" i="1"/>
  <c r="AI150" i="1"/>
  <c r="AI154" i="1"/>
  <c r="AI158" i="1"/>
  <c r="L161" i="1"/>
  <c r="K161" i="1"/>
  <c r="J161" i="1"/>
  <c r="I161" i="1" s="1"/>
  <c r="AI161" i="1"/>
  <c r="O161" i="1"/>
  <c r="O166" i="1"/>
  <c r="L166" i="1"/>
  <c r="K166" i="1"/>
  <c r="J166" i="1"/>
  <c r="I166" i="1" s="1"/>
  <c r="AI166" i="1"/>
  <c r="X167" i="1"/>
  <c r="U168" i="1"/>
  <c r="V168" i="1" s="1"/>
  <c r="T139" i="1"/>
  <c r="T143" i="1"/>
  <c r="T159" i="1"/>
  <c r="J160" i="1"/>
  <c r="I160" i="1" s="1"/>
  <c r="AI160" i="1"/>
  <c r="O162" i="1"/>
  <c r="L162" i="1"/>
  <c r="K162" i="1"/>
  <c r="J162" i="1"/>
  <c r="I162" i="1" s="1"/>
  <c r="AI162" i="1"/>
  <c r="X163" i="1"/>
  <c r="O170" i="1"/>
  <c r="L170" i="1"/>
  <c r="K170" i="1"/>
  <c r="J170" i="1"/>
  <c r="I170" i="1" s="1"/>
  <c r="U170" i="1" s="1"/>
  <c r="V170" i="1" s="1"/>
  <c r="AI170" i="1"/>
  <c r="X171" i="1"/>
  <c r="R180" i="1"/>
  <c r="P180" i="1" s="1"/>
  <c r="S180" i="1" s="1"/>
  <c r="M180" i="1" s="1"/>
  <c r="N180" i="1" s="1"/>
  <c r="W191" i="1"/>
  <c r="AA191" i="1" s="1"/>
  <c r="AD191" i="1"/>
  <c r="AE191" i="1" s="1"/>
  <c r="J192" i="1"/>
  <c r="I192" i="1" s="1"/>
  <c r="AI192" i="1"/>
  <c r="O192" i="1"/>
  <c r="L192" i="1"/>
  <c r="AB206" i="1"/>
  <c r="AB213" i="1"/>
  <c r="T163" i="1"/>
  <c r="T167" i="1"/>
  <c r="T171" i="1"/>
  <c r="T175" i="1"/>
  <c r="T179" i="1"/>
  <c r="U185" i="1"/>
  <c r="V185" i="1" s="1"/>
  <c r="J186" i="1"/>
  <c r="I186" i="1" s="1"/>
  <c r="AL186" i="1"/>
  <c r="T186" i="1"/>
  <c r="J188" i="1"/>
  <c r="I188" i="1" s="1"/>
  <c r="L188" i="1"/>
  <c r="AB191" i="1"/>
  <c r="R191" i="1"/>
  <c r="P191" i="1" s="1"/>
  <c r="S191" i="1" s="1"/>
  <c r="M191" i="1" s="1"/>
  <c r="N191" i="1" s="1"/>
  <c r="AL192" i="1"/>
  <c r="T192" i="1"/>
  <c r="AI173" i="1"/>
  <c r="AI177" i="1"/>
  <c r="AI181" i="1"/>
  <c r="K186" i="1"/>
  <c r="X186" i="1"/>
  <c r="AL188" i="1"/>
  <c r="T188" i="1"/>
  <c r="K192" i="1"/>
  <c r="AB202" i="1"/>
  <c r="T162" i="1"/>
  <c r="J173" i="1"/>
  <c r="I173" i="1" s="1"/>
  <c r="U173" i="1" s="1"/>
  <c r="V173" i="1" s="1"/>
  <c r="J177" i="1"/>
  <c r="I177" i="1" s="1"/>
  <c r="J181" i="1"/>
  <c r="I181" i="1" s="1"/>
  <c r="AC191" i="1"/>
  <c r="J200" i="1"/>
  <c r="I200" i="1" s="1"/>
  <c r="AI200" i="1"/>
  <c r="O200" i="1"/>
  <c r="L200" i="1"/>
  <c r="T202" i="1"/>
  <c r="AL202" i="1"/>
  <c r="K173" i="1"/>
  <c r="K177" i="1"/>
  <c r="AI180" i="1"/>
  <c r="K181" i="1"/>
  <c r="O185" i="1"/>
  <c r="O186" i="1"/>
  <c r="K188" i="1"/>
  <c r="L198" i="1"/>
  <c r="K198" i="1"/>
  <c r="J198" i="1"/>
  <c r="I198" i="1" s="1"/>
  <c r="AI198" i="1"/>
  <c r="AL200" i="1"/>
  <c r="T200" i="1"/>
  <c r="L204" i="1"/>
  <c r="J204" i="1"/>
  <c r="I204" i="1" s="1"/>
  <c r="O204" i="1"/>
  <c r="AI204" i="1"/>
  <c r="K204" i="1"/>
  <c r="AB207" i="1"/>
  <c r="AL211" i="1"/>
  <c r="T211" i="1"/>
  <c r="L213" i="1"/>
  <c r="K213" i="1"/>
  <c r="AI213" i="1"/>
  <c r="O213" i="1"/>
  <c r="T161" i="1"/>
  <c r="T165" i="1"/>
  <c r="X184" i="1"/>
  <c r="AL184" i="1"/>
  <c r="T184" i="1"/>
  <c r="AL185" i="1"/>
  <c r="L190" i="1"/>
  <c r="J190" i="1"/>
  <c r="I190" i="1" s="1"/>
  <c r="AI190" i="1"/>
  <c r="K200" i="1"/>
  <c r="AB209" i="1"/>
  <c r="L224" i="1"/>
  <c r="K224" i="1"/>
  <c r="J224" i="1"/>
  <c r="I224" i="1" s="1"/>
  <c r="AI224" i="1"/>
  <c r="O224" i="1"/>
  <c r="R183" i="1"/>
  <c r="P183" i="1" s="1"/>
  <c r="S183" i="1" s="1"/>
  <c r="M183" i="1" s="1"/>
  <c r="N183" i="1" s="1"/>
  <c r="AL190" i="1"/>
  <c r="T190" i="1"/>
  <c r="AL193" i="1"/>
  <c r="J196" i="1"/>
  <c r="I196" i="1" s="1"/>
  <c r="AI196" i="1"/>
  <c r="O196" i="1"/>
  <c r="L196" i="1"/>
  <c r="O198" i="1"/>
  <c r="J195" i="1"/>
  <c r="I195" i="1" s="1"/>
  <c r="J199" i="1"/>
  <c r="I199" i="1" s="1"/>
  <c r="T206" i="1"/>
  <c r="L209" i="1"/>
  <c r="K209" i="1"/>
  <c r="AI209" i="1"/>
  <c r="L220" i="1"/>
  <c r="K220" i="1"/>
  <c r="J220" i="1"/>
  <c r="I220" i="1" s="1"/>
  <c r="AI220" i="1"/>
  <c r="O220" i="1"/>
  <c r="O226" i="1"/>
  <c r="K226" i="1"/>
  <c r="J226" i="1"/>
  <c r="I226" i="1" s="1"/>
  <c r="U226" i="1" s="1"/>
  <c r="V226" i="1" s="1"/>
  <c r="O193" i="1"/>
  <c r="O197" i="1"/>
  <c r="O205" i="1"/>
  <c r="AI206" i="1"/>
  <c r="L216" i="1"/>
  <c r="K216" i="1"/>
  <c r="J216" i="1"/>
  <c r="I216" i="1" s="1"/>
  <c r="AI216" i="1"/>
  <c r="O216" i="1"/>
  <c r="O222" i="1"/>
  <c r="K222" i="1"/>
  <c r="J222" i="1"/>
  <c r="I222" i="1" s="1"/>
  <c r="AB223" i="1"/>
  <c r="AL224" i="1"/>
  <c r="AB227" i="1"/>
  <c r="AL204" i="1"/>
  <c r="T204" i="1"/>
  <c r="L208" i="1"/>
  <c r="K208" i="1"/>
  <c r="J208" i="1"/>
  <c r="I208" i="1" s="1"/>
  <c r="AI208" i="1"/>
  <c r="L212" i="1"/>
  <c r="K212" i="1"/>
  <c r="J212" i="1"/>
  <c r="I212" i="1" s="1"/>
  <c r="AI212" i="1"/>
  <c r="O212" i="1"/>
  <c r="O218" i="1"/>
  <c r="K218" i="1"/>
  <c r="J218" i="1"/>
  <c r="I218" i="1" s="1"/>
  <c r="AB219" i="1"/>
  <c r="AL220" i="1"/>
  <c r="X221" i="1"/>
  <c r="AL207" i="1"/>
  <c r="T207" i="1"/>
  <c r="O214" i="1"/>
  <c r="K214" i="1"/>
  <c r="J214" i="1"/>
  <c r="I214" i="1" s="1"/>
  <c r="U214" i="1" s="1"/>
  <c r="V214" i="1" s="1"/>
  <c r="AB215" i="1"/>
  <c r="AL227" i="1"/>
  <c r="T227" i="1"/>
  <c r="L229" i="1"/>
  <c r="K229" i="1"/>
  <c r="AI229" i="1"/>
  <c r="J189" i="1"/>
  <c r="I189" i="1" s="1"/>
  <c r="J193" i="1"/>
  <c r="I193" i="1" s="1"/>
  <c r="T194" i="1"/>
  <c r="J197" i="1"/>
  <c r="I197" i="1" s="1"/>
  <c r="T198" i="1"/>
  <c r="T203" i="1"/>
  <c r="AB203" i="1"/>
  <c r="AI205" i="1"/>
  <c r="O210" i="1"/>
  <c r="K210" i="1"/>
  <c r="J210" i="1"/>
  <c r="I210" i="1" s="1"/>
  <c r="AB211" i="1"/>
  <c r="L214" i="1"/>
  <c r="U222" i="1"/>
  <c r="V222" i="1" s="1"/>
  <c r="AL223" i="1"/>
  <c r="T223" i="1"/>
  <c r="L225" i="1"/>
  <c r="K225" i="1"/>
  <c r="AI225" i="1"/>
  <c r="O229" i="1"/>
  <c r="K197" i="1"/>
  <c r="O206" i="1"/>
  <c r="X209" i="1"/>
  <c r="L210" i="1"/>
  <c r="AL219" i="1"/>
  <c r="T219" i="1"/>
  <c r="L221" i="1"/>
  <c r="K221" i="1"/>
  <c r="AI221" i="1"/>
  <c r="O225" i="1"/>
  <c r="T189" i="1"/>
  <c r="T193" i="1"/>
  <c r="T197" i="1"/>
  <c r="X202" i="1"/>
  <c r="J205" i="1"/>
  <c r="I205" i="1" s="1"/>
  <c r="AL205" i="1"/>
  <c r="T205" i="1"/>
  <c r="AL215" i="1"/>
  <c r="T215" i="1"/>
  <c r="L217" i="1"/>
  <c r="K217" i="1"/>
  <c r="AI217" i="1"/>
  <c r="L228" i="1"/>
  <c r="K228" i="1"/>
  <c r="J228" i="1"/>
  <c r="I228" i="1" s="1"/>
  <c r="AI228" i="1"/>
  <c r="O228" i="1"/>
  <c r="T209" i="1"/>
  <c r="T213" i="1"/>
  <c r="T217" i="1"/>
  <c r="T221" i="1"/>
  <c r="T225" i="1"/>
  <c r="T229" i="1"/>
  <c r="AI227" i="1"/>
  <c r="T208" i="1"/>
  <c r="T212" i="1"/>
  <c r="T216" i="1"/>
  <c r="T220" i="1"/>
  <c r="T224" i="1"/>
  <c r="AC173" i="1" l="1"/>
  <c r="W173" i="1"/>
  <c r="AA173" i="1" s="1"/>
  <c r="AD173" i="1"/>
  <c r="W214" i="1"/>
  <c r="AA214" i="1" s="1"/>
  <c r="AD214" i="1"/>
  <c r="AC214" i="1"/>
  <c r="W111" i="1"/>
  <c r="AA111" i="1" s="1"/>
  <c r="AD111" i="1"/>
  <c r="AE111" i="1" s="1"/>
  <c r="AC111" i="1"/>
  <c r="W170" i="1"/>
  <c r="AA170" i="1" s="1"/>
  <c r="AD170" i="1"/>
  <c r="AC170" i="1"/>
  <c r="W107" i="1"/>
  <c r="AA107" i="1" s="1"/>
  <c r="AD107" i="1"/>
  <c r="AC107" i="1"/>
  <c r="W98" i="1"/>
  <c r="AA98" i="1" s="1"/>
  <c r="AD98" i="1"/>
  <c r="AC98" i="1"/>
  <c r="W226" i="1"/>
  <c r="AA226" i="1" s="1"/>
  <c r="AD226" i="1"/>
  <c r="AC226" i="1"/>
  <c r="U212" i="1"/>
  <c r="V212" i="1" s="1"/>
  <c r="U199" i="1"/>
  <c r="V199" i="1" s="1"/>
  <c r="AB199" i="1"/>
  <c r="AB196" i="1"/>
  <c r="AB198" i="1"/>
  <c r="R192" i="1"/>
  <c r="P192" i="1" s="1"/>
  <c r="S192" i="1" s="1"/>
  <c r="M192" i="1" s="1"/>
  <c r="N192" i="1" s="1"/>
  <c r="AB192" i="1"/>
  <c r="U152" i="1"/>
  <c r="V152" i="1" s="1"/>
  <c r="AB144" i="1"/>
  <c r="AB178" i="1"/>
  <c r="U131" i="1"/>
  <c r="V131" i="1" s="1"/>
  <c r="AD138" i="1"/>
  <c r="W138" i="1"/>
  <c r="AA138" i="1" s="1"/>
  <c r="W106" i="1"/>
  <c r="AA106" i="1" s="1"/>
  <c r="AD106" i="1"/>
  <c r="AC106" i="1"/>
  <c r="AB118" i="1"/>
  <c r="R118" i="1"/>
  <c r="P118" i="1" s="1"/>
  <c r="S118" i="1" s="1"/>
  <c r="M118" i="1" s="1"/>
  <c r="N118" i="1" s="1"/>
  <c r="U83" i="1"/>
  <c r="V83" i="1" s="1"/>
  <c r="W104" i="1"/>
  <c r="AA104" i="1" s="1"/>
  <c r="AD104" i="1"/>
  <c r="AB105" i="1"/>
  <c r="AB49" i="1"/>
  <c r="U34" i="1"/>
  <c r="V34" i="1" s="1"/>
  <c r="AB85" i="1"/>
  <c r="W92" i="1"/>
  <c r="AA92" i="1" s="1"/>
  <c r="AD92" i="1"/>
  <c r="U31" i="1"/>
  <c r="V31" i="1" s="1"/>
  <c r="AB41" i="1"/>
  <c r="U208" i="1"/>
  <c r="V208" i="1" s="1"/>
  <c r="U223" i="1"/>
  <c r="V223" i="1" s="1"/>
  <c r="AB210" i="1"/>
  <c r="U194" i="1"/>
  <c r="V194" i="1" s="1"/>
  <c r="U207" i="1"/>
  <c r="V207" i="1" s="1"/>
  <c r="U195" i="1"/>
  <c r="V195" i="1" s="1"/>
  <c r="AB195" i="1"/>
  <c r="R195" i="1"/>
  <c r="P195" i="1" s="1"/>
  <c r="S195" i="1" s="1"/>
  <c r="M195" i="1" s="1"/>
  <c r="N195" i="1" s="1"/>
  <c r="AB200" i="1"/>
  <c r="U192" i="1"/>
  <c r="V192" i="1" s="1"/>
  <c r="AB186" i="1"/>
  <c r="U143" i="1"/>
  <c r="V143" i="1" s="1"/>
  <c r="U166" i="1"/>
  <c r="V166" i="1" s="1"/>
  <c r="AB166" i="1"/>
  <c r="AB179" i="1"/>
  <c r="AB169" i="1"/>
  <c r="U148" i="1"/>
  <c r="V148" i="1" s="1"/>
  <c r="AB201" i="1"/>
  <c r="U201" i="1"/>
  <c r="V201" i="1" s="1"/>
  <c r="W176" i="1"/>
  <c r="AA176" i="1" s="1"/>
  <c r="AD176" i="1"/>
  <c r="AC176" i="1"/>
  <c r="U157" i="1"/>
  <c r="V157" i="1" s="1"/>
  <c r="U141" i="1"/>
  <c r="V141" i="1" s="1"/>
  <c r="AB182" i="1"/>
  <c r="R182" i="1"/>
  <c r="P182" i="1" s="1"/>
  <c r="S182" i="1" s="1"/>
  <c r="M182" i="1" s="1"/>
  <c r="N182" i="1" s="1"/>
  <c r="AB194" i="1"/>
  <c r="AB143" i="1"/>
  <c r="R143" i="1"/>
  <c r="P143" i="1" s="1"/>
  <c r="S143" i="1" s="1"/>
  <c r="M143" i="1" s="1"/>
  <c r="N143" i="1" s="1"/>
  <c r="AB99" i="1"/>
  <c r="AB126" i="1"/>
  <c r="W115" i="1"/>
  <c r="AA115" i="1" s="1"/>
  <c r="AD115" i="1"/>
  <c r="AC115" i="1"/>
  <c r="R115" i="1"/>
  <c r="P115" i="1" s="1"/>
  <c r="S115" i="1" s="1"/>
  <c r="M115" i="1" s="1"/>
  <c r="N115" i="1" s="1"/>
  <c r="U105" i="1"/>
  <c r="V105" i="1" s="1"/>
  <c r="R105" i="1" s="1"/>
  <c r="P105" i="1" s="1"/>
  <c r="S105" i="1" s="1"/>
  <c r="M105" i="1" s="1"/>
  <c r="N105" i="1" s="1"/>
  <c r="U124" i="1"/>
  <c r="V124" i="1" s="1"/>
  <c r="U70" i="1"/>
  <c r="V70" i="1" s="1"/>
  <c r="AB82" i="1"/>
  <c r="AB66" i="1"/>
  <c r="W113" i="1"/>
  <c r="AA113" i="1" s="1"/>
  <c r="AD113" i="1"/>
  <c r="AE113" i="1" s="1"/>
  <c r="AC113" i="1"/>
  <c r="AB112" i="1"/>
  <c r="R112" i="1"/>
  <c r="P112" i="1" s="1"/>
  <c r="S112" i="1" s="1"/>
  <c r="M112" i="1" s="1"/>
  <c r="N112" i="1" s="1"/>
  <c r="U59" i="1"/>
  <c r="V59" i="1" s="1"/>
  <c r="AB48" i="1"/>
  <c r="U48" i="1"/>
  <c r="V48" i="1" s="1"/>
  <c r="R48" i="1"/>
  <c r="P48" i="1" s="1"/>
  <c r="S48" i="1" s="1"/>
  <c r="M48" i="1" s="1"/>
  <c r="N48" i="1" s="1"/>
  <c r="AB32" i="1"/>
  <c r="U32" i="1"/>
  <c r="V32" i="1" s="1"/>
  <c r="R89" i="1"/>
  <c r="P89" i="1" s="1"/>
  <c r="S89" i="1" s="1"/>
  <c r="M89" i="1" s="1"/>
  <c r="N89" i="1" s="1"/>
  <c r="AB89" i="1"/>
  <c r="U58" i="1"/>
  <c r="V58" i="1" s="1"/>
  <c r="U46" i="1"/>
  <c r="V46" i="1" s="1"/>
  <c r="AB67" i="1"/>
  <c r="AB88" i="1"/>
  <c r="R88" i="1"/>
  <c r="P88" i="1" s="1"/>
  <c r="S88" i="1" s="1"/>
  <c r="M88" i="1" s="1"/>
  <c r="N88" i="1" s="1"/>
  <c r="U57" i="1"/>
  <c r="V57" i="1" s="1"/>
  <c r="AB46" i="1"/>
  <c r="R46" i="1"/>
  <c r="P46" i="1" s="1"/>
  <c r="S46" i="1" s="1"/>
  <c r="M46" i="1" s="1"/>
  <c r="N46" i="1" s="1"/>
  <c r="AB30" i="1"/>
  <c r="R30" i="1"/>
  <c r="P30" i="1" s="1"/>
  <c r="S30" i="1" s="1"/>
  <c r="M30" i="1" s="1"/>
  <c r="N30" i="1" s="1"/>
  <c r="U99" i="1"/>
  <c r="V99" i="1" s="1"/>
  <c r="R99" i="1" s="1"/>
  <c r="P99" i="1" s="1"/>
  <c r="S99" i="1" s="1"/>
  <c r="M99" i="1" s="1"/>
  <c r="N99" i="1" s="1"/>
  <c r="U209" i="1"/>
  <c r="V209" i="1" s="1"/>
  <c r="U205" i="1"/>
  <c r="V205" i="1" s="1"/>
  <c r="AB220" i="1"/>
  <c r="AB224" i="1"/>
  <c r="R224" i="1"/>
  <c r="P224" i="1" s="1"/>
  <c r="S224" i="1" s="1"/>
  <c r="M224" i="1" s="1"/>
  <c r="N224" i="1" s="1"/>
  <c r="U162" i="1"/>
  <c r="V162" i="1" s="1"/>
  <c r="U159" i="1"/>
  <c r="V159" i="1" s="1"/>
  <c r="AC177" i="1"/>
  <c r="W177" i="1"/>
  <c r="AA177" i="1" s="1"/>
  <c r="AD177" i="1"/>
  <c r="U146" i="1"/>
  <c r="V146" i="1" s="1"/>
  <c r="AB121" i="1"/>
  <c r="U121" i="1"/>
  <c r="V121" i="1" s="1"/>
  <c r="AC138" i="1"/>
  <c r="AB103" i="1"/>
  <c r="U109" i="1"/>
  <c r="V109" i="1" s="1"/>
  <c r="U74" i="1"/>
  <c r="V74" i="1" s="1"/>
  <c r="W110" i="1"/>
  <c r="AA110" i="1" s="1"/>
  <c r="AD110" i="1"/>
  <c r="AC110" i="1"/>
  <c r="U63" i="1"/>
  <c r="V63" i="1" s="1"/>
  <c r="U49" i="1"/>
  <c r="V49" i="1" s="1"/>
  <c r="U33" i="1"/>
  <c r="V33" i="1" s="1"/>
  <c r="U18" i="1"/>
  <c r="V18" i="1" s="1"/>
  <c r="U47" i="1"/>
  <c r="V47" i="1" s="1"/>
  <c r="AB51" i="1"/>
  <c r="AB205" i="1"/>
  <c r="R205" i="1"/>
  <c r="P205" i="1" s="1"/>
  <c r="S205" i="1" s="1"/>
  <c r="M205" i="1" s="1"/>
  <c r="N205" i="1" s="1"/>
  <c r="AB193" i="1"/>
  <c r="AB218" i="1"/>
  <c r="U184" i="1"/>
  <c r="V184" i="1" s="1"/>
  <c r="AB204" i="1"/>
  <c r="AD185" i="1"/>
  <c r="W185" i="1"/>
  <c r="AA185" i="1" s="1"/>
  <c r="AC185" i="1"/>
  <c r="AB162" i="1"/>
  <c r="R162" i="1"/>
  <c r="P162" i="1" s="1"/>
  <c r="S162" i="1" s="1"/>
  <c r="M162" i="1" s="1"/>
  <c r="N162" i="1" s="1"/>
  <c r="U139" i="1"/>
  <c r="V139" i="1" s="1"/>
  <c r="W182" i="1"/>
  <c r="AA182" i="1" s="1"/>
  <c r="AD182" i="1"/>
  <c r="AB156" i="1"/>
  <c r="AB140" i="1"/>
  <c r="R140" i="1"/>
  <c r="P140" i="1" s="1"/>
  <c r="S140" i="1" s="1"/>
  <c r="M140" i="1" s="1"/>
  <c r="N140" i="1" s="1"/>
  <c r="AB149" i="1"/>
  <c r="U140" i="1"/>
  <c r="V140" i="1" s="1"/>
  <c r="U134" i="1"/>
  <c r="V134" i="1" s="1"/>
  <c r="AB141" i="1"/>
  <c r="R141" i="1"/>
  <c r="P141" i="1" s="1"/>
  <c r="S141" i="1" s="1"/>
  <c r="M141" i="1" s="1"/>
  <c r="N141" i="1" s="1"/>
  <c r="AB128" i="1"/>
  <c r="U101" i="1"/>
  <c r="V101" i="1" s="1"/>
  <c r="W120" i="1"/>
  <c r="AA120" i="1" s="1"/>
  <c r="AD120" i="1"/>
  <c r="AC120" i="1"/>
  <c r="AC104" i="1"/>
  <c r="AB97" i="1"/>
  <c r="AB98" i="1"/>
  <c r="R98" i="1"/>
  <c r="P98" i="1" s="1"/>
  <c r="S98" i="1" s="1"/>
  <c r="M98" i="1" s="1"/>
  <c r="N98" i="1" s="1"/>
  <c r="U79" i="1"/>
  <c r="V79" i="1" s="1"/>
  <c r="AB62" i="1"/>
  <c r="R62" i="1"/>
  <c r="P62" i="1" s="1"/>
  <c r="S62" i="1" s="1"/>
  <c r="M62" i="1" s="1"/>
  <c r="N62" i="1" s="1"/>
  <c r="AB87" i="1"/>
  <c r="AB73" i="1"/>
  <c r="U62" i="1"/>
  <c r="V62" i="1" s="1"/>
  <c r="U81" i="1"/>
  <c r="V81" i="1" s="1"/>
  <c r="AB75" i="1"/>
  <c r="AB61" i="1"/>
  <c r="AB81" i="1"/>
  <c r="U45" i="1"/>
  <c r="V45" i="1" s="1"/>
  <c r="U29" i="1"/>
  <c r="V29" i="1" s="1"/>
  <c r="U30" i="1"/>
  <c r="V30" i="1" s="1"/>
  <c r="AB58" i="1"/>
  <c r="R58" i="1"/>
  <c r="P58" i="1" s="1"/>
  <c r="S58" i="1" s="1"/>
  <c r="M58" i="1" s="1"/>
  <c r="N58" i="1" s="1"/>
  <c r="W80" i="1"/>
  <c r="AA80" i="1" s="1"/>
  <c r="AD80" i="1"/>
  <c r="AE80" i="1" s="1"/>
  <c r="U43" i="1"/>
  <c r="V43" i="1" s="1"/>
  <c r="U27" i="1"/>
  <c r="V27" i="1" s="1"/>
  <c r="AB39" i="1"/>
  <c r="U67" i="1"/>
  <c r="V67" i="1" s="1"/>
  <c r="AB165" i="1"/>
  <c r="W112" i="1"/>
  <c r="AA112" i="1" s="1"/>
  <c r="AD112" i="1"/>
  <c r="U97" i="1"/>
  <c r="V97" i="1" s="1"/>
  <c r="U72" i="1"/>
  <c r="V72" i="1" s="1"/>
  <c r="AB72" i="1"/>
  <c r="AB28" i="1"/>
  <c r="U28" i="1"/>
  <c r="V28" i="1" s="1"/>
  <c r="U54" i="1"/>
  <c r="V54" i="1" s="1"/>
  <c r="AB71" i="1"/>
  <c r="R71" i="1"/>
  <c r="P71" i="1" s="1"/>
  <c r="S71" i="1" s="1"/>
  <c r="M71" i="1" s="1"/>
  <c r="N71" i="1" s="1"/>
  <c r="AB55" i="1"/>
  <c r="U225" i="1"/>
  <c r="V225" i="1" s="1"/>
  <c r="AB228" i="1"/>
  <c r="U228" i="1"/>
  <c r="V228" i="1" s="1"/>
  <c r="U197" i="1"/>
  <c r="V197" i="1" s="1"/>
  <c r="U219" i="1"/>
  <c r="V219" i="1" s="1"/>
  <c r="AB208" i="1"/>
  <c r="R208" i="1"/>
  <c r="P208" i="1" s="1"/>
  <c r="S208" i="1" s="1"/>
  <c r="M208" i="1" s="1"/>
  <c r="N208" i="1" s="1"/>
  <c r="U200" i="1"/>
  <c r="V200" i="1" s="1"/>
  <c r="U175" i="1"/>
  <c r="V175" i="1" s="1"/>
  <c r="R185" i="1"/>
  <c r="P185" i="1" s="1"/>
  <c r="S185" i="1" s="1"/>
  <c r="M185" i="1" s="1"/>
  <c r="N185" i="1" s="1"/>
  <c r="AB152" i="1"/>
  <c r="R152" i="1"/>
  <c r="P152" i="1" s="1"/>
  <c r="S152" i="1" s="1"/>
  <c r="M152" i="1" s="1"/>
  <c r="N152" i="1" s="1"/>
  <c r="W180" i="1"/>
  <c r="AA180" i="1" s="1"/>
  <c r="AD180" i="1"/>
  <c r="AC180" i="1"/>
  <c r="AB155" i="1"/>
  <c r="R155" i="1"/>
  <c r="P155" i="1" s="1"/>
  <c r="S155" i="1" s="1"/>
  <c r="M155" i="1" s="1"/>
  <c r="N155" i="1" s="1"/>
  <c r="U130" i="1"/>
  <c r="V130" i="1" s="1"/>
  <c r="U154" i="1"/>
  <c r="V154" i="1" s="1"/>
  <c r="R123" i="1"/>
  <c r="P123" i="1" s="1"/>
  <c r="S123" i="1" s="1"/>
  <c r="M123" i="1" s="1"/>
  <c r="N123" i="1" s="1"/>
  <c r="AB123" i="1"/>
  <c r="U114" i="1"/>
  <c r="V114" i="1" s="1"/>
  <c r="U132" i="1"/>
  <c r="V132" i="1" s="1"/>
  <c r="R132" i="1"/>
  <c r="P132" i="1" s="1"/>
  <c r="S132" i="1" s="1"/>
  <c r="M132" i="1" s="1"/>
  <c r="N132" i="1" s="1"/>
  <c r="AB132" i="1"/>
  <c r="AB120" i="1"/>
  <c r="R120" i="1"/>
  <c r="P120" i="1" s="1"/>
  <c r="S120" i="1" s="1"/>
  <c r="M120" i="1" s="1"/>
  <c r="N120" i="1" s="1"/>
  <c r="AB131" i="1"/>
  <c r="U90" i="1"/>
  <c r="V90" i="1" s="1"/>
  <c r="AB135" i="1"/>
  <c r="U91" i="1"/>
  <c r="V91" i="1" s="1"/>
  <c r="U75" i="1"/>
  <c r="V75" i="1" s="1"/>
  <c r="U68" i="1"/>
  <c r="V68" i="1" s="1"/>
  <c r="AB68" i="1"/>
  <c r="R68" i="1"/>
  <c r="P68" i="1" s="1"/>
  <c r="S68" i="1" s="1"/>
  <c r="M68" i="1" s="1"/>
  <c r="N68" i="1" s="1"/>
  <c r="U61" i="1"/>
  <c r="V61" i="1" s="1"/>
  <c r="AB59" i="1"/>
  <c r="R59" i="1"/>
  <c r="P59" i="1" s="1"/>
  <c r="S59" i="1" s="1"/>
  <c r="M59" i="1" s="1"/>
  <c r="N59" i="1" s="1"/>
  <c r="U89" i="1"/>
  <c r="V89" i="1" s="1"/>
  <c r="U41" i="1"/>
  <c r="V41" i="1" s="1"/>
  <c r="U25" i="1"/>
  <c r="V25" i="1" s="1"/>
  <c r="AB83" i="1"/>
  <c r="R83" i="1"/>
  <c r="P83" i="1" s="1"/>
  <c r="S83" i="1" s="1"/>
  <c r="M83" i="1" s="1"/>
  <c r="N83" i="1" s="1"/>
  <c r="U42" i="1"/>
  <c r="V42" i="1" s="1"/>
  <c r="U26" i="1"/>
  <c r="V26" i="1" s="1"/>
  <c r="U103" i="1"/>
  <c r="V103" i="1" s="1"/>
  <c r="M95" i="1"/>
  <c r="N95" i="1" s="1"/>
  <c r="U55" i="1"/>
  <c r="V55" i="1" s="1"/>
  <c r="U39" i="1"/>
  <c r="V39" i="1" s="1"/>
  <c r="R39" i="1" s="1"/>
  <c r="P39" i="1" s="1"/>
  <c r="S39" i="1" s="1"/>
  <c r="M39" i="1" s="1"/>
  <c r="N39" i="1" s="1"/>
  <c r="U23" i="1"/>
  <c r="V23" i="1" s="1"/>
  <c r="AB47" i="1"/>
  <c r="R23" i="1"/>
  <c r="P23" i="1" s="1"/>
  <c r="S23" i="1" s="1"/>
  <c r="M23" i="1" s="1"/>
  <c r="N23" i="1" s="1"/>
  <c r="AB23" i="1"/>
  <c r="AB37" i="1"/>
  <c r="AB25" i="1"/>
  <c r="R25" i="1"/>
  <c r="P25" i="1" s="1"/>
  <c r="S25" i="1" s="1"/>
  <c r="M25" i="1" s="1"/>
  <c r="N25" i="1" s="1"/>
  <c r="AB197" i="1"/>
  <c r="R197" i="1"/>
  <c r="P197" i="1" s="1"/>
  <c r="S197" i="1" s="1"/>
  <c r="M197" i="1" s="1"/>
  <c r="N197" i="1" s="1"/>
  <c r="R226" i="1"/>
  <c r="P226" i="1" s="1"/>
  <c r="S226" i="1" s="1"/>
  <c r="M226" i="1" s="1"/>
  <c r="N226" i="1" s="1"/>
  <c r="AB226" i="1"/>
  <c r="U190" i="1"/>
  <c r="V190" i="1" s="1"/>
  <c r="U211" i="1"/>
  <c r="V211" i="1" s="1"/>
  <c r="AB172" i="1"/>
  <c r="W151" i="1"/>
  <c r="AA151" i="1" s="1"/>
  <c r="AD151" i="1"/>
  <c r="AE151" i="1" s="1"/>
  <c r="AC151" i="1"/>
  <c r="AB117" i="1"/>
  <c r="U122" i="1"/>
  <c r="V122" i="1" s="1"/>
  <c r="U94" i="1"/>
  <c r="V94" i="1" s="1"/>
  <c r="AB94" i="1"/>
  <c r="AB108" i="1"/>
  <c r="AB57" i="1"/>
  <c r="R57" i="1"/>
  <c r="P57" i="1" s="1"/>
  <c r="S57" i="1" s="1"/>
  <c r="M57" i="1" s="1"/>
  <c r="N57" i="1" s="1"/>
  <c r="AB35" i="1"/>
  <c r="R31" i="1"/>
  <c r="P31" i="1" s="1"/>
  <c r="S31" i="1" s="1"/>
  <c r="M31" i="1" s="1"/>
  <c r="N31" i="1" s="1"/>
  <c r="AB31" i="1"/>
  <c r="U224" i="1"/>
  <c r="V224" i="1" s="1"/>
  <c r="U221" i="1"/>
  <c r="V221" i="1" s="1"/>
  <c r="U193" i="1"/>
  <c r="V193" i="1" s="1"/>
  <c r="U165" i="1"/>
  <c r="V165" i="1" s="1"/>
  <c r="U202" i="1"/>
  <c r="V202" i="1" s="1"/>
  <c r="AB181" i="1"/>
  <c r="R181" i="1"/>
  <c r="P181" i="1" s="1"/>
  <c r="S181" i="1" s="1"/>
  <c r="M181" i="1" s="1"/>
  <c r="N181" i="1" s="1"/>
  <c r="U188" i="1"/>
  <c r="V188" i="1" s="1"/>
  <c r="U210" i="1"/>
  <c r="V210" i="1" s="1"/>
  <c r="U171" i="1"/>
  <c r="V171" i="1" s="1"/>
  <c r="W168" i="1"/>
  <c r="AA168" i="1" s="1"/>
  <c r="AD168" i="1"/>
  <c r="AC168" i="1"/>
  <c r="AD183" i="1"/>
  <c r="AE183" i="1" s="1"/>
  <c r="W183" i="1"/>
  <c r="AA183" i="1" s="1"/>
  <c r="AC183" i="1"/>
  <c r="U174" i="1"/>
  <c r="V174" i="1" s="1"/>
  <c r="AB174" i="1"/>
  <c r="R174" i="1"/>
  <c r="P174" i="1" s="1"/>
  <c r="S174" i="1" s="1"/>
  <c r="M174" i="1" s="1"/>
  <c r="N174" i="1" s="1"/>
  <c r="U149" i="1"/>
  <c r="V149" i="1" s="1"/>
  <c r="R168" i="1"/>
  <c r="P168" i="1" s="1"/>
  <c r="S168" i="1" s="1"/>
  <c r="M168" i="1" s="1"/>
  <c r="N168" i="1" s="1"/>
  <c r="AB168" i="1"/>
  <c r="R176" i="1"/>
  <c r="P176" i="1" s="1"/>
  <c r="S176" i="1" s="1"/>
  <c r="M176" i="1" s="1"/>
  <c r="N176" i="1" s="1"/>
  <c r="AB176" i="1"/>
  <c r="AB167" i="1"/>
  <c r="U142" i="1"/>
  <c r="V142" i="1" s="1"/>
  <c r="AB129" i="1"/>
  <c r="U129" i="1"/>
  <c r="V129" i="1" s="1"/>
  <c r="U160" i="1"/>
  <c r="V160" i="1" s="1"/>
  <c r="AB145" i="1"/>
  <c r="R145" i="1"/>
  <c r="P145" i="1" s="1"/>
  <c r="S145" i="1" s="1"/>
  <c r="M145" i="1" s="1"/>
  <c r="N145" i="1" s="1"/>
  <c r="U118" i="1"/>
  <c r="V118" i="1" s="1"/>
  <c r="U117" i="1"/>
  <c r="V117" i="1" s="1"/>
  <c r="AB114" i="1"/>
  <c r="R110" i="1"/>
  <c r="P110" i="1" s="1"/>
  <c r="S110" i="1" s="1"/>
  <c r="M110" i="1" s="1"/>
  <c r="N110" i="1" s="1"/>
  <c r="AB110" i="1"/>
  <c r="U86" i="1"/>
  <c r="V86" i="1" s="1"/>
  <c r="AB90" i="1"/>
  <c r="R90" i="1"/>
  <c r="P90" i="1" s="1"/>
  <c r="S90" i="1" s="1"/>
  <c r="M90" i="1" s="1"/>
  <c r="N90" i="1" s="1"/>
  <c r="AB74" i="1"/>
  <c r="R74" i="1"/>
  <c r="P74" i="1" s="1"/>
  <c r="S74" i="1" s="1"/>
  <c r="M74" i="1" s="1"/>
  <c r="N74" i="1" s="1"/>
  <c r="AC112" i="1"/>
  <c r="AB64" i="1"/>
  <c r="R64" i="1"/>
  <c r="P64" i="1" s="1"/>
  <c r="S64" i="1" s="1"/>
  <c r="M64" i="1" s="1"/>
  <c r="N64" i="1" s="1"/>
  <c r="U64" i="1"/>
  <c r="V64" i="1" s="1"/>
  <c r="U77" i="1"/>
  <c r="V77" i="1" s="1"/>
  <c r="U84" i="1"/>
  <c r="V84" i="1" s="1"/>
  <c r="AB84" i="1"/>
  <c r="AC92" i="1"/>
  <c r="AB79" i="1"/>
  <c r="R79" i="1"/>
  <c r="P79" i="1" s="1"/>
  <c r="S79" i="1" s="1"/>
  <c r="M79" i="1" s="1"/>
  <c r="N79" i="1" s="1"/>
  <c r="AB56" i="1"/>
  <c r="U56" i="1"/>
  <c r="V56" i="1" s="1"/>
  <c r="AB40" i="1"/>
  <c r="U40" i="1"/>
  <c r="V40" i="1" s="1"/>
  <c r="R40" i="1"/>
  <c r="P40" i="1" s="1"/>
  <c r="S40" i="1" s="1"/>
  <c r="M40" i="1" s="1"/>
  <c r="N40" i="1" s="1"/>
  <c r="AB24" i="1"/>
  <c r="U24" i="1"/>
  <c r="V24" i="1" s="1"/>
  <c r="U65" i="1"/>
  <c r="V65" i="1" s="1"/>
  <c r="AB53" i="1"/>
  <c r="AB93" i="1"/>
  <c r="U85" i="1"/>
  <c r="V85" i="1" s="1"/>
  <c r="AB54" i="1"/>
  <c r="R54" i="1"/>
  <c r="P54" i="1" s="1"/>
  <c r="S54" i="1" s="1"/>
  <c r="M54" i="1" s="1"/>
  <c r="N54" i="1" s="1"/>
  <c r="AB38" i="1"/>
  <c r="AB22" i="1"/>
  <c r="AB33" i="1"/>
  <c r="R33" i="1"/>
  <c r="P33" i="1" s="1"/>
  <c r="S33" i="1" s="1"/>
  <c r="M33" i="1" s="1"/>
  <c r="N33" i="1" s="1"/>
  <c r="AB19" i="1"/>
  <c r="AB29" i="1"/>
  <c r="R29" i="1"/>
  <c r="P29" i="1" s="1"/>
  <c r="S29" i="1" s="1"/>
  <c r="M29" i="1" s="1"/>
  <c r="N29" i="1" s="1"/>
  <c r="W222" i="1"/>
  <c r="AA222" i="1" s="1"/>
  <c r="AD222" i="1"/>
  <c r="AB170" i="1"/>
  <c r="R170" i="1"/>
  <c r="P170" i="1" s="1"/>
  <c r="S170" i="1" s="1"/>
  <c r="M170" i="1" s="1"/>
  <c r="N170" i="1" s="1"/>
  <c r="U178" i="1"/>
  <c r="V178" i="1" s="1"/>
  <c r="U153" i="1"/>
  <c r="V153" i="1" s="1"/>
  <c r="U137" i="1"/>
  <c r="V137" i="1" s="1"/>
  <c r="U158" i="1"/>
  <c r="V158" i="1" s="1"/>
  <c r="U144" i="1"/>
  <c r="V144" i="1" s="1"/>
  <c r="R136" i="1"/>
  <c r="P136" i="1" s="1"/>
  <c r="S136" i="1" s="1"/>
  <c r="M136" i="1" s="1"/>
  <c r="N136" i="1" s="1"/>
  <c r="AB136" i="1"/>
  <c r="AB119" i="1"/>
  <c r="AB44" i="1"/>
  <c r="U44" i="1"/>
  <c r="V44" i="1" s="1"/>
  <c r="R44" i="1" s="1"/>
  <c r="P44" i="1" s="1"/>
  <c r="S44" i="1" s="1"/>
  <c r="M44" i="1" s="1"/>
  <c r="N44" i="1" s="1"/>
  <c r="AB91" i="1"/>
  <c r="R91" i="1"/>
  <c r="P91" i="1" s="1"/>
  <c r="S91" i="1" s="1"/>
  <c r="M91" i="1" s="1"/>
  <c r="N91" i="1" s="1"/>
  <c r="AB26" i="1"/>
  <c r="U220" i="1"/>
  <c r="V220" i="1" s="1"/>
  <c r="R220" i="1" s="1"/>
  <c r="P220" i="1" s="1"/>
  <c r="S220" i="1" s="1"/>
  <c r="M220" i="1" s="1"/>
  <c r="N220" i="1" s="1"/>
  <c r="U217" i="1"/>
  <c r="V217" i="1" s="1"/>
  <c r="U189" i="1"/>
  <c r="V189" i="1" s="1"/>
  <c r="U218" i="1"/>
  <c r="V218" i="1" s="1"/>
  <c r="R218" i="1" s="1"/>
  <c r="P218" i="1" s="1"/>
  <c r="S218" i="1" s="1"/>
  <c r="M218" i="1" s="1"/>
  <c r="N218" i="1" s="1"/>
  <c r="U203" i="1"/>
  <c r="V203" i="1" s="1"/>
  <c r="R214" i="1"/>
  <c r="P214" i="1" s="1"/>
  <c r="S214" i="1" s="1"/>
  <c r="M214" i="1" s="1"/>
  <c r="N214" i="1" s="1"/>
  <c r="AB214" i="1"/>
  <c r="R222" i="1"/>
  <c r="P222" i="1" s="1"/>
  <c r="S222" i="1" s="1"/>
  <c r="M222" i="1" s="1"/>
  <c r="N222" i="1" s="1"/>
  <c r="AB222" i="1"/>
  <c r="U161" i="1"/>
  <c r="V161" i="1" s="1"/>
  <c r="AB177" i="1"/>
  <c r="R177" i="1"/>
  <c r="P177" i="1" s="1"/>
  <c r="S177" i="1" s="1"/>
  <c r="M177" i="1" s="1"/>
  <c r="N177" i="1" s="1"/>
  <c r="R188" i="1"/>
  <c r="P188" i="1" s="1"/>
  <c r="S188" i="1" s="1"/>
  <c r="M188" i="1" s="1"/>
  <c r="N188" i="1" s="1"/>
  <c r="AB188" i="1"/>
  <c r="U167" i="1"/>
  <c r="V167" i="1" s="1"/>
  <c r="AB171" i="1"/>
  <c r="R171" i="1"/>
  <c r="P171" i="1" s="1"/>
  <c r="S171" i="1" s="1"/>
  <c r="M171" i="1" s="1"/>
  <c r="N171" i="1" s="1"/>
  <c r="AB163" i="1"/>
  <c r="W164" i="1"/>
  <c r="AA164" i="1" s="1"/>
  <c r="AD164" i="1"/>
  <c r="AE164" i="1" s="1"/>
  <c r="AB148" i="1"/>
  <c r="R148" i="1"/>
  <c r="P148" i="1" s="1"/>
  <c r="S148" i="1" s="1"/>
  <c r="M148" i="1" s="1"/>
  <c r="N148" i="1" s="1"/>
  <c r="AC181" i="1"/>
  <c r="W181" i="1"/>
  <c r="AA181" i="1" s="1"/>
  <c r="AD181" i="1"/>
  <c r="AB125" i="1"/>
  <c r="R125" i="1"/>
  <c r="P125" i="1" s="1"/>
  <c r="S125" i="1" s="1"/>
  <c r="M125" i="1" s="1"/>
  <c r="N125" i="1" s="1"/>
  <c r="U125" i="1"/>
  <c r="V125" i="1" s="1"/>
  <c r="AB157" i="1"/>
  <c r="R157" i="1"/>
  <c r="P157" i="1" s="1"/>
  <c r="S157" i="1" s="1"/>
  <c r="M157" i="1" s="1"/>
  <c r="N157" i="1" s="1"/>
  <c r="U135" i="1"/>
  <c r="V135" i="1" s="1"/>
  <c r="R135" i="1" s="1"/>
  <c r="P135" i="1" s="1"/>
  <c r="S135" i="1" s="1"/>
  <c r="M135" i="1" s="1"/>
  <c r="N135" i="1" s="1"/>
  <c r="U187" i="1"/>
  <c r="V187" i="1" s="1"/>
  <c r="W155" i="1"/>
  <c r="AA155" i="1" s="1"/>
  <c r="AD155" i="1"/>
  <c r="AC155" i="1"/>
  <c r="U126" i="1"/>
  <c r="V126" i="1" s="1"/>
  <c r="AB111" i="1"/>
  <c r="R111" i="1"/>
  <c r="P111" i="1" s="1"/>
  <c r="S111" i="1" s="1"/>
  <c r="M111" i="1" s="1"/>
  <c r="N111" i="1" s="1"/>
  <c r="U136" i="1"/>
  <c r="V136" i="1" s="1"/>
  <c r="U128" i="1"/>
  <c r="V128" i="1" s="1"/>
  <c r="U119" i="1"/>
  <c r="V119" i="1" s="1"/>
  <c r="U116" i="1"/>
  <c r="V116" i="1" s="1"/>
  <c r="R138" i="1"/>
  <c r="P138" i="1" s="1"/>
  <c r="S138" i="1" s="1"/>
  <c r="M138" i="1" s="1"/>
  <c r="N138" i="1" s="1"/>
  <c r="U82" i="1"/>
  <c r="V82" i="1" s="1"/>
  <c r="R82" i="1" s="1"/>
  <c r="P82" i="1" s="1"/>
  <c r="S82" i="1" s="1"/>
  <c r="M82" i="1" s="1"/>
  <c r="N82" i="1" s="1"/>
  <c r="AB104" i="1"/>
  <c r="R104" i="1"/>
  <c r="P104" i="1" s="1"/>
  <c r="S104" i="1" s="1"/>
  <c r="M104" i="1" s="1"/>
  <c r="N104" i="1" s="1"/>
  <c r="U87" i="1"/>
  <c r="V87" i="1" s="1"/>
  <c r="U71" i="1"/>
  <c r="V71" i="1" s="1"/>
  <c r="R106" i="1"/>
  <c r="P106" i="1" s="1"/>
  <c r="S106" i="1" s="1"/>
  <c r="M106" i="1" s="1"/>
  <c r="N106" i="1" s="1"/>
  <c r="AB106" i="1"/>
  <c r="R124" i="1"/>
  <c r="P124" i="1" s="1"/>
  <c r="S124" i="1" s="1"/>
  <c r="M124" i="1" s="1"/>
  <c r="N124" i="1" s="1"/>
  <c r="AB124" i="1"/>
  <c r="R60" i="1"/>
  <c r="P60" i="1" s="1"/>
  <c r="S60" i="1" s="1"/>
  <c r="M60" i="1" s="1"/>
  <c r="N60" i="1" s="1"/>
  <c r="U60" i="1"/>
  <c r="V60" i="1" s="1"/>
  <c r="AB60" i="1"/>
  <c r="AB65" i="1"/>
  <c r="AB96" i="1"/>
  <c r="U96" i="1"/>
  <c r="V96" i="1" s="1"/>
  <c r="R96" i="1"/>
  <c r="P96" i="1" s="1"/>
  <c r="S96" i="1" s="1"/>
  <c r="M96" i="1" s="1"/>
  <c r="N96" i="1" s="1"/>
  <c r="W88" i="1"/>
  <c r="AA88" i="1" s="1"/>
  <c r="AD88" i="1"/>
  <c r="AE88" i="1" s="1"/>
  <c r="U53" i="1"/>
  <c r="V53" i="1" s="1"/>
  <c r="R53" i="1" s="1"/>
  <c r="P53" i="1" s="1"/>
  <c r="S53" i="1" s="1"/>
  <c r="M53" i="1" s="1"/>
  <c r="N53" i="1" s="1"/>
  <c r="U37" i="1"/>
  <c r="V37" i="1" s="1"/>
  <c r="U21" i="1"/>
  <c r="V21" i="1" s="1"/>
  <c r="U50" i="1"/>
  <c r="V50" i="1" s="1"/>
  <c r="U38" i="1"/>
  <c r="V38" i="1" s="1"/>
  <c r="U22" i="1"/>
  <c r="V22" i="1" s="1"/>
  <c r="U73" i="1"/>
  <c r="V73" i="1" s="1"/>
  <c r="R73" i="1" s="1"/>
  <c r="P73" i="1" s="1"/>
  <c r="S73" i="1" s="1"/>
  <c r="M73" i="1" s="1"/>
  <c r="N73" i="1" s="1"/>
  <c r="U69" i="1"/>
  <c r="V69" i="1" s="1"/>
  <c r="U93" i="1"/>
  <c r="V93" i="1" s="1"/>
  <c r="R93" i="1" s="1"/>
  <c r="P93" i="1" s="1"/>
  <c r="S93" i="1" s="1"/>
  <c r="M93" i="1" s="1"/>
  <c r="N93" i="1" s="1"/>
  <c r="U51" i="1"/>
  <c r="V51" i="1" s="1"/>
  <c r="R51" i="1" s="1"/>
  <c r="P51" i="1" s="1"/>
  <c r="S51" i="1" s="1"/>
  <c r="M51" i="1" s="1"/>
  <c r="N51" i="1" s="1"/>
  <c r="U35" i="1"/>
  <c r="V35" i="1" s="1"/>
  <c r="R35" i="1" s="1"/>
  <c r="P35" i="1" s="1"/>
  <c r="S35" i="1" s="1"/>
  <c r="M35" i="1" s="1"/>
  <c r="N35" i="1" s="1"/>
  <c r="U19" i="1"/>
  <c r="V19" i="1" s="1"/>
  <c r="U66" i="1"/>
  <c r="V66" i="1" s="1"/>
  <c r="R43" i="1"/>
  <c r="P43" i="1" s="1"/>
  <c r="S43" i="1" s="1"/>
  <c r="M43" i="1" s="1"/>
  <c r="N43" i="1" s="1"/>
  <c r="AB43" i="1"/>
  <c r="U229" i="1"/>
  <c r="V229" i="1" s="1"/>
  <c r="U215" i="1"/>
  <c r="V215" i="1" s="1"/>
  <c r="AB189" i="1"/>
  <c r="AC222" i="1"/>
  <c r="AB216" i="1"/>
  <c r="R216" i="1"/>
  <c r="P216" i="1" s="1"/>
  <c r="S216" i="1" s="1"/>
  <c r="M216" i="1" s="1"/>
  <c r="N216" i="1" s="1"/>
  <c r="U179" i="1"/>
  <c r="V179" i="1" s="1"/>
  <c r="AB133" i="1"/>
  <c r="R133" i="1"/>
  <c r="P133" i="1" s="1"/>
  <c r="S133" i="1" s="1"/>
  <c r="M133" i="1" s="1"/>
  <c r="N133" i="1" s="1"/>
  <c r="U133" i="1"/>
  <c r="V133" i="1" s="1"/>
  <c r="W123" i="1"/>
  <c r="AA123" i="1" s="1"/>
  <c r="AD123" i="1"/>
  <c r="AE123" i="1" s="1"/>
  <c r="AB127" i="1"/>
  <c r="U127" i="1"/>
  <c r="V127" i="1" s="1"/>
  <c r="AB78" i="1"/>
  <c r="AB100" i="1"/>
  <c r="W76" i="1"/>
  <c r="AA76" i="1" s="1"/>
  <c r="AD76" i="1"/>
  <c r="AE76" i="1" s="1"/>
  <c r="AB42" i="1"/>
  <c r="R42" i="1"/>
  <c r="P42" i="1" s="1"/>
  <c r="S42" i="1" s="1"/>
  <c r="M42" i="1" s="1"/>
  <c r="N42" i="1" s="1"/>
  <c r="U216" i="1"/>
  <c r="V216" i="1" s="1"/>
  <c r="U213" i="1"/>
  <c r="V213" i="1" s="1"/>
  <c r="U198" i="1"/>
  <c r="V198" i="1" s="1"/>
  <c r="R198" i="1" s="1"/>
  <c r="P198" i="1" s="1"/>
  <c r="S198" i="1" s="1"/>
  <c r="M198" i="1" s="1"/>
  <c r="N198" i="1" s="1"/>
  <c r="U227" i="1"/>
  <c r="V227" i="1" s="1"/>
  <c r="AB212" i="1"/>
  <c r="R212" i="1"/>
  <c r="P212" i="1" s="1"/>
  <c r="S212" i="1" s="1"/>
  <c r="M212" i="1" s="1"/>
  <c r="N212" i="1" s="1"/>
  <c r="U204" i="1"/>
  <c r="V204" i="1" s="1"/>
  <c r="U206" i="1"/>
  <c r="V206" i="1" s="1"/>
  <c r="AB190" i="1"/>
  <c r="R190" i="1"/>
  <c r="P190" i="1" s="1"/>
  <c r="S190" i="1" s="1"/>
  <c r="M190" i="1" s="1"/>
  <c r="N190" i="1" s="1"/>
  <c r="AB173" i="1"/>
  <c r="R173" i="1"/>
  <c r="P173" i="1" s="1"/>
  <c r="S173" i="1" s="1"/>
  <c r="M173" i="1" s="1"/>
  <c r="N173" i="1" s="1"/>
  <c r="U186" i="1"/>
  <c r="V186" i="1" s="1"/>
  <c r="R186" i="1" s="1"/>
  <c r="P186" i="1" s="1"/>
  <c r="S186" i="1" s="1"/>
  <c r="M186" i="1" s="1"/>
  <c r="N186" i="1" s="1"/>
  <c r="U163" i="1"/>
  <c r="V163" i="1" s="1"/>
  <c r="U172" i="1"/>
  <c r="V172" i="1" s="1"/>
  <c r="R172" i="1" s="1"/>
  <c r="P172" i="1" s="1"/>
  <c r="S172" i="1" s="1"/>
  <c r="M172" i="1" s="1"/>
  <c r="N172" i="1" s="1"/>
  <c r="R160" i="1"/>
  <c r="P160" i="1" s="1"/>
  <c r="S160" i="1" s="1"/>
  <c r="M160" i="1" s="1"/>
  <c r="N160" i="1" s="1"/>
  <c r="AB160" i="1"/>
  <c r="AB161" i="1"/>
  <c r="R161" i="1"/>
  <c r="P161" i="1" s="1"/>
  <c r="S161" i="1" s="1"/>
  <c r="M161" i="1" s="1"/>
  <c r="N161" i="1" s="1"/>
  <c r="U196" i="1"/>
  <c r="V196" i="1" s="1"/>
  <c r="R196" i="1" s="1"/>
  <c r="P196" i="1" s="1"/>
  <c r="S196" i="1" s="1"/>
  <c r="M196" i="1" s="1"/>
  <c r="N196" i="1" s="1"/>
  <c r="U156" i="1"/>
  <c r="V156" i="1" s="1"/>
  <c r="R156" i="1" s="1"/>
  <c r="P156" i="1" s="1"/>
  <c r="S156" i="1" s="1"/>
  <c r="M156" i="1" s="1"/>
  <c r="N156" i="1" s="1"/>
  <c r="AC182" i="1"/>
  <c r="U145" i="1"/>
  <c r="V145" i="1" s="1"/>
  <c r="AB151" i="1"/>
  <c r="R151" i="1"/>
  <c r="P151" i="1" s="1"/>
  <c r="S151" i="1" s="1"/>
  <c r="M151" i="1" s="1"/>
  <c r="N151" i="1" s="1"/>
  <c r="AB147" i="1"/>
  <c r="U147" i="1"/>
  <c r="V147" i="1" s="1"/>
  <c r="R147" i="1" s="1"/>
  <c r="P147" i="1" s="1"/>
  <c r="S147" i="1" s="1"/>
  <c r="M147" i="1" s="1"/>
  <c r="N147" i="1" s="1"/>
  <c r="U150" i="1"/>
  <c r="V150" i="1" s="1"/>
  <c r="AB153" i="1"/>
  <c r="R153" i="1"/>
  <c r="P153" i="1" s="1"/>
  <c r="S153" i="1" s="1"/>
  <c r="M153" i="1" s="1"/>
  <c r="N153" i="1" s="1"/>
  <c r="AB139" i="1"/>
  <c r="R139" i="1"/>
  <c r="P139" i="1" s="1"/>
  <c r="S139" i="1" s="1"/>
  <c r="M139" i="1" s="1"/>
  <c r="N139" i="1" s="1"/>
  <c r="U169" i="1"/>
  <c r="V169" i="1" s="1"/>
  <c r="AB107" i="1"/>
  <c r="R107" i="1"/>
  <c r="P107" i="1" s="1"/>
  <c r="S107" i="1" s="1"/>
  <c r="M107" i="1" s="1"/>
  <c r="N107" i="1" s="1"/>
  <c r="AB130" i="1"/>
  <c r="R130" i="1"/>
  <c r="P130" i="1" s="1"/>
  <c r="S130" i="1" s="1"/>
  <c r="M130" i="1" s="1"/>
  <c r="N130" i="1" s="1"/>
  <c r="U108" i="1"/>
  <c r="V108" i="1" s="1"/>
  <c r="R108" i="1" s="1"/>
  <c r="P108" i="1" s="1"/>
  <c r="S108" i="1" s="1"/>
  <c r="M108" i="1" s="1"/>
  <c r="N108" i="1" s="1"/>
  <c r="U100" i="1"/>
  <c r="V100" i="1" s="1"/>
  <c r="U78" i="1"/>
  <c r="V78" i="1" s="1"/>
  <c r="AB86" i="1"/>
  <c r="R86" i="1"/>
  <c r="P86" i="1" s="1"/>
  <c r="S86" i="1" s="1"/>
  <c r="M86" i="1" s="1"/>
  <c r="N86" i="1" s="1"/>
  <c r="AB70" i="1"/>
  <c r="R70" i="1"/>
  <c r="P70" i="1" s="1"/>
  <c r="S70" i="1" s="1"/>
  <c r="M70" i="1" s="1"/>
  <c r="N70" i="1" s="1"/>
  <c r="W102" i="1"/>
  <c r="AA102" i="1" s="1"/>
  <c r="AD102" i="1"/>
  <c r="AC102" i="1"/>
  <c r="AC123" i="1"/>
  <c r="R77" i="1"/>
  <c r="P77" i="1" s="1"/>
  <c r="S77" i="1" s="1"/>
  <c r="M77" i="1" s="1"/>
  <c r="N77" i="1" s="1"/>
  <c r="AB77" i="1"/>
  <c r="AB63" i="1"/>
  <c r="R63" i="1"/>
  <c r="P63" i="1" s="1"/>
  <c r="S63" i="1" s="1"/>
  <c r="M63" i="1" s="1"/>
  <c r="N63" i="1" s="1"/>
  <c r="AB92" i="1"/>
  <c r="R92" i="1"/>
  <c r="P92" i="1" s="1"/>
  <c r="S92" i="1" s="1"/>
  <c r="M92" i="1" s="1"/>
  <c r="N92" i="1" s="1"/>
  <c r="AB52" i="1"/>
  <c r="U52" i="1"/>
  <c r="V52" i="1" s="1"/>
  <c r="R52" i="1" s="1"/>
  <c r="P52" i="1" s="1"/>
  <c r="S52" i="1" s="1"/>
  <c r="M52" i="1" s="1"/>
  <c r="N52" i="1" s="1"/>
  <c r="AB36" i="1"/>
  <c r="R36" i="1"/>
  <c r="P36" i="1" s="1"/>
  <c r="S36" i="1" s="1"/>
  <c r="M36" i="1" s="1"/>
  <c r="N36" i="1" s="1"/>
  <c r="U36" i="1"/>
  <c r="V36" i="1" s="1"/>
  <c r="U17" i="1"/>
  <c r="V17" i="1" s="1"/>
  <c r="AB69" i="1"/>
  <c r="AB50" i="1"/>
  <c r="R50" i="1"/>
  <c r="P50" i="1" s="1"/>
  <c r="S50" i="1" s="1"/>
  <c r="M50" i="1" s="1"/>
  <c r="N50" i="1" s="1"/>
  <c r="AB34" i="1"/>
  <c r="R34" i="1"/>
  <c r="P34" i="1" s="1"/>
  <c r="S34" i="1" s="1"/>
  <c r="M34" i="1" s="1"/>
  <c r="N34" i="1" s="1"/>
  <c r="AB18" i="1"/>
  <c r="R18" i="1"/>
  <c r="P18" i="1" s="1"/>
  <c r="S18" i="1" s="1"/>
  <c r="M18" i="1" s="1"/>
  <c r="N18" i="1" s="1"/>
  <c r="AB17" i="1"/>
  <c r="R17" i="1"/>
  <c r="P17" i="1" s="1"/>
  <c r="S17" i="1" s="1"/>
  <c r="M17" i="1" s="1"/>
  <c r="N17" i="1" s="1"/>
  <c r="R27" i="1"/>
  <c r="P27" i="1" s="1"/>
  <c r="S27" i="1" s="1"/>
  <c r="M27" i="1" s="1"/>
  <c r="N27" i="1" s="1"/>
  <c r="AB27" i="1"/>
  <c r="AB21" i="1"/>
  <c r="R21" i="1"/>
  <c r="P21" i="1" s="1"/>
  <c r="S21" i="1" s="1"/>
  <c r="M21" i="1" s="1"/>
  <c r="N21" i="1" s="1"/>
  <c r="W150" i="1" l="1"/>
  <c r="AA150" i="1" s="1"/>
  <c r="AD150" i="1"/>
  <c r="AC150" i="1"/>
  <c r="R150" i="1"/>
  <c r="P150" i="1" s="1"/>
  <c r="S150" i="1" s="1"/>
  <c r="M150" i="1" s="1"/>
  <c r="N150" i="1" s="1"/>
  <c r="W215" i="1"/>
  <c r="AA215" i="1" s="1"/>
  <c r="AC215" i="1"/>
  <c r="AD215" i="1"/>
  <c r="AE215" i="1" s="1"/>
  <c r="R215" i="1"/>
  <c r="P215" i="1" s="1"/>
  <c r="S215" i="1" s="1"/>
  <c r="M215" i="1" s="1"/>
  <c r="N215" i="1" s="1"/>
  <c r="W19" i="1"/>
  <c r="AA19" i="1" s="1"/>
  <c r="AD19" i="1"/>
  <c r="AE19" i="1" s="1"/>
  <c r="AC19" i="1"/>
  <c r="W69" i="1"/>
  <c r="AA69" i="1" s="1"/>
  <c r="AD69" i="1"/>
  <c r="AC69" i="1"/>
  <c r="W50" i="1"/>
  <c r="AA50" i="1" s="1"/>
  <c r="AD50" i="1"/>
  <c r="AE50" i="1" s="1"/>
  <c r="AC50" i="1"/>
  <c r="AD60" i="1"/>
  <c r="W60" i="1"/>
  <c r="AA60" i="1" s="1"/>
  <c r="AC60" i="1"/>
  <c r="W189" i="1"/>
  <c r="AA189" i="1" s="1"/>
  <c r="AD189" i="1"/>
  <c r="AC189" i="1"/>
  <c r="AD56" i="1"/>
  <c r="AE56" i="1" s="1"/>
  <c r="AC56" i="1"/>
  <c r="W56" i="1"/>
  <c r="AA56" i="1" s="1"/>
  <c r="W84" i="1"/>
  <c r="AA84" i="1" s="1"/>
  <c r="AD84" i="1"/>
  <c r="AC84" i="1"/>
  <c r="W129" i="1"/>
  <c r="AA129" i="1" s="1"/>
  <c r="AD129" i="1"/>
  <c r="AE129" i="1" s="1"/>
  <c r="AC129" i="1"/>
  <c r="W210" i="1"/>
  <c r="AA210" i="1" s="1"/>
  <c r="AD210" i="1"/>
  <c r="AE210" i="1" s="1"/>
  <c r="AC210" i="1"/>
  <c r="W165" i="1"/>
  <c r="AA165" i="1" s="1"/>
  <c r="AD165" i="1"/>
  <c r="AC165" i="1"/>
  <c r="W55" i="1"/>
  <c r="AA55" i="1" s="1"/>
  <c r="AD55" i="1"/>
  <c r="AE55" i="1" s="1"/>
  <c r="AC55" i="1"/>
  <c r="AD75" i="1"/>
  <c r="AE75" i="1" s="1"/>
  <c r="AC75" i="1"/>
  <c r="W75" i="1"/>
  <c r="AA75" i="1" s="1"/>
  <c r="W114" i="1"/>
  <c r="AA114" i="1" s="1"/>
  <c r="AD114" i="1"/>
  <c r="AC114" i="1"/>
  <c r="W81" i="1"/>
  <c r="AA81" i="1" s="1"/>
  <c r="AD81" i="1"/>
  <c r="AC81" i="1"/>
  <c r="AD49" i="1"/>
  <c r="W49" i="1"/>
  <c r="AA49" i="1" s="1"/>
  <c r="AC49" i="1"/>
  <c r="W109" i="1"/>
  <c r="AA109" i="1" s="1"/>
  <c r="AD109" i="1"/>
  <c r="AE109" i="1" s="1"/>
  <c r="R109" i="1"/>
  <c r="P109" i="1" s="1"/>
  <c r="S109" i="1" s="1"/>
  <c r="M109" i="1" s="1"/>
  <c r="N109" i="1" s="1"/>
  <c r="AC109" i="1"/>
  <c r="AD209" i="1"/>
  <c r="W209" i="1"/>
  <c r="AA209" i="1" s="1"/>
  <c r="R209" i="1"/>
  <c r="P209" i="1" s="1"/>
  <c r="S209" i="1" s="1"/>
  <c r="M209" i="1" s="1"/>
  <c r="N209" i="1" s="1"/>
  <c r="AC209" i="1"/>
  <c r="AD194" i="1"/>
  <c r="AC194" i="1"/>
  <c r="W194" i="1"/>
  <c r="AA194" i="1" s="1"/>
  <c r="AD83" i="1"/>
  <c r="AC83" i="1"/>
  <c r="W83" i="1"/>
  <c r="AA83" i="1" s="1"/>
  <c r="W131" i="1"/>
  <c r="AA131" i="1" s="1"/>
  <c r="AD131" i="1"/>
  <c r="AC131" i="1"/>
  <c r="W199" i="1"/>
  <c r="AA199" i="1" s="1"/>
  <c r="AD199" i="1"/>
  <c r="AE199" i="1" s="1"/>
  <c r="AC199" i="1"/>
  <c r="W127" i="1"/>
  <c r="AA127" i="1" s="1"/>
  <c r="AD127" i="1"/>
  <c r="AC127" i="1"/>
  <c r="W179" i="1"/>
  <c r="AA179" i="1" s="1"/>
  <c r="AD179" i="1"/>
  <c r="AC179" i="1"/>
  <c r="AD87" i="1"/>
  <c r="AE87" i="1" s="1"/>
  <c r="AC87" i="1"/>
  <c r="W87" i="1"/>
  <c r="AA87" i="1" s="1"/>
  <c r="W119" i="1"/>
  <c r="AA119" i="1" s="1"/>
  <c r="AD119" i="1"/>
  <c r="AE119" i="1" s="1"/>
  <c r="AC119" i="1"/>
  <c r="AD126" i="1"/>
  <c r="AE126" i="1" s="1"/>
  <c r="W126" i="1"/>
  <c r="AA126" i="1" s="1"/>
  <c r="AC126" i="1"/>
  <c r="W167" i="1"/>
  <c r="AA167" i="1" s="1"/>
  <c r="AD167" i="1"/>
  <c r="AE167" i="1" s="1"/>
  <c r="AC167" i="1"/>
  <c r="W178" i="1"/>
  <c r="AA178" i="1" s="1"/>
  <c r="AD178" i="1"/>
  <c r="AC178" i="1"/>
  <c r="R19" i="1"/>
  <c r="P19" i="1" s="1"/>
  <c r="S19" i="1" s="1"/>
  <c r="M19" i="1" s="1"/>
  <c r="N19" i="1" s="1"/>
  <c r="AD65" i="1"/>
  <c r="AE65" i="1" s="1"/>
  <c r="W65" i="1"/>
  <c r="AA65" i="1" s="1"/>
  <c r="AC65" i="1"/>
  <c r="R56" i="1"/>
  <c r="P56" i="1" s="1"/>
  <c r="S56" i="1" s="1"/>
  <c r="M56" i="1" s="1"/>
  <c r="N56" i="1" s="1"/>
  <c r="W77" i="1"/>
  <c r="AA77" i="1" s="1"/>
  <c r="AD77" i="1"/>
  <c r="AC77" i="1"/>
  <c r="W117" i="1"/>
  <c r="AA117" i="1" s="1"/>
  <c r="AD117" i="1"/>
  <c r="AE117" i="1" s="1"/>
  <c r="AC117" i="1"/>
  <c r="R129" i="1"/>
  <c r="P129" i="1" s="1"/>
  <c r="S129" i="1" s="1"/>
  <c r="M129" i="1" s="1"/>
  <c r="N129" i="1" s="1"/>
  <c r="W193" i="1"/>
  <c r="AA193" i="1" s="1"/>
  <c r="AD193" i="1"/>
  <c r="AE193" i="1" s="1"/>
  <c r="AC193" i="1"/>
  <c r="W94" i="1"/>
  <c r="AA94" i="1" s="1"/>
  <c r="AD94" i="1"/>
  <c r="AE94" i="1" s="1"/>
  <c r="AC94" i="1"/>
  <c r="W200" i="1"/>
  <c r="AA200" i="1" s="1"/>
  <c r="AD200" i="1"/>
  <c r="AC200" i="1"/>
  <c r="W228" i="1"/>
  <c r="AA228" i="1" s="1"/>
  <c r="AD228" i="1"/>
  <c r="AC228" i="1"/>
  <c r="W72" i="1"/>
  <c r="AA72" i="1" s="1"/>
  <c r="AD72" i="1"/>
  <c r="AE72" i="1" s="1"/>
  <c r="AC72" i="1"/>
  <c r="AD67" i="1"/>
  <c r="AE67" i="1" s="1"/>
  <c r="AC67" i="1"/>
  <c r="W67" i="1"/>
  <c r="AA67" i="1" s="1"/>
  <c r="AD45" i="1"/>
  <c r="W45" i="1"/>
  <c r="AA45" i="1" s="1"/>
  <c r="AC45" i="1"/>
  <c r="R45" i="1"/>
  <c r="P45" i="1" s="1"/>
  <c r="S45" i="1" s="1"/>
  <c r="M45" i="1" s="1"/>
  <c r="N45" i="1" s="1"/>
  <c r="W47" i="1"/>
  <c r="AA47" i="1" s="1"/>
  <c r="AD47" i="1"/>
  <c r="AE47" i="1" s="1"/>
  <c r="AC47" i="1"/>
  <c r="AD146" i="1"/>
  <c r="AE146" i="1" s="1"/>
  <c r="AC146" i="1"/>
  <c r="W146" i="1"/>
  <c r="AA146" i="1" s="1"/>
  <c r="R146" i="1"/>
  <c r="P146" i="1" s="1"/>
  <c r="S146" i="1" s="1"/>
  <c r="M146" i="1" s="1"/>
  <c r="N146" i="1" s="1"/>
  <c r="W99" i="1"/>
  <c r="AA99" i="1" s="1"/>
  <c r="AD99" i="1"/>
  <c r="AC99" i="1"/>
  <c r="AD59" i="1"/>
  <c r="W59" i="1"/>
  <c r="AA59" i="1" s="1"/>
  <c r="AC59" i="1"/>
  <c r="W157" i="1"/>
  <c r="AA157" i="1" s="1"/>
  <c r="AD157" i="1"/>
  <c r="AE157" i="1" s="1"/>
  <c r="AC157" i="1"/>
  <c r="W166" i="1"/>
  <c r="AA166" i="1" s="1"/>
  <c r="AD166" i="1"/>
  <c r="AE166" i="1" s="1"/>
  <c r="AC166" i="1"/>
  <c r="R200" i="1"/>
  <c r="P200" i="1" s="1"/>
  <c r="S200" i="1" s="1"/>
  <c r="M200" i="1" s="1"/>
  <c r="N200" i="1" s="1"/>
  <c r="W31" i="1"/>
  <c r="AA31" i="1" s="1"/>
  <c r="AD31" i="1"/>
  <c r="AC31" i="1"/>
  <c r="R49" i="1"/>
  <c r="P49" i="1" s="1"/>
  <c r="S49" i="1" s="1"/>
  <c r="M49" i="1" s="1"/>
  <c r="N49" i="1" s="1"/>
  <c r="W212" i="1"/>
  <c r="AA212" i="1" s="1"/>
  <c r="AD212" i="1"/>
  <c r="AE212" i="1" s="1"/>
  <c r="AC212" i="1"/>
  <c r="AD188" i="1"/>
  <c r="W188" i="1"/>
  <c r="AA188" i="1" s="1"/>
  <c r="AC188" i="1"/>
  <c r="AD91" i="1"/>
  <c r="AE91" i="1" s="1"/>
  <c r="AC91" i="1"/>
  <c r="W91" i="1"/>
  <c r="AA91" i="1" s="1"/>
  <c r="AE180" i="1"/>
  <c r="R228" i="1"/>
  <c r="P228" i="1" s="1"/>
  <c r="S228" i="1" s="1"/>
  <c r="M228" i="1" s="1"/>
  <c r="N228" i="1" s="1"/>
  <c r="W54" i="1"/>
  <c r="AA54" i="1" s="1"/>
  <c r="AD54" i="1"/>
  <c r="AC54" i="1"/>
  <c r="W97" i="1"/>
  <c r="AA97" i="1" s="1"/>
  <c r="AD97" i="1"/>
  <c r="AE97" i="1" s="1"/>
  <c r="AC97" i="1"/>
  <c r="W62" i="1"/>
  <c r="AA62" i="1" s="1"/>
  <c r="AD62" i="1"/>
  <c r="AC62" i="1"/>
  <c r="AE120" i="1"/>
  <c r="AD63" i="1"/>
  <c r="AC63" i="1"/>
  <c r="W63" i="1"/>
  <c r="AA63" i="1" s="1"/>
  <c r="AE177" i="1"/>
  <c r="R67" i="1"/>
  <c r="P67" i="1" s="1"/>
  <c r="S67" i="1" s="1"/>
  <c r="M67" i="1" s="1"/>
  <c r="N67" i="1" s="1"/>
  <c r="W32" i="1"/>
  <c r="AA32" i="1" s="1"/>
  <c r="AC32" i="1"/>
  <c r="AD32" i="1"/>
  <c r="AD148" i="1"/>
  <c r="AE148" i="1" s="1"/>
  <c r="W148" i="1"/>
  <c r="AA148" i="1" s="1"/>
  <c r="AC148" i="1"/>
  <c r="W143" i="1"/>
  <c r="AA143" i="1" s="1"/>
  <c r="AD143" i="1"/>
  <c r="AE143" i="1" s="1"/>
  <c r="AC143" i="1"/>
  <c r="R210" i="1"/>
  <c r="P210" i="1" s="1"/>
  <c r="S210" i="1" s="1"/>
  <c r="M210" i="1" s="1"/>
  <c r="N210" i="1" s="1"/>
  <c r="R178" i="1"/>
  <c r="P178" i="1" s="1"/>
  <c r="S178" i="1" s="1"/>
  <c r="M178" i="1" s="1"/>
  <c r="N178" i="1" s="1"/>
  <c r="AE107" i="1"/>
  <c r="AD144" i="1"/>
  <c r="AE144" i="1" s="1"/>
  <c r="W144" i="1"/>
  <c r="AA144" i="1" s="1"/>
  <c r="AC144" i="1"/>
  <c r="AC24" i="1"/>
  <c r="W24" i="1"/>
  <c r="AA24" i="1" s="1"/>
  <c r="AD24" i="1"/>
  <c r="AE24" i="1" s="1"/>
  <c r="W78" i="1"/>
  <c r="AA78" i="1" s="1"/>
  <c r="AD78" i="1"/>
  <c r="AC78" i="1"/>
  <c r="W169" i="1"/>
  <c r="AA169" i="1" s="1"/>
  <c r="AD169" i="1"/>
  <c r="AC169" i="1"/>
  <c r="AD156" i="1"/>
  <c r="W156" i="1"/>
  <c r="AA156" i="1" s="1"/>
  <c r="AC156" i="1"/>
  <c r="W163" i="1"/>
  <c r="AA163" i="1" s="1"/>
  <c r="AD163" i="1"/>
  <c r="AE163" i="1" s="1"/>
  <c r="AC163" i="1"/>
  <c r="AD229" i="1"/>
  <c r="W229" i="1"/>
  <c r="AA229" i="1" s="1"/>
  <c r="AC229" i="1"/>
  <c r="R229" i="1"/>
  <c r="P229" i="1" s="1"/>
  <c r="S229" i="1" s="1"/>
  <c r="M229" i="1" s="1"/>
  <c r="N229" i="1" s="1"/>
  <c r="AD21" i="1"/>
  <c r="W21" i="1"/>
  <c r="AA21" i="1" s="1"/>
  <c r="AC21" i="1"/>
  <c r="AD96" i="1"/>
  <c r="AE96" i="1" s="1"/>
  <c r="W96" i="1"/>
  <c r="AA96" i="1" s="1"/>
  <c r="AC96" i="1"/>
  <c r="W128" i="1"/>
  <c r="AA128" i="1" s="1"/>
  <c r="AD128" i="1"/>
  <c r="AE128" i="1" s="1"/>
  <c r="AC128" i="1"/>
  <c r="AE155" i="1"/>
  <c r="W125" i="1"/>
  <c r="AA125" i="1" s="1"/>
  <c r="AD125" i="1"/>
  <c r="AE125" i="1" s="1"/>
  <c r="AC125" i="1"/>
  <c r="AD217" i="1"/>
  <c r="W217" i="1"/>
  <c r="AA217" i="1" s="1"/>
  <c r="R217" i="1"/>
  <c r="P217" i="1" s="1"/>
  <c r="S217" i="1" s="1"/>
  <c r="M217" i="1" s="1"/>
  <c r="N217" i="1" s="1"/>
  <c r="AC217" i="1"/>
  <c r="W158" i="1"/>
  <c r="AA158" i="1" s="1"/>
  <c r="AD158" i="1"/>
  <c r="AE158" i="1" s="1"/>
  <c r="AC158" i="1"/>
  <c r="R158" i="1"/>
  <c r="P158" i="1" s="1"/>
  <c r="S158" i="1" s="1"/>
  <c r="M158" i="1" s="1"/>
  <c r="N158" i="1" s="1"/>
  <c r="R24" i="1"/>
  <c r="P24" i="1" s="1"/>
  <c r="S24" i="1" s="1"/>
  <c r="M24" i="1" s="1"/>
  <c r="N24" i="1" s="1"/>
  <c r="AD64" i="1"/>
  <c r="AC64" i="1"/>
  <c r="W64" i="1"/>
  <c r="AA64" i="1" s="1"/>
  <c r="W86" i="1"/>
  <c r="AA86" i="1" s="1"/>
  <c r="AD86" i="1"/>
  <c r="AE86" i="1" s="1"/>
  <c r="AC86" i="1"/>
  <c r="W118" i="1"/>
  <c r="AA118" i="1" s="1"/>
  <c r="AD118" i="1"/>
  <c r="AE118" i="1" s="1"/>
  <c r="AC118" i="1"/>
  <c r="W149" i="1"/>
  <c r="AA149" i="1" s="1"/>
  <c r="AD149" i="1"/>
  <c r="AC149" i="1"/>
  <c r="R47" i="1"/>
  <c r="P47" i="1" s="1"/>
  <c r="S47" i="1" s="1"/>
  <c r="M47" i="1" s="1"/>
  <c r="N47" i="1" s="1"/>
  <c r="W103" i="1"/>
  <c r="AA103" i="1" s="1"/>
  <c r="AD103" i="1"/>
  <c r="AE103" i="1" s="1"/>
  <c r="AC103" i="1"/>
  <c r="AD25" i="1"/>
  <c r="W25" i="1"/>
  <c r="AA25" i="1" s="1"/>
  <c r="AC25" i="1"/>
  <c r="AD61" i="1"/>
  <c r="AE61" i="1" s="1"/>
  <c r="W61" i="1"/>
  <c r="AA61" i="1" s="1"/>
  <c r="AC61" i="1"/>
  <c r="W154" i="1"/>
  <c r="AA154" i="1" s="1"/>
  <c r="AD154" i="1"/>
  <c r="AE154" i="1" s="1"/>
  <c r="AC154" i="1"/>
  <c r="R154" i="1"/>
  <c r="P154" i="1" s="1"/>
  <c r="S154" i="1" s="1"/>
  <c r="M154" i="1" s="1"/>
  <c r="N154" i="1" s="1"/>
  <c r="R81" i="1"/>
  <c r="P81" i="1" s="1"/>
  <c r="S81" i="1" s="1"/>
  <c r="M81" i="1" s="1"/>
  <c r="N81" i="1" s="1"/>
  <c r="AD79" i="1"/>
  <c r="AC79" i="1"/>
  <c r="W79" i="1"/>
  <c r="AA79" i="1" s="1"/>
  <c r="AD134" i="1"/>
  <c r="W134" i="1"/>
  <c r="AA134" i="1" s="1"/>
  <c r="R134" i="1"/>
  <c r="P134" i="1" s="1"/>
  <c r="S134" i="1" s="1"/>
  <c r="M134" i="1" s="1"/>
  <c r="N134" i="1" s="1"/>
  <c r="AC134" i="1"/>
  <c r="R193" i="1"/>
  <c r="P193" i="1" s="1"/>
  <c r="S193" i="1" s="1"/>
  <c r="M193" i="1" s="1"/>
  <c r="N193" i="1" s="1"/>
  <c r="W18" i="1"/>
  <c r="AA18" i="1" s="1"/>
  <c r="AD18" i="1"/>
  <c r="AE18" i="1" s="1"/>
  <c r="AC18" i="1"/>
  <c r="R103" i="1"/>
  <c r="P103" i="1" s="1"/>
  <c r="S103" i="1" s="1"/>
  <c r="M103" i="1" s="1"/>
  <c r="N103" i="1" s="1"/>
  <c r="R32" i="1"/>
  <c r="P32" i="1" s="1"/>
  <c r="S32" i="1" s="1"/>
  <c r="M32" i="1" s="1"/>
  <c r="N32" i="1" s="1"/>
  <c r="W70" i="1"/>
  <c r="AA70" i="1" s="1"/>
  <c r="AD70" i="1"/>
  <c r="AE70" i="1" s="1"/>
  <c r="AC70" i="1"/>
  <c r="AE115" i="1"/>
  <c r="R194" i="1"/>
  <c r="P194" i="1" s="1"/>
  <c r="S194" i="1" s="1"/>
  <c r="M194" i="1" s="1"/>
  <c r="N194" i="1" s="1"/>
  <c r="R169" i="1"/>
  <c r="P169" i="1" s="1"/>
  <c r="S169" i="1" s="1"/>
  <c r="M169" i="1" s="1"/>
  <c r="N169" i="1" s="1"/>
  <c r="W223" i="1"/>
  <c r="AA223" i="1" s="1"/>
  <c r="AC223" i="1"/>
  <c r="AD223" i="1"/>
  <c r="R223" i="1"/>
  <c r="P223" i="1" s="1"/>
  <c r="S223" i="1" s="1"/>
  <c r="M223" i="1" s="1"/>
  <c r="N223" i="1" s="1"/>
  <c r="AE92" i="1"/>
  <c r="AE214" i="1"/>
  <c r="AD142" i="1"/>
  <c r="AE142" i="1" s="1"/>
  <c r="AC142" i="1"/>
  <c r="W142" i="1"/>
  <c r="AA142" i="1" s="1"/>
  <c r="R142" i="1"/>
  <c r="P142" i="1" s="1"/>
  <c r="S142" i="1" s="1"/>
  <c r="M142" i="1" s="1"/>
  <c r="N142" i="1" s="1"/>
  <c r="AE168" i="1"/>
  <c r="AD221" i="1"/>
  <c r="W221" i="1"/>
  <c r="AA221" i="1" s="1"/>
  <c r="R221" i="1"/>
  <c r="P221" i="1" s="1"/>
  <c r="S221" i="1" s="1"/>
  <c r="M221" i="1" s="1"/>
  <c r="N221" i="1" s="1"/>
  <c r="AC221" i="1"/>
  <c r="AD122" i="1"/>
  <c r="AE122" i="1" s="1"/>
  <c r="W122" i="1"/>
  <c r="AA122" i="1" s="1"/>
  <c r="AC122" i="1"/>
  <c r="R122" i="1"/>
  <c r="P122" i="1" s="1"/>
  <c r="S122" i="1" s="1"/>
  <c r="M122" i="1" s="1"/>
  <c r="N122" i="1" s="1"/>
  <c r="W211" i="1"/>
  <c r="AA211" i="1" s="1"/>
  <c r="AC211" i="1"/>
  <c r="AD211" i="1"/>
  <c r="AE211" i="1" s="1"/>
  <c r="R211" i="1"/>
  <c r="P211" i="1" s="1"/>
  <c r="S211" i="1" s="1"/>
  <c r="M211" i="1" s="1"/>
  <c r="N211" i="1" s="1"/>
  <c r="W23" i="1"/>
  <c r="AA23" i="1" s="1"/>
  <c r="AD23" i="1"/>
  <c r="AE23" i="1" s="1"/>
  <c r="AC23" i="1"/>
  <c r="W26" i="1"/>
  <c r="AA26" i="1" s="1"/>
  <c r="AD26" i="1"/>
  <c r="AE26" i="1" s="1"/>
  <c r="AC26" i="1"/>
  <c r="W28" i="1"/>
  <c r="AA28" i="1" s="1"/>
  <c r="AC28" i="1"/>
  <c r="AD28" i="1"/>
  <c r="AE112" i="1"/>
  <c r="W27" i="1"/>
  <c r="AA27" i="1" s="1"/>
  <c r="AD27" i="1"/>
  <c r="AC27" i="1"/>
  <c r="W30" i="1"/>
  <c r="AA30" i="1" s="1"/>
  <c r="AD30" i="1"/>
  <c r="AC30" i="1"/>
  <c r="W101" i="1"/>
  <c r="AA101" i="1" s="1"/>
  <c r="AD101" i="1"/>
  <c r="AE101" i="1" s="1"/>
  <c r="AC101" i="1"/>
  <c r="R101" i="1"/>
  <c r="P101" i="1" s="1"/>
  <c r="S101" i="1" s="1"/>
  <c r="M101" i="1" s="1"/>
  <c r="N101" i="1" s="1"/>
  <c r="AE182" i="1"/>
  <c r="AE185" i="1"/>
  <c r="AE110" i="1"/>
  <c r="W46" i="1"/>
  <c r="AA46" i="1" s="1"/>
  <c r="AD46" i="1"/>
  <c r="AE46" i="1" s="1"/>
  <c r="AC46" i="1"/>
  <c r="AE176" i="1"/>
  <c r="W195" i="1"/>
  <c r="AA195" i="1" s="1"/>
  <c r="AD195" i="1"/>
  <c r="AE195" i="1" s="1"/>
  <c r="AC195" i="1"/>
  <c r="AE106" i="1"/>
  <c r="R144" i="1"/>
  <c r="P144" i="1" s="1"/>
  <c r="S144" i="1" s="1"/>
  <c r="M144" i="1" s="1"/>
  <c r="N144" i="1" s="1"/>
  <c r="AE226" i="1"/>
  <c r="W85" i="1"/>
  <c r="AA85" i="1" s="1"/>
  <c r="AD85" i="1"/>
  <c r="AC85" i="1"/>
  <c r="AD198" i="1"/>
  <c r="AE198" i="1" s="1"/>
  <c r="AC198" i="1"/>
  <c r="W198" i="1"/>
  <c r="AA198" i="1" s="1"/>
  <c r="W51" i="1"/>
  <c r="AA51" i="1" s="1"/>
  <c r="AD51" i="1"/>
  <c r="AE51" i="1" s="1"/>
  <c r="AC51" i="1"/>
  <c r="AE222" i="1"/>
  <c r="AE102" i="1"/>
  <c r="W100" i="1"/>
  <c r="AA100" i="1" s="1"/>
  <c r="AD100" i="1"/>
  <c r="AC100" i="1"/>
  <c r="AD186" i="1"/>
  <c r="AE186" i="1" s="1"/>
  <c r="W186" i="1"/>
  <c r="AA186" i="1" s="1"/>
  <c r="AC186" i="1"/>
  <c r="AD204" i="1"/>
  <c r="W204" i="1"/>
  <c r="AA204" i="1" s="1"/>
  <c r="AC204" i="1"/>
  <c r="R100" i="1"/>
  <c r="P100" i="1" s="1"/>
  <c r="S100" i="1" s="1"/>
  <c r="M100" i="1" s="1"/>
  <c r="N100" i="1" s="1"/>
  <c r="AD37" i="1"/>
  <c r="AE37" i="1" s="1"/>
  <c r="W37" i="1"/>
  <c r="AA37" i="1" s="1"/>
  <c r="AC37" i="1"/>
  <c r="AD136" i="1"/>
  <c r="AE136" i="1" s="1"/>
  <c r="W136" i="1"/>
  <c r="AA136" i="1" s="1"/>
  <c r="AC136" i="1"/>
  <c r="R163" i="1"/>
  <c r="P163" i="1" s="1"/>
  <c r="S163" i="1" s="1"/>
  <c r="M163" i="1" s="1"/>
  <c r="N163" i="1" s="1"/>
  <c r="R119" i="1"/>
  <c r="P119" i="1" s="1"/>
  <c r="S119" i="1" s="1"/>
  <c r="M119" i="1" s="1"/>
  <c r="N119" i="1" s="1"/>
  <c r="AD137" i="1"/>
  <c r="AE137" i="1" s="1"/>
  <c r="W137" i="1"/>
  <c r="AA137" i="1" s="1"/>
  <c r="AC137" i="1"/>
  <c r="R137" i="1"/>
  <c r="P137" i="1" s="1"/>
  <c r="S137" i="1" s="1"/>
  <c r="M137" i="1" s="1"/>
  <c r="N137" i="1" s="1"/>
  <c r="R167" i="1"/>
  <c r="P167" i="1" s="1"/>
  <c r="S167" i="1" s="1"/>
  <c r="M167" i="1" s="1"/>
  <c r="N167" i="1" s="1"/>
  <c r="W202" i="1"/>
  <c r="AA202" i="1" s="1"/>
  <c r="AD202" i="1"/>
  <c r="R202" i="1"/>
  <c r="P202" i="1" s="1"/>
  <c r="S202" i="1" s="1"/>
  <c r="M202" i="1" s="1"/>
  <c r="N202" i="1" s="1"/>
  <c r="AC202" i="1"/>
  <c r="W224" i="1"/>
  <c r="AA224" i="1" s="1"/>
  <c r="AD224" i="1"/>
  <c r="AE224" i="1" s="1"/>
  <c r="AC224" i="1"/>
  <c r="AD41" i="1"/>
  <c r="W41" i="1"/>
  <c r="AA41" i="1" s="1"/>
  <c r="AC41" i="1"/>
  <c r="W90" i="1"/>
  <c r="AA90" i="1" s="1"/>
  <c r="AD90" i="1"/>
  <c r="AC90" i="1"/>
  <c r="W132" i="1"/>
  <c r="AA132" i="1" s="1"/>
  <c r="AD132" i="1"/>
  <c r="AE132" i="1" s="1"/>
  <c r="AC132" i="1"/>
  <c r="W219" i="1"/>
  <c r="AA219" i="1" s="1"/>
  <c r="AC219" i="1"/>
  <c r="AD219" i="1"/>
  <c r="R219" i="1"/>
  <c r="P219" i="1" s="1"/>
  <c r="S219" i="1" s="1"/>
  <c r="M219" i="1" s="1"/>
  <c r="N219" i="1" s="1"/>
  <c r="AD225" i="1"/>
  <c r="AE225" i="1" s="1"/>
  <c r="W225" i="1"/>
  <c r="AA225" i="1" s="1"/>
  <c r="R225" i="1"/>
  <c r="P225" i="1" s="1"/>
  <c r="S225" i="1" s="1"/>
  <c r="M225" i="1" s="1"/>
  <c r="N225" i="1" s="1"/>
  <c r="AC225" i="1"/>
  <c r="R28" i="1"/>
  <c r="P28" i="1" s="1"/>
  <c r="S28" i="1" s="1"/>
  <c r="M28" i="1" s="1"/>
  <c r="N28" i="1" s="1"/>
  <c r="R61" i="1"/>
  <c r="P61" i="1" s="1"/>
  <c r="S61" i="1" s="1"/>
  <c r="M61" i="1" s="1"/>
  <c r="N61" i="1" s="1"/>
  <c r="AD140" i="1"/>
  <c r="W140" i="1"/>
  <c r="AA140" i="1" s="1"/>
  <c r="AC140" i="1"/>
  <c r="R204" i="1"/>
  <c r="P204" i="1" s="1"/>
  <c r="S204" i="1" s="1"/>
  <c r="M204" i="1" s="1"/>
  <c r="N204" i="1" s="1"/>
  <c r="AD121" i="1"/>
  <c r="AE121" i="1" s="1"/>
  <c r="W121" i="1"/>
  <c r="AA121" i="1" s="1"/>
  <c r="AC121" i="1"/>
  <c r="W159" i="1"/>
  <c r="AA159" i="1" s="1"/>
  <c r="AD159" i="1"/>
  <c r="R159" i="1"/>
  <c r="P159" i="1" s="1"/>
  <c r="S159" i="1" s="1"/>
  <c r="M159" i="1" s="1"/>
  <c r="N159" i="1" s="1"/>
  <c r="AC159" i="1"/>
  <c r="AD124" i="1"/>
  <c r="AE124" i="1" s="1"/>
  <c r="AC124" i="1"/>
  <c r="W124" i="1"/>
  <c r="AA124" i="1" s="1"/>
  <c r="R126" i="1"/>
  <c r="P126" i="1" s="1"/>
  <c r="S126" i="1" s="1"/>
  <c r="M126" i="1" s="1"/>
  <c r="N126" i="1" s="1"/>
  <c r="R179" i="1"/>
  <c r="P179" i="1" s="1"/>
  <c r="S179" i="1" s="1"/>
  <c r="M179" i="1" s="1"/>
  <c r="N179" i="1" s="1"/>
  <c r="AD207" i="1"/>
  <c r="AC207" i="1"/>
  <c r="W207" i="1"/>
  <c r="AA207" i="1" s="1"/>
  <c r="R207" i="1"/>
  <c r="P207" i="1" s="1"/>
  <c r="S207" i="1" s="1"/>
  <c r="M207" i="1" s="1"/>
  <c r="N207" i="1" s="1"/>
  <c r="AE104" i="1"/>
  <c r="AE170" i="1"/>
  <c r="AE173" i="1"/>
  <c r="W52" i="1"/>
  <c r="AA52" i="1" s="1"/>
  <c r="AC52" i="1"/>
  <c r="AD52" i="1"/>
  <c r="AE52" i="1" s="1"/>
  <c r="W172" i="1"/>
  <c r="AA172" i="1" s="1"/>
  <c r="AD172" i="1"/>
  <c r="AE172" i="1" s="1"/>
  <c r="AC172" i="1"/>
  <c r="R127" i="1"/>
  <c r="P127" i="1" s="1"/>
  <c r="S127" i="1" s="1"/>
  <c r="M127" i="1" s="1"/>
  <c r="N127" i="1" s="1"/>
  <c r="R69" i="1"/>
  <c r="P69" i="1" s="1"/>
  <c r="S69" i="1" s="1"/>
  <c r="M69" i="1" s="1"/>
  <c r="N69" i="1" s="1"/>
  <c r="W196" i="1"/>
  <c r="AA196" i="1" s="1"/>
  <c r="AD196" i="1"/>
  <c r="AC196" i="1"/>
  <c r="AD206" i="1"/>
  <c r="AE206" i="1" s="1"/>
  <c r="W206" i="1"/>
  <c r="AA206" i="1" s="1"/>
  <c r="AC206" i="1"/>
  <c r="R206" i="1"/>
  <c r="P206" i="1" s="1"/>
  <c r="S206" i="1" s="1"/>
  <c r="M206" i="1" s="1"/>
  <c r="N206" i="1" s="1"/>
  <c r="W22" i="1"/>
  <c r="AA22" i="1" s="1"/>
  <c r="AD22" i="1"/>
  <c r="AE22" i="1" s="1"/>
  <c r="AC22" i="1"/>
  <c r="W82" i="1"/>
  <c r="AA82" i="1" s="1"/>
  <c r="AD82" i="1"/>
  <c r="AE82" i="1" s="1"/>
  <c r="AC82" i="1"/>
  <c r="W220" i="1"/>
  <c r="AA220" i="1" s="1"/>
  <c r="AD220" i="1"/>
  <c r="AC220" i="1"/>
  <c r="R22" i="1"/>
  <c r="P22" i="1" s="1"/>
  <c r="S22" i="1" s="1"/>
  <c r="M22" i="1" s="1"/>
  <c r="N22" i="1" s="1"/>
  <c r="AD17" i="1"/>
  <c r="W17" i="1"/>
  <c r="AA17" i="1" s="1"/>
  <c r="AC17" i="1"/>
  <c r="W108" i="1"/>
  <c r="AA108" i="1" s="1"/>
  <c r="AD108" i="1"/>
  <c r="AE108" i="1" s="1"/>
  <c r="AC108" i="1"/>
  <c r="AD213" i="1"/>
  <c r="W213" i="1"/>
  <c r="AA213" i="1" s="1"/>
  <c r="AC213" i="1"/>
  <c r="R213" i="1"/>
  <c r="P213" i="1" s="1"/>
  <c r="S213" i="1" s="1"/>
  <c r="M213" i="1" s="1"/>
  <c r="N213" i="1" s="1"/>
  <c r="W133" i="1"/>
  <c r="AA133" i="1" s="1"/>
  <c r="AD133" i="1"/>
  <c r="AE133" i="1" s="1"/>
  <c r="AC133" i="1"/>
  <c r="R189" i="1"/>
  <c r="P189" i="1" s="1"/>
  <c r="S189" i="1" s="1"/>
  <c r="M189" i="1" s="1"/>
  <c r="N189" i="1" s="1"/>
  <c r="W66" i="1"/>
  <c r="AA66" i="1" s="1"/>
  <c r="AD66" i="1"/>
  <c r="AE66" i="1" s="1"/>
  <c r="AC66" i="1"/>
  <c r="W93" i="1"/>
  <c r="AA93" i="1" s="1"/>
  <c r="AD93" i="1"/>
  <c r="AE93" i="1" s="1"/>
  <c r="AC93" i="1"/>
  <c r="W38" i="1"/>
  <c r="AA38" i="1" s="1"/>
  <c r="AD38" i="1"/>
  <c r="AE38" i="1" s="1"/>
  <c r="AC38" i="1"/>
  <c r="R65" i="1"/>
  <c r="P65" i="1" s="1"/>
  <c r="S65" i="1" s="1"/>
  <c r="M65" i="1" s="1"/>
  <c r="N65" i="1" s="1"/>
  <c r="AD187" i="1"/>
  <c r="W187" i="1"/>
  <c r="AA187" i="1" s="1"/>
  <c r="AC187" i="1"/>
  <c r="R187" i="1"/>
  <c r="P187" i="1" s="1"/>
  <c r="S187" i="1" s="1"/>
  <c r="M187" i="1" s="1"/>
  <c r="N187" i="1" s="1"/>
  <c r="AE181" i="1"/>
  <c r="AD203" i="1"/>
  <c r="W203" i="1"/>
  <c r="AA203" i="1" s="1"/>
  <c r="AC203" i="1"/>
  <c r="R203" i="1"/>
  <c r="P203" i="1" s="1"/>
  <c r="S203" i="1" s="1"/>
  <c r="M203" i="1" s="1"/>
  <c r="N203" i="1" s="1"/>
  <c r="R26" i="1"/>
  <c r="P26" i="1" s="1"/>
  <c r="S26" i="1" s="1"/>
  <c r="M26" i="1" s="1"/>
  <c r="N26" i="1" s="1"/>
  <c r="R38" i="1"/>
  <c r="P38" i="1" s="1"/>
  <c r="S38" i="1" s="1"/>
  <c r="M38" i="1" s="1"/>
  <c r="N38" i="1" s="1"/>
  <c r="W40" i="1"/>
  <c r="AA40" i="1" s="1"/>
  <c r="AC40" i="1"/>
  <c r="AD40" i="1"/>
  <c r="R84" i="1"/>
  <c r="P84" i="1" s="1"/>
  <c r="S84" i="1" s="1"/>
  <c r="M84" i="1" s="1"/>
  <c r="N84" i="1" s="1"/>
  <c r="W171" i="1"/>
  <c r="AA171" i="1" s="1"/>
  <c r="AD171" i="1"/>
  <c r="AC171" i="1"/>
  <c r="R117" i="1"/>
  <c r="P117" i="1" s="1"/>
  <c r="S117" i="1" s="1"/>
  <c r="M117" i="1" s="1"/>
  <c r="N117" i="1" s="1"/>
  <c r="R37" i="1"/>
  <c r="P37" i="1" s="1"/>
  <c r="S37" i="1" s="1"/>
  <c r="M37" i="1" s="1"/>
  <c r="N37" i="1" s="1"/>
  <c r="W39" i="1"/>
  <c r="AA39" i="1" s="1"/>
  <c r="AD39" i="1"/>
  <c r="AC39" i="1"/>
  <c r="W42" i="1"/>
  <c r="AA42" i="1" s="1"/>
  <c r="AD42" i="1"/>
  <c r="AC42" i="1"/>
  <c r="W89" i="1"/>
  <c r="AA89" i="1" s="1"/>
  <c r="AD89" i="1"/>
  <c r="AE89" i="1" s="1"/>
  <c r="AC89" i="1"/>
  <c r="W68" i="1"/>
  <c r="AA68" i="1" s="1"/>
  <c r="AD68" i="1"/>
  <c r="AC68" i="1"/>
  <c r="AD130" i="1"/>
  <c r="W130" i="1"/>
  <c r="AA130" i="1" s="1"/>
  <c r="AC130" i="1"/>
  <c r="R165" i="1"/>
  <c r="P165" i="1" s="1"/>
  <c r="S165" i="1" s="1"/>
  <c r="M165" i="1" s="1"/>
  <c r="N165" i="1" s="1"/>
  <c r="W43" i="1"/>
  <c r="AA43" i="1" s="1"/>
  <c r="AD43" i="1"/>
  <c r="AC43" i="1"/>
  <c r="R75" i="1"/>
  <c r="P75" i="1" s="1"/>
  <c r="S75" i="1" s="1"/>
  <c r="M75" i="1" s="1"/>
  <c r="N75" i="1" s="1"/>
  <c r="R87" i="1"/>
  <c r="P87" i="1" s="1"/>
  <c r="S87" i="1" s="1"/>
  <c r="M87" i="1" s="1"/>
  <c r="N87" i="1" s="1"/>
  <c r="R97" i="1"/>
  <c r="P97" i="1" s="1"/>
  <c r="S97" i="1" s="1"/>
  <c r="M97" i="1" s="1"/>
  <c r="N97" i="1" s="1"/>
  <c r="R149" i="1"/>
  <c r="P149" i="1" s="1"/>
  <c r="S149" i="1" s="1"/>
  <c r="M149" i="1" s="1"/>
  <c r="N149" i="1" s="1"/>
  <c r="AD33" i="1"/>
  <c r="AE33" i="1" s="1"/>
  <c r="W33" i="1"/>
  <c r="AA33" i="1" s="1"/>
  <c r="AC33" i="1"/>
  <c r="W74" i="1"/>
  <c r="AA74" i="1" s="1"/>
  <c r="AD74" i="1"/>
  <c r="AE74" i="1" s="1"/>
  <c r="AC74" i="1"/>
  <c r="R121" i="1"/>
  <c r="P121" i="1" s="1"/>
  <c r="S121" i="1" s="1"/>
  <c r="M121" i="1" s="1"/>
  <c r="N121" i="1" s="1"/>
  <c r="AD205" i="1"/>
  <c r="AE205" i="1" s="1"/>
  <c r="W205" i="1"/>
  <c r="AA205" i="1" s="1"/>
  <c r="AC205" i="1"/>
  <c r="W58" i="1"/>
  <c r="AA58" i="1" s="1"/>
  <c r="AD58" i="1"/>
  <c r="AC58" i="1"/>
  <c r="AC48" i="1"/>
  <c r="W48" i="1"/>
  <c r="AA48" i="1" s="1"/>
  <c r="AD48" i="1"/>
  <c r="AE48" i="1" s="1"/>
  <c r="AD201" i="1"/>
  <c r="AE201" i="1" s="1"/>
  <c r="W201" i="1"/>
  <c r="AA201" i="1" s="1"/>
  <c r="AC201" i="1"/>
  <c r="W192" i="1"/>
  <c r="AA192" i="1" s="1"/>
  <c r="AD192" i="1"/>
  <c r="AE192" i="1" s="1"/>
  <c r="AC192" i="1"/>
  <c r="AD208" i="1"/>
  <c r="AE208" i="1" s="1"/>
  <c r="W208" i="1"/>
  <c r="AA208" i="1" s="1"/>
  <c r="AC208" i="1"/>
  <c r="R85" i="1"/>
  <c r="P85" i="1" s="1"/>
  <c r="S85" i="1" s="1"/>
  <c r="M85" i="1" s="1"/>
  <c r="N85" i="1" s="1"/>
  <c r="R199" i="1"/>
  <c r="P199" i="1" s="1"/>
  <c r="S199" i="1" s="1"/>
  <c r="M199" i="1" s="1"/>
  <c r="N199" i="1" s="1"/>
  <c r="W227" i="1"/>
  <c r="AA227" i="1" s="1"/>
  <c r="AC227" i="1"/>
  <c r="AD227" i="1"/>
  <c r="R227" i="1"/>
  <c r="P227" i="1" s="1"/>
  <c r="S227" i="1" s="1"/>
  <c r="M227" i="1" s="1"/>
  <c r="N227" i="1" s="1"/>
  <c r="W147" i="1"/>
  <c r="AA147" i="1" s="1"/>
  <c r="AD147" i="1"/>
  <c r="AE147" i="1" s="1"/>
  <c r="AC147" i="1"/>
  <c r="W35" i="1"/>
  <c r="AA35" i="1" s="1"/>
  <c r="AD35" i="1"/>
  <c r="AC35" i="1"/>
  <c r="W73" i="1"/>
  <c r="AA73" i="1" s="1"/>
  <c r="AD73" i="1"/>
  <c r="AC73" i="1"/>
  <c r="AC44" i="1"/>
  <c r="W44" i="1"/>
  <c r="AA44" i="1" s="1"/>
  <c r="AD44" i="1"/>
  <c r="AC36" i="1"/>
  <c r="W36" i="1"/>
  <c r="AA36" i="1" s="1"/>
  <c r="AD36" i="1"/>
  <c r="AE36" i="1" s="1"/>
  <c r="W145" i="1"/>
  <c r="AA145" i="1" s="1"/>
  <c r="AD145" i="1"/>
  <c r="AE145" i="1" s="1"/>
  <c r="AC145" i="1"/>
  <c r="W216" i="1"/>
  <c r="AA216" i="1" s="1"/>
  <c r="AD216" i="1"/>
  <c r="AE216" i="1" s="1"/>
  <c r="AC216" i="1"/>
  <c r="R78" i="1"/>
  <c r="P78" i="1" s="1"/>
  <c r="S78" i="1" s="1"/>
  <c r="M78" i="1" s="1"/>
  <c r="N78" i="1" s="1"/>
  <c r="AD53" i="1"/>
  <c r="W53" i="1"/>
  <c r="AA53" i="1" s="1"/>
  <c r="AC53" i="1"/>
  <c r="AD71" i="1"/>
  <c r="AE71" i="1" s="1"/>
  <c r="AC71" i="1"/>
  <c r="W71" i="1"/>
  <c r="AA71" i="1" s="1"/>
  <c r="W116" i="1"/>
  <c r="AA116" i="1" s="1"/>
  <c r="AD116" i="1"/>
  <c r="AE116" i="1" s="1"/>
  <c r="AC116" i="1"/>
  <c r="R116" i="1"/>
  <c r="P116" i="1" s="1"/>
  <c r="S116" i="1" s="1"/>
  <c r="M116" i="1" s="1"/>
  <c r="N116" i="1" s="1"/>
  <c r="W135" i="1"/>
  <c r="AA135" i="1" s="1"/>
  <c r="AD135" i="1"/>
  <c r="AE135" i="1" s="1"/>
  <c r="AC135" i="1"/>
  <c r="W161" i="1"/>
  <c r="AA161" i="1" s="1"/>
  <c r="AD161" i="1"/>
  <c r="AC161" i="1"/>
  <c r="W218" i="1"/>
  <c r="AA218" i="1" s="1"/>
  <c r="AD218" i="1"/>
  <c r="AC218" i="1"/>
  <c r="W153" i="1"/>
  <c r="AA153" i="1" s="1"/>
  <c r="AD153" i="1"/>
  <c r="AE153" i="1" s="1"/>
  <c r="AC153" i="1"/>
  <c r="R114" i="1"/>
  <c r="P114" i="1" s="1"/>
  <c r="S114" i="1" s="1"/>
  <c r="M114" i="1" s="1"/>
  <c r="N114" i="1" s="1"/>
  <c r="AD160" i="1"/>
  <c r="AE160" i="1" s="1"/>
  <c r="AC160" i="1"/>
  <c r="W160" i="1"/>
  <c r="AA160" i="1" s="1"/>
  <c r="W174" i="1"/>
  <c r="AA174" i="1" s="1"/>
  <c r="AD174" i="1"/>
  <c r="AE174" i="1" s="1"/>
  <c r="AC174" i="1"/>
  <c r="R94" i="1"/>
  <c r="P94" i="1" s="1"/>
  <c r="S94" i="1" s="1"/>
  <c r="M94" i="1" s="1"/>
  <c r="N94" i="1" s="1"/>
  <c r="AD190" i="1"/>
  <c r="AC190" i="1"/>
  <c r="W190" i="1"/>
  <c r="AA190" i="1" s="1"/>
  <c r="R131" i="1"/>
  <c r="P131" i="1" s="1"/>
  <c r="S131" i="1" s="1"/>
  <c r="M131" i="1" s="1"/>
  <c r="N131" i="1" s="1"/>
  <c r="W175" i="1"/>
  <c r="AA175" i="1" s="1"/>
  <c r="AD175" i="1"/>
  <c r="AE175" i="1" s="1"/>
  <c r="R175" i="1"/>
  <c r="P175" i="1" s="1"/>
  <c r="S175" i="1" s="1"/>
  <c r="M175" i="1" s="1"/>
  <c r="N175" i="1" s="1"/>
  <c r="AC175" i="1"/>
  <c r="W197" i="1"/>
  <c r="AA197" i="1" s="1"/>
  <c r="AD197" i="1"/>
  <c r="AE197" i="1" s="1"/>
  <c r="AC197" i="1"/>
  <c r="R55" i="1"/>
  <c r="P55" i="1" s="1"/>
  <c r="S55" i="1" s="1"/>
  <c r="M55" i="1" s="1"/>
  <c r="N55" i="1" s="1"/>
  <c r="R72" i="1"/>
  <c r="P72" i="1" s="1"/>
  <c r="S72" i="1" s="1"/>
  <c r="M72" i="1" s="1"/>
  <c r="N72" i="1" s="1"/>
  <c r="AD29" i="1"/>
  <c r="AE29" i="1" s="1"/>
  <c r="W29" i="1"/>
  <c r="AA29" i="1" s="1"/>
  <c r="AC29" i="1"/>
  <c r="R128" i="1"/>
  <c r="P128" i="1" s="1"/>
  <c r="S128" i="1" s="1"/>
  <c r="M128" i="1" s="1"/>
  <c r="N128" i="1" s="1"/>
  <c r="W139" i="1"/>
  <c r="AA139" i="1" s="1"/>
  <c r="AD139" i="1"/>
  <c r="AC139" i="1"/>
  <c r="W184" i="1"/>
  <c r="AA184" i="1" s="1"/>
  <c r="AD184" i="1"/>
  <c r="AE184" i="1" s="1"/>
  <c r="R184" i="1"/>
  <c r="P184" i="1" s="1"/>
  <c r="S184" i="1" s="1"/>
  <c r="M184" i="1" s="1"/>
  <c r="N184" i="1" s="1"/>
  <c r="AC184" i="1"/>
  <c r="W162" i="1"/>
  <c r="AA162" i="1" s="1"/>
  <c r="AD162" i="1"/>
  <c r="AE162" i="1" s="1"/>
  <c r="AC162" i="1"/>
  <c r="AD57" i="1"/>
  <c r="AE57" i="1" s="1"/>
  <c r="W57" i="1"/>
  <c r="AA57" i="1" s="1"/>
  <c r="AC57" i="1"/>
  <c r="R66" i="1"/>
  <c r="P66" i="1" s="1"/>
  <c r="S66" i="1" s="1"/>
  <c r="M66" i="1" s="1"/>
  <c r="N66" i="1" s="1"/>
  <c r="W105" i="1"/>
  <c r="AA105" i="1" s="1"/>
  <c r="AD105" i="1"/>
  <c r="AC105" i="1"/>
  <c r="W141" i="1"/>
  <c r="AA141" i="1" s="1"/>
  <c r="AD141" i="1"/>
  <c r="AC141" i="1"/>
  <c r="R201" i="1"/>
  <c r="P201" i="1" s="1"/>
  <c r="S201" i="1" s="1"/>
  <c r="M201" i="1" s="1"/>
  <c r="N201" i="1" s="1"/>
  <c r="R166" i="1"/>
  <c r="P166" i="1" s="1"/>
  <c r="S166" i="1" s="1"/>
  <c r="M166" i="1" s="1"/>
  <c r="N166" i="1" s="1"/>
  <c r="R41" i="1"/>
  <c r="P41" i="1" s="1"/>
  <c r="S41" i="1" s="1"/>
  <c r="M41" i="1" s="1"/>
  <c r="N41" i="1" s="1"/>
  <c r="W34" i="1"/>
  <c r="AA34" i="1" s="1"/>
  <c r="AD34" i="1"/>
  <c r="AE34" i="1" s="1"/>
  <c r="AC34" i="1"/>
  <c r="AE138" i="1"/>
  <c r="AD152" i="1"/>
  <c r="AE152" i="1" s="1"/>
  <c r="W152" i="1"/>
  <c r="AA152" i="1" s="1"/>
  <c r="AC152" i="1"/>
  <c r="AE98" i="1"/>
  <c r="AE28" i="1" l="1"/>
  <c r="AE218" i="1"/>
  <c r="AE30" i="1"/>
  <c r="AE78" i="1"/>
  <c r="AE31" i="1"/>
  <c r="AE179" i="1"/>
  <c r="AE114" i="1"/>
  <c r="AE139" i="1"/>
  <c r="AE53" i="1"/>
  <c r="AE227" i="1"/>
  <c r="AE130" i="1"/>
  <c r="AE42" i="1"/>
  <c r="AE171" i="1"/>
  <c r="AE187" i="1"/>
  <c r="AE17" i="1"/>
  <c r="AE196" i="1"/>
  <c r="AE207" i="1"/>
  <c r="AE159" i="1"/>
  <c r="AE140" i="1"/>
  <c r="AE219" i="1"/>
  <c r="AE100" i="1"/>
  <c r="AE149" i="1"/>
  <c r="AE21" i="1"/>
  <c r="AE32" i="1"/>
  <c r="AE54" i="1"/>
  <c r="AE45" i="1"/>
  <c r="AE228" i="1"/>
  <c r="AE77" i="1"/>
  <c r="AE178" i="1"/>
  <c r="AE131" i="1"/>
  <c r="AE165" i="1"/>
  <c r="AE69" i="1"/>
  <c r="AE141" i="1"/>
  <c r="AE194" i="1"/>
  <c r="AE202" i="1"/>
  <c r="AE221" i="1"/>
  <c r="AE188" i="1"/>
  <c r="AE84" i="1"/>
  <c r="AE90" i="1"/>
  <c r="AE189" i="1"/>
  <c r="AE105" i="1"/>
  <c r="AE190" i="1"/>
  <c r="AE161" i="1"/>
  <c r="AE35" i="1"/>
  <c r="AE58" i="1"/>
  <c r="AE68" i="1"/>
  <c r="AE213" i="1"/>
  <c r="AE27" i="1"/>
  <c r="AE223" i="1"/>
  <c r="AE25" i="1"/>
  <c r="AE64" i="1"/>
  <c r="AE156" i="1"/>
  <c r="AE62" i="1"/>
  <c r="AE59" i="1"/>
  <c r="AE127" i="1"/>
  <c r="AE49" i="1"/>
  <c r="AE73" i="1"/>
  <c r="AE79" i="1"/>
  <c r="AE63" i="1"/>
  <c r="AE44" i="1"/>
  <c r="AE43" i="1"/>
  <c r="AE39" i="1"/>
  <c r="AE40" i="1"/>
  <c r="AE203" i="1"/>
  <c r="AE220" i="1"/>
  <c r="AE41" i="1"/>
  <c r="AE204" i="1"/>
  <c r="AE85" i="1"/>
  <c r="AE217" i="1"/>
  <c r="AE200" i="1"/>
  <c r="AE209" i="1"/>
  <c r="AE60" i="1"/>
  <c r="AE150" i="1"/>
  <c r="AE134" i="1"/>
  <c r="AE229" i="1"/>
  <c r="AE169" i="1"/>
  <c r="AE99" i="1"/>
  <c r="AE83" i="1"/>
  <c r="AE81" i="1"/>
</calcChain>
</file>

<file path=xl/sharedStrings.xml><?xml version="1.0" encoding="utf-8"?>
<sst xmlns="http://schemas.openxmlformats.org/spreadsheetml/2006/main" count="3201" uniqueCount="759">
  <si>
    <t>File opened</t>
  </si>
  <si>
    <t>2023-07-26 09:31:10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</si>
  <si>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</si>
  <si>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</si>
  <si>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</si>
  <si>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</si>
  <si>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</si>
  <si>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</si>
  <si>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</si>
  <si>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</si>
  <si>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</si>
  <si>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</si>
  <si>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</si>
  <si>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</si>
  <si>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</si>
  <si>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</si>
  <si>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</si>
  <si>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</si>
  <si>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</si>
  <si>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</si>
  <si>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</si>
  <si>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</si>
  <si>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</si>
  <si>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</si>
  <si>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</si>
  <si>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</si>
  <si>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</si>
  <si>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</si>
  <si>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</si>
  <si>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</si>
  <si>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</si>
  <si>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</si>
  <si>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</si>
  <si>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</si>
  <si>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09:31:10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</si>
  <si>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</si>
  <si>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</si>
  <si>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</si>
  <si>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</si>
  <si>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</si>
  <si>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</si>
  <si>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</si>
  <si>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</si>
  <si>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</si>
  <si>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</si>
  <si>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</si>
  <si>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</si>
  <si>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</si>
  <si>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</si>
  <si>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</si>
  <si>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</si>
  <si>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</si>
  <si>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</si>
  <si>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</si>
  <si>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</si>
  <si>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</si>
  <si>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</si>
  <si>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</si>
  <si>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</si>
  <si>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</si>
  <si>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</si>
  <si>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</si>
  <si>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</si>
  <si>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</si>
  <si>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</si>
  <si>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</si>
  <si>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</si>
  <si>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</si>
  <si>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</si>
  <si>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</si>
  <si>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</si>
  <si>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</si>
  <si>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</si>
  <si>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</si>
  <si>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</si>
  <si>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</si>
  <si>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</si>
  <si>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</si>
  <si>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</si>
  <si>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</si>
  <si>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</si>
  <si>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</si>
  <si>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</si>
  <si>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</si>
  <si>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</si>
  <si>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</si>
  <si>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</si>
  <si>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9.91589 89.2799 373.467 608.908 843.11 1054.96 1243.37 1426.36</t>
  </si>
  <si>
    <t>Fs_true</t>
  </si>
  <si>
    <t>-0.0224448 102.496 401.746 601.314 801.108 1000.34 1201.96 1401.15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</si>
  <si>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</si>
  <si>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</si>
  <si>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</si>
  <si>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</si>
  <si>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</si>
  <si>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</si>
  <si>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</si>
  <si>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</si>
  <si>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</si>
  <si>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</si>
  <si>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</si>
  <si>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</si>
  <si>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</si>
  <si>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</si>
  <si>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</si>
  <si>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</si>
  <si>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</si>
  <si>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</si>
  <si>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</si>
  <si>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</si>
  <si>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</si>
  <si>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</si>
  <si>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</si>
  <si>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</si>
  <si>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</si>
  <si>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</si>
  <si>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</si>
  <si>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</si>
  <si>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</si>
  <si>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</si>
  <si>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</si>
  <si>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</si>
  <si>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</si>
  <si>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</si>
  <si>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</si>
  <si>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</si>
  <si>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</si>
  <si>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</si>
  <si>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</si>
  <si>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</si>
  <si>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</si>
  <si>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</si>
  <si>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</si>
  <si>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</si>
  <si>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</si>
  <si>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</si>
  <si>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</si>
  <si>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</si>
  <si>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</si>
  <si>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</si>
  <si>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</si>
  <si>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</si>
  <si>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</si>
  <si>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</si>
  <si>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</si>
  <si>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</si>
  <si>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</si>
  <si>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</si>
  <si>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</si>
  <si>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</si>
  <si>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</si>
  <si>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</si>
  <si>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</si>
  <si>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</si>
  <si>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</si>
  <si>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</si>
  <si>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</si>
  <si>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</si>
  <si>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</si>
  <si>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</si>
  <si>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</si>
  <si>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</si>
  <si>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</si>
  <si>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</si>
  <si>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</si>
  <si>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</si>
  <si>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</si>
  <si>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</si>
  <si>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</si>
  <si>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</si>
  <si>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</si>
  <si>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</si>
  <si>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</si>
  <si>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</si>
  <si>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</si>
  <si>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</si>
  <si>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</si>
  <si>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</si>
  <si>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</si>
  <si>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</si>
  <si>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</si>
  <si>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</si>
  <si>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</si>
  <si>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</si>
  <si>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</si>
  <si>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</si>
  <si>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</si>
  <si>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</si>
  <si>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</si>
  <si>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</si>
  <si>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</si>
  <si>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</si>
  <si>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</si>
  <si>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</si>
  <si>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</si>
  <si>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</si>
  <si>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</si>
  <si>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</si>
  <si>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</si>
  <si>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</si>
  <si>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</si>
  <si>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</si>
  <si>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</si>
  <si>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</si>
  <si>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</si>
  <si>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</si>
  <si>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</si>
  <si>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</si>
  <si>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</si>
  <si>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</si>
  <si>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</si>
  <si>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</si>
  <si>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</si>
  <si>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</si>
  <si>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</si>
  <si>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</si>
  <si>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</si>
  <si>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</si>
  <si>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</si>
  <si>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</si>
  <si>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</si>
  <si>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</si>
  <si>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</si>
  <si>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</si>
  <si>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</si>
  <si>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</si>
  <si>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</si>
  <si>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</si>
  <si>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</si>
  <si>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</si>
  <si>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</si>
  <si>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</si>
  <si>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</si>
  <si>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</si>
  <si>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</si>
  <si>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</si>
  <si>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</si>
  <si>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</si>
  <si>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</si>
  <si>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</si>
  <si>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</si>
  <si>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</si>
  <si>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</si>
  <si>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</si>
  <si>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</si>
  <si>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</si>
  <si>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</si>
  <si>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</si>
  <si>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</si>
  <si>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</si>
  <si>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</si>
  <si>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</si>
  <si>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</si>
  <si>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</si>
  <si>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</si>
  <si>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</si>
  <si>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</si>
  <si>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</si>
  <si>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</si>
  <si>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</si>
  <si>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</si>
  <si>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</si>
  <si>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</si>
  <si>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</si>
  <si>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</si>
  <si>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</si>
  <si>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</si>
  <si>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</si>
  <si>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</si>
  <si>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</si>
  <si>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</si>
  <si>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</si>
  <si>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</si>
  <si>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</si>
  <si>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</si>
  <si>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</si>
  <si>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</si>
  <si>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</si>
  <si>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</si>
  <si>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</si>
  <si>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</si>
  <si>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</si>
  <si>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</si>
  <si>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</si>
  <si>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</si>
  <si>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</si>
  <si>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</si>
  <si>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</si>
  <si>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</si>
  <si>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</si>
  <si>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</si>
  <si>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</si>
  <si>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</si>
  <si>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</si>
  <si>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</si>
  <si>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</si>
  <si>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</si>
  <si>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</si>
  <si>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</si>
  <si>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</si>
  <si>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</si>
  <si>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</si>
  <si>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</si>
  <si>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</si>
  <si>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</si>
  <si>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</si>
  <si>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</si>
  <si>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</si>
  <si>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</si>
  <si>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</si>
  <si>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</si>
  <si>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</si>
  <si>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</si>
  <si>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</si>
  <si>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</si>
  <si>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</si>
  <si>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</si>
  <si>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</si>
  <si>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</si>
  <si>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</si>
  <si>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</si>
  <si>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</si>
  <si>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</si>
  <si>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</si>
  <si>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</si>
  <si>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</si>
  <si>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</si>
  <si>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</si>
  <si>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20230726 09:41:15</t>
  </si>
  <si>
    <t>09:41:15</t>
  </si>
  <si>
    <t>none</t>
  </si>
  <si>
    <t>0: Broadleaf</t>
  </si>
  <si>
    <t>09:32:40</t>
  </si>
  <si>
    <t>0/0</t>
  </si>
  <si>
    <t>00000000</t>
  </si>
  <si>
    <t>iiiiiiii</t>
  </si>
  <si>
    <t>off</t>
  </si>
  <si>
    <t>20230726 09:41:16</t>
  </si>
  <si>
    <t>09:41:16</t>
  </si>
  <si>
    <t>20230726 09:41:17</t>
  </si>
  <si>
    <t>09:41:17</t>
  </si>
  <si>
    <t>20230726 09:41:19</t>
  </si>
  <si>
    <t>09:41:19</t>
  </si>
  <si>
    <t>20230726 09:42:55</t>
  </si>
  <si>
    <t>09:42:55</t>
  </si>
  <si>
    <t>20230726 09:43:05</t>
  </si>
  <si>
    <t>09:43:05</t>
  </si>
  <si>
    <t>20230726 09:43:15</t>
  </si>
  <si>
    <t>09:43:15</t>
  </si>
  <si>
    <t>20230726 09:43:25</t>
  </si>
  <si>
    <t>09:43:25</t>
  </si>
  <si>
    <t>20230726 09:43:35</t>
  </si>
  <si>
    <t>09:43:35</t>
  </si>
  <si>
    <t>20230726 09:43:45</t>
  </si>
  <si>
    <t>09:43:45</t>
  </si>
  <si>
    <t>20230726 09:43:55</t>
  </si>
  <si>
    <t>09:43:55</t>
  </si>
  <si>
    <t>20230726 09:44:05</t>
  </si>
  <si>
    <t>09:44:05</t>
  </si>
  <si>
    <t>20230726 09:44:15</t>
  </si>
  <si>
    <t>09:44:15</t>
  </si>
  <si>
    <t>20230726 09:44:25</t>
  </si>
  <si>
    <t>09:44:25</t>
  </si>
  <si>
    <t>20230726 09:44:35</t>
  </si>
  <si>
    <t>09:44:35</t>
  </si>
  <si>
    <t>20230726 09:44:45</t>
  </si>
  <si>
    <t>09:44:45</t>
  </si>
  <si>
    <t>20230726 09:44:55</t>
  </si>
  <si>
    <t>09:44:55</t>
  </si>
  <si>
    <t>20230726 09:45:05</t>
  </si>
  <si>
    <t>09:45:05</t>
  </si>
  <si>
    <t>20230726 09:45:15</t>
  </si>
  <si>
    <t>09:45:15</t>
  </si>
  <si>
    <t>20230726 09:45:25</t>
  </si>
  <si>
    <t>09:45:25</t>
  </si>
  <si>
    <t>20230726 09:45:35</t>
  </si>
  <si>
    <t>09:45:35</t>
  </si>
  <si>
    <t>20230726 09:45:45</t>
  </si>
  <si>
    <t>09:45:45</t>
  </si>
  <si>
    <t>20230726 09:45:55</t>
  </si>
  <si>
    <t>09:45:55</t>
  </si>
  <si>
    <t>20230726 09:46:05</t>
  </si>
  <si>
    <t>09:46:05</t>
  </si>
  <si>
    <t>20230726 09:46:15</t>
  </si>
  <si>
    <t>09:46:15</t>
  </si>
  <si>
    <t>20230726 09:46:25</t>
  </si>
  <si>
    <t>09:46:25</t>
  </si>
  <si>
    <t>20230726 09:46:35</t>
  </si>
  <si>
    <t>09:46:35</t>
  </si>
  <si>
    <t>20230726 09:46:45</t>
  </si>
  <si>
    <t>09:46:45</t>
  </si>
  <si>
    <t>20230726 09:46:55</t>
  </si>
  <si>
    <t>09:46:55</t>
  </si>
  <si>
    <t>20230726 09:47:05</t>
  </si>
  <si>
    <t>09:47:05</t>
  </si>
  <si>
    <t>20230726 09:47:15</t>
  </si>
  <si>
    <t>09:47:15</t>
  </si>
  <si>
    <t>20230726 09:47:25</t>
  </si>
  <si>
    <t>09:47:25</t>
  </si>
  <si>
    <t>20230726 09:47:35</t>
  </si>
  <si>
    <t>09:47:35</t>
  </si>
  <si>
    <t>20230726 09:47:45</t>
  </si>
  <si>
    <t>09:47:45</t>
  </si>
  <si>
    <t>20230726 09:47:55</t>
  </si>
  <si>
    <t>09:47:55</t>
  </si>
  <si>
    <t>20230726 09:48:05</t>
  </si>
  <si>
    <t>09:48:05</t>
  </si>
  <si>
    <t>20230726 09:48:15</t>
  </si>
  <si>
    <t>09:48:15</t>
  </si>
  <si>
    <t>20230726 09:48:25</t>
  </si>
  <si>
    <t>09:48:25</t>
  </si>
  <si>
    <t>20230726 09:48:35</t>
  </si>
  <si>
    <t>09:48:35</t>
  </si>
  <si>
    <t>20230726 09:48:45</t>
  </si>
  <si>
    <t>09:48:45</t>
  </si>
  <si>
    <t>20230726 09:48:55</t>
  </si>
  <si>
    <t>09:48:55</t>
  </si>
  <si>
    <t>20230726 09:49:05</t>
  </si>
  <si>
    <t>09:49:05</t>
  </si>
  <si>
    <t>20230726 09:49:15</t>
  </si>
  <si>
    <t>09:49:15</t>
  </si>
  <si>
    <t>20230726 09:49:25</t>
  </si>
  <si>
    <t>09:49:25</t>
  </si>
  <si>
    <t>20230726 09:49:35</t>
  </si>
  <si>
    <t>09:49:35</t>
  </si>
  <si>
    <t>20230726 09:49:45</t>
  </si>
  <si>
    <t>09:49:45</t>
  </si>
  <si>
    <t>20230726 09:49:55</t>
  </si>
  <si>
    <t>09:49:55</t>
  </si>
  <si>
    <t>20230726 09:50:05</t>
  </si>
  <si>
    <t>09:50:05</t>
  </si>
  <si>
    <t>20230726 09:50:15</t>
  </si>
  <si>
    <t>09:50:15</t>
  </si>
  <si>
    <t>20230726 09:50:25</t>
  </si>
  <si>
    <t>09:50:25</t>
  </si>
  <si>
    <t>20230726 09:50:35</t>
  </si>
  <si>
    <t>09:50:35</t>
  </si>
  <si>
    <t>20230726 09:50:45</t>
  </si>
  <si>
    <t>09:50:45</t>
  </si>
  <si>
    <t>20230726 09:50:55</t>
  </si>
  <si>
    <t>09:50:55</t>
  </si>
  <si>
    <t>20230726 09:51:05</t>
  </si>
  <si>
    <t>09:51:05</t>
  </si>
  <si>
    <t>20230726 09:51:15</t>
  </si>
  <si>
    <t>09:51:15</t>
  </si>
  <si>
    <t>20230726 09:51:25</t>
  </si>
  <si>
    <t>09:51:25</t>
  </si>
  <si>
    <t>20230726 09:51:35</t>
  </si>
  <si>
    <t>09:51:35</t>
  </si>
  <si>
    <t>20230726 09:51:45</t>
  </si>
  <si>
    <t>09:51:45</t>
  </si>
  <si>
    <t>20230726 09:51:55</t>
  </si>
  <si>
    <t>09:51:55</t>
  </si>
  <si>
    <t>20230726 09:52:05</t>
  </si>
  <si>
    <t>09:52:05</t>
  </si>
  <si>
    <t>20230726 09:52:15</t>
  </si>
  <si>
    <t>09:52:15</t>
  </si>
  <si>
    <t>20230726 09:52:25</t>
  </si>
  <si>
    <t>09:52:25</t>
  </si>
  <si>
    <t>20230726 09:52:35</t>
  </si>
  <si>
    <t>09:52:35</t>
  </si>
  <si>
    <t>20230726 09:52:45</t>
  </si>
  <si>
    <t>09:52:45</t>
  </si>
  <si>
    <t>20230726 09:52:55</t>
  </si>
  <si>
    <t>09:52:55</t>
  </si>
  <si>
    <t>20230726 09:53:05</t>
  </si>
  <si>
    <t>09:53:05</t>
  </si>
  <si>
    <t>20230726 09:53:15</t>
  </si>
  <si>
    <t>09:53:15</t>
  </si>
  <si>
    <t>20230726 09:53:25</t>
  </si>
  <si>
    <t>09:53:25</t>
  </si>
  <si>
    <t>20230726 09:53:35</t>
  </si>
  <si>
    <t>09:53:35</t>
  </si>
  <si>
    <t>20230726 09:53:45</t>
  </si>
  <si>
    <t>09:53:45</t>
  </si>
  <si>
    <t>20230726 09:53:55</t>
  </si>
  <si>
    <t>09:53:55</t>
  </si>
  <si>
    <t>20230726 09:54:05</t>
  </si>
  <si>
    <t>09:54:05</t>
  </si>
  <si>
    <t>20230726 09:54:15</t>
  </si>
  <si>
    <t>09:54:15</t>
  </si>
  <si>
    <t>20230726 09:54:25</t>
  </si>
  <si>
    <t>09:54:25</t>
  </si>
  <si>
    <t>20230726 09:54:35</t>
  </si>
  <si>
    <t>09:54:35</t>
  </si>
  <si>
    <t>20230726 09:54:45</t>
  </si>
  <si>
    <t>09:54:45</t>
  </si>
  <si>
    <t>20230726 09:54:55</t>
  </si>
  <si>
    <t>09:54:55</t>
  </si>
  <si>
    <t>20230726 09:55:05</t>
  </si>
  <si>
    <t>09:55:05</t>
  </si>
  <si>
    <t>20230726 09:55:15</t>
  </si>
  <si>
    <t>09:55:15</t>
  </si>
  <si>
    <t>20230726 09:55:25</t>
  </si>
  <si>
    <t>09:55:25</t>
  </si>
  <si>
    <t>20230726 09:55:36</t>
  </si>
  <si>
    <t>09:55:36</t>
  </si>
  <si>
    <t>20230726 09:55:46</t>
  </si>
  <si>
    <t>09:55:46</t>
  </si>
  <si>
    <t>20230726 09:55:56</t>
  </si>
  <si>
    <t>09:55:56</t>
  </si>
  <si>
    <t>20230726 09:56:06</t>
  </si>
  <si>
    <t>09:56:06</t>
  </si>
  <si>
    <t>20230726 09:56:16</t>
  </si>
  <si>
    <t>09:56:16</t>
  </si>
  <si>
    <t>20230726 09:56:26</t>
  </si>
  <si>
    <t>09:56:26</t>
  </si>
  <si>
    <t>20230726 09:56:36</t>
  </si>
  <si>
    <t>09:56:36</t>
  </si>
  <si>
    <t>20230726 09:56:46</t>
  </si>
  <si>
    <t>09:56:46</t>
  </si>
  <si>
    <t>20230726 09:56:56</t>
  </si>
  <si>
    <t>09:56:56</t>
  </si>
  <si>
    <t>20230726 09:57:06</t>
  </si>
  <si>
    <t>09:57:06</t>
  </si>
  <si>
    <t>20230726 09:57:16</t>
  </si>
  <si>
    <t>09:57:16</t>
  </si>
  <si>
    <t>20230726 09:57:26</t>
  </si>
  <si>
    <t>09:57:26</t>
  </si>
  <si>
    <t>20230726 09:57:36</t>
  </si>
  <si>
    <t>09:57:36</t>
  </si>
  <si>
    <t>20230726 09:57:46</t>
  </si>
  <si>
    <t>09:57:46</t>
  </si>
  <si>
    <t>20230726 09:57:56</t>
  </si>
  <si>
    <t>09:57:56</t>
  </si>
  <si>
    <t>20230726 09:58:06</t>
  </si>
  <si>
    <t>09:58:06</t>
  </si>
  <si>
    <t>20230726 09:58:16</t>
  </si>
  <si>
    <t>09:58:16</t>
  </si>
  <si>
    <t>20230726 09:58:26</t>
  </si>
  <si>
    <t>09:58:26</t>
  </si>
  <si>
    <t>20230726 09:58:36</t>
  </si>
  <si>
    <t>09:58:36</t>
  </si>
  <si>
    <t>20230726 09:58:46</t>
  </si>
  <si>
    <t>09:58:46</t>
  </si>
  <si>
    <t>20230726 09:58:56</t>
  </si>
  <si>
    <t>09:58:56</t>
  </si>
  <si>
    <t>20230726 09:59:06</t>
  </si>
  <si>
    <t>09:59:06</t>
  </si>
  <si>
    <t>20230726 09:59:16</t>
  </si>
  <si>
    <t>09:59:16</t>
  </si>
  <si>
    <t>20230726 09:59:26</t>
  </si>
  <si>
    <t>09:59:26</t>
  </si>
  <si>
    <t>20230726 09:59:36</t>
  </si>
  <si>
    <t>09:59:36</t>
  </si>
  <si>
    <t>20230726 09:59:46</t>
  </si>
  <si>
    <t>09:59:46</t>
  </si>
  <si>
    <t>20230726 09:59:56</t>
  </si>
  <si>
    <t>09:59:56</t>
  </si>
  <si>
    <t>20230726 10:00:06</t>
  </si>
  <si>
    <t>10:00:06</t>
  </si>
  <si>
    <t>20230726 10:00:16</t>
  </si>
  <si>
    <t>10:00:16</t>
  </si>
  <si>
    <t>20230726 10:00:26</t>
  </si>
  <si>
    <t>10:00:26</t>
  </si>
  <si>
    <t>20230726 10:00:36</t>
  </si>
  <si>
    <t>10:00:36</t>
  </si>
  <si>
    <t>20230726 10:00:46</t>
  </si>
  <si>
    <t>10:00:46</t>
  </si>
  <si>
    <t>20230726 10:00:56</t>
  </si>
  <si>
    <t>10:00:56</t>
  </si>
  <si>
    <t>20230726 10:01:06</t>
  </si>
  <si>
    <t>10:01:06</t>
  </si>
  <si>
    <t>20230726 10:01:16</t>
  </si>
  <si>
    <t>10:01:16</t>
  </si>
  <si>
    <t>20230726 10:01:26</t>
  </si>
  <si>
    <t>10:01:26</t>
  </si>
  <si>
    <t>20230726 10:01:36</t>
  </si>
  <si>
    <t>10:01:36</t>
  </si>
  <si>
    <t>20230726 10:01:46</t>
  </si>
  <si>
    <t>10:01:46</t>
  </si>
  <si>
    <t>20230726 10:01:56</t>
  </si>
  <si>
    <t>10:01:56</t>
  </si>
  <si>
    <t>20230726 10:02:06</t>
  </si>
  <si>
    <t>10:02:06</t>
  </si>
  <si>
    <t>20230726 10:02:16</t>
  </si>
  <si>
    <t>10:02:16</t>
  </si>
  <si>
    <t>20230726 10:02:26</t>
  </si>
  <si>
    <t>10:02:26</t>
  </si>
  <si>
    <t>20230726 10:02:36</t>
  </si>
  <si>
    <t>10:02:36</t>
  </si>
  <si>
    <t>20230726 10:02:46</t>
  </si>
  <si>
    <t>10:02:46</t>
  </si>
  <si>
    <t>20230726 10:02:56</t>
  </si>
  <si>
    <t>10:02:56</t>
  </si>
  <si>
    <t>20230726 10:03:06</t>
  </si>
  <si>
    <t>10:03:06</t>
  </si>
  <si>
    <t>20230726 10:03:16</t>
  </si>
  <si>
    <t>10:03:16</t>
  </si>
  <si>
    <t>20230726 10:03:26</t>
  </si>
  <si>
    <t>10:03:26</t>
  </si>
  <si>
    <t>20230726 10:03:36</t>
  </si>
  <si>
    <t>10:03:36</t>
  </si>
  <si>
    <t>20230726 10:03:46</t>
  </si>
  <si>
    <t>10:03:46</t>
  </si>
  <si>
    <t>20230726 10:03:56</t>
  </si>
  <si>
    <t>10:03:56</t>
  </si>
  <si>
    <t>20230726 10:04:06</t>
  </si>
  <si>
    <t>10:04:06</t>
  </si>
  <si>
    <t>20230726 10:04:16</t>
  </si>
  <si>
    <t>10:04:16</t>
  </si>
  <si>
    <t>20230726 10:04:26</t>
  </si>
  <si>
    <t>10:04:26</t>
  </si>
  <si>
    <t>20230726 10:04:36</t>
  </si>
  <si>
    <t>10:04:36</t>
  </si>
  <si>
    <t>20230726 10:04:46</t>
  </si>
  <si>
    <t>10:04:46</t>
  </si>
  <si>
    <t>20230726 10:04:56</t>
  </si>
  <si>
    <t>10:04:56</t>
  </si>
  <si>
    <t>20230726 10:05:06</t>
  </si>
  <si>
    <t>10:05:06</t>
  </si>
  <si>
    <t>20230726 10:05:16</t>
  </si>
  <si>
    <t>10:05:16</t>
  </si>
  <si>
    <t>20230726 10:05:26</t>
  </si>
  <si>
    <t>10:05:26</t>
  </si>
  <si>
    <t>20230726 10:05:36</t>
  </si>
  <si>
    <t>10:05:36</t>
  </si>
  <si>
    <t>20230726 10:05:46</t>
  </si>
  <si>
    <t>10:05:46</t>
  </si>
  <si>
    <t>20230726 10:05:56</t>
  </si>
  <si>
    <t>10:05:56</t>
  </si>
  <si>
    <t>20230726 10:06:06</t>
  </si>
  <si>
    <t>10:06:06</t>
  </si>
  <si>
    <t>20230726 10:06:16</t>
  </si>
  <si>
    <t>10:06:16</t>
  </si>
  <si>
    <t>20230726 10:06:26</t>
  </si>
  <si>
    <t>10:06:26</t>
  </si>
  <si>
    <t>20230726 10:06:36</t>
  </si>
  <si>
    <t>10:06:36</t>
  </si>
  <si>
    <t>20230726 10:06:46</t>
  </si>
  <si>
    <t>10:06:46</t>
  </si>
  <si>
    <t>20230726 10:06:56</t>
  </si>
  <si>
    <t>10:06:56</t>
  </si>
  <si>
    <t>20230726 10:07:06</t>
  </si>
  <si>
    <t>10:07:06</t>
  </si>
  <si>
    <t>20230726 10:07:16</t>
  </si>
  <si>
    <t>10:07:16</t>
  </si>
  <si>
    <t>20230726 10:07:26</t>
  </si>
  <si>
    <t>10:07:26</t>
  </si>
  <si>
    <t>20230726 10:07:36</t>
  </si>
  <si>
    <t>10:07:36</t>
  </si>
  <si>
    <t>20230726 10:07:46</t>
  </si>
  <si>
    <t>10:07:46</t>
  </si>
  <si>
    <t>20230726 10:07:56</t>
  </si>
  <si>
    <t>10:07:56</t>
  </si>
  <si>
    <t>20230726 10:08:06</t>
  </si>
  <si>
    <t>10:08:06</t>
  </si>
  <si>
    <t>20230726 10:08:16</t>
  </si>
  <si>
    <t>10:08:16</t>
  </si>
  <si>
    <t>20230726 10:08:26</t>
  </si>
  <si>
    <t>10:08:26</t>
  </si>
  <si>
    <t>20230726 10:08:36</t>
  </si>
  <si>
    <t>10:08:36</t>
  </si>
  <si>
    <t>20230726 10:08:46</t>
  </si>
  <si>
    <t>10:08:46</t>
  </si>
  <si>
    <t>20230726 10:08:56</t>
  </si>
  <si>
    <t>10:08:56</t>
  </si>
  <si>
    <t>20230726 10:09:06</t>
  </si>
  <si>
    <t>10:09:06</t>
  </si>
  <si>
    <t>20230726 10:09:16</t>
  </si>
  <si>
    <t>10:09:16</t>
  </si>
  <si>
    <t>20230726 10:09:26</t>
  </si>
  <si>
    <t>10:09:26</t>
  </si>
  <si>
    <t>20230726 10:09:36</t>
  </si>
  <si>
    <t>10:09:36</t>
  </si>
  <si>
    <t>20230726 10:09:46</t>
  </si>
  <si>
    <t>10:09:46</t>
  </si>
  <si>
    <t>20230726 10:09:56</t>
  </si>
  <si>
    <t>10:09:56</t>
  </si>
  <si>
    <t>20230726 10:10:06</t>
  </si>
  <si>
    <t>10:10:06</t>
  </si>
  <si>
    <t>20230726 10:10:16</t>
  </si>
  <si>
    <t>10:10:16</t>
  </si>
  <si>
    <t>20230726 10:10:26</t>
  </si>
  <si>
    <t>10:10:26</t>
  </si>
  <si>
    <t>20230726 10:10:36</t>
  </si>
  <si>
    <t>10:10:36</t>
  </si>
  <si>
    <t>20230726 10:10:46</t>
  </si>
  <si>
    <t>10:10:46</t>
  </si>
  <si>
    <t>20230726 10:10:56</t>
  </si>
  <si>
    <t>10:10:56</t>
  </si>
  <si>
    <t>20230726 10:11:06</t>
  </si>
  <si>
    <t>10:11:06</t>
  </si>
  <si>
    <t>20230726 10:11:16</t>
  </si>
  <si>
    <t>10:11:16</t>
  </si>
  <si>
    <t>20230726 10:11:26</t>
  </si>
  <si>
    <t>10:11:26</t>
  </si>
  <si>
    <t>20230726 10:11:36</t>
  </si>
  <si>
    <t>10:11:36</t>
  </si>
  <si>
    <t>20230726 10:11:46</t>
  </si>
  <si>
    <t>10:11:46</t>
  </si>
  <si>
    <t>20230726 10:11:56</t>
  </si>
  <si>
    <t>10:11:56</t>
  </si>
  <si>
    <t>20230726 10:12:06</t>
  </si>
  <si>
    <t>10:12:06</t>
  </si>
  <si>
    <t>20230726 10:12:16</t>
  </si>
  <si>
    <t>10:12:16</t>
  </si>
  <si>
    <t>20230726 10:12:26</t>
  </si>
  <si>
    <t>10:12:26</t>
  </si>
  <si>
    <t>20230726 10:12:36</t>
  </si>
  <si>
    <t>10:12:36</t>
  </si>
  <si>
    <t>20230726 10:12:46</t>
  </si>
  <si>
    <t>10:12:46</t>
  </si>
  <si>
    <t>20230726 10:12:56</t>
  </si>
  <si>
    <t>10:12:56</t>
  </si>
  <si>
    <t>20230726 10:13:06</t>
  </si>
  <si>
    <t>10:13:06</t>
  </si>
  <si>
    <t>20230726 10:13:16</t>
  </si>
  <si>
    <t>10:13:16</t>
  </si>
  <si>
    <t>20230726 10:13:26</t>
  </si>
  <si>
    <t>10:13:26</t>
  </si>
  <si>
    <t>20230726 10:13:36</t>
  </si>
  <si>
    <t>10:13:36</t>
  </si>
  <si>
    <t>20230726 10:13:46</t>
  </si>
  <si>
    <t>10:13:46</t>
  </si>
  <si>
    <t>20230726 10:13:56</t>
  </si>
  <si>
    <t>10:13:56</t>
  </si>
  <si>
    <t>20230726 10:14:06</t>
  </si>
  <si>
    <t>10:14:06</t>
  </si>
  <si>
    <t>20230726 10:14:16</t>
  </si>
  <si>
    <t>10:14:16</t>
  </si>
  <si>
    <t>20230726 10:14:26</t>
  </si>
  <si>
    <t>10:14:26</t>
  </si>
  <si>
    <t>20230726 10:14:36</t>
  </si>
  <si>
    <t>10:14:36</t>
  </si>
  <si>
    <t>20230726 10:14:46</t>
  </si>
  <si>
    <t>10:14:46</t>
  </si>
  <si>
    <t>20230726 10:14:56</t>
  </si>
  <si>
    <t>10:14:56</t>
  </si>
  <si>
    <t>20230726 10:15:06</t>
  </si>
  <si>
    <t>10:15:06</t>
  </si>
  <si>
    <t>20230726 10:15:16</t>
  </si>
  <si>
    <t>10:15:16</t>
  </si>
  <si>
    <t>20230726 10:15:26</t>
  </si>
  <si>
    <t>10:15:26</t>
  </si>
  <si>
    <t>20230726 10:15:36</t>
  </si>
  <si>
    <t>10:15:36</t>
  </si>
  <si>
    <t>20230726 10:15:46</t>
  </si>
  <si>
    <t>10:15:46</t>
  </si>
  <si>
    <t>20230726 10:15:56</t>
  </si>
  <si>
    <t>10:15:56</t>
  </si>
  <si>
    <t>20230726 10:16:06</t>
  </si>
  <si>
    <t>10:16:06</t>
  </si>
  <si>
    <t>20230726 10:16:16</t>
  </si>
  <si>
    <t>10:16:16</t>
  </si>
  <si>
    <t>20230726 10:16:26</t>
  </si>
  <si>
    <t>10:16:26</t>
  </si>
  <si>
    <t>20230726 10:16:36</t>
  </si>
  <si>
    <t>10:16:36</t>
  </si>
  <si>
    <t>20230726 10:16:46</t>
  </si>
  <si>
    <t>10:16:46</t>
  </si>
  <si>
    <t>20230726 10:16:56</t>
  </si>
  <si>
    <t>10:16:56</t>
  </si>
  <si>
    <t>20230726 10:17:06</t>
  </si>
  <si>
    <t>10:17:06</t>
  </si>
  <si>
    <t>20230726 10:17:16</t>
  </si>
  <si>
    <t>10:17:16</t>
  </si>
  <si>
    <t>20230726 10:17:26</t>
  </si>
  <si>
    <t>10:17:26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</si>
</sst>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9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1690382475.0999999</v>
      </c>
      <c r="C17">
        <v>0</v>
      </c>
      <c r="D17" t="s">
        <v>328</v>
      </c>
      <c r="E17" t="s">
        <v>329</v>
      </c>
      <c r="F17" t="s">
        <v>330</v>
      </c>
      <c r="H17">
        <v>1690382475.0999999</v>
      </c>
      <c r="I17">
        <f t="shared" ref="I17:I80" si="0">(J17)/1000</f>
        <v>1.5597437437247784E-4</v>
      </c>
      <c r="J17">
        <f t="shared" ref="J17:J80" si="1">1000*AZ17*AH17*(AV17-AW17)/(100*AO17*(1000-AH17*AV17))</f>
        <v>0.15597437437247783</v>
      </c>
      <c r="K17">
        <f t="shared" ref="K17:K80" si="2">AZ17*AH17*(AU17-AT17*(1000-AH17*AW17)/(1000-AH17*AV17))/(100*AO17)</f>
        <v>-0.96553115140326773</v>
      </c>
      <c r="L17">
        <f t="shared" ref="L17:L80" si="3">AT17 - IF(AH17&gt;1, K17*AO17*100/(AJ17*BH17), 0)</f>
        <v>809.21799999999996</v>
      </c>
      <c r="M17">
        <f t="shared" ref="M17:M80" si="4">((S17-I17/2)*L17-K17)/(S17+I17/2)</f>
        <v>917.68934476996162</v>
      </c>
      <c r="N17">
        <f t="shared" ref="N17:N80" si="5">M17*(BA17+BB17)/1000</f>
        <v>90.651764246285509</v>
      </c>
      <c r="O17">
        <f t="shared" ref="O17:O80" si="6">(AT17 - IF(AH17&gt;1, K17*AO17*100/(AJ17*BH17), 0))*(BA17+BB17)/1000</f>
        <v>79.936679855685981</v>
      </c>
      <c r="P17">
        <f t="shared" ref="P17:P80" si="7">2/((1/R17-1/Q17)+SIGN(R17)*SQRT((1/R17-1/Q17)*(1/R17-1/Q17) + 4*AP17/((AP17+1)*(AP17+1))*(2*1/R17*1/Q17-1/Q17*1/Q17)))</f>
        <v>1.2289352254167264E-2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2.1140078447879205</v>
      </c>
      <c r="R17">
        <f t="shared" ref="R17:R80" si="9">I17*(1000-(1000*0.61365*EXP(17.502*V17/(240.97+V17))/(BA17+BB17)+AV17)/2)/(1000*0.61365*EXP(17.502*V17/(240.97+V17))/(BA17+BB17)-AV17)</f>
        <v>1.2249800388722623E-2</v>
      </c>
      <c r="S17">
        <f t="shared" ref="S17:S80" si="10">1/((AP17+1)/(P17/1.6)+1/(Q17/1.37)) + AP17/((AP17+1)/(P17/1.6) + AP17/(Q17/1.37))</f>
        <v>7.6596681530538757E-3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26.844932306247696</v>
      </c>
      <c r="V17">
        <f t="shared" ref="V17:V80" si="13">($C$7*BD17+$D$7*BE17+$E$7*U17)</f>
        <v>26.844932306247696</v>
      </c>
      <c r="W17">
        <f t="shared" ref="W17:W80" si="14">0.61365*EXP(17.502*V17/(240.97+V17))</f>
        <v>3.5466917491041339</v>
      </c>
      <c r="X17">
        <f t="shared" ref="X17:X80" si="15">(Y17/Z17*100)</f>
        <v>65.379892731068821</v>
      </c>
      <c r="Y17">
        <f t="shared" ref="Y17:Y80" si="16">AV17*(BA17+BB17)/1000</f>
        <v>2.3263012310619002</v>
      </c>
      <c r="Z17">
        <f t="shared" ref="Z17:Z80" si="17">0.61365*EXP(17.502*BC17/(240.97+BC17))</f>
        <v>3.5581294705251652</v>
      </c>
      <c r="AA17">
        <f t="shared" ref="AA17:AA80" si="18">(W17-AV17*(BA17+BB17)/1000)</f>
        <v>1.2203905180422336</v>
      </c>
      <c r="AB17">
        <f t="shared" ref="AB17:AB80" si="19">(-I17*44100)</f>
        <v>-6.8784699098262729</v>
      </c>
      <c r="AC17">
        <f t="shared" ref="AC17:AC80" si="20">2*29.3*Q17*0.92*(BC17-V17)</f>
        <v>6.2418954671863291</v>
      </c>
      <c r="AD17">
        <f t="shared" ref="AD17:AD80" si="21">2*0.95*0.0000000567*(((BC17+$B$7)+273)^4-(V17+273)^4)</f>
        <v>0.6364000869981975</v>
      </c>
      <c r="AE17">
        <f t="shared" ref="AE17:AE80" si="22">T17+AD17+AB17+AC17</f>
        <v>-1.7435564174661522E-4</v>
      </c>
      <c r="AF17">
        <v>0</v>
      </c>
      <c r="AG17">
        <v>0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52376.156304605131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32.700000000000003</v>
      </c>
      <c r="AP17">
        <v>0.5</v>
      </c>
      <c r="AQ17" t="s">
        <v>331</v>
      </c>
      <c r="AR17">
        <v>2</v>
      </c>
      <c r="AS17">
        <v>1690382475.0999999</v>
      </c>
      <c r="AT17">
        <v>809.21799999999996</v>
      </c>
      <c r="AU17">
        <v>800.07600000000002</v>
      </c>
      <c r="AV17">
        <v>23.549700000000001</v>
      </c>
      <c r="AW17">
        <v>21.890799999999999</v>
      </c>
      <c r="AX17">
        <v>809.48800000000006</v>
      </c>
      <c r="AY17">
        <v>23.374500000000001</v>
      </c>
      <c r="AZ17">
        <v>300.214</v>
      </c>
      <c r="BA17">
        <v>98.682599999999994</v>
      </c>
      <c r="BB17">
        <v>0.100027</v>
      </c>
      <c r="BC17">
        <v>26.899699999999999</v>
      </c>
      <c r="BD17">
        <v>26.980599999999999</v>
      </c>
      <c r="BE17">
        <v>27.090399999999999</v>
      </c>
      <c r="BF17">
        <v>0</v>
      </c>
      <c r="BG17">
        <v>0</v>
      </c>
      <c r="BH17">
        <v>10035.6</v>
      </c>
      <c r="BI17">
        <v>0.74664399999999997</v>
      </c>
      <c r="BJ17">
        <v>2.2510500000000002</v>
      </c>
      <c r="BK17">
        <v>9.1425199999999993</v>
      </c>
      <c r="BL17">
        <v>828.73500000000001</v>
      </c>
      <c r="BM17">
        <v>817.98199999999997</v>
      </c>
      <c r="BN17">
        <v>1.65889</v>
      </c>
      <c r="BO17">
        <v>800.07600000000002</v>
      </c>
      <c r="BP17">
        <v>21.890799999999999</v>
      </c>
      <c r="BQ17">
        <v>2.32395</v>
      </c>
      <c r="BR17">
        <v>2.1602399999999999</v>
      </c>
      <c r="BS17">
        <v>19.843399999999999</v>
      </c>
      <c r="BT17">
        <v>18.670500000000001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1690381960.0999999</v>
      </c>
      <c r="CC17" t="s">
        <v>332</v>
      </c>
      <c r="CD17">
        <v>1690381960.0999999</v>
      </c>
      <c r="CE17">
        <v>1690381958.0999999</v>
      </c>
      <c r="CF17">
        <v>4</v>
      </c>
      <c r="CG17">
        <v>9.9000000000000005E-2</v>
      </c>
      <c r="CH17">
        <v>1.2E-2</v>
      </c>
      <c r="CI17">
        <v>-0.26300000000000001</v>
      </c>
      <c r="CJ17">
        <v>0.127</v>
      </c>
      <c r="CK17">
        <v>798</v>
      </c>
      <c r="CL17">
        <v>18</v>
      </c>
      <c r="CM17">
        <v>0.02</v>
      </c>
      <c r="CN17">
        <v>0.12</v>
      </c>
      <c r="CO17">
        <v>9.2084295121951225</v>
      </c>
      <c r="CP17">
        <v>-0.40567860627177232</v>
      </c>
      <c r="CQ17">
        <v>4.5340460311133493E-2</v>
      </c>
      <c r="CR17">
        <v>-1</v>
      </c>
      <c r="CS17">
        <v>1.658937073170732</v>
      </c>
      <c r="CT17">
        <v>-2.156592334494711E-2</v>
      </c>
      <c r="CU17">
        <v>2.342005856882187E-3</v>
      </c>
      <c r="CV17">
        <v>-1</v>
      </c>
      <c r="CW17">
        <v>0</v>
      </c>
      <c r="CX17">
        <v>0</v>
      </c>
      <c r="CY17" t="s">
        <v>333</v>
      </c>
      <c r="CZ17">
        <v>2.3646400000000001</v>
      </c>
      <c r="DA17">
        <v>2.7138499999999999</v>
      </c>
      <c r="DB17">
        <v>0.14734900000000001</v>
      </c>
      <c r="DC17">
        <v>0.145871</v>
      </c>
      <c r="DD17">
        <v>0.11200599999999999</v>
      </c>
      <c r="DE17">
        <v>0.104797</v>
      </c>
      <c r="DF17">
        <v>31134.3</v>
      </c>
      <c r="DG17">
        <v>27523.5</v>
      </c>
      <c r="DH17">
        <v>31172.3</v>
      </c>
      <c r="DI17">
        <v>28078.3</v>
      </c>
      <c r="DJ17">
        <v>37581.699999999997</v>
      </c>
      <c r="DK17">
        <v>35737.599999999999</v>
      </c>
      <c r="DL17">
        <v>44361</v>
      </c>
      <c r="DM17">
        <v>42554.5</v>
      </c>
      <c r="DN17">
        <v>1.46187</v>
      </c>
      <c r="DO17">
        <v>2.0641500000000002</v>
      </c>
      <c r="DP17">
        <v>7.4580300000000002E-2</v>
      </c>
      <c r="DQ17">
        <v>7.3239200000000004E-2</v>
      </c>
      <c r="DR17">
        <v>25.759599999999999</v>
      </c>
      <c r="DS17">
        <v>25.8917</v>
      </c>
      <c r="DT17">
        <v>57.3</v>
      </c>
      <c r="DU17">
        <v>28.8</v>
      </c>
      <c r="DV17">
        <v>23.0809</v>
      </c>
      <c r="DW17">
        <v>61.143000000000001</v>
      </c>
      <c r="DX17">
        <v>36.253999999999998</v>
      </c>
      <c r="DY17">
        <v>1</v>
      </c>
      <c r="DZ17">
        <v>-9.2705800000000005E-2</v>
      </c>
      <c r="EA17">
        <v>-0.90769599999999995</v>
      </c>
      <c r="EB17">
        <v>20.3019</v>
      </c>
      <c r="EC17">
        <v>5.2406499999999996</v>
      </c>
      <c r="ED17">
        <v>12.039899999999999</v>
      </c>
      <c r="EE17">
        <v>5.0166000000000004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</v>
      </c>
      <c r="EL17">
        <v>1.8646199999999999</v>
      </c>
      <c r="EM17">
        <v>1.8692</v>
      </c>
      <c r="EN17">
        <v>1.86724</v>
      </c>
      <c r="EO17">
        <v>1.86337</v>
      </c>
      <c r="EP17">
        <v>1.8644700000000001</v>
      </c>
      <c r="EQ17">
        <v>1.87015</v>
      </c>
      <c r="ER17">
        <v>1.8693599999999999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-0.27</v>
      </c>
      <c r="FG17">
        <v>0.17519999999999999</v>
      </c>
      <c r="FH17">
        <v>0.28746640474027818</v>
      </c>
      <c r="FI17">
        <v>-6.1462078757559423E-4</v>
      </c>
      <c r="FJ17">
        <v>-1.8861989874597051E-7</v>
      </c>
      <c r="FK17">
        <v>1.1980462299894961E-10</v>
      </c>
      <c r="FL17">
        <v>0.17524818673008091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8.6</v>
      </c>
      <c r="FU17">
        <v>8.6</v>
      </c>
      <c r="FV17">
        <v>1.79688</v>
      </c>
      <c r="FW17">
        <v>2.5781200000000002</v>
      </c>
      <c r="FX17">
        <v>1.5490699999999999</v>
      </c>
      <c r="FY17">
        <v>2.3315399999999999</v>
      </c>
      <c r="FZ17">
        <v>1.50146</v>
      </c>
      <c r="GA17">
        <v>2.2875999999999999</v>
      </c>
      <c r="GB17">
        <v>33.333500000000001</v>
      </c>
      <c r="GC17">
        <v>24.017499999999998</v>
      </c>
      <c r="GD17">
        <v>19</v>
      </c>
      <c r="GE17">
        <v>276.58800000000002</v>
      </c>
      <c r="GF17">
        <v>605.51900000000001</v>
      </c>
      <c r="GG17">
        <v>27.8461</v>
      </c>
      <c r="GH17">
        <v>26.2637</v>
      </c>
      <c r="GI17">
        <v>30.000499999999999</v>
      </c>
      <c r="GJ17">
        <v>26.2974</v>
      </c>
      <c r="GK17">
        <v>26.258700000000001</v>
      </c>
      <c r="GL17">
        <v>35.926900000000003</v>
      </c>
      <c r="GM17">
        <v>14.489599999999999</v>
      </c>
      <c r="GN17">
        <v>100</v>
      </c>
      <c r="GO17">
        <v>29.144400000000001</v>
      </c>
      <c r="GP17">
        <v>800</v>
      </c>
      <c r="GQ17">
        <v>21.803000000000001</v>
      </c>
      <c r="GR17">
        <v>99.738</v>
      </c>
      <c r="GS17">
        <v>99.552099999999996</v>
      </c>
    </row>
    <row r="18" spans="1:201" x14ac:dyDescent="0.25">
      <c r="A18">
        <v>2</v>
      </c>
      <c r="B18">
        <v>1690382476.0999999</v>
      </c>
      <c r="C18">
        <v>1</v>
      </c>
      <c r="D18" t="s">
        <v>337</v>
      </c>
      <c r="E18" t="s">
        <v>338</v>
      </c>
      <c r="F18" t="s">
        <v>330</v>
      </c>
      <c r="H18">
        <v>1690382476.0999999</v>
      </c>
      <c r="I18">
        <f t="shared" si="0"/>
        <v>1.5639849300352955E-4</v>
      </c>
      <c r="J18">
        <f t="shared" si="1"/>
        <v>0.15639849300352954</v>
      </c>
      <c r="K18">
        <f t="shared" si="2"/>
        <v>-0.96556598306250963</v>
      </c>
      <c r="L18">
        <f t="shared" si="3"/>
        <v>809.23699999999997</v>
      </c>
      <c r="M18">
        <f t="shared" si="4"/>
        <v>917.30856541883259</v>
      </c>
      <c r="N18">
        <f t="shared" si="5"/>
        <v>90.613723313190718</v>
      </c>
      <c r="O18">
        <f t="shared" si="6"/>
        <v>79.938180430393999</v>
      </c>
      <c r="P18">
        <f t="shared" si="7"/>
        <v>1.2330479467116313E-2</v>
      </c>
      <c r="Q18">
        <f t="shared" si="8"/>
        <v>2.1107800148050231</v>
      </c>
      <c r="R18">
        <f t="shared" si="9"/>
        <v>1.2290602219920637E-2</v>
      </c>
      <c r="S18">
        <f t="shared" si="10"/>
        <v>7.6851983921670947E-3</v>
      </c>
      <c r="T18">
        <f t="shared" si="11"/>
        <v>0</v>
      </c>
      <c r="U18">
        <f t="shared" si="12"/>
        <v>26.841307014586629</v>
      </c>
      <c r="V18">
        <f t="shared" si="13"/>
        <v>26.841307014586629</v>
      </c>
      <c r="W18">
        <f t="shared" si="14"/>
        <v>3.5459357747405549</v>
      </c>
      <c r="X18">
        <f t="shared" si="15"/>
        <v>65.392651894776137</v>
      </c>
      <c r="Y18">
        <f t="shared" si="16"/>
        <v>2.3262902804514001</v>
      </c>
      <c r="Z18">
        <f t="shared" si="17"/>
        <v>3.5574184760004126</v>
      </c>
      <c r="AA18">
        <f t="shared" si="18"/>
        <v>1.2196454942891548</v>
      </c>
      <c r="AB18">
        <f t="shared" si="19"/>
        <v>-6.8971735414556532</v>
      </c>
      <c r="AC18">
        <f t="shared" si="20"/>
        <v>6.258002234188675</v>
      </c>
      <c r="AD18">
        <f t="shared" si="21"/>
        <v>0.638995518295149</v>
      </c>
      <c r="AE18">
        <f t="shared" si="22"/>
        <v>-1.7578897182879416E-4</v>
      </c>
      <c r="AF18">
        <v>1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52235.890926708409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32.700000000000003</v>
      </c>
      <c r="AP18">
        <v>0.5</v>
      </c>
      <c r="AQ18" t="s">
        <v>331</v>
      </c>
      <c r="AR18">
        <v>2</v>
      </c>
      <c r="AS18">
        <v>1690382476.0999999</v>
      </c>
      <c r="AT18">
        <v>809.23699999999997</v>
      </c>
      <c r="AU18">
        <v>800.09900000000005</v>
      </c>
      <c r="AV18">
        <v>23.549700000000001</v>
      </c>
      <c r="AW18">
        <v>21.886399999999998</v>
      </c>
      <c r="AX18">
        <v>809.50699999999995</v>
      </c>
      <c r="AY18">
        <v>23.374400000000001</v>
      </c>
      <c r="AZ18">
        <v>300.23399999999998</v>
      </c>
      <c r="BA18">
        <v>98.682100000000005</v>
      </c>
      <c r="BB18">
        <v>0.100062</v>
      </c>
      <c r="BC18">
        <v>26.8963</v>
      </c>
      <c r="BD18">
        <v>26.979900000000001</v>
      </c>
      <c r="BE18">
        <v>27.087499999999999</v>
      </c>
      <c r="BF18">
        <v>0</v>
      </c>
      <c r="BG18">
        <v>0</v>
      </c>
      <c r="BH18">
        <v>10007.5</v>
      </c>
      <c r="BI18">
        <v>0.74906899999999998</v>
      </c>
      <c r="BJ18">
        <v>2.1641499999999998</v>
      </c>
      <c r="BK18">
        <v>9.1377600000000001</v>
      </c>
      <c r="BL18">
        <v>828.75400000000002</v>
      </c>
      <c r="BM18">
        <v>818.00199999999995</v>
      </c>
      <c r="BN18">
        <v>1.6633199999999999</v>
      </c>
      <c r="BO18">
        <v>800.09900000000005</v>
      </c>
      <c r="BP18">
        <v>21.886399999999998</v>
      </c>
      <c r="BQ18">
        <v>2.3239299999999998</v>
      </c>
      <c r="BR18">
        <v>2.1597900000000001</v>
      </c>
      <c r="BS18">
        <v>19.843299999999999</v>
      </c>
      <c r="BT18">
        <v>18.667100000000001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1690381960.0999999</v>
      </c>
      <c r="CC18" t="s">
        <v>332</v>
      </c>
      <c r="CD18">
        <v>1690381960.0999999</v>
      </c>
      <c r="CE18">
        <v>1690381958.0999999</v>
      </c>
      <c r="CF18">
        <v>4</v>
      </c>
      <c r="CG18">
        <v>9.9000000000000005E-2</v>
      </c>
      <c r="CH18">
        <v>1.2E-2</v>
      </c>
      <c r="CI18">
        <v>-0.26300000000000001</v>
      </c>
      <c r="CJ18">
        <v>0.127</v>
      </c>
      <c r="CK18">
        <v>798</v>
      </c>
      <c r="CL18">
        <v>18</v>
      </c>
      <c r="CM18">
        <v>0.02</v>
      </c>
      <c r="CN18">
        <v>0.12</v>
      </c>
      <c r="CO18">
        <v>9.2084295121951225</v>
      </c>
      <c r="CP18">
        <v>-0.40567860627177232</v>
      </c>
      <c r="CQ18">
        <v>4.5340460311133493E-2</v>
      </c>
      <c r="CR18">
        <v>-1</v>
      </c>
      <c r="CS18">
        <v>1.658937073170732</v>
      </c>
      <c r="CT18">
        <v>-2.156592334494711E-2</v>
      </c>
      <c r="CU18">
        <v>2.342005856882187E-3</v>
      </c>
      <c r="CV18">
        <v>-1</v>
      </c>
      <c r="CW18">
        <v>0</v>
      </c>
      <c r="CX18">
        <v>0</v>
      </c>
      <c r="CY18" t="s">
        <v>333</v>
      </c>
      <c r="CZ18">
        <v>2.3647</v>
      </c>
      <c r="DA18">
        <v>2.7138599999999999</v>
      </c>
      <c r="DB18">
        <v>0.14735000000000001</v>
      </c>
      <c r="DC18">
        <v>0.145873</v>
      </c>
      <c r="DD18">
        <v>0.11200599999999999</v>
      </c>
      <c r="DE18">
        <v>0.104781</v>
      </c>
      <c r="DF18">
        <v>31134.1</v>
      </c>
      <c r="DG18">
        <v>27523.4</v>
      </c>
      <c r="DH18">
        <v>31172.2</v>
      </c>
      <c r="DI18">
        <v>28078.3</v>
      </c>
      <c r="DJ18">
        <v>37581.599999999999</v>
      </c>
      <c r="DK18">
        <v>35738.199999999997</v>
      </c>
      <c r="DL18">
        <v>44360.9</v>
      </c>
      <c r="DM18">
        <v>42554.5</v>
      </c>
      <c r="DN18">
        <v>1.4617199999999999</v>
      </c>
      <c r="DO18">
        <v>2.0640000000000001</v>
      </c>
      <c r="DP18">
        <v>7.4543100000000001E-2</v>
      </c>
      <c r="DQ18">
        <v>7.3127399999999995E-2</v>
      </c>
      <c r="DR18">
        <v>25.759599999999999</v>
      </c>
      <c r="DS18">
        <v>25.890599999999999</v>
      </c>
      <c r="DT18">
        <v>57.3</v>
      </c>
      <c r="DU18">
        <v>28.8</v>
      </c>
      <c r="DV18">
        <v>23.0838</v>
      </c>
      <c r="DW18">
        <v>61.192999999999998</v>
      </c>
      <c r="DX18">
        <v>35.392600000000002</v>
      </c>
      <c r="DY18">
        <v>1</v>
      </c>
      <c r="DZ18">
        <v>-9.2586399999999999E-2</v>
      </c>
      <c r="EA18">
        <v>-2.3319299999999998</v>
      </c>
      <c r="EB18">
        <v>20.261299999999999</v>
      </c>
      <c r="EC18">
        <v>5.2408000000000001</v>
      </c>
      <c r="ED18">
        <v>12.039899999999999</v>
      </c>
      <c r="EE18">
        <v>5.0166000000000004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</v>
      </c>
      <c r="EL18">
        <v>1.8646199999999999</v>
      </c>
      <c r="EM18">
        <v>1.8692</v>
      </c>
      <c r="EN18">
        <v>1.8672299999999999</v>
      </c>
      <c r="EO18">
        <v>1.86337</v>
      </c>
      <c r="EP18">
        <v>1.8644700000000001</v>
      </c>
      <c r="EQ18">
        <v>1.87015</v>
      </c>
      <c r="ER18">
        <v>1.8693599999999999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-0.27</v>
      </c>
      <c r="FG18">
        <v>0.17530000000000001</v>
      </c>
      <c r="FH18">
        <v>0.28746640474027818</v>
      </c>
      <c r="FI18">
        <v>-6.1462078757559423E-4</v>
      </c>
      <c r="FJ18">
        <v>-1.8861989874597051E-7</v>
      </c>
      <c r="FK18">
        <v>1.1980462299894961E-10</v>
      </c>
      <c r="FL18">
        <v>0.17524818673008091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8.6</v>
      </c>
      <c r="FU18">
        <v>8.6</v>
      </c>
      <c r="FV18">
        <v>1.79688</v>
      </c>
      <c r="FW18">
        <v>2.5817899999999998</v>
      </c>
      <c r="FX18">
        <v>1.5490699999999999</v>
      </c>
      <c r="FY18">
        <v>2.3315399999999999</v>
      </c>
      <c r="FZ18">
        <v>1.50146</v>
      </c>
      <c r="GA18">
        <v>2.3742700000000001</v>
      </c>
      <c r="GB18">
        <v>33.333500000000001</v>
      </c>
      <c r="GC18">
        <v>23.956199999999999</v>
      </c>
      <c r="GD18">
        <v>19</v>
      </c>
      <c r="GE18">
        <v>276.52499999999998</v>
      </c>
      <c r="GF18">
        <v>605.39800000000002</v>
      </c>
      <c r="GG18">
        <v>27.854500000000002</v>
      </c>
      <c r="GH18">
        <v>26.264199999999999</v>
      </c>
      <c r="GI18">
        <v>30.000499999999999</v>
      </c>
      <c r="GJ18">
        <v>26.2974</v>
      </c>
      <c r="GK18">
        <v>26.2593</v>
      </c>
      <c r="GL18">
        <v>35.9251</v>
      </c>
      <c r="GM18">
        <v>14.489599999999999</v>
      </c>
      <c r="GN18">
        <v>100</v>
      </c>
      <c r="GO18">
        <v>29.144400000000001</v>
      </c>
      <c r="GP18">
        <v>800</v>
      </c>
      <c r="GQ18">
        <v>21.804300000000001</v>
      </c>
      <c r="GR18">
        <v>99.7376</v>
      </c>
      <c r="GS18">
        <v>99.552000000000007</v>
      </c>
    </row>
    <row r="19" spans="1:201" x14ac:dyDescent="0.25">
      <c r="A19">
        <v>3</v>
      </c>
      <c r="B19">
        <v>1690382476.5999999</v>
      </c>
      <c r="C19">
        <v>1.5</v>
      </c>
      <c r="D19" t="s">
        <v>337</v>
      </c>
      <c r="E19" t="s">
        <v>338</v>
      </c>
      <c r="F19" t="s">
        <v>330</v>
      </c>
      <c r="H19">
        <v>1690382476.5999999</v>
      </c>
      <c r="I19">
        <f t="shared" si="0"/>
        <v>1.5672405864377279E-4</v>
      </c>
      <c r="J19">
        <f t="shared" si="1"/>
        <v>0.15672405864377278</v>
      </c>
      <c r="K19">
        <f t="shared" si="2"/>
        <v>-0.96695636308174404</v>
      </c>
      <c r="L19">
        <f t="shared" si="3"/>
        <v>809.25800000000004</v>
      </c>
      <c r="M19">
        <f t="shared" si="4"/>
        <v>917.20870943431032</v>
      </c>
      <c r="N19">
        <f t="shared" si="5"/>
        <v>90.603989566787718</v>
      </c>
      <c r="O19">
        <f t="shared" si="6"/>
        <v>79.940369770432014</v>
      </c>
      <c r="P19">
        <f t="shared" si="7"/>
        <v>1.2360977398725798E-2</v>
      </c>
      <c r="Q19">
        <f t="shared" si="8"/>
        <v>2.1089876936435141</v>
      </c>
      <c r="R19">
        <f t="shared" si="9"/>
        <v>1.2320869052787365E-2</v>
      </c>
      <c r="S19">
        <f t="shared" si="10"/>
        <v>7.7041358276563644E-3</v>
      </c>
      <c r="T19">
        <f t="shared" si="11"/>
        <v>0</v>
      </c>
      <c r="U19">
        <f t="shared" si="12"/>
        <v>26.839449962318081</v>
      </c>
      <c r="V19">
        <f t="shared" si="13"/>
        <v>26.839449962318081</v>
      </c>
      <c r="W19">
        <f t="shared" si="14"/>
        <v>3.5455485820667398</v>
      </c>
      <c r="X19">
        <f t="shared" si="15"/>
        <v>65.401224426101365</v>
      </c>
      <c r="Y19">
        <f t="shared" si="16"/>
        <v>2.3263627721216</v>
      </c>
      <c r="Z19">
        <f t="shared" si="17"/>
        <v>3.5570630252499642</v>
      </c>
      <c r="AA19">
        <f t="shared" si="18"/>
        <v>1.2191858099451398</v>
      </c>
      <c r="AB19">
        <f t="shared" si="19"/>
        <v>-6.91153098619038</v>
      </c>
      <c r="AC19">
        <f t="shared" si="20"/>
        <v>6.2705451957895431</v>
      </c>
      <c r="AD19">
        <f t="shared" si="21"/>
        <v>0.64080899800433555</v>
      </c>
      <c r="AE19">
        <f t="shared" si="22"/>
        <v>-1.767923965010354E-4</v>
      </c>
      <c r="AF19">
        <v>1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52158.090282939011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32.700000000000003</v>
      </c>
      <c r="AP19">
        <v>0.5</v>
      </c>
      <c r="AQ19" t="s">
        <v>331</v>
      </c>
      <c r="AR19">
        <v>2</v>
      </c>
      <c r="AS19">
        <v>1690382476.5999999</v>
      </c>
      <c r="AT19">
        <v>809.25800000000004</v>
      </c>
      <c r="AU19">
        <v>800.10699999999997</v>
      </c>
      <c r="AV19">
        <v>23.5504</v>
      </c>
      <c r="AW19">
        <v>21.883500000000002</v>
      </c>
      <c r="AX19">
        <v>809.52800000000002</v>
      </c>
      <c r="AY19">
        <v>23.3751</v>
      </c>
      <c r="AZ19">
        <v>300.209</v>
      </c>
      <c r="BA19">
        <v>98.682299999999998</v>
      </c>
      <c r="BB19">
        <v>0.100004</v>
      </c>
      <c r="BC19">
        <v>26.894600000000001</v>
      </c>
      <c r="BD19">
        <v>26.9757</v>
      </c>
      <c r="BE19">
        <v>27.085799999999999</v>
      </c>
      <c r="BF19">
        <v>0</v>
      </c>
      <c r="BG19">
        <v>0</v>
      </c>
      <c r="BH19">
        <v>9991.8799999999992</v>
      </c>
      <c r="BI19">
        <v>0.74179600000000001</v>
      </c>
      <c r="BJ19">
        <v>2.1024799999999999</v>
      </c>
      <c r="BK19">
        <v>9.1504499999999993</v>
      </c>
      <c r="BL19">
        <v>828.77599999999995</v>
      </c>
      <c r="BM19">
        <v>818.00800000000004</v>
      </c>
      <c r="BN19">
        <v>1.6668400000000001</v>
      </c>
      <c r="BO19">
        <v>800.10699999999997</v>
      </c>
      <c r="BP19">
        <v>21.883500000000002</v>
      </c>
      <c r="BQ19">
        <v>2.3239999999999998</v>
      </c>
      <c r="BR19">
        <v>2.15951</v>
      </c>
      <c r="BS19">
        <v>19.843699999999998</v>
      </c>
      <c r="BT19">
        <v>18.665099999999999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1690381960.0999999</v>
      </c>
      <c r="CC19" t="s">
        <v>332</v>
      </c>
      <c r="CD19">
        <v>1690381960.0999999</v>
      </c>
      <c r="CE19">
        <v>1690381958.0999999</v>
      </c>
      <c r="CF19">
        <v>4</v>
      </c>
      <c r="CG19">
        <v>9.9000000000000005E-2</v>
      </c>
      <c r="CH19">
        <v>1.2E-2</v>
      </c>
      <c r="CI19">
        <v>-0.26300000000000001</v>
      </c>
      <c r="CJ19">
        <v>0.127</v>
      </c>
      <c r="CK19">
        <v>798</v>
      </c>
      <c r="CL19">
        <v>18</v>
      </c>
      <c r="CM19">
        <v>0.02</v>
      </c>
      <c r="CN19">
        <v>0.12</v>
      </c>
      <c r="CO19">
        <v>9.1974232499999999</v>
      </c>
      <c r="CP19">
        <v>-0.41367208255161791</v>
      </c>
      <c r="CQ19">
        <v>4.5145987883061199E-2</v>
      </c>
      <c r="CR19">
        <v>-1</v>
      </c>
      <c r="CS19">
        <v>1.6588912499999999</v>
      </c>
      <c r="CT19">
        <v>-1.640228893058714E-2</v>
      </c>
      <c r="CU19">
        <v>2.400871911931167E-3</v>
      </c>
      <c r="CV19">
        <v>-1</v>
      </c>
      <c r="CW19">
        <v>0</v>
      </c>
      <c r="CX19">
        <v>0</v>
      </c>
      <c r="CY19" t="s">
        <v>333</v>
      </c>
      <c r="CZ19">
        <v>2.3646199999999999</v>
      </c>
      <c r="DA19">
        <v>2.7137899999999999</v>
      </c>
      <c r="DB19">
        <v>0.14735300000000001</v>
      </c>
      <c r="DC19">
        <v>0.145874</v>
      </c>
      <c r="DD19">
        <v>0.112008</v>
      </c>
      <c r="DE19">
        <v>0.104772</v>
      </c>
      <c r="DF19">
        <v>31134</v>
      </c>
      <c r="DG19">
        <v>27523.4</v>
      </c>
      <c r="DH19">
        <v>31172.2</v>
      </c>
      <c r="DI19">
        <v>28078.3</v>
      </c>
      <c r="DJ19">
        <v>37581.5</v>
      </c>
      <c r="DK19">
        <v>35738.5</v>
      </c>
      <c r="DL19">
        <v>44360.800000000003</v>
      </c>
      <c r="DM19">
        <v>42554.400000000001</v>
      </c>
      <c r="DN19">
        <v>1.46167</v>
      </c>
      <c r="DO19">
        <v>2.0641500000000002</v>
      </c>
      <c r="DP19">
        <v>7.4282299999999996E-2</v>
      </c>
      <c r="DQ19">
        <v>7.3052900000000004E-2</v>
      </c>
      <c r="DR19">
        <v>25.759599999999999</v>
      </c>
      <c r="DS19">
        <v>25.8901</v>
      </c>
      <c r="DT19">
        <v>57.3</v>
      </c>
      <c r="DU19">
        <v>28.8</v>
      </c>
      <c r="DV19">
        <v>23.0776</v>
      </c>
      <c r="DW19">
        <v>61.192999999999998</v>
      </c>
      <c r="DX19">
        <v>36.406199999999998</v>
      </c>
      <c r="DY19">
        <v>1</v>
      </c>
      <c r="DZ19">
        <v>-9.2210399999999998E-2</v>
      </c>
      <c r="EA19">
        <v>-3.05341</v>
      </c>
      <c r="EB19">
        <v>20.240600000000001</v>
      </c>
      <c r="EC19">
        <v>5.2409499999999998</v>
      </c>
      <c r="ED19">
        <v>12.039899999999999</v>
      </c>
      <c r="EE19">
        <v>5.0164499999999999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</v>
      </c>
      <c r="EL19">
        <v>1.8646199999999999</v>
      </c>
      <c r="EM19">
        <v>1.8692</v>
      </c>
      <c r="EN19">
        <v>1.8672299999999999</v>
      </c>
      <c r="EO19">
        <v>1.86337</v>
      </c>
      <c r="EP19">
        <v>1.8644700000000001</v>
      </c>
      <c r="EQ19">
        <v>1.87015</v>
      </c>
      <c r="ER19">
        <v>1.8693599999999999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-0.27</v>
      </c>
      <c r="FG19">
        <v>0.17530000000000001</v>
      </c>
      <c r="FH19">
        <v>0.28746640474027818</v>
      </c>
      <c r="FI19">
        <v>-6.1462078757559423E-4</v>
      </c>
      <c r="FJ19">
        <v>-1.8861989874597051E-7</v>
      </c>
      <c r="FK19">
        <v>1.1980462299894961E-10</v>
      </c>
      <c r="FL19">
        <v>0.17524818673008091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8.6</v>
      </c>
      <c r="FU19">
        <v>8.6</v>
      </c>
      <c r="FV19">
        <v>1.79688</v>
      </c>
      <c r="FW19">
        <v>2.5793499999999998</v>
      </c>
      <c r="FX19">
        <v>1.5490699999999999</v>
      </c>
      <c r="FY19">
        <v>2.3315399999999999</v>
      </c>
      <c r="FZ19">
        <v>1.50146</v>
      </c>
      <c r="GA19">
        <v>2.34985</v>
      </c>
      <c r="GB19">
        <v>33.333500000000001</v>
      </c>
      <c r="GC19">
        <v>23.9649</v>
      </c>
      <c r="GD19">
        <v>19</v>
      </c>
      <c r="GE19">
        <v>276.505</v>
      </c>
      <c r="GF19">
        <v>605.529</v>
      </c>
      <c r="GG19">
        <v>27.881599999999999</v>
      </c>
      <c r="GH19">
        <v>26.264500000000002</v>
      </c>
      <c r="GI19">
        <v>30.000800000000002</v>
      </c>
      <c r="GJ19">
        <v>26.297699999999999</v>
      </c>
      <c r="GK19">
        <v>26.259599999999999</v>
      </c>
      <c r="GL19">
        <v>35.925199999999997</v>
      </c>
      <c r="GM19">
        <v>14.489599999999999</v>
      </c>
      <c r="GN19">
        <v>100</v>
      </c>
      <c r="GO19">
        <v>29.144400000000001</v>
      </c>
      <c r="GP19">
        <v>800</v>
      </c>
      <c r="GQ19">
        <v>21.802600000000002</v>
      </c>
      <c r="GR19">
        <v>99.737499999999997</v>
      </c>
      <c r="GS19">
        <v>99.552000000000007</v>
      </c>
    </row>
    <row r="20" spans="1:201" x14ac:dyDescent="0.25">
      <c r="A20">
        <v>4</v>
      </c>
      <c r="B20">
        <v>1690382477.5999999</v>
      </c>
      <c r="C20">
        <v>2.5</v>
      </c>
      <c r="D20" t="s">
        <v>339</v>
      </c>
      <c r="E20" t="s">
        <v>340</v>
      </c>
      <c r="F20" t="s">
        <v>330</v>
      </c>
      <c r="H20">
        <v>1690382477.5999999</v>
      </c>
      <c r="I20">
        <f t="shared" si="0"/>
        <v>1.5723123338001562E-4</v>
      </c>
      <c r="J20">
        <f t="shared" si="1"/>
        <v>0.15723123338001563</v>
      </c>
      <c r="K20">
        <f t="shared" si="2"/>
        <v>-0.96923431110781788</v>
      </c>
      <c r="L20">
        <f t="shared" si="3"/>
        <v>809.27099999999996</v>
      </c>
      <c r="M20">
        <f t="shared" si="4"/>
        <v>917.04800009297048</v>
      </c>
      <c r="N20">
        <f t="shared" si="5"/>
        <v>90.588480229927868</v>
      </c>
      <c r="O20">
        <f t="shared" si="6"/>
        <v>79.941976839512989</v>
      </c>
      <c r="P20">
        <f t="shared" si="7"/>
        <v>1.2408574883899416E-2</v>
      </c>
      <c r="Q20">
        <f t="shared" si="8"/>
        <v>2.1104999389042685</v>
      </c>
      <c r="R20">
        <f t="shared" si="9"/>
        <v>1.2368186462674718E-2</v>
      </c>
      <c r="S20">
        <f t="shared" si="10"/>
        <v>7.7337342623456044E-3</v>
      </c>
      <c r="T20">
        <f t="shared" si="11"/>
        <v>0</v>
      </c>
      <c r="U20">
        <f t="shared" si="12"/>
        <v>26.836207302801537</v>
      </c>
      <c r="V20">
        <f t="shared" si="13"/>
        <v>26.836207302801537</v>
      </c>
      <c r="W20">
        <f t="shared" si="14"/>
        <v>3.5448725808062065</v>
      </c>
      <c r="X20">
        <f t="shared" si="15"/>
        <v>65.414517920203153</v>
      </c>
      <c r="Y20">
        <f t="shared" si="16"/>
        <v>2.3264116818123997</v>
      </c>
      <c r="Z20">
        <f t="shared" si="17"/>
        <v>3.5564149301693346</v>
      </c>
      <c r="AA20">
        <f t="shared" si="18"/>
        <v>1.2184608989938068</v>
      </c>
      <c r="AB20">
        <f t="shared" si="19"/>
        <v>-6.9338973920586886</v>
      </c>
      <c r="AC20">
        <f t="shared" si="20"/>
        <v>6.291273458600152</v>
      </c>
      <c r="AD20">
        <f t="shared" si="21"/>
        <v>0.64244622897281234</v>
      </c>
      <c r="AE20">
        <f t="shared" si="22"/>
        <v>-1.7770448572385078E-4</v>
      </c>
      <c r="AF20">
        <v>1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52224.530401742217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32.700000000000003</v>
      </c>
      <c r="AP20">
        <v>0.5</v>
      </c>
      <c r="AQ20" t="s">
        <v>331</v>
      </c>
      <c r="AR20">
        <v>2</v>
      </c>
      <c r="AS20">
        <v>1690382477.5999999</v>
      </c>
      <c r="AT20">
        <v>809.27099999999996</v>
      </c>
      <c r="AU20">
        <v>800.09799999999996</v>
      </c>
      <c r="AV20">
        <v>23.550799999999999</v>
      </c>
      <c r="AW20">
        <v>21.8782</v>
      </c>
      <c r="AX20">
        <v>809.54100000000005</v>
      </c>
      <c r="AY20">
        <v>23.375499999999999</v>
      </c>
      <c r="AZ20">
        <v>300.154</v>
      </c>
      <c r="BA20">
        <v>98.682699999999997</v>
      </c>
      <c r="BB20">
        <v>0.10000299999999999</v>
      </c>
      <c r="BC20">
        <v>26.891500000000001</v>
      </c>
      <c r="BD20">
        <v>26.970199999999998</v>
      </c>
      <c r="BE20">
        <v>27.078900000000001</v>
      </c>
      <c r="BF20">
        <v>0</v>
      </c>
      <c r="BG20">
        <v>0</v>
      </c>
      <c r="BH20">
        <v>10005</v>
      </c>
      <c r="BI20">
        <v>0.72482599999999997</v>
      </c>
      <c r="BJ20">
        <v>1.97072</v>
      </c>
      <c r="BK20">
        <v>9.1728500000000004</v>
      </c>
      <c r="BL20">
        <v>828.79</v>
      </c>
      <c r="BM20">
        <v>817.99400000000003</v>
      </c>
      <c r="BN20">
        <v>1.6725699999999999</v>
      </c>
      <c r="BO20">
        <v>800.09799999999996</v>
      </c>
      <c r="BP20">
        <v>21.8782</v>
      </c>
      <c r="BQ20">
        <v>2.3240500000000002</v>
      </c>
      <c r="BR20">
        <v>2.1589999999999998</v>
      </c>
      <c r="BS20">
        <v>19.844100000000001</v>
      </c>
      <c r="BT20">
        <v>18.661300000000001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1690381960.0999999</v>
      </c>
      <c r="CC20" t="s">
        <v>332</v>
      </c>
      <c r="CD20">
        <v>1690381960.0999999</v>
      </c>
      <c r="CE20">
        <v>1690381958.0999999</v>
      </c>
      <c r="CF20">
        <v>4</v>
      </c>
      <c r="CG20">
        <v>9.9000000000000005E-2</v>
      </c>
      <c r="CH20">
        <v>1.2E-2</v>
      </c>
      <c r="CI20">
        <v>-0.26300000000000001</v>
      </c>
      <c r="CJ20">
        <v>0.127</v>
      </c>
      <c r="CK20">
        <v>798</v>
      </c>
      <c r="CL20">
        <v>18</v>
      </c>
      <c r="CM20">
        <v>0.02</v>
      </c>
      <c r="CN20">
        <v>0.12</v>
      </c>
      <c r="CO20">
        <v>9.1974232499999999</v>
      </c>
      <c r="CP20">
        <v>-0.41367208255161791</v>
      </c>
      <c r="CQ20">
        <v>4.5145987883061199E-2</v>
      </c>
      <c r="CR20">
        <v>-1</v>
      </c>
      <c r="CS20">
        <v>1.6588912499999999</v>
      </c>
      <c r="CT20">
        <v>-1.640228893058714E-2</v>
      </c>
      <c r="CU20">
        <v>2.400871911931167E-3</v>
      </c>
      <c r="CV20">
        <v>-1</v>
      </c>
      <c r="CW20">
        <v>0</v>
      </c>
      <c r="CX20">
        <v>0</v>
      </c>
      <c r="CY20" t="s">
        <v>333</v>
      </c>
      <c r="CZ20">
        <v>2.36443</v>
      </c>
      <c r="DA20">
        <v>2.7138</v>
      </c>
      <c r="DB20">
        <v>0.14735500000000001</v>
      </c>
      <c r="DC20">
        <v>0.145873</v>
      </c>
      <c r="DD20">
        <v>0.11201</v>
      </c>
      <c r="DE20">
        <v>0.104754</v>
      </c>
      <c r="DF20">
        <v>31133.9</v>
      </c>
      <c r="DG20">
        <v>27523.5</v>
      </c>
      <c r="DH20">
        <v>31172.2</v>
      </c>
      <c r="DI20">
        <v>28078.3</v>
      </c>
      <c r="DJ20">
        <v>37581.4</v>
      </c>
      <c r="DK20">
        <v>35739.1</v>
      </c>
      <c r="DL20">
        <v>44360.9</v>
      </c>
      <c r="DM20">
        <v>42554.3</v>
      </c>
      <c r="DN20">
        <v>1.4616499999999999</v>
      </c>
      <c r="DO20">
        <v>2.0642499999999999</v>
      </c>
      <c r="DP20">
        <v>7.3946999999999999E-2</v>
      </c>
      <c r="DQ20">
        <v>7.2699E-2</v>
      </c>
      <c r="DR20">
        <v>25.759599999999999</v>
      </c>
      <c r="DS20">
        <v>25.888999999999999</v>
      </c>
      <c r="DT20">
        <v>57.3</v>
      </c>
      <c r="DU20">
        <v>28.8</v>
      </c>
      <c r="DV20">
        <v>23.085000000000001</v>
      </c>
      <c r="DW20">
        <v>61.512999999999998</v>
      </c>
      <c r="DX20">
        <v>35.508800000000001</v>
      </c>
      <c r="DY20">
        <v>1</v>
      </c>
      <c r="DZ20">
        <v>-9.0688500000000005E-2</v>
      </c>
      <c r="EA20">
        <v>-4.3947700000000003</v>
      </c>
      <c r="EB20">
        <v>20.204000000000001</v>
      </c>
      <c r="EC20">
        <v>5.2409499999999998</v>
      </c>
      <c r="ED20">
        <v>12.039899999999999</v>
      </c>
      <c r="EE20">
        <v>5.0165499999999996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</v>
      </c>
      <c r="EL20">
        <v>1.8646199999999999</v>
      </c>
      <c r="EM20">
        <v>1.8692</v>
      </c>
      <c r="EN20">
        <v>1.8672200000000001</v>
      </c>
      <c r="EO20">
        <v>1.86337</v>
      </c>
      <c r="EP20">
        <v>1.8644700000000001</v>
      </c>
      <c r="EQ20">
        <v>1.87015</v>
      </c>
      <c r="ER20">
        <v>1.8693500000000001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-0.27</v>
      </c>
      <c r="FG20">
        <v>0.17530000000000001</v>
      </c>
      <c r="FH20">
        <v>0.28746640474027818</v>
      </c>
      <c r="FI20">
        <v>-6.1462078757559423E-4</v>
      </c>
      <c r="FJ20">
        <v>-1.8861989874597051E-7</v>
      </c>
      <c r="FK20">
        <v>1.1980462299894961E-10</v>
      </c>
      <c r="FL20">
        <v>0.17524818673008091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8.6</v>
      </c>
      <c r="FU20">
        <v>8.6999999999999993</v>
      </c>
      <c r="FV20">
        <v>1.79688</v>
      </c>
      <c r="FW20">
        <v>2.5793499999999998</v>
      </c>
      <c r="FX20">
        <v>1.5490699999999999</v>
      </c>
      <c r="FY20">
        <v>2.3327599999999999</v>
      </c>
      <c r="FZ20">
        <v>1.50146</v>
      </c>
      <c r="GA20">
        <v>2.34619</v>
      </c>
      <c r="GB20">
        <v>33.333500000000001</v>
      </c>
      <c r="GC20">
        <v>23.9649</v>
      </c>
      <c r="GD20">
        <v>19</v>
      </c>
      <c r="GE20">
        <v>276.49700000000001</v>
      </c>
      <c r="GF20">
        <v>605.61900000000003</v>
      </c>
      <c r="GG20">
        <v>28.0166</v>
      </c>
      <c r="GH20">
        <v>26.2651</v>
      </c>
      <c r="GI20">
        <v>30.001999999999999</v>
      </c>
      <c r="GJ20">
        <v>26.298200000000001</v>
      </c>
      <c r="GK20">
        <v>26.259899999999998</v>
      </c>
      <c r="GL20">
        <v>35.927500000000002</v>
      </c>
      <c r="GM20">
        <v>14.489599999999999</v>
      </c>
      <c r="GN20">
        <v>100</v>
      </c>
      <c r="GO20">
        <v>29.144400000000001</v>
      </c>
      <c r="GP20">
        <v>800</v>
      </c>
      <c r="GQ20">
        <v>21.803599999999999</v>
      </c>
      <c r="GR20">
        <v>99.737499999999997</v>
      </c>
      <c r="GS20">
        <v>99.551900000000003</v>
      </c>
    </row>
    <row r="21" spans="1:201" x14ac:dyDescent="0.25">
      <c r="A21">
        <v>5</v>
      </c>
      <c r="B21">
        <v>1690382479.0999999</v>
      </c>
      <c r="C21">
        <v>4</v>
      </c>
      <c r="D21" t="s">
        <v>341</v>
      </c>
      <c r="E21" t="s">
        <v>342</v>
      </c>
      <c r="F21" t="s">
        <v>330</v>
      </c>
      <c r="H21">
        <v>1690382479.0999999</v>
      </c>
      <c r="I21">
        <f t="shared" si="0"/>
        <v>1.5778377412198303E-4</v>
      </c>
      <c r="J21">
        <f t="shared" si="1"/>
        <v>0.15778377412198302</v>
      </c>
      <c r="K21">
        <f t="shared" si="2"/>
        <v>-0.97275366439261068</v>
      </c>
      <c r="L21">
        <f t="shared" si="3"/>
        <v>809.23400000000004</v>
      </c>
      <c r="M21">
        <f t="shared" si="4"/>
        <v>916.97567923475731</v>
      </c>
      <c r="N21">
        <f t="shared" si="5"/>
        <v>90.58660411364994</v>
      </c>
      <c r="O21">
        <f t="shared" si="6"/>
        <v>79.942970847908612</v>
      </c>
      <c r="P21">
        <f t="shared" si="7"/>
        <v>1.2458233026201982E-2</v>
      </c>
      <c r="Q21">
        <f t="shared" si="8"/>
        <v>2.1095622224957391</v>
      </c>
      <c r="R21">
        <f t="shared" si="9"/>
        <v>1.2417503235277322E-2</v>
      </c>
      <c r="S21">
        <f t="shared" si="10"/>
        <v>7.7645877739852109E-3</v>
      </c>
      <c r="T21">
        <f t="shared" si="11"/>
        <v>0</v>
      </c>
      <c r="U21">
        <f t="shared" si="12"/>
        <v>26.833990513067103</v>
      </c>
      <c r="V21">
        <f t="shared" si="13"/>
        <v>26.833990513067103</v>
      </c>
      <c r="W21">
        <f t="shared" si="14"/>
        <v>3.5444105086510493</v>
      </c>
      <c r="X21">
        <f t="shared" si="15"/>
        <v>65.423235244287241</v>
      </c>
      <c r="Y21">
        <f t="shared" si="16"/>
        <v>2.3264481903554199</v>
      </c>
      <c r="Z21">
        <f t="shared" si="17"/>
        <v>3.5559968590189301</v>
      </c>
      <c r="AA21">
        <f t="shared" si="18"/>
        <v>1.2179623182956294</v>
      </c>
      <c r="AB21">
        <f t="shared" si="19"/>
        <v>-6.9582644387794517</v>
      </c>
      <c r="AC21">
        <f t="shared" si="20"/>
        <v>6.3131338346203139</v>
      </c>
      <c r="AD21">
        <f t="shared" si="21"/>
        <v>0.64495150594158757</v>
      </c>
      <c r="AE21">
        <f t="shared" si="22"/>
        <v>-1.7909821754980015E-4</v>
      </c>
      <c r="AF21">
        <v>0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52184.138384596466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32.700000000000003</v>
      </c>
      <c r="AP21">
        <v>0.5</v>
      </c>
      <c r="AQ21" t="s">
        <v>331</v>
      </c>
      <c r="AR21">
        <v>2</v>
      </c>
      <c r="AS21">
        <v>1690382479.0999999</v>
      </c>
      <c r="AT21">
        <v>809.23400000000004</v>
      </c>
      <c r="AU21">
        <v>800.029</v>
      </c>
      <c r="AV21">
        <v>23.549800000000001</v>
      </c>
      <c r="AW21">
        <v>21.871600000000001</v>
      </c>
      <c r="AX21">
        <v>809.505</v>
      </c>
      <c r="AY21">
        <v>23.374600000000001</v>
      </c>
      <c r="AZ21">
        <v>300.20400000000001</v>
      </c>
      <c r="BA21">
        <v>98.688500000000005</v>
      </c>
      <c r="BB21">
        <v>9.9947900000000006E-2</v>
      </c>
      <c r="BC21">
        <v>26.889500000000002</v>
      </c>
      <c r="BD21">
        <v>26.966699999999999</v>
      </c>
      <c r="BE21">
        <v>27.068999999999999</v>
      </c>
      <c r="BF21">
        <v>0</v>
      </c>
      <c r="BG21">
        <v>0</v>
      </c>
      <c r="BH21">
        <v>9996.25</v>
      </c>
      <c r="BI21">
        <v>0.705426</v>
      </c>
      <c r="BJ21">
        <v>1.8697999999999999</v>
      </c>
      <c r="BK21">
        <v>9.2058700000000009</v>
      </c>
      <c r="BL21">
        <v>828.75099999999998</v>
      </c>
      <c r="BM21">
        <v>817.91800000000001</v>
      </c>
      <c r="BN21">
        <v>1.6782300000000001</v>
      </c>
      <c r="BO21">
        <v>800.029</v>
      </c>
      <c r="BP21">
        <v>21.871600000000001</v>
      </c>
      <c r="BQ21">
        <v>2.3241000000000001</v>
      </c>
      <c r="BR21">
        <v>2.15848</v>
      </c>
      <c r="BS21">
        <v>19.8444</v>
      </c>
      <c r="BT21">
        <v>18.657399999999999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1690381960.0999999</v>
      </c>
      <c r="CC21" t="s">
        <v>332</v>
      </c>
      <c r="CD21">
        <v>1690381960.0999999</v>
      </c>
      <c r="CE21">
        <v>1690381958.0999999</v>
      </c>
      <c r="CF21">
        <v>4</v>
      </c>
      <c r="CG21">
        <v>9.9000000000000005E-2</v>
      </c>
      <c r="CH21">
        <v>1.2E-2</v>
      </c>
      <c r="CI21">
        <v>-0.26300000000000001</v>
      </c>
      <c r="CJ21">
        <v>0.127</v>
      </c>
      <c r="CK21">
        <v>798</v>
      </c>
      <c r="CL21">
        <v>18</v>
      </c>
      <c r="CM21">
        <v>0.02</v>
      </c>
      <c r="CN21">
        <v>0.12</v>
      </c>
      <c r="CO21">
        <v>9.1916060975609746</v>
      </c>
      <c r="CP21">
        <v>-0.36011686411147092</v>
      </c>
      <c r="CQ21">
        <v>4.2465506167232603E-2</v>
      </c>
      <c r="CR21">
        <v>-1</v>
      </c>
      <c r="CS21">
        <v>1.659528292682926</v>
      </c>
      <c r="CT21">
        <v>5.4585365853349066E-4</v>
      </c>
      <c r="CU21">
        <v>3.6953140415337169E-3</v>
      </c>
      <c r="CV21">
        <v>-1</v>
      </c>
      <c r="CW21">
        <v>0</v>
      </c>
      <c r="CX21">
        <v>0</v>
      </c>
      <c r="CY21" t="s">
        <v>333</v>
      </c>
      <c r="CZ21">
        <v>2.3645800000000001</v>
      </c>
      <c r="DA21">
        <v>2.71374</v>
      </c>
      <c r="DB21">
        <v>0.14735799999999999</v>
      </c>
      <c r="DC21">
        <v>0.145873</v>
      </c>
      <c r="DD21">
        <v>0.112013</v>
      </c>
      <c r="DE21">
        <v>0.104738</v>
      </c>
      <c r="DF21">
        <v>31133.7</v>
      </c>
      <c r="DG21">
        <v>27523.4</v>
      </c>
      <c r="DH21">
        <v>31172.1</v>
      </c>
      <c r="DI21">
        <v>28078.2</v>
      </c>
      <c r="DJ21">
        <v>37581.199999999997</v>
      </c>
      <c r="DK21">
        <v>35739.699999999997</v>
      </c>
      <c r="DL21">
        <v>44360.7</v>
      </c>
      <c r="DM21">
        <v>42554.2</v>
      </c>
      <c r="DN21">
        <v>1.46245</v>
      </c>
      <c r="DO21">
        <v>2.0643699999999998</v>
      </c>
      <c r="DP21">
        <v>7.3760699999999998E-2</v>
      </c>
      <c r="DQ21">
        <v>7.2196099999999999E-2</v>
      </c>
      <c r="DR21">
        <v>25.7592</v>
      </c>
      <c r="DS21">
        <v>25.8874</v>
      </c>
      <c r="DT21">
        <v>57.3</v>
      </c>
      <c r="DU21">
        <v>28.8</v>
      </c>
      <c r="DV21">
        <v>23.0837</v>
      </c>
      <c r="DW21">
        <v>61.313000000000002</v>
      </c>
      <c r="DX21">
        <v>35.681100000000001</v>
      </c>
      <c r="DY21">
        <v>1</v>
      </c>
      <c r="DZ21">
        <v>-8.7266300000000005E-2</v>
      </c>
      <c r="EA21">
        <v>-5.8173700000000004</v>
      </c>
      <c r="EB21">
        <v>20.173100000000002</v>
      </c>
      <c r="EC21">
        <v>5.2409499999999998</v>
      </c>
      <c r="ED21">
        <v>12.039899999999999</v>
      </c>
      <c r="EE21">
        <v>5.0166000000000004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</v>
      </c>
      <c r="EL21">
        <v>1.8646199999999999</v>
      </c>
      <c r="EM21">
        <v>1.8692</v>
      </c>
      <c r="EN21">
        <v>1.8672299999999999</v>
      </c>
      <c r="EO21">
        <v>1.86338</v>
      </c>
      <c r="EP21">
        <v>1.8644700000000001</v>
      </c>
      <c r="EQ21">
        <v>1.8701399999999999</v>
      </c>
      <c r="ER21">
        <v>1.8693599999999999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-0.27100000000000002</v>
      </c>
      <c r="FG21">
        <v>0.17519999999999999</v>
      </c>
      <c r="FH21">
        <v>0.28746640474027818</v>
      </c>
      <c r="FI21">
        <v>-6.1462078757559423E-4</v>
      </c>
      <c r="FJ21">
        <v>-1.8861989874597051E-7</v>
      </c>
      <c r="FK21">
        <v>1.1980462299894961E-10</v>
      </c>
      <c r="FL21">
        <v>0.17524818673008091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8.6999999999999993</v>
      </c>
      <c r="FU21">
        <v>8.6999999999999993</v>
      </c>
      <c r="FV21">
        <v>1.79688</v>
      </c>
      <c r="FW21">
        <v>2.5805699999999998</v>
      </c>
      <c r="FX21">
        <v>1.5490699999999999</v>
      </c>
      <c r="FY21">
        <v>2.3327599999999999</v>
      </c>
      <c r="FZ21">
        <v>1.50146</v>
      </c>
      <c r="GA21">
        <v>2.3303199999999999</v>
      </c>
      <c r="GB21">
        <v>33.333500000000001</v>
      </c>
      <c r="GC21">
        <v>23.982399999999998</v>
      </c>
      <c r="GD21">
        <v>19</v>
      </c>
      <c r="GE21">
        <v>276.83600000000001</v>
      </c>
      <c r="GF21">
        <v>605.73</v>
      </c>
      <c r="GG21">
        <v>28.393899999999999</v>
      </c>
      <c r="GH21">
        <v>26.265899999999998</v>
      </c>
      <c r="GI21">
        <v>30.004300000000001</v>
      </c>
      <c r="GJ21">
        <v>26.298999999999999</v>
      </c>
      <c r="GK21">
        <v>26.260400000000001</v>
      </c>
      <c r="GL21">
        <v>35.927999999999997</v>
      </c>
      <c r="GM21">
        <v>14.489599999999999</v>
      </c>
      <c r="GN21">
        <v>100</v>
      </c>
      <c r="GO21">
        <v>29.144400000000001</v>
      </c>
      <c r="GP21">
        <v>800</v>
      </c>
      <c r="GQ21">
        <v>21.802499999999998</v>
      </c>
      <c r="GR21">
        <v>99.737200000000001</v>
      </c>
      <c r="GS21">
        <v>99.551500000000004</v>
      </c>
    </row>
    <row r="22" spans="1:201" x14ac:dyDescent="0.25">
      <c r="A22">
        <v>6</v>
      </c>
      <c r="B22">
        <v>1690382575.5999999</v>
      </c>
      <c r="C22">
        <v>100.5</v>
      </c>
      <c r="D22" t="s">
        <v>343</v>
      </c>
      <c r="E22" t="s">
        <v>344</v>
      </c>
      <c r="F22" t="s">
        <v>330</v>
      </c>
      <c r="H22">
        <v>1690382575.5999999</v>
      </c>
      <c r="I22">
        <f t="shared" si="0"/>
        <v>1.6551109679054381E-4</v>
      </c>
      <c r="J22">
        <f t="shared" si="1"/>
        <v>0.16551109679054382</v>
      </c>
      <c r="K22">
        <f t="shared" si="2"/>
        <v>-0.91656251476177641</v>
      </c>
      <c r="L22">
        <f t="shared" si="3"/>
        <v>808.47799999999995</v>
      </c>
      <c r="M22">
        <f t="shared" si="4"/>
        <v>950.31506268967939</v>
      </c>
      <c r="N22">
        <f t="shared" si="5"/>
        <v>93.879484173340202</v>
      </c>
      <c r="O22">
        <f t="shared" si="6"/>
        <v>79.867720280761603</v>
      </c>
      <c r="P22">
        <f t="shared" si="7"/>
        <v>8.7145556882130912E-3</v>
      </c>
      <c r="Q22">
        <f t="shared" si="8"/>
        <v>2.1069654289290831</v>
      </c>
      <c r="R22">
        <f t="shared" si="9"/>
        <v>8.6945808032232712E-3</v>
      </c>
      <c r="S22">
        <f t="shared" si="10"/>
        <v>5.435903816141229E-3</v>
      </c>
      <c r="T22">
        <f t="shared" si="11"/>
        <v>276.06933407445001</v>
      </c>
      <c r="U22">
        <f t="shared" si="12"/>
        <v>29.515950130629534</v>
      </c>
      <c r="V22">
        <f t="shared" si="13"/>
        <v>29.515950130629534</v>
      </c>
      <c r="W22">
        <f t="shared" si="14"/>
        <v>4.143420073480522</v>
      </c>
      <c r="X22">
        <f t="shared" si="15"/>
        <v>63.548246853418398</v>
      </c>
      <c r="Y22">
        <f t="shared" si="16"/>
        <v>2.32444605529184</v>
      </c>
      <c r="Z22">
        <f t="shared" si="17"/>
        <v>3.6577658242145556</v>
      </c>
      <c r="AA22">
        <f t="shared" si="18"/>
        <v>1.818974018188682</v>
      </c>
      <c r="AB22">
        <f t="shared" si="19"/>
        <v>-7.2990393684629824</v>
      </c>
      <c r="AC22">
        <f t="shared" si="20"/>
        <v>-243.71458457290632</v>
      </c>
      <c r="AD22">
        <f t="shared" si="21"/>
        <v>-25.325450777087397</v>
      </c>
      <c r="AE22">
        <f t="shared" si="22"/>
        <v>-0.2697406440066743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51987.69691728153</v>
      </c>
      <c r="AK22">
        <f t="shared" si="26"/>
        <v>1799.7</v>
      </c>
      <c r="AL22">
        <f t="shared" si="27"/>
        <v>1498.8633807945</v>
      </c>
      <c r="AM22">
        <f t="shared" si="28"/>
        <v>0.83284068499999997</v>
      </c>
      <c r="AN22">
        <f t="shared" si="29"/>
        <v>0.15339741849999999</v>
      </c>
      <c r="AO22">
        <v>32.700000000000003</v>
      </c>
      <c r="AP22">
        <v>0.5</v>
      </c>
      <c r="AQ22" t="s">
        <v>331</v>
      </c>
      <c r="AR22">
        <v>2</v>
      </c>
      <c r="AS22">
        <v>1690382575.5999999</v>
      </c>
      <c r="AT22">
        <v>808.47799999999995</v>
      </c>
      <c r="AU22">
        <v>799.95</v>
      </c>
      <c r="AV22">
        <v>23.529699999999998</v>
      </c>
      <c r="AW22">
        <v>21.768899999999999</v>
      </c>
      <c r="AX22">
        <v>808.74800000000005</v>
      </c>
      <c r="AY22">
        <v>23.354500000000002</v>
      </c>
      <c r="AZ22">
        <v>300.14</v>
      </c>
      <c r="BA22">
        <v>98.687799999999996</v>
      </c>
      <c r="BB22">
        <v>9.99472E-2</v>
      </c>
      <c r="BC22">
        <v>27.3704</v>
      </c>
      <c r="BD22">
        <v>28.800899999999999</v>
      </c>
      <c r="BE22">
        <v>28.718</v>
      </c>
      <c r="BF22">
        <v>0</v>
      </c>
      <c r="BG22">
        <v>0</v>
      </c>
      <c r="BH22">
        <v>9973.75</v>
      </c>
      <c r="BI22">
        <v>1078.3699999999999</v>
      </c>
      <c r="BJ22">
        <v>2.1431300000000002</v>
      </c>
      <c r="BK22">
        <v>8.5283800000000003</v>
      </c>
      <c r="BL22">
        <v>827.96</v>
      </c>
      <c r="BM22">
        <v>817.75099999999998</v>
      </c>
      <c r="BN22">
        <v>1.76085</v>
      </c>
      <c r="BO22">
        <v>799.95</v>
      </c>
      <c r="BP22">
        <v>21.768899999999999</v>
      </c>
      <c r="BQ22">
        <v>2.3220900000000002</v>
      </c>
      <c r="BR22">
        <v>2.14832</v>
      </c>
      <c r="BS22">
        <v>19.830500000000001</v>
      </c>
      <c r="BT22">
        <v>18.582100000000001</v>
      </c>
      <c r="BU22">
        <v>1799.7</v>
      </c>
      <c r="BV22">
        <v>0.91000300000000001</v>
      </c>
      <c r="BW22">
        <v>3.3998E-2</v>
      </c>
      <c r="BX22">
        <v>2.1999500000000002E-2</v>
      </c>
      <c r="BY22">
        <v>3.4000000000000002E-2</v>
      </c>
      <c r="BZ22">
        <v>26</v>
      </c>
      <c r="CA22">
        <v>33522.800000000003</v>
      </c>
      <c r="CB22">
        <v>1690381960.0999999</v>
      </c>
      <c r="CC22" t="s">
        <v>332</v>
      </c>
      <c r="CD22">
        <v>1690381960.0999999</v>
      </c>
      <c r="CE22">
        <v>1690381958.0999999</v>
      </c>
      <c r="CF22">
        <v>4</v>
      </c>
      <c r="CG22">
        <v>9.9000000000000005E-2</v>
      </c>
      <c r="CH22">
        <v>1.2E-2</v>
      </c>
      <c r="CI22">
        <v>-0.26300000000000001</v>
      </c>
      <c r="CJ22">
        <v>0.127</v>
      </c>
      <c r="CK22">
        <v>798</v>
      </c>
      <c r="CL22">
        <v>18</v>
      </c>
      <c r="CM22">
        <v>0.02</v>
      </c>
      <c r="CN22">
        <v>0.12</v>
      </c>
      <c r="CO22">
        <v>8.998485365853659</v>
      </c>
      <c r="CP22">
        <v>-0.75138627177701323</v>
      </c>
      <c r="CQ22">
        <v>9.202121884407459E-2</v>
      </c>
      <c r="CR22">
        <v>-1</v>
      </c>
      <c r="CS22">
        <v>1.720232195121951</v>
      </c>
      <c r="CT22">
        <v>9.6489198606297868E-3</v>
      </c>
      <c r="CU22">
        <v>7.8910617889514298E-3</v>
      </c>
      <c r="CV22">
        <v>-1</v>
      </c>
      <c r="CW22">
        <v>0</v>
      </c>
      <c r="CX22">
        <v>0</v>
      </c>
      <c r="CY22" t="s">
        <v>333</v>
      </c>
      <c r="CZ22">
        <v>2.3643299999999998</v>
      </c>
      <c r="DA22">
        <v>2.7137099999999998</v>
      </c>
      <c r="DB22">
        <v>0.147253</v>
      </c>
      <c r="DC22">
        <v>0.14584800000000001</v>
      </c>
      <c r="DD22">
        <v>0.11193400000000001</v>
      </c>
      <c r="DE22">
        <v>0.104382</v>
      </c>
      <c r="DF22">
        <v>31136</v>
      </c>
      <c r="DG22">
        <v>27522.400000000001</v>
      </c>
      <c r="DH22">
        <v>31170.7</v>
      </c>
      <c r="DI22">
        <v>28076.5</v>
      </c>
      <c r="DJ22">
        <v>37582.6</v>
      </c>
      <c r="DK22">
        <v>35752</v>
      </c>
      <c r="DL22">
        <v>44358.3</v>
      </c>
      <c r="DM22">
        <v>42551.9</v>
      </c>
      <c r="DN22">
        <v>1.4636800000000001</v>
      </c>
      <c r="DO22">
        <v>2.06325</v>
      </c>
      <c r="DP22">
        <v>0.18423400000000001</v>
      </c>
      <c r="DQ22">
        <v>0.17266699999999999</v>
      </c>
      <c r="DR22">
        <v>25.789400000000001</v>
      </c>
      <c r="DS22">
        <v>25.895700000000001</v>
      </c>
      <c r="DT22">
        <v>57.6</v>
      </c>
      <c r="DU22">
        <v>28.7</v>
      </c>
      <c r="DV22">
        <v>23.067599999999999</v>
      </c>
      <c r="DW22">
        <v>61.222999999999999</v>
      </c>
      <c r="DX22">
        <v>36.406199999999998</v>
      </c>
      <c r="DY22">
        <v>1</v>
      </c>
      <c r="DZ22">
        <v>-8.9961899999999997E-2</v>
      </c>
      <c r="EA22">
        <v>-4.8494000000000002E-2</v>
      </c>
      <c r="EB22">
        <v>20.175599999999999</v>
      </c>
      <c r="EC22">
        <v>5.2403500000000003</v>
      </c>
      <c r="ED22">
        <v>12.039899999999999</v>
      </c>
      <c r="EE22">
        <v>5.0166000000000004</v>
      </c>
      <c r="EF22">
        <v>3.2879499999999999</v>
      </c>
      <c r="EG22">
        <v>9999</v>
      </c>
      <c r="EH22">
        <v>9999</v>
      </c>
      <c r="EI22">
        <v>9999</v>
      </c>
      <c r="EJ22">
        <v>999.9</v>
      </c>
      <c r="EK22">
        <v>1.8689</v>
      </c>
      <c r="EL22">
        <v>1.8646199999999999</v>
      </c>
      <c r="EM22">
        <v>1.8692</v>
      </c>
      <c r="EN22">
        <v>1.8672200000000001</v>
      </c>
      <c r="EO22">
        <v>1.8633900000000001</v>
      </c>
      <c r="EP22">
        <v>1.86446</v>
      </c>
      <c r="EQ22">
        <v>1.8701399999999999</v>
      </c>
      <c r="ER22">
        <v>1.86937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-0.27</v>
      </c>
      <c r="FG22">
        <v>0.17519999999999999</v>
      </c>
      <c r="FH22">
        <v>0.28746640474027818</v>
      </c>
      <c r="FI22">
        <v>-6.1462078757559423E-4</v>
      </c>
      <c r="FJ22">
        <v>-1.8861989874597051E-7</v>
      </c>
      <c r="FK22">
        <v>1.1980462299894961E-10</v>
      </c>
      <c r="FL22">
        <v>0.17524818673008091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10.3</v>
      </c>
      <c r="FU22">
        <v>10.3</v>
      </c>
      <c r="FV22">
        <v>1.79688</v>
      </c>
      <c r="FW22">
        <v>2.5756800000000002</v>
      </c>
      <c r="FX22">
        <v>1.5490699999999999</v>
      </c>
      <c r="FY22">
        <v>2.3315399999999999</v>
      </c>
      <c r="FZ22">
        <v>1.50146</v>
      </c>
      <c r="GA22">
        <v>2.33643</v>
      </c>
      <c r="GB22">
        <v>33.333500000000001</v>
      </c>
      <c r="GC22">
        <v>23.947399999999998</v>
      </c>
      <c r="GD22">
        <v>19</v>
      </c>
      <c r="GE22">
        <v>277.53199999999998</v>
      </c>
      <c r="GF22">
        <v>605.26</v>
      </c>
      <c r="GG22">
        <v>28.0838</v>
      </c>
      <c r="GH22">
        <v>26.3064</v>
      </c>
      <c r="GI22">
        <v>30.0001</v>
      </c>
      <c r="GJ22">
        <v>26.3413</v>
      </c>
      <c r="GK22">
        <v>26.3018</v>
      </c>
      <c r="GL22">
        <v>35.935200000000002</v>
      </c>
      <c r="GM22">
        <v>13.8698</v>
      </c>
      <c r="GN22">
        <v>100</v>
      </c>
      <c r="GO22">
        <v>26.857199999999999</v>
      </c>
      <c r="GP22">
        <v>800</v>
      </c>
      <c r="GQ22">
        <v>22.056100000000001</v>
      </c>
      <c r="GR22">
        <v>99.732200000000006</v>
      </c>
      <c r="GS22">
        <v>99.545900000000003</v>
      </c>
    </row>
    <row r="23" spans="1:201" x14ac:dyDescent="0.25">
      <c r="A23">
        <v>7</v>
      </c>
      <c r="B23">
        <v>1690382585.5999999</v>
      </c>
      <c r="C23">
        <v>110.5</v>
      </c>
      <c r="D23" t="s">
        <v>345</v>
      </c>
      <c r="E23" t="s">
        <v>346</v>
      </c>
      <c r="F23" t="s">
        <v>330</v>
      </c>
      <c r="H23">
        <v>1690382585.5999999</v>
      </c>
      <c r="I23">
        <f t="shared" si="0"/>
        <v>1.4735062884877831E-4</v>
      </c>
      <c r="J23">
        <f t="shared" si="1"/>
        <v>0.14735062884877831</v>
      </c>
      <c r="K23">
        <f t="shared" si="2"/>
        <v>-0.78465782497102021</v>
      </c>
      <c r="L23">
        <f t="shared" si="3"/>
        <v>807.00800000000004</v>
      </c>
      <c r="M23">
        <f t="shared" si="4"/>
        <v>945.86852917350336</v>
      </c>
      <c r="N23">
        <f t="shared" si="5"/>
        <v>93.439075981399597</v>
      </c>
      <c r="O23">
        <f t="shared" si="6"/>
        <v>79.721525247792002</v>
      </c>
      <c r="P23">
        <f t="shared" si="7"/>
        <v>7.5659531052851203E-3</v>
      </c>
      <c r="Q23">
        <f t="shared" si="8"/>
        <v>2.1088928720545681</v>
      </c>
      <c r="R23">
        <f t="shared" si="9"/>
        <v>7.5509055303718811E-3</v>
      </c>
      <c r="S23">
        <f t="shared" si="10"/>
        <v>4.7206654003023405E-3</v>
      </c>
      <c r="T23">
        <f t="shared" si="11"/>
        <v>276.10548034707</v>
      </c>
      <c r="U23">
        <f t="shared" si="12"/>
        <v>29.737413766184744</v>
      </c>
      <c r="V23">
        <f t="shared" si="13"/>
        <v>29.737413766184744</v>
      </c>
      <c r="W23">
        <f t="shared" si="14"/>
        <v>4.1966113020112399</v>
      </c>
      <c r="X23">
        <f t="shared" si="15"/>
        <v>62.965547538597988</v>
      </c>
      <c r="Y23">
        <f t="shared" si="16"/>
        <v>2.3325674571452999</v>
      </c>
      <c r="Z23">
        <f t="shared" si="17"/>
        <v>3.7045138942299074</v>
      </c>
      <c r="AA23">
        <f t="shared" si="18"/>
        <v>1.86404384486594</v>
      </c>
      <c r="AB23">
        <f t="shared" si="19"/>
        <v>-6.4981627322311235</v>
      </c>
      <c r="AC23">
        <f t="shared" si="20"/>
        <v>-244.44502505545844</v>
      </c>
      <c r="AD23">
        <f t="shared" si="21"/>
        <v>-25.433549975124151</v>
      </c>
      <c r="AE23">
        <f t="shared" si="22"/>
        <v>-0.27125741574371887</v>
      </c>
      <c r="AF23">
        <v>1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52033.847191551016</v>
      </c>
      <c r="AK23">
        <f t="shared" si="26"/>
        <v>1799.93</v>
      </c>
      <c r="AL23">
        <f t="shared" si="27"/>
        <v>1499.0549251523998</v>
      </c>
      <c r="AM23">
        <f t="shared" si="28"/>
        <v>0.83284067999999989</v>
      </c>
      <c r="AN23">
        <f t="shared" si="29"/>
        <v>0.153397899</v>
      </c>
      <c r="AO23">
        <v>32.700000000000003</v>
      </c>
      <c r="AP23">
        <v>0.5</v>
      </c>
      <c r="AQ23" t="s">
        <v>331</v>
      </c>
      <c r="AR23">
        <v>2</v>
      </c>
      <c r="AS23">
        <v>1690382585.5999999</v>
      </c>
      <c r="AT23">
        <v>807.00800000000004</v>
      </c>
      <c r="AU23">
        <v>799.75599999999997</v>
      </c>
      <c r="AV23">
        <v>23.612200000000001</v>
      </c>
      <c r="AW23">
        <v>22.045000000000002</v>
      </c>
      <c r="AX23">
        <v>807.27599999999995</v>
      </c>
      <c r="AY23">
        <v>23.437000000000001</v>
      </c>
      <c r="AZ23">
        <v>300.19099999999997</v>
      </c>
      <c r="BA23">
        <v>98.686599999999999</v>
      </c>
      <c r="BB23">
        <v>9.9936499999999998E-2</v>
      </c>
      <c r="BC23">
        <v>27.587399999999999</v>
      </c>
      <c r="BD23">
        <v>29.8383</v>
      </c>
      <c r="BE23">
        <v>29.4754</v>
      </c>
      <c r="BF23">
        <v>0</v>
      </c>
      <c r="BG23">
        <v>0</v>
      </c>
      <c r="BH23">
        <v>9990.6200000000008</v>
      </c>
      <c r="BI23">
        <v>1081.47</v>
      </c>
      <c r="BJ23">
        <v>2.1865800000000002</v>
      </c>
      <c r="BK23">
        <v>7.2514000000000003</v>
      </c>
      <c r="BL23">
        <v>826.524</v>
      </c>
      <c r="BM23">
        <v>817.78399999999999</v>
      </c>
      <c r="BN23">
        <v>1.56721</v>
      </c>
      <c r="BO23">
        <v>799.75599999999997</v>
      </c>
      <c r="BP23">
        <v>22.045000000000002</v>
      </c>
      <c r="BQ23">
        <v>2.3302100000000001</v>
      </c>
      <c r="BR23">
        <v>2.1755499999999999</v>
      </c>
      <c r="BS23">
        <v>19.886800000000001</v>
      </c>
      <c r="BT23">
        <v>18.7834</v>
      </c>
      <c r="BU23">
        <v>1799.93</v>
      </c>
      <c r="BV23">
        <v>0.909995</v>
      </c>
      <c r="BW23">
        <v>3.3997800000000002E-2</v>
      </c>
      <c r="BX23">
        <v>2.2006000000000001E-2</v>
      </c>
      <c r="BY23">
        <v>3.40016E-2</v>
      </c>
      <c r="BZ23">
        <v>26</v>
      </c>
      <c r="CA23">
        <v>33527</v>
      </c>
      <c r="CB23">
        <v>1690381960.0999999</v>
      </c>
      <c r="CC23" t="s">
        <v>332</v>
      </c>
      <c r="CD23">
        <v>1690381960.0999999</v>
      </c>
      <c r="CE23">
        <v>1690381958.0999999</v>
      </c>
      <c r="CF23">
        <v>4</v>
      </c>
      <c r="CG23">
        <v>9.9000000000000005E-2</v>
      </c>
      <c r="CH23">
        <v>1.2E-2</v>
      </c>
      <c r="CI23">
        <v>-0.26300000000000001</v>
      </c>
      <c r="CJ23">
        <v>0.127</v>
      </c>
      <c r="CK23">
        <v>798</v>
      </c>
      <c r="CL23">
        <v>18</v>
      </c>
      <c r="CM23">
        <v>0.02</v>
      </c>
      <c r="CN23">
        <v>0.12</v>
      </c>
      <c r="CO23">
        <v>8.4727197499999996</v>
      </c>
      <c r="CP23">
        <v>-5.6096470919324863</v>
      </c>
      <c r="CQ23">
        <v>0.5695474894883108</v>
      </c>
      <c r="CR23">
        <v>-1</v>
      </c>
      <c r="CS23">
        <v>1.7223740000000001</v>
      </c>
      <c r="CT23">
        <v>-4.6394071294563681E-2</v>
      </c>
      <c r="CU23">
        <v>3.1622156299025532E-2</v>
      </c>
      <c r="CV23">
        <v>-1</v>
      </c>
      <c r="CW23">
        <v>0</v>
      </c>
      <c r="CX23">
        <v>0</v>
      </c>
      <c r="CY23" t="s">
        <v>333</v>
      </c>
      <c r="CZ23">
        <v>2.3644799999999999</v>
      </c>
      <c r="DA23">
        <v>2.7137199999999999</v>
      </c>
      <c r="DB23">
        <v>0.14707200000000001</v>
      </c>
      <c r="DC23">
        <v>0.14582600000000001</v>
      </c>
      <c r="DD23">
        <v>0.112209</v>
      </c>
      <c r="DE23">
        <v>0.105307</v>
      </c>
      <c r="DF23">
        <v>31141.200000000001</v>
      </c>
      <c r="DG23">
        <v>27521.4</v>
      </c>
      <c r="DH23">
        <v>31169.3</v>
      </c>
      <c r="DI23">
        <v>28074.7</v>
      </c>
      <c r="DJ23">
        <v>37569.300000000003</v>
      </c>
      <c r="DK23">
        <v>35712.800000000003</v>
      </c>
      <c r="DL23">
        <v>44356.5</v>
      </c>
      <c r="DM23">
        <v>42549.4</v>
      </c>
      <c r="DN23">
        <v>1.4600299999999999</v>
      </c>
      <c r="DO23">
        <v>2.06358</v>
      </c>
      <c r="DP23">
        <v>0.246614</v>
      </c>
      <c r="DQ23">
        <v>0.217725</v>
      </c>
      <c r="DR23">
        <v>25.810500000000001</v>
      </c>
      <c r="DS23">
        <v>25.918700000000001</v>
      </c>
      <c r="DT23">
        <v>57.6</v>
      </c>
      <c r="DU23">
        <v>28.7</v>
      </c>
      <c r="DV23">
        <v>23.0715</v>
      </c>
      <c r="DW23">
        <v>61.722999999999999</v>
      </c>
      <c r="DX23">
        <v>36.546500000000002</v>
      </c>
      <c r="DY23">
        <v>1</v>
      </c>
      <c r="DZ23">
        <v>-6.9232699999999994E-2</v>
      </c>
      <c r="EA23">
        <v>9.2810500000000005</v>
      </c>
      <c r="EB23">
        <v>19.857099999999999</v>
      </c>
      <c r="EC23">
        <v>5.2406499999999996</v>
      </c>
      <c r="ED23">
        <v>12.039899999999999</v>
      </c>
      <c r="EE23">
        <v>5.0168499999999998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1.8689</v>
      </c>
      <c r="EL23">
        <v>1.8646100000000001</v>
      </c>
      <c r="EM23">
        <v>1.8692</v>
      </c>
      <c r="EN23">
        <v>1.8672299999999999</v>
      </c>
      <c r="EO23">
        <v>1.86338</v>
      </c>
      <c r="EP23">
        <v>1.86446</v>
      </c>
      <c r="EQ23">
        <v>1.87012</v>
      </c>
      <c r="ER23">
        <v>1.86937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-0.26800000000000002</v>
      </c>
      <c r="FG23">
        <v>0.17519999999999999</v>
      </c>
      <c r="FH23">
        <v>0.28746640474027818</v>
      </c>
      <c r="FI23">
        <v>-6.1462078757559423E-4</v>
      </c>
      <c r="FJ23">
        <v>-1.8861989874597051E-7</v>
      </c>
      <c r="FK23">
        <v>1.1980462299894961E-10</v>
      </c>
      <c r="FL23">
        <v>0.17524818673008091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10.4</v>
      </c>
      <c r="FU23">
        <v>10.5</v>
      </c>
      <c r="FV23">
        <v>1.7981</v>
      </c>
      <c r="FW23">
        <v>2.5732400000000002</v>
      </c>
      <c r="FX23">
        <v>1.5490699999999999</v>
      </c>
      <c r="FY23">
        <v>2.3327599999999999</v>
      </c>
      <c r="FZ23">
        <v>1.50146</v>
      </c>
      <c r="GA23">
        <v>2.3730500000000001</v>
      </c>
      <c r="GB23">
        <v>33.333500000000001</v>
      </c>
      <c r="GC23">
        <v>23.868600000000001</v>
      </c>
      <c r="GD23">
        <v>19</v>
      </c>
      <c r="GE23">
        <v>276.02100000000002</v>
      </c>
      <c r="GF23">
        <v>605.601</v>
      </c>
      <c r="GG23">
        <v>25.7728</v>
      </c>
      <c r="GH23">
        <v>26.31</v>
      </c>
      <c r="GI23">
        <v>30.010400000000001</v>
      </c>
      <c r="GJ23">
        <v>26.346</v>
      </c>
      <c r="GK23">
        <v>26.307300000000001</v>
      </c>
      <c r="GL23">
        <v>35.947099999999999</v>
      </c>
      <c r="GM23">
        <v>11.5624</v>
      </c>
      <c r="GN23">
        <v>100</v>
      </c>
      <c r="GO23">
        <v>22.026800000000001</v>
      </c>
      <c r="GP23">
        <v>800</v>
      </c>
      <c r="GQ23">
        <v>22.433399999999999</v>
      </c>
      <c r="GR23">
        <v>99.727900000000005</v>
      </c>
      <c r="GS23">
        <v>99.5398</v>
      </c>
    </row>
    <row r="24" spans="1:201" x14ac:dyDescent="0.25">
      <c r="A24">
        <v>8</v>
      </c>
      <c r="B24">
        <v>1690382595.5999999</v>
      </c>
      <c r="C24">
        <v>120.5</v>
      </c>
      <c r="D24" t="s">
        <v>347</v>
      </c>
      <c r="E24" t="s">
        <v>348</v>
      </c>
      <c r="F24" t="s">
        <v>330</v>
      </c>
      <c r="H24">
        <v>1690382595.5999999</v>
      </c>
      <c r="I24">
        <f t="shared" si="0"/>
        <v>9.8187125113917179E-5</v>
      </c>
      <c r="J24">
        <f t="shared" si="1"/>
        <v>9.8187125113917181E-2</v>
      </c>
      <c r="K24">
        <f t="shared" si="2"/>
        <v>-0.66201526851969439</v>
      </c>
      <c r="L24">
        <f t="shared" si="3"/>
        <v>806.17200000000003</v>
      </c>
      <c r="M24">
        <f t="shared" si="4"/>
        <v>986.238014755309</v>
      </c>
      <c r="N24">
        <f t="shared" si="5"/>
        <v>97.428564831878731</v>
      </c>
      <c r="O24">
        <f t="shared" si="6"/>
        <v>79.640188060620019</v>
      </c>
      <c r="P24">
        <f t="shared" si="7"/>
        <v>5.1063960711231005E-3</v>
      </c>
      <c r="Q24">
        <f t="shared" si="8"/>
        <v>2.1099873197675669</v>
      </c>
      <c r="R24">
        <f t="shared" si="9"/>
        <v>5.0995404545022887E-3</v>
      </c>
      <c r="S24">
        <f t="shared" si="10"/>
        <v>3.187827953612559E-3</v>
      </c>
      <c r="T24">
        <f t="shared" si="11"/>
        <v>276.10510230379629</v>
      </c>
      <c r="U24">
        <f t="shared" si="12"/>
        <v>29.553585474703489</v>
      </c>
      <c r="V24">
        <f t="shared" si="13"/>
        <v>29.553585474703489</v>
      </c>
      <c r="W24">
        <f t="shared" si="14"/>
        <v>4.152417675616503</v>
      </c>
      <c r="X24">
        <f t="shared" si="15"/>
        <v>63.162763777392925</v>
      </c>
      <c r="Y24">
        <f t="shared" si="16"/>
        <v>2.3125796758075001</v>
      </c>
      <c r="Z24">
        <f t="shared" si="17"/>
        <v>3.6613022254026402</v>
      </c>
      <c r="AA24">
        <f t="shared" si="18"/>
        <v>1.8398379998090029</v>
      </c>
      <c r="AB24">
        <f t="shared" si="19"/>
        <v>-4.3300522175237477</v>
      </c>
      <c r="AC24">
        <f t="shared" si="20"/>
        <v>-246.468351646418</v>
      </c>
      <c r="AD24">
        <f t="shared" si="21"/>
        <v>-25.581822610865817</v>
      </c>
      <c r="AE24">
        <f t="shared" si="22"/>
        <v>-0.27512417101129927</v>
      </c>
      <c r="AF24">
        <v>2</v>
      </c>
      <c r="AG24">
        <v>1</v>
      </c>
      <c r="AH24">
        <f t="shared" si="23"/>
        <v>1</v>
      </c>
      <c r="AI24">
        <f t="shared" si="24"/>
        <v>0</v>
      </c>
      <c r="AJ24">
        <f t="shared" si="25"/>
        <v>52116.210378437499</v>
      </c>
      <c r="AK24">
        <f t="shared" si="26"/>
        <v>1799.94</v>
      </c>
      <c r="AL24">
        <f t="shared" si="27"/>
        <v>1499.0633399563201</v>
      </c>
      <c r="AM24">
        <f t="shared" si="28"/>
        <v>0.83284072799999997</v>
      </c>
      <c r="AN24">
        <f t="shared" si="29"/>
        <v>0.15339683673000004</v>
      </c>
      <c r="AO24">
        <v>32.700000000000003</v>
      </c>
      <c r="AP24">
        <v>0.5</v>
      </c>
      <c r="AQ24" t="s">
        <v>331</v>
      </c>
      <c r="AR24">
        <v>2</v>
      </c>
      <c r="AS24">
        <v>1690382595.5999999</v>
      </c>
      <c r="AT24">
        <v>806.17200000000003</v>
      </c>
      <c r="AU24">
        <v>799.82299999999998</v>
      </c>
      <c r="AV24">
        <v>23.409500000000001</v>
      </c>
      <c r="AW24">
        <v>22.364999999999998</v>
      </c>
      <c r="AX24">
        <v>806.44</v>
      </c>
      <c r="AY24">
        <v>23.234300000000001</v>
      </c>
      <c r="AZ24">
        <v>300.197</v>
      </c>
      <c r="BA24">
        <v>98.688000000000002</v>
      </c>
      <c r="BB24">
        <v>0.10008499999999999</v>
      </c>
      <c r="BC24">
        <v>27.386900000000001</v>
      </c>
      <c r="BD24">
        <v>29.892499999999998</v>
      </c>
      <c r="BE24">
        <v>29.3962</v>
      </c>
      <c r="BF24">
        <v>0</v>
      </c>
      <c r="BG24">
        <v>0</v>
      </c>
      <c r="BH24">
        <v>10000</v>
      </c>
      <c r="BI24">
        <v>1082.72</v>
      </c>
      <c r="BJ24">
        <v>2.1865800000000002</v>
      </c>
      <c r="BK24">
        <v>6.3497899999999996</v>
      </c>
      <c r="BL24">
        <v>825.49699999999996</v>
      </c>
      <c r="BM24">
        <v>818.12</v>
      </c>
      <c r="BN24">
        <v>1.04453</v>
      </c>
      <c r="BO24">
        <v>799.82299999999998</v>
      </c>
      <c r="BP24">
        <v>22.364999999999998</v>
      </c>
      <c r="BQ24">
        <v>2.3102399999999998</v>
      </c>
      <c r="BR24">
        <v>2.20716</v>
      </c>
      <c r="BS24">
        <v>19.748000000000001</v>
      </c>
      <c r="BT24">
        <v>19.014299999999999</v>
      </c>
      <c r="BU24">
        <v>1799.94</v>
      </c>
      <c r="BV24">
        <v>0.91001600000000005</v>
      </c>
      <c r="BW24">
        <v>3.3996600000000002E-2</v>
      </c>
      <c r="BX24">
        <v>2.19939E-2</v>
      </c>
      <c r="BY24">
        <v>3.3993299999999997E-2</v>
      </c>
      <c r="BZ24">
        <v>26</v>
      </c>
      <c r="CA24">
        <v>33527.300000000003</v>
      </c>
      <c r="CB24">
        <v>1690381960.0999999</v>
      </c>
      <c r="CC24" t="s">
        <v>332</v>
      </c>
      <c r="CD24">
        <v>1690381960.0999999</v>
      </c>
      <c r="CE24">
        <v>1690381958.0999999</v>
      </c>
      <c r="CF24">
        <v>4</v>
      </c>
      <c r="CG24">
        <v>9.9000000000000005E-2</v>
      </c>
      <c r="CH24">
        <v>1.2E-2</v>
      </c>
      <c r="CI24">
        <v>-0.26300000000000001</v>
      </c>
      <c r="CJ24">
        <v>0.127</v>
      </c>
      <c r="CK24">
        <v>798</v>
      </c>
      <c r="CL24">
        <v>18</v>
      </c>
      <c r="CM24">
        <v>0.02</v>
      </c>
      <c r="CN24">
        <v>0.12</v>
      </c>
      <c r="CO24">
        <v>7.3929904878048784</v>
      </c>
      <c r="CP24">
        <v>-6.8133942857142866</v>
      </c>
      <c r="CQ24">
        <v>0.67636079722236575</v>
      </c>
      <c r="CR24">
        <v>-1</v>
      </c>
      <c r="CS24">
        <v>1.54433243902439</v>
      </c>
      <c r="CT24">
        <v>-2.066740348432055</v>
      </c>
      <c r="CU24">
        <v>0.21185473126627319</v>
      </c>
      <c r="CV24">
        <v>-1</v>
      </c>
      <c r="CW24">
        <v>0</v>
      </c>
      <c r="CX24">
        <v>0</v>
      </c>
      <c r="CY24" t="s">
        <v>333</v>
      </c>
      <c r="CZ24">
        <v>2.3645</v>
      </c>
      <c r="DA24">
        <v>2.7138800000000001</v>
      </c>
      <c r="DB24">
        <v>0.14696899999999999</v>
      </c>
      <c r="DC24">
        <v>0.145842</v>
      </c>
      <c r="DD24">
        <v>0.111529</v>
      </c>
      <c r="DE24">
        <v>0.106377</v>
      </c>
      <c r="DF24">
        <v>31142</v>
      </c>
      <c r="DG24">
        <v>27518.2</v>
      </c>
      <c r="DH24">
        <v>31166.400000000001</v>
      </c>
      <c r="DI24">
        <v>28072</v>
      </c>
      <c r="DJ24">
        <v>37595.1</v>
      </c>
      <c r="DK24">
        <v>35666.800000000003</v>
      </c>
      <c r="DL24">
        <v>44352.7</v>
      </c>
      <c r="DM24">
        <v>42545.5</v>
      </c>
      <c r="DN24">
        <v>1.4585999999999999</v>
      </c>
      <c r="DO24">
        <v>2.0636999999999999</v>
      </c>
      <c r="DP24">
        <v>0.24793699999999999</v>
      </c>
      <c r="DQ24">
        <v>0.21118700000000001</v>
      </c>
      <c r="DR24">
        <v>25.843399999999999</v>
      </c>
      <c r="DS24">
        <v>25.946200000000001</v>
      </c>
      <c r="DT24">
        <v>57.7</v>
      </c>
      <c r="DU24">
        <v>28.7</v>
      </c>
      <c r="DV24">
        <v>23.107299999999999</v>
      </c>
      <c r="DW24">
        <v>61.953000000000003</v>
      </c>
      <c r="DX24">
        <v>36.514400000000002</v>
      </c>
      <c r="DY24">
        <v>1</v>
      </c>
      <c r="DZ24">
        <v>-6.2860799999999994E-2</v>
      </c>
      <c r="EA24">
        <v>9.2810500000000005</v>
      </c>
      <c r="EB24">
        <v>19.867899999999999</v>
      </c>
      <c r="EC24">
        <v>5.2403500000000003</v>
      </c>
      <c r="ED24">
        <v>12.039899999999999</v>
      </c>
      <c r="EE24">
        <v>5.0165499999999996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1.8689</v>
      </c>
      <c r="EL24">
        <v>1.8646</v>
      </c>
      <c r="EM24">
        <v>1.8692</v>
      </c>
      <c r="EN24">
        <v>1.8672200000000001</v>
      </c>
      <c r="EO24">
        <v>1.86338</v>
      </c>
      <c r="EP24">
        <v>1.8644499999999999</v>
      </c>
      <c r="EQ24">
        <v>1.87012</v>
      </c>
      <c r="ER24">
        <v>1.8693599999999999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-0.26800000000000002</v>
      </c>
      <c r="FG24">
        <v>0.17519999999999999</v>
      </c>
      <c r="FH24">
        <v>0.28746640474027818</v>
      </c>
      <c r="FI24">
        <v>-6.1462078757559423E-4</v>
      </c>
      <c r="FJ24">
        <v>-1.8861989874597051E-7</v>
      </c>
      <c r="FK24">
        <v>1.1980462299894961E-10</v>
      </c>
      <c r="FL24">
        <v>0.17524818673008091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10.6</v>
      </c>
      <c r="FU24">
        <v>10.6</v>
      </c>
      <c r="FV24">
        <v>1.7981</v>
      </c>
      <c r="FW24">
        <v>2.5708000000000002</v>
      </c>
      <c r="FX24">
        <v>1.5490699999999999</v>
      </c>
      <c r="FY24">
        <v>2.3327599999999999</v>
      </c>
      <c r="FZ24">
        <v>1.50146</v>
      </c>
      <c r="GA24">
        <v>2.36816</v>
      </c>
      <c r="GB24">
        <v>33.355899999999998</v>
      </c>
      <c r="GC24">
        <v>23.868600000000001</v>
      </c>
      <c r="GD24">
        <v>19</v>
      </c>
      <c r="GE24">
        <v>275.42399999999998</v>
      </c>
      <c r="GF24">
        <v>605.76499999999999</v>
      </c>
      <c r="GG24">
        <v>23.2849</v>
      </c>
      <c r="GH24">
        <v>26.315000000000001</v>
      </c>
      <c r="GI24">
        <v>30.0029</v>
      </c>
      <c r="GJ24">
        <v>26.346</v>
      </c>
      <c r="GK24">
        <v>26.3123</v>
      </c>
      <c r="GL24">
        <v>35.9589</v>
      </c>
      <c r="GM24">
        <v>9.7260799999999996</v>
      </c>
      <c r="GN24">
        <v>100</v>
      </c>
      <c r="GO24">
        <v>20.387</v>
      </c>
      <c r="GP24">
        <v>800</v>
      </c>
      <c r="GQ24">
        <v>22.657800000000002</v>
      </c>
      <c r="GR24">
        <v>99.718999999999994</v>
      </c>
      <c r="GS24">
        <v>99.530600000000007</v>
      </c>
    </row>
    <row r="25" spans="1:201" x14ac:dyDescent="0.25">
      <c r="A25">
        <v>9</v>
      </c>
      <c r="B25">
        <v>1690382605.5999999</v>
      </c>
      <c r="C25">
        <v>130.5</v>
      </c>
      <c r="D25" t="s">
        <v>349</v>
      </c>
      <c r="E25" t="s">
        <v>350</v>
      </c>
      <c r="F25" t="s">
        <v>330</v>
      </c>
      <c r="H25">
        <v>1690382605.5999999</v>
      </c>
      <c r="I25">
        <f t="shared" si="0"/>
        <v>5.1309320715609953E-5</v>
      </c>
      <c r="J25">
        <f t="shared" si="1"/>
        <v>5.1309320715609952E-2</v>
      </c>
      <c r="K25">
        <f t="shared" si="2"/>
        <v>-0.55184539899288609</v>
      </c>
      <c r="L25">
        <f t="shared" si="3"/>
        <v>805.447</v>
      </c>
      <c r="M25">
        <f t="shared" si="4"/>
        <v>1102.5919502840138</v>
      </c>
      <c r="N25">
        <f t="shared" si="5"/>
        <v>108.92240097066157</v>
      </c>
      <c r="O25">
        <f t="shared" si="6"/>
        <v>79.568167600006504</v>
      </c>
      <c r="P25">
        <f t="shared" si="7"/>
        <v>2.7095334170104414E-3</v>
      </c>
      <c r="Q25">
        <f t="shared" si="8"/>
        <v>2.1091931220462548</v>
      </c>
      <c r="R25">
        <f t="shared" si="9"/>
        <v>2.7076011569881972E-3</v>
      </c>
      <c r="S25">
        <f t="shared" si="10"/>
        <v>1.6924242101143397E-3</v>
      </c>
      <c r="T25">
        <f t="shared" si="11"/>
        <v>276.10483624211952</v>
      </c>
      <c r="U25">
        <f t="shared" si="12"/>
        <v>29.300559971472214</v>
      </c>
      <c r="V25">
        <f t="shared" si="13"/>
        <v>29.300559971472214</v>
      </c>
      <c r="W25">
        <f t="shared" si="14"/>
        <v>4.0922522976976259</v>
      </c>
      <c r="X25">
        <f t="shared" si="15"/>
        <v>63.28605441984022</v>
      </c>
      <c r="Y25">
        <f t="shared" si="16"/>
        <v>2.2806004124380501</v>
      </c>
      <c r="Z25">
        <f t="shared" si="17"/>
        <v>3.6036381685426737</v>
      </c>
      <c r="AA25">
        <f t="shared" si="18"/>
        <v>1.8116518852595758</v>
      </c>
      <c r="AB25">
        <f t="shared" si="19"/>
        <v>-2.2627410435583988</v>
      </c>
      <c r="AC25">
        <f t="shared" si="20"/>
        <v>-248.39673373023106</v>
      </c>
      <c r="AD25">
        <f t="shared" si="21"/>
        <v>-25.72452636312288</v>
      </c>
      <c r="AE25">
        <f t="shared" si="22"/>
        <v>-0.27916489479284223</v>
      </c>
      <c r="AF25">
        <v>2</v>
      </c>
      <c r="AG25">
        <v>1</v>
      </c>
      <c r="AH25">
        <f t="shared" si="23"/>
        <v>1</v>
      </c>
      <c r="AI25">
        <f t="shared" si="24"/>
        <v>0</v>
      </c>
      <c r="AJ25">
        <f t="shared" si="25"/>
        <v>52128.652369594878</v>
      </c>
      <c r="AK25">
        <f t="shared" si="26"/>
        <v>1799.93</v>
      </c>
      <c r="AL25">
        <f t="shared" si="27"/>
        <v>1499.0536742010502</v>
      </c>
      <c r="AM25">
        <f t="shared" si="28"/>
        <v>0.832839985</v>
      </c>
      <c r="AN25">
        <f t="shared" si="29"/>
        <v>0.15339754115000001</v>
      </c>
      <c r="AO25">
        <v>32.700000000000003</v>
      </c>
      <c r="AP25">
        <v>0.5</v>
      </c>
      <c r="AQ25" t="s">
        <v>331</v>
      </c>
      <c r="AR25">
        <v>2</v>
      </c>
      <c r="AS25">
        <v>1690382605.5999999</v>
      </c>
      <c r="AT25">
        <v>805.447</v>
      </c>
      <c r="AU25">
        <v>799.88499999999999</v>
      </c>
      <c r="AV25">
        <v>23.085899999999999</v>
      </c>
      <c r="AW25">
        <v>22.5398</v>
      </c>
      <c r="AX25">
        <v>805.71500000000003</v>
      </c>
      <c r="AY25">
        <v>22.910599999999999</v>
      </c>
      <c r="AZ25">
        <v>300.14299999999997</v>
      </c>
      <c r="BA25">
        <v>98.687700000000007</v>
      </c>
      <c r="BB25">
        <v>9.9889500000000006E-2</v>
      </c>
      <c r="BC25">
        <v>27.116099999999999</v>
      </c>
      <c r="BD25">
        <v>29.647099999999998</v>
      </c>
      <c r="BE25">
        <v>29.078099999999999</v>
      </c>
      <c r="BF25">
        <v>0</v>
      </c>
      <c r="BG25">
        <v>0</v>
      </c>
      <c r="BH25">
        <v>9993.1200000000008</v>
      </c>
      <c r="BI25">
        <v>1082.8900000000001</v>
      </c>
      <c r="BJ25">
        <v>2.21882</v>
      </c>
      <c r="BK25">
        <v>5.5627399999999998</v>
      </c>
      <c r="BL25">
        <v>824.48099999999999</v>
      </c>
      <c r="BM25">
        <v>818.33</v>
      </c>
      <c r="BN25">
        <v>0.54603599999999997</v>
      </c>
      <c r="BO25">
        <v>799.88499999999999</v>
      </c>
      <c r="BP25">
        <v>22.5398</v>
      </c>
      <c r="BQ25">
        <v>2.2782900000000001</v>
      </c>
      <c r="BR25">
        <v>2.2244000000000002</v>
      </c>
      <c r="BS25">
        <v>19.523700000000002</v>
      </c>
      <c r="BT25">
        <v>19.139199999999999</v>
      </c>
      <c r="BU25">
        <v>1799.93</v>
      </c>
      <c r="BV25">
        <v>0.909995</v>
      </c>
      <c r="BW25">
        <v>3.3998199999999999E-2</v>
      </c>
      <c r="BX25">
        <v>2.2001E-2</v>
      </c>
      <c r="BY25">
        <v>3.4006099999999997E-2</v>
      </c>
      <c r="BZ25">
        <v>26</v>
      </c>
      <c r="CA25">
        <v>33527</v>
      </c>
      <c r="CB25">
        <v>1690381960.0999999</v>
      </c>
      <c r="CC25" t="s">
        <v>332</v>
      </c>
      <c r="CD25">
        <v>1690381960.0999999</v>
      </c>
      <c r="CE25">
        <v>1690381958.0999999</v>
      </c>
      <c r="CF25">
        <v>4</v>
      </c>
      <c r="CG25">
        <v>9.9000000000000005E-2</v>
      </c>
      <c r="CH25">
        <v>1.2E-2</v>
      </c>
      <c r="CI25">
        <v>-0.26300000000000001</v>
      </c>
      <c r="CJ25">
        <v>0.127</v>
      </c>
      <c r="CK25">
        <v>798</v>
      </c>
      <c r="CL25">
        <v>18</v>
      </c>
      <c r="CM25">
        <v>0.02</v>
      </c>
      <c r="CN25">
        <v>0.12</v>
      </c>
      <c r="CO25">
        <v>6.4266939024390251</v>
      </c>
      <c r="CP25">
        <v>-4.896257142857122</v>
      </c>
      <c r="CQ25">
        <v>0.48486366208867332</v>
      </c>
      <c r="CR25">
        <v>-1</v>
      </c>
      <c r="CS25">
        <v>1.104804634146342</v>
      </c>
      <c r="CT25">
        <v>-3.1588830940766508</v>
      </c>
      <c r="CU25">
        <v>0.31161405610112158</v>
      </c>
      <c r="CV25">
        <v>-1</v>
      </c>
      <c r="CW25">
        <v>0</v>
      </c>
      <c r="CX25">
        <v>0</v>
      </c>
      <c r="CY25" t="s">
        <v>333</v>
      </c>
      <c r="CZ25">
        <v>2.3643399999999999</v>
      </c>
      <c r="DA25">
        <v>2.71367</v>
      </c>
      <c r="DB25">
        <v>0.14687</v>
      </c>
      <c r="DC25">
        <v>0.14584800000000001</v>
      </c>
      <c r="DD25">
        <v>0.11043</v>
      </c>
      <c r="DE25">
        <v>0.10695499999999999</v>
      </c>
      <c r="DF25">
        <v>31145.9</v>
      </c>
      <c r="DG25">
        <v>27519.200000000001</v>
      </c>
      <c r="DH25">
        <v>31166.7</v>
      </c>
      <c r="DI25">
        <v>28073.3</v>
      </c>
      <c r="DJ25">
        <v>37642.6</v>
      </c>
      <c r="DK25">
        <v>35645.300000000003</v>
      </c>
      <c r="DL25">
        <v>44353.3</v>
      </c>
      <c r="DM25">
        <v>42547.4</v>
      </c>
      <c r="DN25">
        <v>1.45807</v>
      </c>
      <c r="DO25">
        <v>2.0635500000000002</v>
      </c>
      <c r="DP25">
        <v>0.231098</v>
      </c>
      <c r="DQ25">
        <v>0.19162899999999999</v>
      </c>
      <c r="DR25">
        <v>25.872299999999999</v>
      </c>
      <c r="DS25">
        <v>25.9468</v>
      </c>
      <c r="DT25">
        <v>57.7</v>
      </c>
      <c r="DU25">
        <v>28.7</v>
      </c>
      <c r="DV25">
        <v>23.1098</v>
      </c>
      <c r="DW25">
        <v>62.243000000000002</v>
      </c>
      <c r="DX25">
        <v>36.570500000000003</v>
      </c>
      <c r="DY25">
        <v>1</v>
      </c>
      <c r="DZ25">
        <v>-6.3960900000000001E-2</v>
      </c>
      <c r="EA25">
        <v>9.2810500000000005</v>
      </c>
      <c r="EB25">
        <v>19.8794</v>
      </c>
      <c r="EC25">
        <v>5.2403500000000003</v>
      </c>
      <c r="ED25">
        <v>12.039899999999999</v>
      </c>
      <c r="EE25">
        <v>5.0167000000000002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1.8646100000000001</v>
      </c>
      <c r="EM25">
        <v>1.8692</v>
      </c>
      <c r="EN25">
        <v>1.8672200000000001</v>
      </c>
      <c r="EO25">
        <v>1.86337</v>
      </c>
      <c r="EP25">
        <v>1.8644499999999999</v>
      </c>
      <c r="EQ25">
        <v>1.8701300000000001</v>
      </c>
      <c r="ER25">
        <v>1.86937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-0.26800000000000002</v>
      </c>
      <c r="FG25">
        <v>0.17530000000000001</v>
      </c>
      <c r="FH25">
        <v>0.28746640474027818</v>
      </c>
      <c r="FI25">
        <v>-6.1462078757559423E-4</v>
      </c>
      <c r="FJ25">
        <v>-1.8861989874597051E-7</v>
      </c>
      <c r="FK25">
        <v>1.1980462299894961E-10</v>
      </c>
      <c r="FL25">
        <v>0.17524818673008091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10.8</v>
      </c>
      <c r="FU25">
        <v>10.8</v>
      </c>
      <c r="FV25">
        <v>1.79932</v>
      </c>
      <c r="FW25">
        <v>2.5756800000000002</v>
      </c>
      <c r="FX25">
        <v>1.5490699999999999</v>
      </c>
      <c r="FY25">
        <v>2.3327599999999999</v>
      </c>
      <c r="FZ25">
        <v>1.50146</v>
      </c>
      <c r="GA25">
        <v>2.3962400000000001</v>
      </c>
      <c r="GB25">
        <v>33.355899999999998</v>
      </c>
      <c r="GC25">
        <v>23.877400000000002</v>
      </c>
      <c r="GD25">
        <v>19</v>
      </c>
      <c r="GE25">
        <v>275.21300000000002</v>
      </c>
      <c r="GF25">
        <v>605.68299999999999</v>
      </c>
      <c r="GG25">
        <v>21.535799999999998</v>
      </c>
      <c r="GH25">
        <v>26.322500000000002</v>
      </c>
      <c r="GI25">
        <v>30</v>
      </c>
      <c r="GJ25">
        <v>26.347899999999999</v>
      </c>
      <c r="GK25">
        <v>26.316099999999999</v>
      </c>
      <c r="GL25">
        <v>35.969099999999997</v>
      </c>
      <c r="GM25">
        <v>8.5005600000000001</v>
      </c>
      <c r="GN25">
        <v>100</v>
      </c>
      <c r="GO25">
        <v>20.345600000000001</v>
      </c>
      <c r="GP25">
        <v>800</v>
      </c>
      <c r="GQ25">
        <v>22.680599999999998</v>
      </c>
      <c r="GR25">
        <v>99.720299999999995</v>
      </c>
      <c r="GS25">
        <v>99.534999999999997</v>
      </c>
    </row>
    <row r="26" spans="1:201" x14ac:dyDescent="0.25">
      <c r="A26">
        <v>10</v>
      </c>
      <c r="B26">
        <v>1690382615.5999999</v>
      </c>
      <c r="C26">
        <v>140.5</v>
      </c>
      <c r="D26" t="s">
        <v>351</v>
      </c>
      <c r="E26" t="s">
        <v>352</v>
      </c>
      <c r="F26" t="s">
        <v>330</v>
      </c>
      <c r="H26">
        <v>1690382615.5999999</v>
      </c>
      <c r="I26">
        <f t="shared" si="0"/>
        <v>-3.9463465379685522E-7</v>
      </c>
      <c r="J26">
        <f t="shared" si="1"/>
        <v>-3.9463465379685524E-4</v>
      </c>
      <c r="K26">
        <f t="shared" si="2"/>
        <v>-0.35966105408243315</v>
      </c>
      <c r="L26">
        <f t="shared" si="3"/>
        <v>803.83500000000004</v>
      </c>
      <c r="M26">
        <f t="shared" si="4"/>
        <v>-26120.566935449056</v>
      </c>
      <c r="N26">
        <f t="shared" si="5"/>
        <v>-2580.3956670362118</v>
      </c>
      <c r="O26">
        <f t="shared" si="6"/>
        <v>79.409162754315005</v>
      </c>
      <c r="P26">
        <f t="shared" si="7"/>
        <v>-2.1076133957298842E-5</v>
      </c>
      <c r="Q26">
        <f t="shared" si="8"/>
        <v>2.1096253139040493</v>
      </c>
      <c r="R26">
        <f t="shared" si="9"/>
        <v>-2.1076250935966504E-5</v>
      </c>
      <c r="S26">
        <f t="shared" si="10"/>
        <v>-1.317264632512295E-5</v>
      </c>
      <c r="T26">
        <f t="shared" si="11"/>
        <v>276.11012842582772</v>
      </c>
      <c r="U26">
        <f t="shared" si="12"/>
        <v>29.034762588942776</v>
      </c>
      <c r="V26">
        <f t="shared" si="13"/>
        <v>29.034762588942776</v>
      </c>
      <c r="W26">
        <f t="shared" si="14"/>
        <v>4.0298698841354526</v>
      </c>
      <c r="X26">
        <f t="shared" si="15"/>
        <v>63.173129881815846</v>
      </c>
      <c r="Y26">
        <f t="shared" si="16"/>
        <v>2.2388398071958999</v>
      </c>
      <c r="Z26">
        <f t="shared" si="17"/>
        <v>3.5439748060359149</v>
      </c>
      <c r="AA26">
        <f t="shared" si="18"/>
        <v>1.7910300769395526</v>
      </c>
      <c r="AB26">
        <f t="shared" si="19"/>
        <v>1.7403388232441315E-2</v>
      </c>
      <c r="AC26">
        <f t="shared" si="20"/>
        <v>-250.54063786513763</v>
      </c>
      <c r="AD26">
        <f t="shared" si="21"/>
        <v>-25.870257682628043</v>
      </c>
      <c r="AE26">
        <f t="shared" si="22"/>
        <v>-0.2833637337054995</v>
      </c>
      <c r="AF26">
        <v>2</v>
      </c>
      <c r="AG26">
        <v>1</v>
      </c>
      <c r="AH26">
        <f t="shared" si="23"/>
        <v>1</v>
      </c>
      <c r="AI26">
        <f t="shared" si="24"/>
        <v>0</v>
      </c>
      <c r="AJ26">
        <f t="shared" si="25"/>
        <v>52196.89551311588</v>
      </c>
      <c r="AK26">
        <f t="shared" si="26"/>
        <v>1799.97</v>
      </c>
      <c r="AL26">
        <f t="shared" si="27"/>
        <v>1499.08738559382</v>
      </c>
      <c r="AM26">
        <f t="shared" si="28"/>
        <v>0.83284020599999997</v>
      </c>
      <c r="AN26">
        <f t="shared" si="29"/>
        <v>0.15339707241</v>
      </c>
      <c r="AO26">
        <v>32.700000000000003</v>
      </c>
      <c r="AP26">
        <v>0.5</v>
      </c>
      <c r="AQ26" t="s">
        <v>331</v>
      </c>
      <c r="AR26">
        <v>2</v>
      </c>
      <c r="AS26">
        <v>1690382615.5999999</v>
      </c>
      <c r="AT26">
        <v>803.83500000000004</v>
      </c>
      <c r="AU26">
        <v>799.91499999999996</v>
      </c>
      <c r="AV26">
        <v>22.6631</v>
      </c>
      <c r="AW26">
        <v>22.667300000000001</v>
      </c>
      <c r="AX26">
        <v>804.10199999999998</v>
      </c>
      <c r="AY26">
        <v>22.4879</v>
      </c>
      <c r="AZ26">
        <v>300.28800000000001</v>
      </c>
      <c r="BA26">
        <v>98.687700000000007</v>
      </c>
      <c r="BB26">
        <v>0.100189</v>
      </c>
      <c r="BC26">
        <v>26.831900000000001</v>
      </c>
      <c r="BD26">
        <v>29.3324</v>
      </c>
      <c r="BE26">
        <v>28.736799999999999</v>
      </c>
      <c r="BF26">
        <v>0</v>
      </c>
      <c r="BG26">
        <v>0</v>
      </c>
      <c r="BH26">
        <v>9996.8799999999992</v>
      </c>
      <c r="BI26">
        <v>1082.3399999999999</v>
      </c>
      <c r="BJ26">
        <v>2.21461</v>
      </c>
      <c r="BK26">
        <v>3.9201700000000002</v>
      </c>
      <c r="BL26">
        <v>822.47500000000002</v>
      </c>
      <c r="BM26">
        <v>818.46699999999998</v>
      </c>
      <c r="BN26">
        <v>-4.16374E-3</v>
      </c>
      <c r="BO26">
        <v>799.91499999999996</v>
      </c>
      <c r="BP26">
        <v>22.667300000000001</v>
      </c>
      <c r="BQ26">
        <v>2.2365699999999999</v>
      </c>
      <c r="BR26">
        <v>2.23698</v>
      </c>
      <c r="BS26">
        <v>19.226700000000001</v>
      </c>
      <c r="BT26">
        <v>19.229700000000001</v>
      </c>
      <c r="BU26">
        <v>1799.97</v>
      </c>
      <c r="BV26">
        <v>0.91001100000000001</v>
      </c>
      <c r="BW26">
        <v>3.4001700000000003E-2</v>
      </c>
      <c r="BX26">
        <v>2.1997300000000001E-2</v>
      </c>
      <c r="BY26">
        <v>3.3989499999999999E-2</v>
      </c>
      <c r="BZ26">
        <v>26</v>
      </c>
      <c r="CA26">
        <v>33527.800000000003</v>
      </c>
      <c r="CB26">
        <v>1690381960.0999999</v>
      </c>
      <c r="CC26" t="s">
        <v>332</v>
      </c>
      <c r="CD26">
        <v>1690381960.0999999</v>
      </c>
      <c r="CE26">
        <v>1690381958.0999999</v>
      </c>
      <c r="CF26">
        <v>4</v>
      </c>
      <c r="CG26">
        <v>9.9000000000000005E-2</v>
      </c>
      <c r="CH26">
        <v>1.2E-2</v>
      </c>
      <c r="CI26">
        <v>-0.26300000000000001</v>
      </c>
      <c r="CJ26">
        <v>0.127</v>
      </c>
      <c r="CK26">
        <v>798</v>
      </c>
      <c r="CL26">
        <v>18</v>
      </c>
      <c r="CM26">
        <v>0.02</v>
      </c>
      <c r="CN26">
        <v>0.12</v>
      </c>
      <c r="CO26">
        <v>5.541061</v>
      </c>
      <c r="CP26">
        <v>-6.1342250656660484</v>
      </c>
      <c r="CQ26">
        <v>0.59948340527824451</v>
      </c>
      <c r="CR26">
        <v>-1</v>
      </c>
      <c r="CS26">
        <v>0.60001345500000003</v>
      </c>
      <c r="CT26">
        <v>-3.037233300562856</v>
      </c>
      <c r="CU26">
        <v>0.29224216981789952</v>
      </c>
      <c r="CV26">
        <v>-1</v>
      </c>
      <c r="CW26">
        <v>0</v>
      </c>
      <c r="CX26">
        <v>0</v>
      </c>
      <c r="CY26" t="s">
        <v>333</v>
      </c>
      <c r="CZ26">
        <v>2.3647999999999998</v>
      </c>
      <c r="DA26">
        <v>2.7139799999999998</v>
      </c>
      <c r="DB26">
        <v>0.14666699999999999</v>
      </c>
      <c r="DC26">
        <v>0.14585500000000001</v>
      </c>
      <c r="DD26">
        <v>0.10899200000000001</v>
      </c>
      <c r="DE26">
        <v>0.107379</v>
      </c>
      <c r="DF26">
        <v>31154.3</v>
      </c>
      <c r="DG26">
        <v>27520.1</v>
      </c>
      <c r="DH26">
        <v>31167.7</v>
      </c>
      <c r="DI26">
        <v>28074.400000000001</v>
      </c>
      <c r="DJ26">
        <v>37705.5</v>
      </c>
      <c r="DK26">
        <v>35629.5</v>
      </c>
      <c r="DL26">
        <v>44355</v>
      </c>
      <c r="DM26">
        <v>42548.800000000003</v>
      </c>
      <c r="DN26">
        <v>1.4575800000000001</v>
      </c>
      <c r="DO26">
        <v>2.0633699999999999</v>
      </c>
      <c r="DP26">
        <v>0.21107500000000001</v>
      </c>
      <c r="DQ26">
        <v>0.172481</v>
      </c>
      <c r="DR26">
        <v>25.883900000000001</v>
      </c>
      <c r="DS26">
        <v>25.9175</v>
      </c>
      <c r="DT26">
        <v>57.7</v>
      </c>
      <c r="DU26">
        <v>28.7</v>
      </c>
      <c r="DV26">
        <v>23.109200000000001</v>
      </c>
      <c r="DW26">
        <v>62.082999999999998</v>
      </c>
      <c r="DX26">
        <v>36.414299999999997</v>
      </c>
      <c r="DY26">
        <v>1</v>
      </c>
      <c r="DZ26">
        <v>-6.4773899999999995E-2</v>
      </c>
      <c r="EA26">
        <v>9.2810500000000005</v>
      </c>
      <c r="EB26">
        <v>19.888000000000002</v>
      </c>
      <c r="EC26">
        <v>5.2389999999999999</v>
      </c>
      <c r="ED26">
        <v>12.039899999999999</v>
      </c>
      <c r="EE26">
        <v>5.0140000000000002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1.8646199999999999</v>
      </c>
      <c r="EM26">
        <v>1.8692</v>
      </c>
      <c r="EN26">
        <v>1.8672200000000001</v>
      </c>
      <c r="EO26">
        <v>1.8633900000000001</v>
      </c>
      <c r="EP26">
        <v>1.86446</v>
      </c>
      <c r="EQ26">
        <v>1.87012</v>
      </c>
      <c r="ER26">
        <v>1.8693900000000001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-0.26700000000000002</v>
      </c>
      <c r="FG26">
        <v>0.17519999999999999</v>
      </c>
      <c r="FH26">
        <v>0.28746640474027818</v>
      </c>
      <c r="FI26">
        <v>-6.1462078757559423E-4</v>
      </c>
      <c r="FJ26">
        <v>-1.8861989874597051E-7</v>
      </c>
      <c r="FK26">
        <v>1.1980462299894961E-10</v>
      </c>
      <c r="FL26">
        <v>0.17524818673008091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10.9</v>
      </c>
      <c r="FU26">
        <v>11</v>
      </c>
      <c r="FV26">
        <v>1.79932</v>
      </c>
      <c r="FW26">
        <v>2.5732400000000002</v>
      </c>
      <c r="FX26">
        <v>1.5490699999999999</v>
      </c>
      <c r="FY26">
        <v>2.3327599999999999</v>
      </c>
      <c r="FZ26">
        <v>1.50146</v>
      </c>
      <c r="GA26">
        <v>2.4157700000000002</v>
      </c>
      <c r="GB26">
        <v>33.355899999999998</v>
      </c>
      <c r="GC26">
        <v>23.877400000000002</v>
      </c>
      <c r="GD26">
        <v>19</v>
      </c>
      <c r="GE26">
        <v>275.01499999999999</v>
      </c>
      <c r="GF26">
        <v>605.57899999999995</v>
      </c>
      <c r="GG26">
        <v>20.180099999999999</v>
      </c>
      <c r="GH26">
        <v>26.3339</v>
      </c>
      <c r="GI26">
        <v>29.9998</v>
      </c>
      <c r="GJ26">
        <v>26.350200000000001</v>
      </c>
      <c r="GK26">
        <v>26.32</v>
      </c>
      <c r="GL26">
        <v>35.973399999999998</v>
      </c>
      <c r="GM26">
        <v>7.4681800000000003</v>
      </c>
      <c r="GN26">
        <v>100</v>
      </c>
      <c r="GO26">
        <v>20.139399999999998</v>
      </c>
      <c r="GP26">
        <v>800</v>
      </c>
      <c r="GQ26">
        <v>22.6662</v>
      </c>
      <c r="GR26">
        <v>99.7239</v>
      </c>
      <c r="GS26">
        <v>99.538600000000002</v>
      </c>
    </row>
    <row r="27" spans="1:201" x14ac:dyDescent="0.25">
      <c r="A27">
        <v>11</v>
      </c>
      <c r="B27">
        <v>1690382625.5999999</v>
      </c>
      <c r="C27">
        <v>150.5</v>
      </c>
      <c r="D27" t="s">
        <v>353</v>
      </c>
      <c r="E27" t="s">
        <v>354</v>
      </c>
      <c r="F27" t="s">
        <v>330</v>
      </c>
      <c r="H27">
        <v>1690382625.5999999</v>
      </c>
      <c r="I27">
        <f t="shared" si="0"/>
        <v>-5.5033507065582366E-5</v>
      </c>
      <c r="J27">
        <f t="shared" si="1"/>
        <v>-5.5033507065582368E-2</v>
      </c>
      <c r="K27">
        <f t="shared" si="2"/>
        <v>-5.3016610512010766E-2</v>
      </c>
      <c r="L27">
        <f t="shared" si="3"/>
        <v>801.06</v>
      </c>
      <c r="M27">
        <f t="shared" si="4"/>
        <v>748.98489671041148</v>
      </c>
      <c r="N27">
        <f t="shared" si="5"/>
        <v>73.99261116309232</v>
      </c>
      <c r="O27">
        <f t="shared" si="6"/>
        <v>79.137137956499998</v>
      </c>
      <c r="P27">
        <f t="shared" si="7"/>
        <v>-2.9374641463022753E-3</v>
      </c>
      <c r="Q27">
        <f t="shared" si="8"/>
        <v>2.110452936253794</v>
      </c>
      <c r="R27">
        <f t="shared" si="9"/>
        <v>-2.9397374623935293E-3</v>
      </c>
      <c r="S27">
        <f t="shared" si="10"/>
        <v>-1.8371315245893959E-3</v>
      </c>
      <c r="T27">
        <f t="shared" si="11"/>
        <v>276.11130242026076</v>
      </c>
      <c r="U27">
        <f t="shared" si="12"/>
        <v>28.785156754339901</v>
      </c>
      <c r="V27">
        <f t="shared" si="13"/>
        <v>28.785156754339901</v>
      </c>
      <c r="W27">
        <f t="shared" si="14"/>
        <v>3.9720442319278226</v>
      </c>
      <c r="X27">
        <f t="shared" si="15"/>
        <v>62.499423628438976</v>
      </c>
      <c r="Y27">
        <f t="shared" si="16"/>
        <v>2.1802179752774999</v>
      </c>
      <c r="Z27">
        <f t="shared" si="17"/>
        <v>3.4883809301009938</v>
      </c>
      <c r="AA27">
        <f t="shared" si="18"/>
        <v>1.7918262566503227</v>
      </c>
      <c r="AB27">
        <f t="shared" si="19"/>
        <v>2.4269776615921823</v>
      </c>
      <c r="AC27">
        <f t="shared" si="20"/>
        <v>-252.8000590793466</v>
      </c>
      <c r="AD27">
        <f t="shared" si="21"/>
        <v>-26.025989561779742</v>
      </c>
      <c r="AE27">
        <f t="shared" si="22"/>
        <v>-0.28776855927338829</v>
      </c>
      <c r="AF27">
        <v>2</v>
      </c>
      <c r="AG27">
        <v>1</v>
      </c>
      <c r="AH27">
        <f t="shared" si="23"/>
        <v>1</v>
      </c>
      <c r="AI27">
        <f t="shared" si="24"/>
        <v>0</v>
      </c>
      <c r="AJ27">
        <f t="shared" si="25"/>
        <v>52279.865538540012</v>
      </c>
      <c r="AK27">
        <f t="shared" si="26"/>
        <v>1799.97</v>
      </c>
      <c r="AL27">
        <f t="shared" si="27"/>
        <v>1499.08690500183</v>
      </c>
      <c r="AM27">
        <f t="shared" si="28"/>
        <v>0.83283993899999997</v>
      </c>
      <c r="AN27">
        <f t="shared" si="29"/>
        <v>0.15339772463999998</v>
      </c>
      <c r="AO27">
        <v>32.700000000000003</v>
      </c>
      <c r="AP27">
        <v>0.5</v>
      </c>
      <c r="AQ27" t="s">
        <v>331</v>
      </c>
      <c r="AR27">
        <v>2</v>
      </c>
      <c r="AS27">
        <v>1690382625.5999999</v>
      </c>
      <c r="AT27">
        <v>801.06</v>
      </c>
      <c r="AU27">
        <v>800.00199999999995</v>
      </c>
      <c r="AV27">
        <v>22.069099999999999</v>
      </c>
      <c r="AW27">
        <v>22.6555</v>
      </c>
      <c r="AX27">
        <v>801.32500000000005</v>
      </c>
      <c r="AY27">
        <v>21.893899999999999</v>
      </c>
      <c r="AZ27">
        <v>300.11599999999999</v>
      </c>
      <c r="BA27">
        <v>98.6905</v>
      </c>
      <c r="BB27">
        <v>0.100025</v>
      </c>
      <c r="BC27">
        <v>26.563300000000002</v>
      </c>
      <c r="BD27">
        <v>29.0397</v>
      </c>
      <c r="BE27">
        <v>28.384699999999999</v>
      </c>
      <c r="BF27">
        <v>0</v>
      </c>
      <c r="BG27">
        <v>0</v>
      </c>
      <c r="BH27">
        <v>10003.799999999999</v>
      </c>
      <c r="BI27">
        <v>1081.24</v>
      </c>
      <c r="BJ27">
        <v>2.1865800000000002</v>
      </c>
      <c r="BK27">
        <v>1.0583499999999999</v>
      </c>
      <c r="BL27">
        <v>819.13800000000003</v>
      </c>
      <c r="BM27">
        <v>818.54600000000005</v>
      </c>
      <c r="BN27">
        <v>-0.58632899999999999</v>
      </c>
      <c r="BO27">
        <v>800.00199999999995</v>
      </c>
      <c r="BP27">
        <v>22.6555</v>
      </c>
      <c r="BQ27">
        <v>2.17801</v>
      </c>
      <c r="BR27">
        <v>2.2358799999999999</v>
      </c>
      <c r="BS27">
        <v>18.801500000000001</v>
      </c>
      <c r="BT27">
        <v>19.221699999999998</v>
      </c>
      <c r="BU27">
        <v>1799.97</v>
      </c>
      <c r="BV27">
        <v>0.90999099999999999</v>
      </c>
      <c r="BW27">
        <v>3.3993299999999997E-2</v>
      </c>
      <c r="BX27">
        <v>2.2004699999999999E-2</v>
      </c>
      <c r="BY27">
        <v>3.4010800000000001E-2</v>
      </c>
      <c r="BZ27">
        <v>26</v>
      </c>
      <c r="CA27">
        <v>33527.800000000003</v>
      </c>
      <c r="CB27">
        <v>1690381960.0999999</v>
      </c>
      <c r="CC27" t="s">
        <v>332</v>
      </c>
      <c r="CD27">
        <v>1690381960.0999999</v>
      </c>
      <c r="CE27">
        <v>1690381958.0999999</v>
      </c>
      <c r="CF27">
        <v>4</v>
      </c>
      <c r="CG27">
        <v>9.9000000000000005E-2</v>
      </c>
      <c r="CH27">
        <v>1.2E-2</v>
      </c>
      <c r="CI27">
        <v>-0.26300000000000001</v>
      </c>
      <c r="CJ27">
        <v>0.127</v>
      </c>
      <c r="CK27">
        <v>798</v>
      </c>
      <c r="CL27">
        <v>18</v>
      </c>
      <c r="CM27">
        <v>0.02</v>
      </c>
      <c r="CN27">
        <v>0.12</v>
      </c>
      <c r="CO27">
        <v>3.9009534146341469</v>
      </c>
      <c r="CP27">
        <v>-13.079968432055731</v>
      </c>
      <c r="CQ27">
        <v>1.3084872522219559</v>
      </c>
      <c r="CR27">
        <v>-1</v>
      </c>
      <c r="CS27">
        <v>3.6746874634146331E-2</v>
      </c>
      <c r="CT27">
        <v>-3.5456372797212539</v>
      </c>
      <c r="CU27">
        <v>0.34998357345984121</v>
      </c>
      <c r="CV27">
        <v>-1</v>
      </c>
      <c r="CW27">
        <v>0</v>
      </c>
      <c r="CX27">
        <v>0</v>
      </c>
      <c r="CY27" t="s">
        <v>333</v>
      </c>
      <c r="CZ27">
        <v>2.36422</v>
      </c>
      <c r="DA27">
        <v>2.7138200000000001</v>
      </c>
      <c r="DB27">
        <v>0.14632000000000001</v>
      </c>
      <c r="DC27">
        <v>0.145868</v>
      </c>
      <c r="DD27">
        <v>0.10695300000000001</v>
      </c>
      <c r="DE27">
        <v>0.10734200000000001</v>
      </c>
      <c r="DF27">
        <v>31167.599999999999</v>
      </c>
      <c r="DG27">
        <v>27519.7</v>
      </c>
      <c r="DH27">
        <v>31168.5</v>
      </c>
      <c r="DI27">
        <v>28074.6</v>
      </c>
      <c r="DJ27">
        <v>37793.300000000003</v>
      </c>
      <c r="DK27">
        <v>35631.1</v>
      </c>
      <c r="DL27">
        <v>44355.8</v>
      </c>
      <c r="DM27">
        <v>42548.9</v>
      </c>
      <c r="DN27">
        <v>1.45655</v>
      </c>
      <c r="DO27">
        <v>2.0634999999999999</v>
      </c>
      <c r="DP27">
        <v>0.193547</v>
      </c>
      <c r="DQ27">
        <v>0.15420800000000001</v>
      </c>
      <c r="DR27">
        <v>25.876799999999999</v>
      </c>
      <c r="DS27">
        <v>25.863299999999999</v>
      </c>
      <c r="DT27">
        <v>57.8</v>
      </c>
      <c r="DU27">
        <v>28.7</v>
      </c>
      <c r="DV27">
        <v>23.150500000000001</v>
      </c>
      <c r="DW27">
        <v>62.222999999999999</v>
      </c>
      <c r="DX27">
        <v>36.246000000000002</v>
      </c>
      <c r="DY27">
        <v>1</v>
      </c>
      <c r="DZ27">
        <v>-6.5182900000000002E-2</v>
      </c>
      <c r="EA27">
        <v>8.4991900000000005</v>
      </c>
      <c r="EB27">
        <v>19.9358</v>
      </c>
      <c r="EC27">
        <v>5.2404999999999999</v>
      </c>
      <c r="ED27">
        <v>12.039899999999999</v>
      </c>
      <c r="EE27">
        <v>5.0167999999999999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1.8689</v>
      </c>
      <c r="EL27">
        <v>1.8646199999999999</v>
      </c>
      <c r="EM27">
        <v>1.8692</v>
      </c>
      <c r="EN27">
        <v>1.8672299999999999</v>
      </c>
      <c r="EO27">
        <v>1.86338</v>
      </c>
      <c r="EP27">
        <v>1.86446</v>
      </c>
      <c r="EQ27">
        <v>1.8701399999999999</v>
      </c>
      <c r="ER27">
        <v>1.8693900000000001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-0.26500000000000001</v>
      </c>
      <c r="FG27">
        <v>0.17519999999999999</v>
      </c>
      <c r="FH27">
        <v>0.28746640474027818</v>
      </c>
      <c r="FI27">
        <v>-6.1462078757559423E-4</v>
      </c>
      <c r="FJ27">
        <v>-1.8861989874597051E-7</v>
      </c>
      <c r="FK27">
        <v>1.1980462299894961E-10</v>
      </c>
      <c r="FL27">
        <v>0.17524818673008091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11.1</v>
      </c>
      <c r="FU27">
        <v>11.1</v>
      </c>
      <c r="FV27">
        <v>1.79932</v>
      </c>
      <c r="FW27">
        <v>2.5756800000000002</v>
      </c>
      <c r="FX27">
        <v>1.5490699999999999</v>
      </c>
      <c r="FY27">
        <v>2.3315399999999999</v>
      </c>
      <c r="FZ27">
        <v>1.50146</v>
      </c>
      <c r="GA27">
        <v>2.4267599999999998</v>
      </c>
      <c r="GB27">
        <v>33.355899999999998</v>
      </c>
      <c r="GC27">
        <v>23.947399999999998</v>
      </c>
      <c r="GD27">
        <v>19</v>
      </c>
      <c r="GE27">
        <v>274.59699999999998</v>
      </c>
      <c r="GF27">
        <v>605.73699999999997</v>
      </c>
      <c r="GG27">
        <v>19.109000000000002</v>
      </c>
      <c r="GH27">
        <v>26.349399999999999</v>
      </c>
      <c r="GI27">
        <v>29.9999</v>
      </c>
      <c r="GJ27">
        <v>26.352599999999999</v>
      </c>
      <c r="GK27">
        <v>26.324400000000001</v>
      </c>
      <c r="GL27">
        <v>35.974699999999999</v>
      </c>
      <c r="GM27">
        <v>10.3682</v>
      </c>
      <c r="GN27">
        <v>100</v>
      </c>
      <c r="GO27">
        <v>20.624600000000001</v>
      </c>
      <c r="GP27">
        <v>800</v>
      </c>
      <c r="GQ27">
        <v>22.176100000000002</v>
      </c>
      <c r="GR27">
        <v>99.725999999999999</v>
      </c>
      <c r="GS27">
        <v>99.538899999999998</v>
      </c>
    </row>
    <row r="28" spans="1:201" x14ac:dyDescent="0.25">
      <c r="A28">
        <v>12</v>
      </c>
      <c r="B28">
        <v>1690382635.5999999</v>
      </c>
      <c r="C28">
        <v>160.5</v>
      </c>
      <c r="D28" t="s">
        <v>355</v>
      </c>
      <c r="E28" t="s">
        <v>356</v>
      </c>
      <c r="F28" t="s">
        <v>330</v>
      </c>
      <c r="H28">
        <v>1690382635.5999999</v>
      </c>
      <c r="I28">
        <f t="shared" si="0"/>
        <v>-3.086291058358529E-5</v>
      </c>
      <c r="J28">
        <f t="shared" si="1"/>
        <v>-3.0862910583585288E-2</v>
      </c>
      <c r="K28">
        <f t="shared" si="2"/>
        <v>0.20276916617395094</v>
      </c>
      <c r="L28">
        <f t="shared" si="3"/>
        <v>798.08</v>
      </c>
      <c r="M28">
        <f t="shared" si="4"/>
        <v>965.47586642875149</v>
      </c>
      <c r="N28">
        <f t="shared" si="5"/>
        <v>95.379934530256193</v>
      </c>
      <c r="O28">
        <f t="shared" si="6"/>
        <v>78.842797419136005</v>
      </c>
      <c r="P28">
        <f t="shared" si="7"/>
        <v>-1.6773514733393539E-3</v>
      </c>
      <c r="Q28">
        <f t="shared" si="8"/>
        <v>2.1106608158109239</v>
      </c>
      <c r="R28">
        <f t="shared" si="9"/>
        <v>-1.6780923814210431E-3</v>
      </c>
      <c r="S28">
        <f t="shared" si="10"/>
        <v>-1.0487411452378879E-3</v>
      </c>
      <c r="T28">
        <f t="shared" si="11"/>
        <v>276.10903515731007</v>
      </c>
      <c r="U28">
        <f t="shared" si="12"/>
        <v>28.601297356777696</v>
      </c>
      <c r="V28">
        <f t="shared" si="13"/>
        <v>28.601297356777696</v>
      </c>
      <c r="W28">
        <f t="shared" si="14"/>
        <v>3.9299140140316347</v>
      </c>
      <c r="X28">
        <f t="shared" si="15"/>
        <v>62.826799429877546</v>
      </c>
      <c r="Y28">
        <f t="shared" si="16"/>
        <v>2.1690759234334602</v>
      </c>
      <c r="Z28">
        <f t="shared" si="17"/>
        <v>3.4524692378360231</v>
      </c>
      <c r="AA28">
        <f t="shared" si="18"/>
        <v>1.7608380905981744</v>
      </c>
      <c r="AB28">
        <f t="shared" si="19"/>
        <v>1.3610543567361113</v>
      </c>
      <c r="AC28">
        <f t="shared" si="20"/>
        <v>-251.87374448195095</v>
      </c>
      <c r="AD28">
        <f t="shared" si="21"/>
        <v>-25.881613266740757</v>
      </c>
      <c r="AE28">
        <f t="shared" si="22"/>
        <v>-0.28526823464554241</v>
      </c>
      <c r="AF28">
        <v>0</v>
      </c>
      <c r="AG28">
        <v>0</v>
      </c>
      <c r="AH28">
        <f t="shared" si="23"/>
        <v>1</v>
      </c>
      <c r="AI28">
        <f t="shared" si="24"/>
        <v>0</v>
      </c>
      <c r="AJ28">
        <f t="shared" si="25"/>
        <v>52319.591322836677</v>
      </c>
      <c r="AK28">
        <f t="shared" si="26"/>
        <v>1799.96</v>
      </c>
      <c r="AL28">
        <f t="shared" si="27"/>
        <v>1499.0778404188</v>
      </c>
      <c r="AM28">
        <f t="shared" si="28"/>
        <v>0.83283952999999999</v>
      </c>
      <c r="AN28">
        <f t="shared" si="29"/>
        <v>0.15339731725000003</v>
      </c>
      <c r="AO28">
        <v>32.700000000000003</v>
      </c>
      <c r="AP28">
        <v>0.5</v>
      </c>
      <c r="AQ28" t="s">
        <v>331</v>
      </c>
      <c r="AR28">
        <v>2</v>
      </c>
      <c r="AS28">
        <v>1690382635.5999999</v>
      </c>
      <c r="AT28">
        <v>798.08</v>
      </c>
      <c r="AU28">
        <v>800.02099999999996</v>
      </c>
      <c r="AV28">
        <v>21.956299999999999</v>
      </c>
      <c r="AW28">
        <v>22.2852</v>
      </c>
      <c r="AX28">
        <v>798.34199999999998</v>
      </c>
      <c r="AY28">
        <v>21.781099999999999</v>
      </c>
      <c r="AZ28">
        <v>300.10899999999998</v>
      </c>
      <c r="BA28">
        <v>98.690600000000003</v>
      </c>
      <c r="BB28">
        <v>9.9994200000000005E-2</v>
      </c>
      <c r="BC28">
        <v>26.387799999999999</v>
      </c>
      <c r="BD28">
        <v>28.8706</v>
      </c>
      <c r="BE28">
        <v>28.119800000000001</v>
      </c>
      <c r="BF28">
        <v>0</v>
      </c>
      <c r="BG28">
        <v>0</v>
      </c>
      <c r="BH28">
        <v>10005.6</v>
      </c>
      <c r="BI28">
        <v>1079.97</v>
      </c>
      <c r="BJ28">
        <v>2.1865800000000002</v>
      </c>
      <c r="BK28">
        <v>-1.9415899999999999</v>
      </c>
      <c r="BL28">
        <v>815.99599999999998</v>
      </c>
      <c r="BM28">
        <v>818.25599999999997</v>
      </c>
      <c r="BN28">
        <v>-0.32882099999999997</v>
      </c>
      <c r="BO28">
        <v>800.02099999999996</v>
      </c>
      <c r="BP28">
        <v>22.2852</v>
      </c>
      <c r="BQ28">
        <v>2.1668799999999999</v>
      </c>
      <c r="BR28">
        <v>2.1993399999999999</v>
      </c>
      <c r="BS28">
        <v>18.7196</v>
      </c>
      <c r="BT28">
        <v>18.9575</v>
      </c>
      <c r="BU28">
        <v>1799.96</v>
      </c>
      <c r="BV28">
        <v>0.90999799999999997</v>
      </c>
      <c r="BW28">
        <v>3.4002200000000003E-2</v>
      </c>
      <c r="BX28">
        <v>2.1998500000000001E-2</v>
      </c>
      <c r="BY28">
        <v>3.4001299999999998E-2</v>
      </c>
      <c r="BZ28">
        <v>26</v>
      </c>
      <c r="CA28">
        <v>33527.599999999999</v>
      </c>
      <c r="CB28">
        <v>1690381960.0999999</v>
      </c>
      <c r="CC28" t="s">
        <v>332</v>
      </c>
      <c r="CD28">
        <v>1690381960.0999999</v>
      </c>
      <c r="CE28">
        <v>1690381958.0999999</v>
      </c>
      <c r="CF28">
        <v>4</v>
      </c>
      <c r="CG28">
        <v>9.9000000000000005E-2</v>
      </c>
      <c r="CH28">
        <v>1.2E-2</v>
      </c>
      <c r="CI28">
        <v>-0.26300000000000001</v>
      </c>
      <c r="CJ28">
        <v>0.127</v>
      </c>
      <c r="CK28">
        <v>798</v>
      </c>
      <c r="CL28">
        <v>18</v>
      </c>
      <c r="CM28">
        <v>0.02</v>
      </c>
      <c r="CN28">
        <v>0.12</v>
      </c>
      <c r="CO28">
        <v>1.09668185</v>
      </c>
      <c r="CP28">
        <v>-18.060226845028161</v>
      </c>
      <c r="CQ28">
        <v>1.7377130252634569</v>
      </c>
      <c r="CR28">
        <v>-1</v>
      </c>
      <c r="CS28">
        <v>-0.45885442100000001</v>
      </c>
      <c r="CT28">
        <v>-1.662152992570356</v>
      </c>
      <c r="CU28">
        <v>0.20740694544843649</v>
      </c>
      <c r="CV28">
        <v>-1</v>
      </c>
      <c r="CW28">
        <v>0</v>
      </c>
      <c r="CX28">
        <v>0</v>
      </c>
      <c r="CY28" t="s">
        <v>333</v>
      </c>
      <c r="CZ28">
        <v>2.3641800000000002</v>
      </c>
      <c r="DA28">
        <v>2.7137899999999999</v>
      </c>
      <c r="DB28">
        <v>0.145951</v>
      </c>
      <c r="DC28">
        <v>0.14586199999999999</v>
      </c>
      <c r="DD28">
        <v>0.10656</v>
      </c>
      <c r="DE28">
        <v>0.10610899999999999</v>
      </c>
      <c r="DF28">
        <v>31182.6</v>
      </c>
      <c r="DG28">
        <v>27521.9</v>
      </c>
      <c r="DH28">
        <v>31170.1</v>
      </c>
      <c r="DI28">
        <v>28076.6</v>
      </c>
      <c r="DJ28">
        <v>37811.9</v>
      </c>
      <c r="DK28">
        <v>35682.9</v>
      </c>
      <c r="DL28">
        <v>44357.8</v>
      </c>
      <c r="DM28">
        <v>42552</v>
      </c>
      <c r="DN28">
        <v>1.46143</v>
      </c>
      <c r="DO28">
        <v>2.0631699999999999</v>
      </c>
      <c r="DP28">
        <v>0.18462500000000001</v>
      </c>
      <c r="DQ28">
        <v>0.14238100000000001</v>
      </c>
      <c r="DR28">
        <v>25.853000000000002</v>
      </c>
      <c r="DS28">
        <v>25.7911</v>
      </c>
      <c r="DT28">
        <v>57.8</v>
      </c>
      <c r="DU28">
        <v>28.7</v>
      </c>
      <c r="DV28">
        <v>23.149899999999999</v>
      </c>
      <c r="DW28">
        <v>60.953000000000003</v>
      </c>
      <c r="DX28">
        <v>36.149799999999999</v>
      </c>
      <c r="DY28">
        <v>1</v>
      </c>
      <c r="DZ28">
        <v>-8.1557400000000002E-2</v>
      </c>
      <c r="EA28">
        <v>3.8168099999999998</v>
      </c>
      <c r="EB28">
        <v>20.1401</v>
      </c>
      <c r="EC28">
        <v>5.2409499999999998</v>
      </c>
      <c r="ED28">
        <v>12.039899999999999</v>
      </c>
      <c r="EE28">
        <v>5.0170500000000002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1.8689</v>
      </c>
      <c r="EL28">
        <v>1.8646199999999999</v>
      </c>
      <c r="EM28">
        <v>1.8692</v>
      </c>
      <c r="EN28">
        <v>1.8672599999999999</v>
      </c>
      <c r="EO28">
        <v>1.8633999999999999</v>
      </c>
      <c r="EP28">
        <v>1.8644700000000001</v>
      </c>
      <c r="EQ28">
        <v>1.87015</v>
      </c>
      <c r="ER28">
        <v>1.8694299999999999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-0.26200000000000001</v>
      </c>
      <c r="FG28">
        <v>0.17519999999999999</v>
      </c>
      <c r="FH28">
        <v>0.28746640474027818</v>
      </c>
      <c r="FI28">
        <v>-6.1462078757559423E-4</v>
      </c>
      <c r="FJ28">
        <v>-1.8861989874597051E-7</v>
      </c>
      <c r="FK28">
        <v>1.1980462299894961E-10</v>
      </c>
      <c r="FL28">
        <v>0.17524818673008091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11.3</v>
      </c>
      <c r="FU28">
        <v>11.3</v>
      </c>
      <c r="FV28">
        <v>1.79932</v>
      </c>
      <c r="FW28">
        <v>2.5781200000000002</v>
      </c>
      <c r="FX28">
        <v>1.5490699999999999</v>
      </c>
      <c r="FY28">
        <v>2.3315399999999999</v>
      </c>
      <c r="FZ28">
        <v>1.50146</v>
      </c>
      <c r="GA28">
        <v>2.4096700000000002</v>
      </c>
      <c r="GB28">
        <v>33.355899999999998</v>
      </c>
      <c r="GC28">
        <v>23.938700000000001</v>
      </c>
      <c r="GD28">
        <v>19</v>
      </c>
      <c r="GE28">
        <v>276.68299999999999</v>
      </c>
      <c r="GF28">
        <v>605.50599999999997</v>
      </c>
      <c r="GG28">
        <v>19.7622</v>
      </c>
      <c r="GH28">
        <v>26.367799999999999</v>
      </c>
      <c r="GI28">
        <v>29.995000000000001</v>
      </c>
      <c r="GJ28">
        <v>26.363700000000001</v>
      </c>
      <c r="GK28">
        <v>26.328199999999999</v>
      </c>
      <c r="GL28">
        <v>35.967799999999997</v>
      </c>
      <c r="GM28">
        <v>11.918900000000001</v>
      </c>
      <c r="GN28">
        <v>100</v>
      </c>
      <c r="GO28">
        <v>19.5307</v>
      </c>
      <c r="GP28">
        <v>800</v>
      </c>
      <c r="GQ28">
        <v>22.268899999999999</v>
      </c>
      <c r="GR28">
        <v>99.730699999999999</v>
      </c>
      <c r="GS28">
        <v>99.546199999999999</v>
      </c>
    </row>
    <row r="29" spans="1:201" x14ac:dyDescent="0.25">
      <c r="A29">
        <v>13</v>
      </c>
      <c r="B29">
        <v>1690382645.5999999</v>
      </c>
      <c r="C29">
        <v>170.5</v>
      </c>
      <c r="D29" t="s">
        <v>357</v>
      </c>
      <c r="E29" t="s">
        <v>358</v>
      </c>
      <c r="F29" t="s">
        <v>330</v>
      </c>
      <c r="H29">
        <v>1690382645.5999999</v>
      </c>
      <c r="I29">
        <f t="shared" si="0"/>
        <v>-1.2143946491747391E-5</v>
      </c>
      <c r="J29">
        <f t="shared" si="1"/>
        <v>-1.2143946491747392E-2</v>
      </c>
      <c r="K29">
        <f t="shared" si="2"/>
        <v>0.43217570131734739</v>
      </c>
      <c r="L29">
        <f t="shared" si="3"/>
        <v>795.41200000000003</v>
      </c>
      <c r="M29">
        <f t="shared" si="4"/>
        <v>1782.2229306889826</v>
      </c>
      <c r="N29">
        <f t="shared" si="5"/>
        <v>176.06378085618286</v>
      </c>
      <c r="O29">
        <f t="shared" si="6"/>
        <v>78.577848846462416</v>
      </c>
      <c r="P29">
        <f t="shared" si="7"/>
        <v>-6.7524316330225818E-4</v>
      </c>
      <c r="Q29">
        <f t="shared" si="8"/>
        <v>2.105753370265588</v>
      </c>
      <c r="R29">
        <f t="shared" si="9"/>
        <v>-6.753634794584442E-4</v>
      </c>
      <c r="S29">
        <f t="shared" si="10"/>
        <v>-4.2209136322574048E-4</v>
      </c>
      <c r="T29">
        <f t="shared" si="11"/>
        <v>276.10954572153963</v>
      </c>
      <c r="U29">
        <f t="shared" si="12"/>
        <v>28.502582432352721</v>
      </c>
      <c r="V29">
        <f t="shared" si="13"/>
        <v>28.502582432352721</v>
      </c>
      <c r="W29">
        <f t="shared" si="14"/>
        <v>3.907455326613742</v>
      </c>
      <c r="X29">
        <f t="shared" si="15"/>
        <v>63.677093607397573</v>
      </c>
      <c r="Y29">
        <f t="shared" si="16"/>
        <v>2.1858814625073602</v>
      </c>
      <c r="Z29">
        <f t="shared" si="17"/>
        <v>3.4327594723221151</v>
      </c>
      <c r="AA29">
        <f t="shared" si="18"/>
        <v>1.7215738641063818</v>
      </c>
      <c r="AB29">
        <f t="shared" si="19"/>
        <v>0.53554804028605996</v>
      </c>
      <c r="AC29">
        <f t="shared" si="20"/>
        <v>-251.09343159454443</v>
      </c>
      <c r="AD29">
        <f t="shared" si="21"/>
        <v>-25.836303379261324</v>
      </c>
      <c r="AE29">
        <f t="shared" si="22"/>
        <v>-0.28464121198004477</v>
      </c>
      <c r="AF29">
        <v>1</v>
      </c>
      <c r="AG29">
        <v>0</v>
      </c>
      <c r="AH29">
        <f t="shared" si="23"/>
        <v>1</v>
      </c>
      <c r="AI29">
        <f t="shared" si="24"/>
        <v>0</v>
      </c>
      <c r="AJ29">
        <f t="shared" si="25"/>
        <v>52122.428727396844</v>
      </c>
      <c r="AK29">
        <f t="shared" si="26"/>
        <v>1799.97</v>
      </c>
      <c r="AL29">
        <f t="shared" si="27"/>
        <v>1499.0904041435099</v>
      </c>
      <c r="AM29">
        <f t="shared" si="28"/>
        <v>0.83284188299999995</v>
      </c>
      <c r="AN29">
        <f t="shared" si="29"/>
        <v>0.15339674868</v>
      </c>
      <c r="AO29">
        <v>32.700000000000003</v>
      </c>
      <c r="AP29">
        <v>0.5</v>
      </c>
      <c r="AQ29" t="s">
        <v>331</v>
      </c>
      <c r="AR29">
        <v>2</v>
      </c>
      <c r="AS29">
        <v>1690382645.5999999</v>
      </c>
      <c r="AT29">
        <v>795.41200000000003</v>
      </c>
      <c r="AU29">
        <v>800.01599999999996</v>
      </c>
      <c r="AV29">
        <v>22.126799999999999</v>
      </c>
      <c r="AW29">
        <v>22.2562</v>
      </c>
      <c r="AX29">
        <v>795.673</v>
      </c>
      <c r="AY29">
        <v>21.951499999999999</v>
      </c>
      <c r="AZ29">
        <v>300.09300000000002</v>
      </c>
      <c r="BA29">
        <v>98.688900000000004</v>
      </c>
      <c r="BB29">
        <v>9.9965200000000004E-2</v>
      </c>
      <c r="BC29">
        <v>26.290800000000001</v>
      </c>
      <c r="BD29">
        <v>28.692</v>
      </c>
      <c r="BE29">
        <v>27.995799999999999</v>
      </c>
      <c r="BF29">
        <v>0</v>
      </c>
      <c r="BG29">
        <v>0</v>
      </c>
      <c r="BH29">
        <v>9963.1200000000008</v>
      </c>
      <c r="BI29">
        <v>1078.71</v>
      </c>
      <c r="BJ29">
        <v>2.1865800000000002</v>
      </c>
      <c r="BK29">
        <v>-4.60358</v>
      </c>
      <c r="BL29">
        <v>813.41</v>
      </c>
      <c r="BM29">
        <v>818.226</v>
      </c>
      <c r="BN29">
        <v>-0.129473</v>
      </c>
      <c r="BO29">
        <v>800.01599999999996</v>
      </c>
      <c r="BP29">
        <v>22.2562</v>
      </c>
      <c r="BQ29">
        <v>2.1836700000000002</v>
      </c>
      <c r="BR29">
        <v>2.1964399999999999</v>
      </c>
      <c r="BS29">
        <v>18.843</v>
      </c>
      <c r="BT29">
        <v>18.936399999999999</v>
      </c>
      <c r="BU29">
        <v>1799.97</v>
      </c>
      <c r="BV29">
        <v>0.91002400000000006</v>
      </c>
      <c r="BW29">
        <v>3.3993599999999999E-2</v>
      </c>
      <c r="BX29">
        <v>2.1991900000000002E-2</v>
      </c>
      <c r="BY29">
        <v>3.3991E-2</v>
      </c>
      <c r="BZ29">
        <v>26</v>
      </c>
      <c r="CA29">
        <v>33528.1</v>
      </c>
      <c r="CB29">
        <v>1690381960.0999999</v>
      </c>
      <c r="CC29" t="s">
        <v>332</v>
      </c>
      <c r="CD29">
        <v>1690381960.0999999</v>
      </c>
      <c r="CE29">
        <v>1690381958.0999999</v>
      </c>
      <c r="CF29">
        <v>4</v>
      </c>
      <c r="CG29">
        <v>9.9000000000000005E-2</v>
      </c>
      <c r="CH29">
        <v>1.2E-2</v>
      </c>
      <c r="CI29">
        <v>-0.26300000000000001</v>
      </c>
      <c r="CJ29">
        <v>0.127</v>
      </c>
      <c r="CK29">
        <v>798</v>
      </c>
      <c r="CL29">
        <v>18</v>
      </c>
      <c r="CM29">
        <v>0.02</v>
      </c>
      <c r="CN29">
        <v>0.12</v>
      </c>
      <c r="CO29">
        <v>-1.8405898999999999</v>
      </c>
      <c r="CP29">
        <v>-17.08169314896811</v>
      </c>
      <c r="CQ29">
        <v>1.6444839756942571</v>
      </c>
      <c r="CR29">
        <v>-1</v>
      </c>
      <c r="CS29">
        <v>-0.38416147500000009</v>
      </c>
      <c r="CT29">
        <v>2.3513355534709199</v>
      </c>
      <c r="CU29">
        <v>0.24200506845074421</v>
      </c>
      <c r="CV29">
        <v>-1</v>
      </c>
      <c r="CW29">
        <v>0</v>
      </c>
      <c r="CX29">
        <v>0</v>
      </c>
      <c r="CY29" t="s">
        <v>333</v>
      </c>
      <c r="CZ29">
        <v>2.3641100000000002</v>
      </c>
      <c r="DA29">
        <v>2.7137199999999999</v>
      </c>
      <c r="DB29">
        <v>0.14562</v>
      </c>
      <c r="DC29">
        <v>0.14585500000000001</v>
      </c>
      <c r="DD29">
        <v>0.107143</v>
      </c>
      <c r="DE29">
        <v>0.10600900000000001</v>
      </c>
      <c r="DF29">
        <v>31194.7</v>
      </c>
      <c r="DG29">
        <v>27520.9</v>
      </c>
      <c r="DH29">
        <v>31170.2</v>
      </c>
      <c r="DI29">
        <v>28075.5</v>
      </c>
      <c r="DJ29">
        <v>37786.800000000003</v>
      </c>
      <c r="DK29">
        <v>35685.4</v>
      </c>
      <c r="DL29">
        <v>44357.599999999999</v>
      </c>
      <c r="DM29">
        <v>42550.2</v>
      </c>
      <c r="DN29">
        <v>1.4590700000000001</v>
      </c>
      <c r="DO29">
        <v>2.0626199999999999</v>
      </c>
      <c r="DP29">
        <v>0.17588999999999999</v>
      </c>
      <c r="DQ29">
        <v>0.13949300000000001</v>
      </c>
      <c r="DR29">
        <v>25.816700000000001</v>
      </c>
      <c r="DS29">
        <v>25.713999999999999</v>
      </c>
      <c r="DT29">
        <v>57.8</v>
      </c>
      <c r="DU29">
        <v>28.7</v>
      </c>
      <c r="DV29">
        <v>23.151</v>
      </c>
      <c r="DW29">
        <v>62.203000000000003</v>
      </c>
      <c r="DX29">
        <v>35.9054</v>
      </c>
      <c r="DY29">
        <v>1</v>
      </c>
      <c r="DZ29">
        <v>-7.3338399999999998E-2</v>
      </c>
      <c r="EA29">
        <v>5.8266600000000004</v>
      </c>
      <c r="EB29">
        <v>20.0762</v>
      </c>
      <c r="EC29">
        <v>5.2409499999999998</v>
      </c>
      <c r="ED29">
        <v>12.039899999999999</v>
      </c>
      <c r="EE29">
        <v>5.0171999999999999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1.8689</v>
      </c>
      <c r="EL29">
        <v>1.8646199999999999</v>
      </c>
      <c r="EM29">
        <v>1.86921</v>
      </c>
      <c r="EN29">
        <v>1.86724</v>
      </c>
      <c r="EO29">
        <v>1.8633999999999999</v>
      </c>
      <c r="EP29">
        <v>1.8644700000000001</v>
      </c>
      <c r="EQ29">
        <v>1.8701700000000001</v>
      </c>
      <c r="ER29">
        <v>1.8694500000000001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-0.26100000000000001</v>
      </c>
      <c r="FG29">
        <v>0.17530000000000001</v>
      </c>
      <c r="FH29">
        <v>0.28746640474027818</v>
      </c>
      <c r="FI29">
        <v>-6.1462078757559423E-4</v>
      </c>
      <c r="FJ29">
        <v>-1.8861989874597051E-7</v>
      </c>
      <c r="FK29">
        <v>1.1980462299894961E-10</v>
      </c>
      <c r="FL29">
        <v>0.17524818673008091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11.4</v>
      </c>
      <c r="FU29">
        <v>11.5</v>
      </c>
      <c r="FV29">
        <v>1.79932</v>
      </c>
      <c r="FW29">
        <v>2.5756800000000002</v>
      </c>
      <c r="FX29">
        <v>1.5490699999999999</v>
      </c>
      <c r="FY29">
        <v>2.3327599999999999</v>
      </c>
      <c r="FZ29">
        <v>1.50146</v>
      </c>
      <c r="GA29">
        <v>2.4133300000000002</v>
      </c>
      <c r="GB29">
        <v>33.378399999999999</v>
      </c>
      <c r="GC29">
        <v>23.956199999999999</v>
      </c>
      <c r="GD29">
        <v>19</v>
      </c>
      <c r="GE29">
        <v>275.767</v>
      </c>
      <c r="GF29">
        <v>605.12900000000002</v>
      </c>
      <c r="GG29">
        <v>19.351900000000001</v>
      </c>
      <c r="GH29">
        <v>26.386399999999998</v>
      </c>
      <c r="GI29">
        <v>30.002199999999998</v>
      </c>
      <c r="GJ29">
        <v>26.379799999999999</v>
      </c>
      <c r="GK29">
        <v>26.335899999999999</v>
      </c>
      <c r="GL29">
        <v>35.963900000000002</v>
      </c>
      <c r="GM29">
        <v>11.644600000000001</v>
      </c>
      <c r="GN29">
        <v>100</v>
      </c>
      <c r="GO29">
        <v>19.3614</v>
      </c>
      <c r="GP29">
        <v>800</v>
      </c>
      <c r="GQ29">
        <v>22.223800000000001</v>
      </c>
      <c r="GR29">
        <v>99.730599999999995</v>
      </c>
      <c r="GS29">
        <v>99.542000000000002</v>
      </c>
    </row>
    <row r="30" spans="1:201" x14ac:dyDescent="0.25">
      <c r="A30">
        <v>14</v>
      </c>
      <c r="B30">
        <v>1690382655.5999999</v>
      </c>
      <c r="C30">
        <v>180.5</v>
      </c>
      <c r="D30" t="s">
        <v>359</v>
      </c>
      <c r="E30" t="s">
        <v>360</v>
      </c>
      <c r="F30" t="s">
        <v>330</v>
      </c>
      <c r="H30">
        <v>1690382655.5999999</v>
      </c>
      <c r="I30">
        <f t="shared" si="0"/>
        <v>-1.3449799090364248E-5</v>
      </c>
      <c r="J30">
        <f t="shared" si="1"/>
        <v>-1.3449799090364247E-2</v>
      </c>
      <c r="K30">
        <f t="shared" si="2"/>
        <v>0.61703719782714028</v>
      </c>
      <c r="L30">
        <f t="shared" si="3"/>
        <v>793.39800000000002</v>
      </c>
      <c r="M30">
        <f t="shared" si="4"/>
        <v>2058.502123731907</v>
      </c>
      <c r="N30">
        <f t="shared" si="5"/>
        <v>203.35596857840935</v>
      </c>
      <c r="O30">
        <f t="shared" si="6"/>
        <v>78.378456304758004</v>
      </c>
      <c r="P30">
        <f t="shared" si="7"/>
        <v>-7.5599364591729572E-4</v>
      </c>
      <c r="Q30">
        <f t="shared" si="8"/>
        <v>2.1124241271544317</v>
      </c>
      <c r="R30">
        <f t="shared" si="9"/>
        <v>-7.5614398639726966E-4</v>
      </c>
      <c r="S30">
        <f t="shared" si="10"/>
        <v>-4.7257648186185597E-4</v>
      </c>
      <c r="T30">
        <f t="shared" si="11"/>
        <v>276.11490869776287</v>
      </c>
      <c r="U30">
        <f t="shared" si="12"/>
        <v>28.378384478134485</v>
      </c>
      <c r="V30">
        <f t="shared" si="13"/>
        <v>28.378384478134485</v>
      </c>
      <c r="W30">
        <f t="shared" si="14"/>
        <v>3.879358062976765</v>
      </c>
      <c r="X30">
        <f t="shared" si="15"/>
        <v>63.835770446752306</v>
      </c>
      <c r="Y30">
        <f t="shared" si="16"/>
        <v>2.1760301043312</v>
      </c>
      <c r="Z30">
        <f t="shared" si="17"/>
        <v>3.4087942999705856</v>
      </c>
      <c r="AA30">
        <f t="shared" si="18"/>
        <v>1.703327958645565</v>
      </c>
      <c r="AB30">
        <f t="shared" si="19"/>
        <v>0.59313613988506331</v>
      </c>
      <c r="AC30">
        <f t="shared" si="20"/>
        <v>-251.25134034629468</v>
      </c>
      <c r="AD30">
        <f t="shared" si="21"/>
        <v>-25.739679311897479</v>
      </c>
      <c r="AE30">
        <f t="shared" si="22"/>
        <v>-0.28297482054421152</v>
      </c>
      <c r="AF30">
        <v>1</v>
      </c>
      <c r="AG30">
        <v>0</v>
      </c>
      <c r="AH30">
        <f t="shared" si="23"/>
        <v>1</v>
      </c>
      <c r="AI30">
        <f t="shared" si="24"/>
        <v>0</v>
      </c>
      <c r="AJ30">
        <f t="shared" si="25"/>
        <v>52434.340026176957</v>
      </c>
      <c r="AK30">
        <f t="shared" si="26"/>
        <v>1799.99</v>
      </c>
      <c r="AL30">
        <f t="shared" si="27"/>
        <v>1499.1025574061898</v>
      </c>
      <c r="AM30">
        <f t="shared" si="28"/>
        <v>0.83283938099999988</v>
      </c>
      <c r="AN30">
        <f t="shared" si="29"/>
        <v>0.15339802371</v>
      </c>
      <c r="AO30">
        <v>32.700000000000003</v>
      </c>
      <c r="AP30">
        <v>0.5</v>
      </c>
      <c r="AQ30" t="s">
        <v>331</v>
      </c>
      <c r="AR30">
        <v>2</v>
      </c>
      <c r="AS30">
        <v>1690382655.5999999</v>
      </c>
      <c r="AT30">
        <v>793.39800000000002</v>
      </c>
      <c r="AU30">
        <v>800.00400000000002</v>
      </c>
      <c r="AV30">
        <v>22.027200000000001</v>
      </c>
      <c r="AW30">
        <v>22.170500000000001</v>
      </c>
      <c r="AX30">
        <v>793.65700000000004</v>
      </c>
      <c r="AY30">
        <v>21.852</v>
      </c>
      <c r="AZ30">
        <v>300.154</v>
      </c>
      <c r="BA30">
        <v>98.688299999999998</v>
      </c>
      <c r="BB30">
        <v>0.100021</v>
      </c>
      <c r="BC30">
        <v>26.1722</v>
      </c>
      <c r="BD30">
        <v>28.528099999999998</v>
      </c>
      <c r="BE30">
        <v>27.873100000000001</v>
      </c>
      <c r="BF30">
        <v>0</v>
      </c>
      <c r="BG30">
        <v>0</v>
      </c>
      <c r="BH30">
        <v>10021.200000000001</v>
      </c>
      <c r="BI30">
        <v>1077.42</v>
      </c>
      <c r="BJ30">
        <v>2.1683599999999998</v>
      </c>
      <c r="BK30">
        <v>-6.6062000000000003</v>
      </c>
      <c r="BL30">
        <v>811.26800000000003</v>
      </c>
      <c r="BM30">
        <v>818.14300000000003</v>
      </c>
      <c r="BN30">
        <v>-0.14324799999999999</v>
      </c>
      <c r="BO30">
        <v>800.00400000000002</v>
      </c>
      <c r="BP30">
        <v>22.170500000000001</v>
      </c>
      <c r="BQ30">
        <v>2.1738300000000002</v>
      </c>
      <c r="BR30">
        <v>2.18797</v>
      </c>
      <c r="BS30">
        <v>18.770700000000001</v>
      </c>
      <c r="BT30">
        <v>18.874500000000001</v>
      </c>
      <c r="BU30">
        <v>1799.99</v>
      </c>
      <c r="BV30">
        <v>0.90998599999999996</v>
      </c>
      <c r="BW30">
        <v>3.4004399999999997E-2</v>
      </c>
      <c r="BX30">
        <v>2.2007800000000001E-2</v>
      </c>
      <c r="BY30">
        <v>3.4001700000000003E-2</v>
      </c>
      <c r="BZ30">
        <v>26</v>
      </c>
      <c r="CA30">
        <v>33528</v>
      </c>
      <c r="CB30">
        <v>1690381960.0999999</v>
      </c>
      <c r="CC30" t="s">
        <v>332</v>
      </c>
      <c r="CD30">
        <v>1690381960.0999999</v>
      </c>
      <c r="CE30">
        <v>1690381958.0999999</v>
      </c>
      <c r="CF30">
        <v>4</v>
      </c>
      <c r="CG30">
        <v>9.9000000000000005E-2</v>
      </c>
      <c r="CH30">
        <v>1.2E-2</v>
      </c>
      <c r="CI30">
        <v>-0.26300000000000001</v>
      </c>
      <c r="CJ30">
        <v>0.127</v>
      </c>
      <c r="CK30">
        <v>798</v>
      </c>
      <c r="CL30">
        <v>18</v>
      </c>
      <c r="CM30">
        <v>0.02</v>
      </c>
      <c r="CN30">
        <v>0.12</v>
      </c>
      <c r="CO30">
        <v>-4.252943170731708</v>
      </c>
      <c r="CP30">
        <v>-14.306639163763069</v>
      </c>
      <c r="CQ30">
        <v>1.41363266099486</v>
      </c>
      <c r="CR30">
        <v>-1</v>
      </c>
      <c r="CS30">
        <v>-0.17461678048780491</v>
      </c>
      <c r="CT30">
        <v>0.250219526132404</v>
      </c>
      <c r="CU30">
        <v>7.0207749442501591E-2</v>
      </c>
      <c r="CV30">
        <v>-1</v>
      </c>
      <c r="CW30">
        <v>0</v>
      </c>
      <c r="CX30">
        <v>0</v>
      </c>
      <c r="CY30" t="s">
        <v>333</v>
      </c>
      <c r="CZ30">
        <v>2.3642699999999999</v>
      </c>
      <c r="DA30">
        <v>2.7138300000000002</v>
      </c>
      <c r="DB30">
        <v>0.145367</v>
      </c>
      <c r="DC30">
        <v>0.14584900000000001</v>
      </c>
      <c r="DD30">
        <v>0.106797</v>
      </c>
      <c r="DE30">
        <v>0.10571999999999999</v>
      </c>
      <c r="DF30">
        <v>31202.3</v>
      </c>
      <c r="DG30">
        <v>27518.9</v>
      </c>
      <c r="DH30">
        <v>31168.7</v>
      </c>
      <c r="DI30">
        <v>28073.3</v>
      </c>
      <c r="DJ30">
        <v>37799.699999999997</v>
      </c>
      <c r="DK30">
        <v>35694.400000000001</v>
      </c>
      <c r="DL30">
        <v>44355.3</v>
      </c>
      <c r="DM30">
        <v>42547.1</v>
      </c>
      <c r="DN30">
        <v>1.4601999999999999</v>
      </c>
      <c r="DO30">
        <v>2.06203</v>
      </c>
      <c r="DP30">
        <v>0.168514</v>
      </c>
      <c r="DQ30">
        <v>0.136681</v>
      </c>
      <c r="DR30">
        <v>25.7729</v>
      </c>
      <c r="DS30">
        <v>25.636900000000001</v>
      </c>
      <c r="DT30">
        <v>57.8</v>
      </c>
      <c r="DU30">
        <v>28.7</v>
      </c>
      <c r="DV30">
        <v>23.148399999999999</v>
      </c>
      <c r="DW30">
        <v>61.652999999999999</v>
      </c>
      <c r="DX30">
        <v>35.504800000000003</v>
      </c>
      <c r="DY30">
        <v>1</v>
      </c>
      <c r="DZ30">
        <v>-7.5691099999999997E-2</v>
      </c>
      <c r="EA30">
        <v>4.4581499999999998</v>
      </c>
      <c r="EB30">
        <v>20.125</v>
      </c>
      <c r="EC30">
        <v>5.2409499999999998</v>
      </c>
      <c r="ED30">
        <v>12.039899999999999</v>
      </c>
      <c r="EE30">
        <v>5.0171000000000001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1.8689</v>
      </c>
      <c r="EL30">
        <v>1.8646199999999999</v>
      </c>
      <c r="EM30">
        <v>1.8692</v>
      </c>
      <c r="EN30">
        <v>1.8672299999999999</v>
      </c>
      <c r="EO30">
        <v>1.8633999999999999</v>
      </c>
      <c r="EP30">
        <v>1.8644700000000001</v>
      </c>
      <c r="EQ30">
        <v>1.8701399999999999</v>
      </c>
      <c r="ER30">
        <v>1.8694299999999999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-0.25900000000000001</v>
      </c>
      <c r="FG30">
        <v>0.17519999999999999</v>
      </c>
      <c r="FH30">
        <v>0.28746640474027818</v>
      </c>
      <c r="FI30">
        <v>-6.1462078757559423E-4</v>
      </c>
      <c r="FJ30">
        <v>-1.8861989874597051E-7</v>
      </c>
      <c r="FK30">
        <v>1.1980462299894961E-10</v>
      </c>
      <c r="FL30">
        <v>0.17524818673008091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11.6</v>
      </c>
      <c r="FU30">
        <v>11.6</v>
      </c>
      <c r="FV30">
        <v>1.79932</v>
      </c>
      <c r="FW30">
        <v>2.5769000000000002</v>
      </c>
      <c r="FX30">
        <v>1.5490699999999999</v>
      </c>
      <c r="FY30">
        <v>2.3315399999999999</v>
      </c>
      <c r="FZ30">
        <v>1.50146</v>
      </c>
      <c r="GA30">
        <v>2.3901400000000002</v>
      </c>
      <c r="GB30">
        <v>33.378399999999999</v>
      </c>
      <c r="GC30">
        <v>23.9649</v>
      </c>
      <c r="GD30">
        <v>19</v>
      </c>
      <c r="GE30">
        <v>276.27600000000001</v>
      </c>
      <c r="GF30">
        <v>604.70399999999995</v>
      </c>
      <c r="GG30">
        <v>19.336200000000002</v>
      </c>
      <c r="GH30">
        <v>26.405100000000001</v>
      </c>
      <c r="GI30">
        <v>29.998999999999999</v>
      </c>
      <c r="GJ30">
        <v>26.3886</v>
      </c>
      <c r="GK30">
        <v>26.3432</v>
      </c>
      <c r="GL30">
        <v>35.965200000000003</v>
      </c>
      <c r="GM30">
        <v>12.796099999999999</v>
      </c>
      <c r="GN30">
        <v>100</v>
      </c>
      <c r="GO30">
        <v>19.396100000000001</v>
      </c>
      <c r="GP30">
        <v>800</v>
      </c>
      <c r="GQ30">
        <v>22.013200000000001</v>
      </c>
      <c r="GR30">
        <v>99.7256</v>
      </c>
      <c r="GS30">
        <v>99.534599999999998</v>
      </c>
    </row>
    <row r="31" spans="1:201" x14ac:dyDescent="0.25">
      <c r="A31">
        <v>15</v>
      </c>
      <c r="B31">
        <v>1690382665.5999999</v>
      </c>
      <c r="C31">
        <v>190.5</v>
      </c>
      <c r="D31" t="s">
        <v>361</v>
      </c>
      <c r="E31" t="s">
        <v>362</v>
      </c>
      <c r="F31" t="s">
        <v>330</v>
      </c>
      <c r="H31">
        <v>1690382665.5999999</v>
      </c>
      <c r="I31">
        <f t="shared" si="0"/>
        <v>5.4240828455907739E-6</v>
      </c>
      <c r="J31">
        <f t="shared" si="1"/>
        <v>5.4240828455907738E-3</v>
      </c>
      <c r="K31">
        <f t="shared" si="2"/>
        <v>0.79050896684976224</v>
      </c>
      <c r="L31">
        <f t="shared" si="3"/>
        <v>791.42</v>
      </c>
      <c r="M31">
        <f t="shared" si="4"/>
        <v>-3254.6091555697776</v>
      </c>
      <c r="N31">
        <f t="shared" si="5"/>
        <v>-321.57773592413082</v>
      </c>
      <c r="O31">
        <f t="shared" si="6"/>
        <v>78.197731155992003</v>
      </c>
      <c r="P31">
        <f t="shared" si="7"/>
        <v>3.0998628342945845E-4</v>
      </c>
      <c r="Q31">
        <f t="shared" si="8"/>
        <v>2.1104256101006498</v>
      </c>
      <c r="R31">
        <f t="shared" si="9"/>
        <v>3.0996099020906201E-4</v>
      </c>
      <c r="S31">
        <f t="shared" si="10"/>
        <v>1.9372789114696699E-4</v>
      </c>
      <c r="T31">
        <f t="shared" si="11"/>
        <v>276.11269248910628</v>
      </c>
      <c r="U31">
        <f t="shared" si="12"/>
        <v>28.293584696182577</v>
      </c>
      <c r="V31">
        <f t="shared" si="13"/>
        <v>28.293584696182577</v>
      </c>
      <c r="W31">
        <f t="shared" si="14"/>
        <v>3.8602752276465782</v>
      </c>
      <c r="X31">
        <f t="shared" si="15"/>
        <v>64.377466769745524</v>
      </c>
      <c r="Y31">
        <f t="shared" si="16"/>
        <v>2.1841159276112405</v>
      </c>
      <c r="Z31">
        <f t="shared" si="17"/>
        <v>3.392671438009542</v>
      </c>
      <c r="AA31">
        <f t="shared" si="18"/>
        <v>1.6761593000353376</v>
      </c>
      <c r="AB31">
        <f t="shared" si="19"/>
        <v>-0.23920205349055312</v>
      </c>
      <c r="AC31">
        <f t="shared" si="20"/>
        <v>-250.49028648013075</v>
      </c>
      <c r="AD31">
        <f t="shared" si="21"/>
        <v>-25.664846453168099</v>
      </c>
      <c r="AE31">
        <f t="shared" si="22"/>
        <v>-0.28164249768312288</v>
      </c>
      <c r="AF31">
        <v>1</v>
      </c>
      <c r="AG31">
        <v>0</v>
      </c>
      <c r="AH31">
        <f t="shared" si="23"/>
        <v>1</v>
      </c>
      <c r="AI31">
        <f t="shared" si="24"/>
        <v>0</v>
      </c>
      <c r="AJ31">
        <f t="shared" si="25"/>
        <v>52361.408393470796</v>
      </c>
      <c r="AK31">
        <f t="shared" si="26"/>
        <v>1799.98</v>
      </c>
      <c r="AL31">
        <f t="shared" si="27"/>
        <v>1499.0948554054198</v>
      </c>
      <c r="AM31">
        <f t="shared" si="28"/>
        <v>0.83283972899999992</v>
      </c>
      <c r="AN31">
        <f t="shared" si="29"/>
        <v>0.15339764469000003</v>
      </c>
      <c r="AO31">
        <v>32.700000000000003</v>
      </c>
      <c r="AP31">
        <v>0.5</v>
      </c>
      <c r="AQ31" t="s">
        <v>331</v>
      </c>
      <c r="AR31">
        <v>2</v>
      </c>
      <c r="AS31">
        <v>1690382665.5999999</v>
      </c>
      <c r="AT31">
        <v>791.42</v>
      </c>
      <c r="AU31">
        <v>800.08100000000002</v>
      </c>
      <c r="AV31">
        <v>22.104900000000001</v>
      </c>
      <c r="AW31">
        <v>22.0471</v>
      </c>
      <c r="AX31">
        <v>791.678</v>
      </c>
      <c r="AY31">
        <v>21.929600000000001</v>
      </c>
      <c r="AZ31">
        <v>300.08100000000002</v>
      </c>
      <c r="BA31">
        <v>98.706900000000005</v>
      </c>
      <c r="BB31">
        <v>9.9967600000000004E-2</v>
      </c>
      <c r="BC31">
        <v>26.091999999999999</v>
      </c>
      <c r="BD31">
        <v>28.5212</v>
      </c>
      <c r="BE31">
        <v>27.779299999999999</v>
      </c>
      <c r="BF31">
        <v>0</v>
      </c>
      <c r="BG31">
        <v>0</v>
      </c>
      <c r="BH31">
        <v>10001.9</v>
      </c>
      <c r="BI31">
        <v>1076.0999999999999</v>
      </c>
      <c r="BJ31">
        <v>2.1305100000000001</v>
      </c>
      <c r="BK31">
        <v>-8.6607699999999994</v>
      </c>
      <c r="BL31">
        <v>809.31</v>
      </c>
      <c r="BM31">
        <v>818.11800000000005</v>
      </c>
      <c r="BN31">
        <v>5.7764099999999999E-2</v>
      </c>
      <c r="BO31">
        <v>800.08100000000002</v>
      </c>
      <c r="BP31">
        <v>22.0471</v>
      </c>
      <c r="BQ31">
        <v>2.1819000000000002</v>
      </c>
      <c r="BR31">
        <v>2.1762000000000001</v>
      </c>
      <c r="BS31">
        <v>18.830100000000002</v>
      </c>
      <c r="BT31">
        <v>18.7882</v>
      </c>
      <c r="BU31">
        <v>1799.98</v>
      </c>
      <c r="BV31">
        <v>0.90999200000000002</v>
      </c>
      <c r="BW31">
        <v>3.3997199999999998E-2</v>
      </c>
      <c r="BX31">
        <v>2.2003200000000001E-2</v>
      </c>
      <c r="BY31">
        <v>3.4007500000000003E-2</v>
      </c>
      <c r="BZ31">
        <v>26</v>
      </c>
      <c r="CA31">
        <v>33527.9</v>
      </c>
      <c r="CB31">
        <v>1690381960.0999999</v>
      </c>
      <c r="CC31" t="s">
        <v>332</v>
      </c>
      <c r="CD31">
        <v>1690381960.0999999</v>
      </c>
      <c r="CE31">
        <v>1690381958.0999999</v>
      </c>
      <c r="CF31">
        <v>4</v>
      </c>
      <c r="CG31">
        <v>9.9000000000000005E-2</v>
      </c>
      <c r="CH31">
        <v>1.2E-2</v>
      </c>
      <c r="CI31">
        <v>-0.26300000000000001</v>
      </c>
      <c r="CJ31">
        <v>0.127</v>
      </c>
      <c r="CK31">
        <v>798</v>
      </c>
      <c r="CL31">
        <v>18</v>
      </c>
      <c r="CM31">
        <v>0.02</v>
      </c>
      <c r="CN31">
        <v>0.12</v>
      </c>
      <c r="CO31">
        <v>-6.4526060975609756</v>
      </c>
      <c r="CP31">
        <v>-12.18428466898955</v>
      </c>
      <c r="CQ31">
        <v>1.201937507926423</v>
      </c>
      <c r="CR31">
        <v>-1</v>
      </c>
      <c r="CS31">
        <v>-0.1126897131707317</v>
      </c>
      <c r="CT31">
        <v>0.57742655958188149</v>
      </c>
      <c r="CU31">
        <v>7.0635613542712472E-2</v>
      </c>
      <c r="CV31">
        <v>-1</v>
      </c>
      <c r="CW31">
        <v>0</v>
      </c>
      <c r="CX31">
        <v>0</v>
      </c>
      <c r="CY31" t="s">
        <v>333</v>
      </c>
      <c r="CZ31">
        <v>2.36402</v>
      </c>
      <c r="DA31">
        <v>2.7137600000000002</v>
      </c>
      <c r="DB31">
        <v>0.145149</v>
      </c>
      <c r="DC31">
        <v>0.14588000000000001</v>
      </c>
      <c r="DD31">
        <v>0.107082</v>
      </c>
      <c r="DE31">
        <v>0.105324</v>
      </c>
      <c r="DF31">
        <v>31209.1</v>
      </c>
      <c r="DG31">
        <v>27517.7</v>
      </c>
      <c r="DH31">
        <v>31167.599999999999</v>
      </c>
      <c r="DI31">
        <v>28073.200000000001</v>
      </c>
      <c r="DJ31">
        <v>37786.300000000003</v>
      </c>
      <c r="DK31">
        <v>35710</v>
      </c>
      <c r="DL31">
        <v>44353.9</v>
      </c>
      <c r="DM31">
        <v>42546.8</v>
      </c>
      <c r="DN31">
        <v>1.4596800000000001</v>
      </c>
      <c r="DO31">
        <v>2.0613800000000002</v>
      </c>
      <c r="DP31">
        <v>0.17100899999999999</v>
      </c>
      <c r="DQ31">
        <v>0.13556299999999999</v>
      </c>
      <c r="DR31">
        <v>25.725100000000001</v>
      </c>
      <c r="DS31">
        <v>25.561199999999999</v>
      </c>
      <c r="DT31">
        <v>57.8</v>
      </c>
      <c r="DU31">
        <v>28.7</v>
      </c>
      <c r="DV31">
        <v>23.146000000000001</v>
      </c>
      <c r="DW31">
        <v>61.463000000000001</v>
      </c>
      <c r="DX31">
        <v>35.604999999999997</v>
      </c>
      <c r="DY31">
        <v>1</v>
      </c>
      <c r="DZ31">
        <v>-7.4415700000000001E-2</v>
      </c>
      <c r="EA31">
        <v>4.6187500000000004</v>
      </c>
      <c r="EB31">
        <v>20.119700000000002</v>
      </c>
      <c r="EC31">
        <v>5.2408000000000001</v>
      </c>
      <c r="ED31">
        <v>12.039899999999999</v>
      </c>
      <c r="EE31">
        <v>5.0170000000000003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1.8689100000000001</v>
      </c>
      <c r="EL31">
        <v>1.8646199999999999</v>
      </c>
      <c r="EM31">
        <v>1.8692</v>
      </c>
      <c r="EN31">
        <v>1.8672299999999999</v>
      </c>
      <c r="EO31">
        <v>1.8633999999999999</v>
      </c>
      <c r="EP31">
        <v>1.86446</v>
      </c>
      <c r="EQ31">
        <v>1.87016</v>
      </c>
      <c r="ER31">
        <v>1.8694500000000001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-0.25800000000000001</v>
      </c>
      <c r="FG31">
        <v>0.17530000000000001</v>
      </c>
      <c r="FH31">
        <v>0.28746640474027818</v>
      </c>
      <c r="FI31">
        <v>-6.1462078757559423E-4</v>
      </c>
      <c r="FJ31">
        <v>-1.8861989874597051E-7</v>
      </c>
      <c r="FK31">
        <v>1.1980462299894961E-10</v>
      </c>
      <c r="FL31">
        <v>0.17524818673008091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11.8</v>
      </c>
      <c r="FU31">
        <v>11.8</v>
      </c>
      <c r="FV31">
        <v>1.7981</v>
      </c>
      <c r="FW31">
        <v>2.5756800000000002</v>
      </c>
      <c r="FX31">
        <v>1.5490699999999999</v>
      </c>
      <c r="FY31">
        <v>2.3315399999999999</v>
      </c>
      <c r="FZ31">
        <v>1.50146</v>
      </c>
      <c r="GA31">
        <v>2.3840300000000001</v>
      </c>
      <c r="GB31">
        <v>33.400799999999997</v>
      </c>
      <c r="GC31">
        <v>23.956199999999999</v>
      </c>
      <c r="GD31">
        <v>19</v>
      </c>
      <c r="GE31">
        <v>276.108</v>
      </c>
      <c r="GF31">
        <v>604.24</v>
      </c>
      <c r="GG31">
        <v>19.333300000000001</v>
      </c>
      <c r="GH31">
        <v>26.4224</v>
      </c>
      <c r="GI31">
        <v>30.000699999999998</v>
      </c>
      <c r="GJ31">
        <v>26.4008</v>
      </c>
      <c r="GK31">
        <v>26.3508</v>
      </c>
      <c r="GL31">
        <v>35.958100000000002</v>
      </c>
      <c r="GM31">
        <v>13.366</v>
      </c>
      <c r="GN31">
        <v>100</v>
      </c>
      <c r="GO31">
        <v>19.328199999999999</v>
      </c>
      <c r="GP31">
        <v>800</v>
      </c>
      <c r="GQ31">
        <v>21.892600000000002</v>
      </c>
      <c r="GR31">
        <v>99.722300000000004</v>
      </c>
      <c r="GS31">
        <v>99.534099999999995</v>
      </c>
    </row>
    <row r="32" spans="1:201" x14ac:dyDescent="0.25">
      <c r="A32">
        <v>16</v>
      </c>
      <c r="B32">
        <v>1690382675.5999999</v>
      </c>
      <c r="C32">
        <v>200.5</v>
      </c>
      <c r="D32" t="s">
        <v>363</v>
      </c>
      <c r="E32" t="s">
        <v>364</v>
      </c>
      <c r="F32" t="s">
        <v>330</v>
      </c>
      <c r="H32">
        <v>1690382675.5999999</v>
      </c>
      <c r="I32">
        <f t="shared" si="0"/>
        <v>1.8298853972029633E-5</v>
      </c>
      <c r="J32">
        <f t="shared" si="1"/>
        <v>1.8298853972029634E-2</v>
      </c>
      <c r="K32">
        <f t="shared" si="2"/>
        <v>0.94221188679792989</v>
      </c>
      <c r="L32">
        <f t="shared" si="3"/>
        <v>789.62699999999995</v>
      </c>
      <c r="M32">
        <f t="shared" si="4"/>
        <v>-635.02267187289704</v>
      </c>
      <c r="N32">
        <f t="shared" si="5"/>
        <v>-62.736401268990754</v>
      </c>
      <c r="O32">
        <f t="shared" si="6"/>
        <v>78.010374304784989</v>
      </c>
      <c r="P32">
        <f t="shared" si="7"/>
        <v>1.0600244079117241E-3</v>
      </c>
      <c r="Q32">
        <f t="shared" si="8"/>
        <v>2.1080437670492929</v>
      </c>
      <c r="R32">
        <f t="shared" si="9"/>
        <v>1.0597283691400369E-3</v>
      </c>
      <c r="S32">
        <f t="shared" si="10"/>
        <v>6.6235682107680877E-4</v>
      </c>
      <c r="T32">
        <f t="shared" si="11"/>
        <v>276.11343122997113</v>
      </c>
      <c r="U32">
        <f t="shared" si="12"/>
        <v>28.206685533673184</v>
      </c>
      <c r="V32">
        <f t="shared" si="13"/>
        <v>28.206685533673184</v>
      </c>
      <c r="W32">
        <f t="shared" si="14"/>
        <v>3.8408049605984278</v>
      </c>
      <c r="X32">
        <f t="shared" si="15"/>
        <v>64.784345256037881</v>
      </c>
      <c r="Y32">
        <f t="shared" si="16"/>
        <v>2.1869227466709997</v>
      </c>
      <c r="Z32">
        <f t="shared" si="17"/>
        <v>3.3756963013640697</v>
      </c>
      <c r="AA32">
        <f t="shared" si="18"/>
        <v>1.6538822139274281</v>
      </c>
      <c r="AB32">
        <f t="shared" si="19"/>
        <v>-0.80697946016650679</v>
      </c>
      <c r="AC32">
        <f t="shared" si="20"/>
        <v>-249.96901374288365</v>
      </c>
      <c r="AD32">
        <f t="shared" si="21"/>
        <v>-25.618383399778416</v>
      </c>
      <c r="AE32">
        <f t="shared" si="22"/>
        <v>-0.28094537285744536</v>
      </c>
      <c r="AF32">
        <v>0</v>
      </c>
      <c r="AG32">
        <v>0</v>
      </c>
      <c r="AH32">
        <f t="shared" si="23"/>
        <v>1</v>
      </c>
      <c r="AI32">
        <f t="shared" si="24"/>
        <v>0</v>
      </c>
      <c r="AJ32">
        <f t="shared" si="25"/>
        <v>52271.91178235456</v>
      </c>
      <c r="AK32">
        <f t="shared" si="26"/>
        <v>1799.99</v>
      </c>
      <c r="AL32">
        <f t="shared" si="27"/>
        <v>1499.1034628011598</v>
      </c>
      <c r="AM32">
        <f t="shared" si="28"/>
        <v>0.83283988399999986</v>
      </c>
      <c r="AN32">
        <f t="shared" si="29"/>
        <v>0.15339720289</v>
      </c>
      <c r="AO32">
        <v>32.700000000000003</v>
      </c>
      <c r="AP32">
        <v>0.5</v>
      </c>
      <c r="AQ32" t="s">
        <v>331</v>
      </c>
      <c r="AR32">
        <v>2</v>
      </c>
      <c r="AS32">
        <v>1690382675.5999999</v>
      </c>
      <c r="AT32">
        <v>789.62699999999995</v>
      </c>
      <c r="AU32">
        <v>800.04700000000003</v>
      </c>
      <c r="AV32">
        <v>22.136199999999999</v>
      </c>
      <c r="AW32">
        <v>21.941299999999998</v>
      </c>
      <c r="AX32">
        <v>789.88400000000001</v>
      </c>
      <c r="AY32">
        <v>21.960999999999999</v>
      </c>
      <c r="AZ32">
        <v>300.21899999999999</v>
      </c>
      <c r="BA32">
        <v>98.693899999999999</v>
      </c>
      <c r="BB32">
        <v>0.10005500000000001</v>
      </c>
      <c r="BC32">
        <v>26.007200000000001</v>
      </c>
      <c r="BD32">
        <v>28.425799999999999</v>
      </c>
      <c r="BE32">
        <v>27.722300000000001</v>
      </c>
      <c r="BF32">
        <v>0</v>
      </c>
      <c r="BG32">
        <v>0</v>
      </c>
      <c r="BH32">
        <v>9982.5</v>
      </c>
      <c r="BI32">
        <v>1074.8699999999999</v>
      </c>
      <c r="BJ32">
        <v>2.3547799999999999</v>
      </c>
      <c r="BK32">
        <v>-10.419600000000001</v>
      </c>
      <c r="BL32">
        <v>807.50199999999995</v>
      </c>
      <c r="BM32">
        <v>817.995</v>
      </c>
      <c r="BN32">
        <v>0.194887</v>
      </c>
      <c r="BO32">
        <v>800.04700000000003</v>
      </c>
      <c r="BP32">
        <v>21.941299999999998</v>
      </c>
      <c r="BQ32">
        <v>2.1847099999999999</v>
      </c>
      <c r="BR32">
        <v>2.16547</v>
      </c>
      <c r="BS32">
        <v>18.8506</v>
      </c>
      <c r="BT32">
        <v>18.709199999999999</v>
      </c>
      <c r="BU32">
        <v>1799.99</v>
      </c>
      <c r="BV32">
        <v>0.91000300000000001</v>
      </c>
      <c r="BW32">
        <v>3.3997100000000002E-2</v>
      </c>
      <c r="BX32">
        <v>2.19987E-2</v>
      </c>
      <c r="BY32">
        <v>3.4000700000000002E-2</v>
      </c>
      <c r="BZ32">
        <v>26</v>
      </c>
      <c r="CA32">
        <v>33528.300000000003</v>
      </c>
      <c r="CB32">
        <v>1690381960.0999999</v>
      </c>
      <c r="CC32" t="s">
        <v>332</v>
      </c>
      <c r="CD32">
        <v>1690381960.0999999</v>
      </c>
      <c r="CE32">
        <v>1690381958.0999999</v>
      </c>
      <c r="CF32">
        <v>4</v>
      </c>
      <c r="CG32">
        <v>9.9000000000000005E-2</v>
      </c>
      <c r="CH32">
        <v>1.2E-2</v>
      </c>
      <c r="CI32">
        <v>-0.26300000000000001</v>
      </c>
      <c r="CJ32">
        <v>0.127</v>
      </c>
      <c r="CK32">
        <v>798</v>
      </c>
      <c r="CL32">
        <v>18</v>
      </c>
      <c r="CM32">
        <v>0.02</v>
      </c>
      <c r="CN32">
        <v>0.12</v>
      </c>
      <c r="CO32">
        <v>-8.4031773170731707</v>
      </c>
      <c r="CP32">
        <v>-11.33693372822299</v>
      </c>
      <c r="CQ32">
        <v>1.119314918061598</v>
      </c>
      <c r="CR32">
        <v>-1</v>
      </c>
      <c r="CS32">
        <v>2.8464728292682932E-2</v>
      </c>
      <c r="CT32">
        <v>1.082146680836237</v>
      </c>
      <c r="CU32">
        <v>0.10719866729367809</v>
      </c>
      <c r="CV32">
        <v>-1</v>
      </c>
      <c r="CW32">
        <v>0</v>
      </c>
      <c r="CX32">
        <v>0</v>
      </c>
      <c r="CY32" t="s">
        <v>333</v>
      </c>
      <c r="CZ32">
        <v>2.3644599999999998</v>
      </c>
      <c r="DA32">
        <v>2.7138300000000002</v>
      </c>
      <c r="DB32">
        <v>0.14490700000000001</v>
      </c>
      <c r="DC32">
        <v>0.14585300000000001</v>
      </c>
      <c r="DD32">
        <v>0.107173</v>
      </c>
      <c r="DE32">
        <v>0.10495400000000001</v>
      </c>
      <c r="DF32">
        <v>31217.1</v>
      </c>
      <c r="DG32">
        <v>27517.7</v>
      </c>
      <c r="DH32">
        <v>31166.7</v>
      </c>
      <c r="DI32">
        <v>28072.3</v>
      </c>
      <c r="DJ32">
        <v>37781.300000000003</v>
      </c>
      <c r="DK32">
        <v>35723.9</v>
      </c>
      <c r="DL32">
        <v>44352.6</v>
      </c>
      <c r="DM32">
        <v>42545.7</v>
      </c>
      <c r="DN32">
        <v>1.4610799999999999</v>
      </c>
      <c r="DO32">
        <v>2.0615999999999999</v>
      </c>
      <c r="DP32">
        <v>0.16789899999999999</v>
      </c>
      <c r="DQ32">
        <v>0.136402</v>
      </c>
      <c r="DR32">
        <v>25.680199999999999</v>
      </c>
      <c r="DS32">
        <v>25.490100000000002</v>
      </c>
      <c r="DT32">
        <v>57.9</v>
      </c>
      <c r="DU32">
        <v>28.7</v>
      </c>
      <c r="DV32">
        <v>23.184899999999999</v>
      </c>
      <c r="DW32">
        <v>61.243000000000002</v>
      </c>
      <c r="DX32">
        <v>35.416699999999999</v>
      </c>
      <c r="DY32">
        <v>1</v>
      </c>
      <c r="DZ32">
        <v>-7.4265800000000007E-2</v>
      </c>
      <c r="EA32">
        <v>4.2110700000000003</v>
      </c>
      <c r="EB32">
        <v>20.131599999999999</v>
      </c>
      <c r="EC32">
        <v>5.2409499999999998</v>
      </c>
      <c r="ED32">
        <v>12.039899999999999</v>
      </c>
      <c r="EE32">
        <v>5.01715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</v>
      </c>
      <c r="EL32">
        <v>1.8646199999999999</v>
      </c>
      <c r="EM32">
        <v>1.86921</v>
      </c>
      <c r="EN32">
        <v>1.8672299999999999</v>
      </c>
      <c r="EO32">
        <v>1.8633999999999999</v>
      </c>
      <c r="EP32">
        <v>1.8644700000000001</v>
      </c>
      <c r="EQ32">
        <v>1.8701700000000001</v>
      </c>
      <c r="ER32">
        <v>1.8694299999999999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-0.25700000000000001</v>
      </c>
      <c r="FG32">
        <v>0.17519999999999999</v>
      </c>
      <c r="FH32">
        <v>0.28746640474027818</v>
      </c>
      <c r="FI32">
        <v>-6.1462078757559423E-4</v>
      </c>
      <c r="FJ32">
        <v>-1.8861989874597051E-7</v>
      </c>
      <c r="FK32">
        <v>1.1980462299894961E-10</v>
      </c>
      <c r="FL32">
        <v>0.17524818673008091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11.9</v>
      </c>
      <c r="FU32">
        <v>12</v>
      </c>
      <c r="FV32">
        <v>1.7981</v>
      </c>
      <c r="FW32">
        <v>2.5769000000000002</v>
      </c>
      <c r="FX32">
        <v>1.5490699999999999</v>
      </c>
      <c r="FY32">
        <v>2.3315399999999999</v>
      </c>
      <c r="FZ32">
        <v>1.50146</v>
      </c>
      <c r="GA32">
        <v>2.3938000000000001</v>
      </c>
      <c r="GB32">
        <v>33.400799999999997</v>
      </c>
      <c r="GC32">
        <v>23.9649</v>
      </c>
      <c r="GD32">
        <v>19</v>
      </c>
      <c r="GE32">
        <v>276.74299999999999</v>
      </c>
      <c r="GF32">
        <v>604.51599999999996</v>
      </c>
      <c r="GG32">
        <v>19.328399999999998</v>
      </c>
      <c r="GH32">
        <v>26.4391</v>
      </c>
      <c r="GI32">
        <v>30.0001</v>
      </c>
      <c r="GJ32">
        <v>26.411899999999999</v>
      </c>
      <c r="GK32">
        <v>26.357900000000001</v>
      </c>
      <c r="GL32">
        <v>35.957900000000002</v>
      </c>
      <c r="GM32">
        <v>14.2475</v>
      </c>
      <c r="GN32">
        <v>100</v>
      </c>
      <c r="GO32">
        <v>19.373799999999999</v>
      </c>
      <c r="GP32">
        <v>800</v>
      </c>
      <c r="GQ32">
        <v>21.793700000000001</v>
      </c>
      <c r="GR32">
        <v>99.719499999999996</v>
      </c>
      <c r="GS32">
        <v>99.531300000000002</v>
      </c>
    </row>
    <row r="33" spans="1:201" x14ac:dyDescent="0.25">
      <c r="A33">
        <v>17</v>
      </c>
      <c r="B33">
        <v>1690382685.5999999</v>
      </c>
      <c r="C33">
        <v>210.5</v>
      </c>
      <c r="D33" t="s">
        <v>365</v>
      </c>
      <c r="E33" t="s">
        <v>366</v>
      </c>
      <c r="F33" t="s">
        <v>330</v>
      </c>
      <c r="H33">
        <v>1690382685.5999999</v>
      </c>
      <c r="I33">
        <f t="shared" si="0"/>
        <v>3.7736575174097802E-5</v>
      </c>
      <c r="J33">
        <f t="shared" si="1"/>
        <v>3.77365751740978E-2</v>
      </c>
      <c r="K33">
        <f t="shared" si="2"/>
        <v>1.0970484231202429</v>
      </c>
      <c r="L33">
        <f t="shared" si="3"/>
        <v>787.74900000000002</v>
      </c>
      <c r="M33">
        <f t="shared" si="4"/>
        <v>-13.182500783649852</v>
      </c>
      <c r="N33">
        <f t="shared" si="5"/>
        <v>-1.3022409818085547</v>
      </c>
      <c r="O33">
        <f t="shared" si="6"/>
        <v>77.81824162309529</v>
      </c>
      <c r="P33">
        <f t="shared" si="7"/>
        <v>2.2218533063433719E-3</v>
      </c>
      <c r="Q33">
        <f t="shared" si="8"/>
        <v>2.1092411005118565</v>
      </c>
      <c r="R33">
        <f t="shared" si="9"/>
        <v>2.2205538621281537E-3</v>
      </c>
      <c r="S33">
        <f t="shared" si="10"/>
        <v>1.387962847628135E-3</v>
      </c>
      <c r="T33">
        <f t="shared" si="11"/>
        <v>276.11170597406755</v>
      </c>
      <c r="U33">
        <f t="shared" si="12"/>
        <v>28.122547476280296</v>
      </c>
      <c r="V33">
        <f t="shared" si="13"/>
        <v>28.122547476280296</v>
      </c>
      <c r="W33">
        <f t="shared" si="14"/>
        <v>3.8220350191151091</v>
      </c>
      <c r="X33">
        <f t="shared" si="15"/>
        <v>65.299286751300485</v>
      </c>
      <c r="Y33">
        <f t="shared" si="16"/>
        <v>2.1943734746659498</v>
      </c>
      <c r="Z33">
        <f t="shared" si="17"/>
        <v>3.3604861306119043</v>
      </c>
      <c r="AA33">
        <f t="shared" si="18"/>
        <v>1.6276615444491593</v>
      </c>
      <c r="AB33">
        <f t="shared" si="19"/>
        <v>-1.6641829651777131</v>
      </c>
      <c r="AC33">
        <f t="shared" si="20"/>
        <v>-249.21969974112534</v>
      </c>
      <c r="AD33">
        <f t="shared" si="21"/>
        <v>-25.506622999223506</v>
      </c>
      <c r="AE33">
        <f t="shared" si="22"/>
        <v>-0.27879973145900294</v>
      </c>
      <c r="AF33">
        <v>0</v>
      </c>
      <c r="AG33">
        <v>0</v>
      </c>
      <c r="AH33">
        <f t="shared" si="23"/>
        <v>1</v>
      </c>
      <c r="AI33">
        <f t="shared" si="24"/>
        <v>0</v>
      </c>
      <c r="AJ33">
        <f t="shared" si="25"/>
        <v>52337.383170077876</v>
      </c>
      <c r="AK33">
        <f t="shared" si="26"/>
        <v>1799.98</v>
      </c>
      <c r="AL33">
        <f t="shared" si="27"/>
        <v>1499.0950498032601</v>
      </c>
      <c r="AM33">
        <f t="shared" si="28"/>
        <v>0.83283983699999997</v>
      </c>
      <c r="AN33">
        <f t="shared" si="29"/>
        <v>0.15339709661999998</v>
      </c>
      <c r="AO33">
        <v>32.700000000000003</v>
      </c>
      <c r="AP33">
        <v>0.5</v>
      </c>
      <c r="AQ33" t="s">
        <v>331</v>
      </c>
      <c r="AR33">
        <v>2</v>
      </c>
      <c r="AS33">
        <v>1690382685.5999999</v>
      </c>
      <c r="AT33">
        <v>787.74900000000002</v>
      </c>
      <c r="AU33">
        <v>800.02499999999998</v>
      </c>
      <c r="AV33">
        <v>22.2135</v>
      </c>
      <c r="AW33">
        <v>21.811499999999999</v>
      </c>
      <c r="AX33">
        <v>788.00400000000002</v>
      </c>
      <c r="AY33">
        <v>22.0382</v>
      </c>
      <c r="AZ33">
        <v>300.14299999999997</v>
      </c>
      <c r="BA33">
        <v>98.685599999999994</v>
      </c>
      <c r="BB33">
        <v>9.9979700000000005E-2</v>
      </c>
      <c r="BC33">
        <v>25.930900000000001</v>
      </c>
      <c r="BD33">
        <v>28.372199999999999</v>
      </c>
      <c r="BE33">
        <v>27.631699999999999</v>
      </c>
      <c r="BF33">
        <v>0</v>
      </c>
      <c r="BG33">
        <v>0</v>
      </c>
      <c r="BH33">
        <v>9993.75</v>
      </c>
      <c r="BI33">
        <v>1073.53</v>
      </c>
      <c r="BJ33">
        <v>2.4108399999999999</v>
      </c>
      <c r="BK33">
        <v>-12.2766</v>
      </c>
      <c r="BL33">
        <v>805.64499999999998</v>
      </c>
      <c r="BM33">
        <v>817.86400000000003</v>
      </c>
      <c r="BN33">
        <v>0.40194099999999999</v>
      </c>
      <c r="BO33">
        <v>800.02499999999998</v>
      </c>
      <c r="BP33">
        <v>21.811499999999999</v>
      </c>
      <c r="BQ33">
        <v>2.1921499999999998</v>
      </c>
      <c r="BR33">
        <v>2.1524800000000002</v>
      </c>
      <c r="BS33">
        <v>18.905100000000001</v>
      </c>
      <c r="BT33">
        <v>18.613</v>
      </c>
      <c r="BU33">
        <v>1799.98</v>
      </c>
      <c r="BV33">
        <v>0.91000499999999995</v>
      </c>
      <c r="BW33">
        <v>3.4005000000000001E-2</v>
      </c>
      <c r="BX33">
        <v>2.19951E-2</v>
      </c>
      <c r="BY33">
        <v>3.3995200000000003E-2</v>
      </c>
      <c r="BZ33">
        <v>26</v>
      </c>
      <c r="CA33">
        <v>33528</v>
      </c>
      <c r="CB33">
        <v>1690381960.0999999</v>
      </c>
      <c r="CC33" t="s">
        <v>332</v>
      </c>
      <c r="CD33">
        <v>1690381960.0999999</v>
      </c>
      <c r="CE33">
        <v>1690381958.0999999</v>
      </c>
      <c r="CF33">
        <v>4</v>
      </c>
      <c r="CG33">
        <v>9.9000000000000005E-2</v>
      </c>
      <c r="CH33">
        <v>1.2E-2</v>
      </c>
      <c r="CI33">
        <v>-0.26300000000000001</v>
      </c>
      <c r="CJ33">
        <v>0.127</v>
      </c>
      <c r="CK33">
        <v>798</v>
      </c>
      <c r="CL33">
        <v>18</v>
      </c>
      <c r="CM33">
        <v>0.02</v>
      </c>
      <c r="CN33">
        <v>0.12</v>
      </c>
      <c r="CO33">
        <v>-10.255090975609759</v>
      </c>
      <c r="CP33">
        <v>-10.885227386759579</v>
      </c>
      <c r="CQ33">
        <v>1.074420493027787</v>
      </c>
      <c r="CR33">
        <v>-1</v>
      </c>
      <c r="CS33">
        <v>0.19523471951219509</v>
      </c>
      <c r="CT33">
        <v>0.94026558188153309</v>
      </c>
      <c r="CU33">
        <v>9.3395752708513802E-2</v>
      </c>
      <c r="CV33">
        <v>-1</v>
      </c>
      <c r="CW33">
        <v>0</v>
      </c>
      <c r="CX33">
        <v>0</v>
      </c>
      <c r="CY33" t="s">
        <v>333</v>
      </c>
      <c r="CZ33">
        <v>2.3642099999999999</v>
      </c>
      <c r="DA33">
        <v>2.7137699999999998</v>
      </c>
      <c r="DB33">
        <v>0.14466200000000001</v>
      </c>
      <c r="DC33">
        <v>0.14583299999999999</v>
      </c>
      <c r="DD33">
        <v>0.107428</v>
      </c>
      <c r="DE33">
        <v>0.104507</v>
      </c>
      <c r="DF33">
        <v>31225.599999999999</v>
      </c>
      <c r="DG33">
        <v>27517.7</v>
      </c>
      <c r="DH33">
        <v>31166.400000000001</v>
      </c>
      <c r="DI33">
        <v>28071.8</v>
      </c>
      <c r="DJ33">
        <v>37769.800000000003</v>
      </c>
      <c r="DK33">
        <v>35741.199999999997</v>
      </c>
      <c r="DL33">
        <v>44351.9</v>
      </c>
      <c r="DM33">
        <v>42545</v>
      </c>
      <c r="DN33">
        <v>1.4603999999999999</v>
      </c>
      <c r="DO33">
        <v>2.0609000000000002</v>
      </c>
      <c r="DP33">
        <v>0.167489</v>
      </c>
      <c r="DQ33">
        <v>0.13487399999999999</v>
      </c>
      <c r="DR33">
        <v>25.632999999999999</v>
      </c>
      <c r="DS33">
        <v>25.424299999999999</v>
      </c>
      <c r="DT33">
        <v>57.9</v>
      </c>
      <c r="DU33">
        <v>28.7</v>
      </c>
      <c r="DV33">
        <v>23.19</v>
      </c>
      <c r="DW33">
        <v>61.353000000000002</v>
      </c>
      <c r="DX33">
        <v>35.488799999999998</v>
      </c>
      <c r="DY33">
        <v>1</v>
      </c>
      <c r="DZ33">
        <v>-7.3630600000000004E-2</v>
      </c>
      <c r="EA33">
        <v>3.9890300000000001</v>
      </c>
      <c r="EB33">
        <v>20.137699999999999</v>
      </c>
      <c r="EC33">
        <v>5.2403500000000003</v>
      </c>
      <c r="ED33">
        <v>12.039899999999999</v>
      </c>
      <c r="EE33">
        <v>5.0170000000000003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1.8689199999999999</v>
      </c>
      <c r="EL33">
        <v>1.8646199999999999</v>
      </c>
      <c r="EM33">
        <v>1.86921</v>
      </c>
      <c r="EN33">
        <v>1.8672500000000001</v>
      </c>
      <c r="EO33">
        <v>1.8633999999999999</v>
      </c>
      <c r="EP33">
        <v>1.8644700000000001</v>
      </c>
      <c r="EQ33">
        <v>1.87015</v>
      </c>
      <c r="ER33">
        <v>1.86944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-0.255</v>
      </c>
      <c r="FG33">
        <v>0.17530000000000001</v>
      </c>
      <c r="FH33">
        <v>0.28746640474027818</v>
      </c>
      <c r="FI33">
        <v>-6.1462078757559423E-4</v>
      </c>
      <c r="FJ33">
        <v>-1.8861989874597051E-7</v>
      </c>
      <c r="FK33">
        <v>1.1980462299894961E-10</v>
      </c>
      <c r="FL33">
        <v>0.17524818673008091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12.1</v>
      </c>
      <c r="FU33">
        <v>12.1</v>
      </c>
      <c r="FV33">
        <v>1.7981</v>
      </c>
      <c r="FW33">
        <v>2.5781200000000002</v>
      </c>
      <c r="FX33">
        <v>1.5490699999999999</v>
      </c>
      <c r="FY33">
        <v>2.3315399999999999</v>
      </c>
      <c r="FZ33">
        <v>1.50146</v>
      </c>
      <c r="GA33">
        <v>2.3584000000000001</v>
      </c>
      <c r="GB33">
        <v>33.400799999999997</v>
      </c>
      <c r="GC33">
        <v>23.9649</v>
      </c>
      <c r="GD33">
        <v>19</v>
      </c>
      <c r="GE33">
        <v>276.50799999999998</v>
      </c>
      <c r="GF33">
        <v>604.00599999999997</v>
      </c>
      <c r="GG33">
        <v>19.374300000000002</v>
      </c>
      <c r="GH33">
        <v>26.453299999999999</v>
      </c>
      <c r="GI33">
        <v>30.0002</v>
      </c>
      <c r="GJ33">
        <v>26.422999999999998</v>
      </c>
      <c r="GK33">
        <v>26.365200000000002</v>
      </c>
      <c r="GL33">
        <v>35.952199999999998</v>
      </c>
      <c r="GM33">
        <v>14.8255</v>
      </c>
      <c r="GN33">
        <v>100</v>
      </c>
      <c r="GO33">
        <v>19.432099999999998</v>
      </c>
      <c r="GP33">
        <v>800</v>
      </c>
      <c r="GQ33">
        <v>21.6477</v>
      </c>
      <c r="GR33">
        <v>99.718100000000007</v>
      </c>
      <c r="GS33">
        <v>99.529499999999999</v>
      </c>
    </row>
    <row r="34" spans="1:201" x14ac:dyDescent="0.25">
      <c r="A34">
        <v>18</v>
      </c>
      <c r="B34">
        <v>1690382695.5999999</v>
      </c>
      <c r="C34">
        <v>220.5</v>
      </c>
      <c r="D34" t="s">
        <v>367</v>
      </c>
      <c r="E34" t="s">
        <v>368</v>
      </c>
      <c r="F34" t="s">
        <v>330</v>
      </c>
      <c r="H34">
        <v>1690382695.5999999</v>
      </c>
      <c r="I34">
        <f t="shared" si="0"/>
        <v>6.0031283724669052E-5</v>
      </c>
      <c r="J34">
        <f t="shared" si="1"/>
        <v>6.0031283724669052E-2</v>
      </c>
      <c r="K34">
        <f t="shared" si="2"/>
        <v>1.2643317857362562</v>
      </c>
      <c r="L34">
        <f t="shared" si="3"/>
        <v>785.77700000000004</v>
      </c>
      <c r="M34">
        <f t="shared" si="4"/>
        <v>208.2724260561358</v>
      </c>
      <c r="N34">
        <f t="shared" si="5"/>
        <v>20.573475775627024</v>
      </c>
      <c r="O34">
        <f t="shared" si="6"/>
        <v>77.620280229450998</v>
      </c>
      <c r="P34">
        <f t="shared" si="7"/>
        <v>3.5884477212416899E-3</v>
      </c>
      <c r="Q34">
        <f t="shared" si="8"/>
        <v>2.1102689204558889</v>
      </c>
      <c r="R34">
        <f t="shared" si="9"/>
        <v>3.5850611510247566E-3</v>
      </c>
      <c r="S34">
        <f t="shared" si="10"/>
        <v>2.2409672160068721E-3</v>
      </c>
      <c r="T34">
        <f t="shared" si="11"/>
        <v>276.11102756160557</v>
      </c>
      <c r="U34">
        <f t="shared" si="12"/>
        <v>28.05863576398005</v>
      </c>
      <c r="V34">
        <f t="shared" si="13"/>
        <v>28.05863576398005</v>
      </c>
      <c r="W34">
        <f t="shared" si="14"/>
        <v>3.8078308009553758</v>
      </c>
      <c r="X34">
        <f t="shared" si="15"/>
        <v>65.802971453710597</v>
      </c>
      <c r="Y34">
        <f t="shared" si="16"/>
        <v>2.2040833807500997</v>
      </c>
      <c r="Z34">
        <f t="shared" si="17"/>
        <v>3.3495195308931791</v>
      </c>
      <c r="AA34">
        <f t="shared" si="18"/>
        <v>1.6037474202052762</v>
      </c>
      <c r="AB34">
        <f t="shared" si="19"/>
        <v>-2.6473796122579052</v>
      </c>
      <c r="AC34">
        <f t="shared" si="20"/>
        <v>-248.35002172442074</v>
      </c>
      <c r="AD34">
        <f t="shared" si="21"/>
        <v>-25.39010666994832</v>
      </c>
      <c r="AE34">
        <f t="shared" si="22"/>
        <v>-0.27648044502140579</v>
      </c>
      <c r="AF34">
        <v>0</v>
      </c>
      <c r="AG34">
        <v>0</v>
      </c>
      <c r="AH34">
        <f t="shared" si="23"/>
        <v>1</v>
      </c>
      <c r="AI34">
        <f t="shared" si="24"/>
        <v>0</v>
      </c>
      <c r="AJ34">
        <f t="shared" si="25"/>
        <v>52391.900117115925</v>
      </c>
      <c r="AK34">
        <f t="shared" si="26"/>
        <v>1799.98</v>
      </c>
      <c r="AL34">
        <f t="shared" si="27"/>
        <v>1499.0960937916598</v>
      </c>
      <c r="AM34">
        <f t="shared" si="28"/>
        <v>0.83284041699999989</v>
      </c>
      <c r="AN34">
        <f t="shared" si="29"/>
        <v>0.15339671971999999</v>
      </c>
      <c r="AO34">
        <v>32.700000000000003</v>
      </c>
      <c r="AP34">
        <v>0.5</v>
      </c>
      <c r="AQ34" t="s">
        <v>331</v>
      </c>
      <c r="AR34">
        <v>2</v>
      </c>
      <c r="AS34">
        <v>1690382695.5999999</v>
      </c>
      <c r="AT34">
        <v>785.77700000000004</v>
      </c>
      <c r="AU34">
        <v>800.06700000000001</v>
      </c>
      <c r="AV34">
        <v>22.3127</v>
      </c>
      <c r="AW34">
        <v>21.673200000000001</v>
      </c>
      <c r="AX34">
        <v>786.03099999999995</v>
      </c>
      <c r="AY34">
        <v>22.137499999999999</v>
      </c>
      <c r="AZ34">
        <v>300.113</v>
      </c>
      <c r="BA34">
        <v>98.681600000000003</v>
      </c>
      <c r="BB34">
        <v>9.9962999999999996E-2</v>
      </c>
      <c r="BC34">
        <v>25.875699999999998</v>
      </c>
      <c r="BD34">
        <v>28.378900000000002</v>
      </c>
      <c r="BE34">
        <v>27.5839</v>
      </c>
      <c r="BF34">
        <v>0</v>
      </c>
      <c r="BG34">
        <v>0</v>
      </c>
      <c r="BH34">
        <v>10003.1</v>
      </c>
      <c r="BI34">
        <v>1072.3499999999999</v>
      </c>
      <c r="BJ34">
        <v>2.4108399999999999</v>
      </c>
      <c r="BK34">
        <v>-14.289899999999999</v>
      </c>
      <c r="BL34">
        <v>803.71</v>
      </c>
      <c r="BM34">
        <v>817.79100000000005</v>
      </c>
      <c r="BN34">
        <v>0.63955300000000004</v>
      </c>
      <c r="BO34">
        <v>800.06700000000001</v>
      </c>
      <c r="BP34">
        <v>21.673200000000001</v>
      </c>
      <c r="BQ34">
        <v>2.2018499999999999</v>
      </c>
      <c r="BR34">
        <v>2.1387399999999999</v>
      </c>
      <c r="BS34">
        <v>18.9758</v>
      </c>
      <c r="BT34">
        <v>18.5107</v>
      </c>
      <c r="BU34">
        <v>1799.98</v>
      </c>
      <c r="BV34">
        <v>0.91001699999999996</v>
      </c>
      <c r="BW34">
        <v>3.4000299999999997E-2</v>
      </c>
      <c r="BX34">
        <v>2.1992100000000001E-2</v>
      </c>
      <c r="BY34">
        <v>3.3990399999999997E-2</v>
      </c>
      <c r="BZ34">
        <v>26</v>
      </c>
      <c r="CA34">
        <v>33528.199999999997</v>
      </c>
      <c r="CB34">
        <v>1690381960.0999999</v>
      </c>
      <c r="CC34" t="s">
        <v>332</v>
      </c>
      <c r="CD34">
        <v>1690381960.0999999</v>
      </c>
      <c r="CE34">
        <v>1690381958.0999999</v>
      </c>
      <c r="CF34">
        <v>4</v>
      </c>
      <c r="CG34">
        <v>9.9000000000000005E-2</v>
      </c>
      <c r="CH34">
        <v>1.2E-2</v>
      </c>
      <c r="CI34">
        <v>-0.26300000000000001</v>
      </c>
      <c r="CJ34">
        <v>0.127</v>
      </c>
      <c r="CK34">
        <v>798</v>
      </c>
      <c r="CL34">
        <v>18</v>
      </c>
      <c r="CM34">
        <v>0.02</v>
      </c>
      <c r="CN34">
        <v>0.12</v>
      </c>
      <c r="CO34">
        <v>-12.12763414634146</v>
      </c>
      <c r="CP34">
        <v>-11.678834843205591</v>
      </c>
      <c r="CQ34">
        <v>1.152346270284633</v>
      </c>
      <c r="CR34">
        <v>-1</v>
      </c>
      <c r="CS34">
        <v>0.37880304878048793</v>
      </c>
      <c r="CT34">
        <v>1.2900347665505221</v>
      </c>
      <c r="CU34">
        <v>0.1273405739344253</v>
      </c>
      <c r="CV34">
        <v>-1</v>
      </c>
      <c r="CW34">
        <v>0</v>
      </c>
      <c r="CX34">
        <v>0</v>
      </c>
      <c r="CY34" t="s">
        <v>333</v>
      </c>
      <c r="CZ34">
        <v>2.36409</v>
      </c>
      <c r="DA34">
        <v>2.7137600000000002</v>
      </c>
      <c r="DB34">
        <v>0.14441200000000001</v>
      </c>
      <c r="DC34">
        <v>0.14582700000000001</v>
      </c>
      <c r="DD34">
        <v>0.107762</v>
      </c>
      <c r="DE34">
        <v>0.104034</v>
      </c>
      <c r="DF34">
        <v>31234.2</v>
      </c>
      <c r="DG34">
        <v>27517.4</v>
      </c>
      <c r="DH34">
        <v>31165.9</v>
      </c>
      <c r="DI34">
        <v>28071.3</v>
      </c>
      <c r="DJ34">
        <v>37754.699999999997</v>
      </c>
      <c r="DK34">
        <v>35759.599999999999</v>
      </c>
      <c r="DL34">
        <v>44351</v>
      </c>
      <c r="DM34">
        <v>42544.5</v>
      </c>
      <c r="DN34">
        <v>1.4605300000000001</v>
      </c>
      <c r="DO34">
        <v>2.0607000000000002</v>
      </c>
      <c r="DP34">
        <v>0.17080500000000001</v>
      </c>
      <c r="DQ34">
        <v>0.13573099999999999</v>
      </c>
      <c r="DR34">
        <v>25.5855</v>
      </c>
      <c r="DS34">
        <v>25.362200000000001</v>
      </c>
      <c r="DT34">
        <v>57.9</v>
      </c>
      <c r="DU34">
        <v>28.7</v>
      </c>
      <c r="DV34">
        <v>23.1907</v>
      </c>
      <c r="DW34">
        <v>60.563000000000002</v>
      </c>
      <c r="DX34">
        <v>35.468800000000002</v>
      </c>
      <c r="DY34">
        <v>1</v>
      </c>
      <c r="DZ34">
        <v>-7.3622999999999994E-2</v>
      </c>
      <c r="EA34">
        <v>3.7383999999999999</v>
      </c>
      <c r="EB34">
        <v>20.144100000000002</v>
      </c>
      <c r="EC34">
        <v>5.2401999999999997</v>
      </c>
      <c r="ED34">
        <v>12.039899999999999</v>
      </c>
      <c r="EE34">
        <v>5.0167999999999999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1.8689</v>
      </c>
      <c r="EL34">
        <v>1.86463</v>
      </c>
      <c r="EM34">
        <v>1.8692</v>
      </c>
      <c r="EN34">
        <v>1.8672299999999999</v>
      </c>
      <c r="EO34">
        <v>1.8633999999999999</v>
      </c>
      <c r="EP34">
        <v>1.8644700000000001</v>
      </c>
      <c r="EQ34">
        <v>1.87016</v>
      </c>
      <c r="ER34">
        <v>1.8694200000000001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-0.254</v>
      </c>
      <c r="FG34">
        <v>0.17519999999999999</v>
      </c>
      <c r="FH34">
        <v>0.28746640474027818</v>
      </c>
      <c r="FI34">
        <v>-6.1462078757559423E-4</v>
      </c>
      <c r="FJ34">
        <v>-1.8861989874597051E-7</v>
      </c>
      <c r="FK34">
        <v>1.1980462299894961E-10</v>
      </c>
      <c r="FL34">
        <v>0.17524818673008091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12.3</v>
      </c>
      <c r="FU34">
        <v>12.3</v>
      </c>
      <c r="FV34">
        <v>1.7981</v>
      </c>
      <c r="FW34">
        <v>2.5817899999999998</v>
      </c>
      <c r="FX34">
        <v>1.5490699999999999</v>
      </c>
      <c r="FY34">
        <v>2.3327599999999999</v>
      </c>
      <c r="FZ34">
        <v>1.50146</v>
      </c>
      <c r="GA34">
        <v>2.34131</v>
      </c>
      <c r="GB34">
        <v>33.423200000000001</v>
      </c>
      <c r="GC34">
        <v>23.9649</v>
      </c>
      <c r="GD34">
        <v>19</v>
      </c>
      <c r="GE34">
        <v>276.60700000000003</v>
      </c>
      <c r="GF34">
        <v>603.93200000000002</v>
      </c>
      <c r="GG34">
        <v>19.4465</v>
      </c>
      <c r="GH34">
        <v>26.466200000000001</v>
      </c>
      <c r="GI34">
        <v>30.0001</v>
      </c>
      <c r="GJ34">
        <v>26.434100000000001</v>
      </c>
      <c r="GK34">
        <v>26.3734</v>
      </c>
      <c r="GL34">
        <v>35.947299999999998</v>
      </c>
      <c r="GM34">
        <v>16.017299999999999</v>
      </c>
      <c r="GN34">
        <v>100</v>
      </c>
      <c r="GO34">
        <v>19.500499999999999</v>
      </c>
      <c r="GP34">
        <v>800</v>
      </c>
      <c r="GQ34">
        <v>21.561299999999999</v>
      </c>
      <c r="GR34">
        <v>99.716200000000001</v>
      </c>
      <c r="GS34">
        <v>99.528099999999995</v>
      </c>
    </row>
    <row r="35" spans="1:201" x14ac:dyDescent="0.25">
      <c r="A35">
        <v>19</v>
      </c>
      <c r="B35">
        <v>1690382705.5999999</v>
      </c>
      <c r="C35">
        <v>230.5</v>
      </c>
      <c r="D35" t="s">
        <v>369</v>
      </c>
      <c r="E35" t="s">
        <v>370</v>
      </c>
      <c r="F35" t="s">
        <v>330</v>
      </c>
      <c r="H35">
        <v>1690382705.5999999</v>
      </c>
      <c r="I35">
        <f t="shared" si="0"/>
        <v>8.0895190742474608E-5</v>
      </c>
      <c r="J35">
        <f t="shared" si="1"/>
        <v>8.0895190742474601E-2</v>
      </c>
      <c r="K35">
        <f t="shared" si="2"/>
        <v>1.4560938370468506</v>
      </c>
      <c r="L35">
        <f t="shared" si="3"/>
        <v>783.55100000000004</v>
      </c>
      <c r="M35">
        <f t="shared" si="4"/>
        <v>294.15086514667428</v>
      </c>
      <c r="N35">
        <f t="shared" si="5"/>
        <v>29.057584671844978</v>
      </c>
      <c r="O35">
        <f t="shared" si="6"/>
        <v>77.402796404681013</v>
      </c>
      <c r="P35">
        <f t="shared" si="7"/>
        <v>4.9083723730578505E-3</v>
      </c>
      <c r="Q35">
        <f t="shared" si="8"/>
        <v>2.103468300830392</v>
      </c>
      <c r="R35">
        <f t="shared" si="9"/>
        <v>4.9020182013053528E-3</v>
      </c>
      <c r="S35">
        <f t="shared" si="10"/>
        <v>3.0643315749567367E-3</v>
      </c>
      <c r="T35">
        <f t="shared" si="11"/>
        <v>276.11497292140609</v>
      </c>
      <c r="U35">
        <f t="shared" si="12"/>
        <v>28.003917291859647</v>
      </c>
      <c r="V35">
        <f t="shared" si="13"/>
        <v>28.003917291859647</v>
      </c>
      <c r="W35">
        <f t="shared" si="14"/>
        <v>3.79570637314916</v>
      </c>
      <c r="X35">
        <f t="shared" si="15"/>
        <v>66.343880356765084</v>
      </c>
      <c r="Y35">
        <f t="shared" si="16"/>
        <v>2.2151169301547</v>
      </c>
      <c r="Z35">
        <f t="shared" si="17"/>
        <v>3.3388413795558529</v>
      </c>
      <c r="AA35">
        <f t="shared" si="18"/>
        <v>1.58058944299446</v>
      </c>
      <c r="AB35">
        <f t="shared" si="19"/>
        <v>-3.5674779117431301</v>
      </c>
      <c r="AC35">
        <f t="shared" si="20"/>
        <v>-247.45686453392739</v>
      </c>
      <c r="AD35">
        <f t="shared" si="21"/>
        <v>-25.366803731886151</v>
      </c>
      <c r="AE35">
        <f t="shared" si="22"/>
        <v>-0.27617325615057098</v>
      </c>
      <c r="AF35">
        <v>0</v>
      </c>
      <c r="AG35">
        <v>0</v>
      </c>
      <c r="AH35">
        <f t="shared" si="23"/>
        <v>1</v>
      </c>
      <c r="AI35">
        <f t="shared" si="24"/>
        <v>0</v>
      </c>
      <c r="AJ35">
        <f t="shared" si="25"/>
        <v>52104.500900925181</v>
      </c>
      <c r="AK35">
        <f t="shared" si="26"/>
        <v>1799.99</v>
      </c>
      <c r="AL35">
        <f t="shared" si="27"/>
        <v>1499.10756677836</v>
      </c>
      <c r="AM35">
        <f t="shared" si="28"/>
        <v>0.832842164</v>
      </c>
      <c r="AN35">
        <f t="shared" si="29"/>
        <v>0.15339805939000001</v>
      </c>
      <c r="AO35">
        <v>32.700000000000003</v>
      </c>
      <c r="AP35">
        <v>0.5</v>
      </c>
      <c r="AQ35" t="s">
        <v>331</v>
      </c>
      <c r="AR35">
        <v>2</v>
      </c>
      <c r="AS35">
        <v>1690382705.5999999</v>
      </c>
      <c r="AT35">
        <v>783.55100000000004</v>
      </c>
      <c r="AU35">
        <v>800.10400000000004</v>
      </c>
      <c r="AV35">
        <v>22.4237</v>
      </c>
      <c r="AW35">
        <v>21.562200000000001</v>
      </c>
      <c r="AX35">
        <v>783.803</v>
      </c>
      <c r="AY35">
        <v>22.2485</v>
      </c>
      <c r="AZ35">
        <v>300.16899999999998</v>
      </c>
      <c r="BA35">
        <v>98.684600000000003</v>
      </c>
      <c r="BB35">
        <v>0.10003099999999999</v>
      </c>
      <c r="BC35">
        <v>25.8218</v>
      </c>
      <c r="BD35">
        <v>28.2912</v>
      </c>
      <c r="BE35">
        <v>27.5184</v>
      </c>
      <c r="BF35">
        <v>0</v>
      </c>
      <c r="BG35">
        <v>0</v>
      </c>
      <c r="BH35">
        <v>9943.75</v>
      </c>
      <c r="BI35">
        <v>1071.26</v>
      </c>
      <c r="BJ35">
        <v>2.3870100000000001</v>
      </c>
      <c r="BK35">
        <v>-16.5532</v>
      </c>
      <c r="BL35">
        <v>801.524</v>
      </c>
      <c r="BM35">
        <v>817.73599999999999</v>
      </c>
      <c r="BN35">
        <v>0.86153599999999997</v>
      </c>
      <c r="BO35">
        <v>800.10400000000004</v>
      </c>
      <c r="BP35">
        <v>21.562200000000001</v>
      </c>
      <c r="BQ35">
        <v>2.2128800000000002</v>
      </c>
      <c r="BR35">
        <v>2.1278600000000001</v>
      </c>
      <c r="BS35">
        <v>19.055800000000001</v>
      </c>
      <c r="BT35">
        <v>18.429300000000001</v>
      </c>
      <c r="BU35">
        <v>1799.99</v>
      </c>
      <c r="BV35">
        <v>0.91000599999999998</v>
      </c>
      <c r="BW35">
        <v>3.3995299999999999E-2</v>
      </c>
      <c r="BX35">
        <v>2.20097E-2</v>
      </c>
      <c r="BY35">
        <v>3.39893E-2</v>
      </c>
      <c r="BZ35">
        <v>26</v>
      </c>
      <c r="CA35">
        <v>33528.1</v>
      </c>
      <c r="CB35">
        <v>1690381960.0999999</v>
      </c>
      <c r="CC35" t="s">
        <v>332</v>
      </c>
      <c r="CD35">
        <v>1690381960.0999999</v>
      </c>
      <c r="CE35">
        <v>1690381958.0999999</v>
      </c>
      <c r="CF35">
        <v>4</v>
      </c>
      <c r="CG35">
        <v>9.9000000000000005E-2</v>
      </c>
      <c r="CH35">
        <v>1.2E-2</v>
      </c>
      <c r="CI35">
        <v>-0.26300000000000001</v>
      </c>
      <c r="CJ35">
        <v>0.127</v>
      </c>
      <c r="CK35">
        <v>798</v>
      </c>
      <c r="CL35">
        <v>18</v>
      </c>
      <c r="CM35">
        <v>0.02</v>
      </c>
      <c r="CN35">
        <v>0.12</v>
      </c>
      <c r="CO35">
        <v>-14.071755</v>
      </c>
      <c r="CP35">
        <v>-12.517765103189459</v>
      </c>
      <c r="CQ35">
        <v>1.204921726700535</v>
      </c>
      <c r="CR35">
        <v>-1</v>
      </c>
      <c r="CS35">
        <v>0.60888352500000009</v>
      </c>
      <c r="CT35">
        <v>1.4894594859287049</v>
      </c>
      <c r="CU35">
        <v>0.14365438732161781</v>
      </c>
      <c r="CV35">
        <v>-1</v>
      </c>
      <c r="CW35">
        <v>0</v>
      </c>
      <c r="CX35">
        <v>0</v>
      </c>
      <c r="CY35" t="s">
        <v>333</v>
      </c>
      <c r="CZ35">
        <v>2.3642799999999999</v>
      </c>
      <c r="DA35">
        <v>2.7137699999999998</v>
      </c>
      <c r="DB35">
        <v>0.14414099999999999</v>
      </c>
      <c r="DC35">
        <v>0.14583099999999999</v>
      </c>
      <c r="DD35">
        <v>0.108144</v>
      </c>
      <c r="DE35">
        <v>0.103661</v>
      </c>
      <c r="DF35">
        <v>31243.599999999999</v>
      </c>
      <c r="DG35">
        <v>27516.3</v>
      </c>
      <c r="DH35">
        <v>31165.5</v>
      </c>
      <c r="DI35">
        <v>28070.3</v>
      </c>
      <c r="DJ35">
        <v>37738.1</v>
      </c>
      <c r="DK35">
        <v>35773.4</v>
      </c>
      <c r="DL35">
        <v>44350.6</v>
      </c>
      <c r="DM35">
        <v>42543.1</v>
      </c>
      <c r="DN35">
        <v>1.4604999999999999</v>
      </c>
      <c r="DO35">
        <v>2.05958</v>
      </c>
      <c r="DP35">
        <v>0.168346</v>
      </c>
      <c r="DQ35">
        <v>0.13535800000000001</v>
      </c>
      <c r="DR35">
        <v>25.537700000000001</v>
      </c>
      <c r="DS35">
        <v>25.302600000000002</v>
      </c>
      <c r="DT35">
        <v>57.9</v>
      </c>
      <c r="DU35">
        <v>28.7</v>
      </c>
      <c r="DV35">
        <v>23.192599999999999</v>
      </c>
      <c r="DW35">
        <v>60.883000000000003</v>
      </c>
      <c r="DX35">
        <v>35.516800000000003</v>
      </c>
      <c r="DY35">
        <v>1</v>
      </c>
      <c r="DZ35">
        <v>-7.2985300000000003E-2</v>
      </c>
      <c r="EA35">
        <v>3.5270800000000002</v>
      </c>
      <c r="EB35">
        <v>20.149000000000001</v>
      </c>
      <c r="EC35">
        <v>5.2408000000000001</v>
      </c>
      <c r="ED35">
        <v>12.039899999999999</v>
      </c>
      <c r="EE35">
        <v>5.0171999999999999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1.8689</v>
      </c>
      <c r="EL35">
        <v>1.86463</v>
      </c>
      <c r="EM35">
        <v>1.8692</v>
      </c>
      <c r="EN35">
        <v>1.8672299999999999</v>
      </c>
      <c r="EO35">
        <v>1.8633999999999999</v>
      </c>
      <c r="EP35">
        <v>1.86446</v>
      </c>
      <c r="EQ35">
        <v>1.8701399999999999</v>
      </c>
      <c r="ER35">
        <v>1.86944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-0.252</v>
      </c>
      <c r="FG35">
        <v>0.17519999999999999</v>
      </c>
      <c r="FH35">
        <v>0.28746640474027818</v>
      </c>
      <c r="FI35">
        <v>-6.1462078757559423E-4</v>
      </c>
      <c r="FJ35">
        <v>-1.8861989874597051E-7</v>
      </c>
      <c r="FK35">
        <v>1.1980462299894961E-10</v>
      </c>
      <c r="FL35">
        <v>0.17524818673008091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12.4</v>
      </c>
      <c r="FU35">
        <v>12.5</v>
      </c>
      <c r="FV35">
        <v>1.7981</v>
      </c>
      <c r="FW35">
        <v>2.5781200000000002</v>
      </c>
      <c r="FX35">
        <v>1.5490699999999999</v>
      </c>
      <c r="FY35">
        <v>2.3315399999999999</v>
      </c>
      <c r="FZ35">
        <v>1.50146</v>
      </c>
      <c r="GA35">
        <v>2.323</v>
      </c>
      <c r="GB35">
        <v>33.423200000000001</v>
      </c>
      <c r="GC35">
        <v>23.9649</v>
      </c>
      <c r="GD35">
        <v>19</v>
      </c>
      <c r="GE35">
        <v>276.64299999999997</v>
      </c>
      <c r="GF35">
        <v>603.06899999999996</v>
      </c>
      <c r="GG35">
        <v>19.527000000000001</v>
      </c>
      <c r="GH35">
        <v>26.476500000000001</v>
      </c>
      <c r="GI35">
        <v>30.0001</v>
      </c>
      <c r="GJ35">
        <v>26.444900000000001</v>
      </c>
      <c r="GK35">
        <v>26.3812</v>
      </c>
      <c r="GL35">
        <v>35.942500000000003</v>
      </c>
      <c r="GM35">
        <v>16.602599999999999</v>
      </c>
      <c r="GN35">
        <v>100</v>
      </c>
      <c r="GO35">
        <v>19.580200000000001</v>
      </c>
      <c r="GP35">
        <v>800</v>
      </c>
      <c r="GQ35">
        <v>21.3809</v>
      </c>
      <c r="GR35">
        <v>99.715100000000007</v>
      </c>
      <c r="GS35">
        <v>99.524699999999996</v>
      </c>
    </row>
    <row r="36" spans="1:201" x14ac:dyDescent="0.25">
      <c r="A36">
        <v>20</v>
      </c>
      <c r="B36">
        <v>1690382715.5999999</v>
      </c>
      <c r="C36">
        <v>240.5</v>
      </c>
      <c r="D36" t="s">
        <v>371</v>
      </c>
      <c r="E36" t="s">
        <v>372</v>
      </c>
      <c r="F36" t="s">
        <v>330</v>
      </c>
      <c r="H36">
        <v>1690382715.5999999</v>
      </c>
      <c r="I36">
        <f t="shared" si="0"/>
        <v>1.0533252018657527E-4</v>
      </c>
      <c r="J36">
        <f t="shared" si="1"/>
        <v>0.10533252018657527</v>
      </c>
      <c r="K36">
        <f t="shared" si="2"/>
        <v>1.6583608334501485</v>
      </c>
      <c r="L36">
        <f t="shared" si="3"/>
        <v>781.14700000000005</v>
      </c>
      <c r="M36">
        <f t="shared" si="4"/>
        <v>358.28021314641273</v>
      </c>
      <c r="N36">
        <f t="shared" si="5"/>
        <v>35.393533717833918</v>
      </c>
      <c r="O36">
        <f t="shared" si="6"/>
        <v>77.167400455314905</v>
      </c>
      <c r="P36">
        <f t="shared" si="7"/>
        <v>6.5113390090279048E-3</v>
      </c>
      <c r="Q36">
        <f t="shared" si="8"/>
        <v>2.1094045801411907</v>
      </c>
      <c r="R36">
        <f t="shared" si="9"/>
        <v>6.5001933772692571E-3</v>
      </c>
      <c r="S36">
        <f t="shared" si="10"/>
        <v>4.0636206409136906E-3</v>
      </c>
      <c r="T36">
        <f t="shared" si="11"/>
        <v>276.11331611017692</v>
      </c>
      <c r="U36">
        <f t="shared" si="12"/>
        <v>27.927445420609207</v>
      </c>
      <c r="V36">
        <f t="shared" si="13"/>
        <v>27.927445420609207</v>
      </c>
      <c r="W36">
        <f t="shared" si="14"/>
        <v>3.7788182961943675</v>
      </c>
      <c r="X36">
        <f t="shared" si="15"/>
        <v>66.937157464291246</v>
      </c>
      <c r="Y36">
        <f t="shared" si="16"/>
        <v>2.22667554634767</v>
      </c>
      <c r="Z36">
        <f t="shared" si="17"/>
        <v>3.3265164382510979</v>
      </c>
      <c r="AA36">
        <f t="shared" si="18"/>
        <v>1.5521427498466975</v>
      </c>
      <c r="AB36">
        <f t="shared" si="19"/>
        <v>-4.6451641402279691</v>
      </c>
      <c r="AC36">
        <f t="shared" si="20"/>
        <v>-246.55493769537213</v>
      </c>
      <c r="AD36">
        <f t="shared" si="21"/>
        <v>-25.185714969652967</v>
      </c>
      <c r="AE36">
        <f t="shared" si="22"/>
        <v>-0.27250069507613262</v>
      </c>
      <c r="AF36">
        <v>0</v>
      </c>
      <c r="AG36">
        <v>0</v>
      </c>
      <c r="AH36">
        <f t="shared" si="23"/>
        <v>1</v>
      </c>
      <c r="AI36">
        <f t="shared" si="24"/>
        <v>0</v>
      </c>
      <c r="AJ36">
        <f t="shared" si="25"/>
        <v>52374.612336582279</v>
      </c>
      <c r="AK36">
        <f t="shared" si="26"/>
        <v>1799.98</v>
      </c>
      <c r="AL36">
        <f t="shared" si="27"/>
        <v>1499.0967201847002</v>
      </c>
      <c r="AM36">
        <f t="shared" si="28"/>
        <v>0.83284076500000004</v>
      </c>
      <c r="AN36">
        <f t="shared" si="29"/>
        <v>0.15339799114999997</v>
      </c>
      <c r="AO36">
        <v>32.700000000000003</v>
      </c>
      <c r="AP36">
        <v>0.5</v>
      </c>
      <c r="AQ36" t="s">
        <v>331</v>
      </c>
      <c r="AR36">
        <v>2</v>
      </c>
      <c r="AS36">
        <v>1690382715.5999999</v>
      </c>
      <c r="AT36">
        <v>781.14700000000005</v>
      </c>
      <c r="AU36">
        <v>800.10400000000004</v>
      </c>
      <c r="AV36">
        <v>22.540099999999999</v>
      </c>
      <c r="AW36">
        <v>21.418800000000001</v>
      </c>
      <c r="AX36">
        <v>781.39700000000005</v>
      </c>
      <c r="AY36">
        <v>22.364799999999999</v>
      </c>
      <c r="AZ36">
        <v>300.25299999999999</v>
      </c>
      <c r="BA36">
        <v>98.687299999999993</v>
      </c>
      <c r="BB36">
        <v>9.9996699999999994E-2</v>
      </c>
      <c r="BC36">
        <v>25.759399999999999</v>
      </c>
      <c r="BD36">
        <v>28.2912</v>
      </c>
      <c r="BE36">
        <v>27.458300000000001</v>
      </c>
      <c r="BF36">
        <v>0</v>
      </c>
      <c r="BG36">
        <v>0</v>
      </c>
      <c r="BH36">
        <v>9995</v>
      </c>
      <c r="BI36">
        <v>1070.0899999999999</v>
      </c>
      <c r="BJ36">
        <v>2.39683</v>
      </c>
      <c r="BK36">
        <v>-18.957799999999999</v>
      </c>
      <c r="BL36">
        <v>799.16</v>
      </c>
      <c r="BM36">
        <v>817.61699999999996</v>
      </c>
      <c r="BN36">
        <v>1.12134</v>
      </c>
      <c r="BO36">
        <v>800.10400000000004</v>
      </c>
      <c r="BP36">
        <v>21.418800000000001</v>
      </c>
      <c r="BQ36">
        <v>2.2244199999999998</v>
      </c>
      <c r="BR36">
        <v>2.1137600000000001</v>
      </c>
      <c r="BS36">
        <v>19.139299999999999</v>
      </c>
      <c r="BT36">
        <v>18.3232</v>
      </c>
      <c r="BU36">
        <v>1799.98</v>
      </c>
      <c r="BV36">
        <v>0.90998999999999997</v>
      </c>
      <c r="BW36">
        <v>3.3991E-2</v>
      </c>
      <c r="BX36">
        <v>2.2006999999999999E-2</v>
      </c>
      <c r="BY36">
        <v>3.4012500000000001E-2</v>
      </c>
      <c r="BZ36">
        <v>26</v>
      </c>
      <c r="CA36">
        <v>33528</v>
      </c>
      <c r="CB36">
        <v>1690381960.0999999</v>
      </c>
      <c r="CC36" t="s">
        <v>332</v>
      </c>
      <c r="CD36">
        <v>1690381960.0999999</v>
      </c>
      <c r="CE36">
        <v>1690381958.0999999</v>
      </c>
      <c r="CF36">
        <v>4</v>
      </c>
      <c r="CG36">
        <v>9.9000000000000005E-2</v>
      </c>
      <c r="CH36">
        <v>1.2E-2</v>
      </c>
      <c r="CI36">
        <v>-0.26300000000000001</v>
      </c>
      <c r="CJ36">
        <v>0.127</v>
      </c>
      <c r="CK36">
        <v>798</v>
      </c>
      <c r="CL36">
        <v>18</v>
      </c>
      <c r="CM36">
        <v>0.02</v>
      </c>
      <c r="CN36">
        <v>0.12</v>
      </c>
      <c r="CO36">
        <v>-16.245895000000001</v>
      </c>
      <c r="CP36">
        <v>-13.713334333958739</v>
      </c>
      <c r="CQ36">
        <v>1.319815703791632</v>
      </c>
      <c r="CR36">
        <v>-1</v>
      </c>
      <c r="CS36">
        <v>0.84839605000000018</v>
      </c>
      <c r="CT36">
        <v>1.38474297185741</v>
      </c>
      <c r="CU36">
        <v>0.13363427284625559</v>
      </c>
      <c r="CV36">
        <v>-1</v>
      </c>
      <c r="CW36">
        <v>0</v>
      </c>
      <c r="CX36">
        <v>0</v>
      </c>
      <c r="CY36" t="s">
        <v>333</v>
      </c>
      <c r="CZ36">
        <v>2.3645399999999999</v>
      </c>
      <c r="DA36">
        <v>2.7137799999999999</v>
      </c>
      <c r="DB36">
        <v>0.143847</v>
      </c>
      <c r="DC36">
        <v>0.14582999999999999</v>
      </c>
      <c r="DD36">
        <v>0.108544</v>
      </c>
      <c r="DE36">
        <v>0.103176</v>
      </c>
      <c r="DF36">
        <v>31253.599999999999</v>
      </c>
      <c r="DG36">
        <v>27515.8</v>
      </c>
      <c r="DH36">
        <v>31164.7</v>
      </c>
      <c r="DI36">
        <v>28069.8</v>
      </c>
      <c r="DJ36">
        <v>37720</v>
      </c>
      <c r="DK36">
        <v>35792.199999999997</v>
      </c>
      <c r="DL36">
        <v>44349.4</v>
      </c>
      <c r="DM36">
        <v>42542.400000000001</v>
      </c>
      <c r="DN36">
        <v>1.4612499999999999</v>
      </c>
      <c r="DO36">
        <v>2.05925</v>
      </c>
      <c r="DP36">
        <v>0.17113999999999999</v>
      </c>
      <c r="DQ36">
        <v>0.135079</v>
      </c>
      <c r="DR36">
        <v>25.491800000000001</v>
      </c>
      <c r="DS36">
        <v>25.2469</v>
      </c>
      <c r="DT36">
        <v>57.9</v>
      </c>
      <c r="DU36">
        <v>28.7</v>
      </c>
      <c r="DV36">
        <v>23.193000000000001</v>
      </c>
      <c r="DW36">
        <v>61.023000000000003</v>
      </c>
      <c r="DX36">
        <v>35.4848</v>
      </c>
      <c r="DY36">
        <v>1</v>
      </c>
      <c r="DZ36">
        <v>-7.2573700000000005E-2</v>
      </c>
      <c r="EA36">
        <v>3.3403399999999999</v>
      </c>
      <c r="EB36">
        <v>20.1526</v>
      </c>
      <c r="EC36">
        <v>5.24125</v>
      </c>
      <c r="ED36">
        <v>12.039899999999999</v>
      </c>
      <c r="EE36">
        <v>5.0168499999999998</v>
      </c>
      <c r="EF36">
        <v>3.2879499999999999</v>
      </c>
      <c r="EG36">
        <v>9999</v>
      </c>
      <c r="EH36">
        <v>9999</v>
      </c>
      <c r="EI36">
        <v>9999</v>
      </c>
      <c r="EJ36">
        <v>999.9</v>
      </c>
      <c r="EK36">
        <v>1.8689</v>
      </c>
      <c r="EL36">
        <v>1.86463</v>
      </c>
      <c r="EM36">
        <v>1.8692</v>
      </c>
      <c r="EN36">
        <v>1.8672500000000001</v>
      </c>
      <c r="EO36">
        <v>1.8633900000000001</v>
      </c>
      <c r="EP36">
        <v>1.8644700000000001</v>
      </c>
      <c r="EQ36">
        <v>1.87015</v>
      </c>
      <c r="ER36">
        <v>1.8694200000000001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-0.25</v>
      </c>
      <c r="FG36">
        <v>0.17530000000000001</v>
      </c>
      <c r="FH36">
        <v>0.28746640474027818</v>
      </c>
      <c r="FI36">
        <v>-6.1462078757559423E-4</v>
      </c>
      <c r="FJ36">
        <v>-1.8861989874597051E-7</v>
      </c>
      <c r="FK36">
        <v>1.1980462299894961E-10</v>
      </c>
      <c r="FL36">
        <v>0.17524818673008091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12.6</v>
      </c>
      <c r="FU36">
        <v>12.6</v>
      </c>
      <c r="FV36">
        <v>1.79688</v>
      </c>
      <c r="FW36">
        <v>2.5842299999999998</v>
      </c>
      <c r="FX36">
        <v>1.5490699999999999</v>
      </c>
      <c r="FY36">
        <v>2.3315399999999999</v>
      </c>
      <c r="FZ36">
        <v>1.50146</v>
      </c>
      <c r="GA36">
        <v>2.2997999999999998</v>
      </c>
      <c r="GB36">
        <v>33.423200000000001</v>
      </c>
      <c r="GC36">
        <v>23.9649</v>
      </c>
      <c r="GD36">
        <v>19</v>
      </c>
      <c r="GE36">
        <v>276.99799999999999</v>
      </c>
      <c r="GF36">
        <v>602.88199999999995</v>
      </c>
      <c r="GG36">
        <v>19.612500000000001</v>
      </c>
      <c r="GH36">
        <v>26.485499999999998</v>
      </c>
      <c r="GI36">
        <v>30.000399999999999</v>
      </c>
      <c r="GJ36">
        <v>26.4541</v>
      </c>
      <c r="GK36">
        <v>26.3888</v>
      </c>
      <c r="GL36">
        <v>35.937100000000001</v>
      </c>
      <c r="GM36">
        <v>16.879300000000001</v>
      </c>
      <c r="GN36">
        <v>100</v>
      </c>
      <c r="GO36">
        <v>19.662099999999999</v>
      </c>
      <c r="GP36">
        <v>800</v>
      </c>
      <c r="GQ36">
        <v>21.3</v>
      </c>
      <c r="GR36">
        <v>99.712599999999995</v>
      </c>
      <c r="GS36">
        <v>99.523200000000003</v>
      </c>
    </row>
    <row r="37" spans="1:201" x14ac:dyDescent="0.25">
      <c r="A37">
        <v>21</v>
      </c>
      <c r="B37">
        <v>1690382725.5999999</v>
      </c>
      <c r="C37">
        <v>250.5</v>
      </c>
      <c r="D37" t="s">
        <v>373</v>
      </c>
      <c r="E37" t="s">
        <v>374</v>
      </c>
      <c r="F37" t="s">
        <v>330</v>
      </c>
      <c r="H37">
        <v>1690382725.5999999</v>
      </c>
      <c r="I37">
        <f t="shared" si="0"/>
        <v>1.2597399990014511E-4</v>
      </c>
      <c r="J37">
        <f t="shared" si="1"/>
        <v>0.1259739999001451</v>
      </c>
      <c r="K37">
        <f t="shared" si="2"/>
        <v>1.8770899655644593</v>
      </c>
      <c r="L37">
        <f t="shared" si="3"/>
        <v>778.57799999999997</v>
      </c>
      <c r="M37">
        <f t="shared" si="4"/>
        <v>383.84681652524858</v>
      </c>
      <c r="N37">
        <f t="shared" si="5"/>
        <v>37.919781358375324</v>
      </c>
      <c r="O37">
        <f t="shared" si="6"/>
        <v>76.91481669094199</v>
      </c>
      <c r="P37">
        <f t="shared" si="7"/>
        <v>7.9194563640797855E-3</v>
      </c>
      <c r="Q37">
        <f t="shared" si="8"/>
        <v>2.1124299489811205</v>
      </c>
      <c r="R37">
        <f t="shared" si="9"/>
        <v>7.9029990018646655E-3</v>
      </c>
      <c r="S37">
        <f t="shared" si="10"/>
        <v>4.9408501255377713E-3</v>
      </c>
      <c r="T37">
        <f t="shared" si="11"/>
        <v>276.1146391312605</v>
      </c>
      <c r="U37">
        <f t="shared" si="12"/>
        <v>27.864879539615501</v>
      </c>
      <c r="V37">
        <f t="shared" si="13"/>
        <v>27.864879539615501</v>
      </c>
      <c r="W37">
        <f t="shared" si="14"/>
        <v>3.7650500205771396</v>
      </c>
      <c r="X37">
        <f t="shared" si="15"/>
        <v>67.493751193068448</v>
      </c>
      <c r="Y37">
        <f t="shared" si="16"/>
        <v>2.2381994519196002</v>
      </c>
      <c r="Z37">
        <f t="shared" si="17"/>
        <v>3.3161580329372198</v>
      </c>
      <c r="AA37">
        <f t="shared" si="18"/>
        <v>1.5268505686575393</v>
      </c>
      <c r="AB37">
        <f t="shared" si="19"/>
        <v>-5.5554533955963992</v>
      </c>
      <c r="AC37">
        <f t="shared" si="20"/>
        <v>-245.77358631247168</v>
      </c>
      <c r="AD37">
        <f t="shared" si="21"/>
        <v>-25.055499829992911</v>
      </c>
      <c r="AE37">
        <f t="shared" si="22"/>
        <v>-0.26990040680050242</v>
      </c>
      <c r="AF37">
        <v>0</v>
      </c>
      <c r="AG37">
        <v>0</v>
      </c>
      <c r="AH37">
        <f t="shared" si="23"/>
        <v>1</v>
      </c>
      <c r="AI37">
        <f t="shared" si="24"/>
        <v>0</v>
      </c>
      <c r="AJ37">
        <f t="shared" si="25"/>
        <v>52516.301397100164</v>
      </c>
      <c r="AK37">
        <f t="shared" si="26"/>
        <v>1799.99</v>
      </c>
      <c r="AL37">
        <f t="shared" si="27"/>
        <v>1499.10157461165</v>
      </c>
      <c r="AM37">
        <f t="shared" si="28"/>
        <v>0.832838835</v>
      </c>
      <c r="AN37">
        <f t="shared" si="29"/>
        <v>0.15339787394999999</v>
      </c>
      <c r="AO37">
        <v>32.700000000000003</v>
      </c>
      <c r="AP37">
        <v>0.5</v>
      </c>
      <c r="AQ37" t="s">
        <v>331</v>
      </c>
      <c r="AR37">
        <v>2</v>
      </c>
      <c r="AS37">
        <v>1690382725.5999999</v>
      </c>
      <c r="AT37">
        <v>778.57799999999997</v>
      </c>
      <c r="AU37">
        <v>800.08799999999997</v>
      </c>
      <c r="AV37">
        <v>22.656400000000001</v>
      </c>
      <c r="AW37">
        <v>21.3156</v>
      </c>
      <c r="AX37">
        <v>778.827</v>
      </c>
      <c r="AY37">
        <v>22.481100000000001</v>
      </c>
      <c r="AZ37">
        <v>300.27</v>
      </c>
      <c r="BA37">
        <v>98.688800000000001</v>
      </c>
      <c r="BB37">
        <v>0.100039</v>
      </c>
      <c r="BC37">
        <v>25.706800000000001</v>
      </c>
      <c r="BD37">
        <v>28.200800000000001</v>
      </c>
      <c r="BE37">
        <v>27.402699999999999</v>
      </c>
      <c r="BF37">
        <v>0</v>
      </c>
      <c r="BG37">
        <v>0</v>
      </c>
      <c r="BH37">
        <v>10021.200000000001</v>
      </c>
      <c r="BI37">
        <v>1069.17</v>
      </c>
      <c r="BJ37">
        <v>2.4108399999999999</v>
      </c>
      <c r="BK37">
        <v>-21.510100000000001</v>
      </c>
      <c r="BL37">
        <v>796.62599999999998</v>
      </c>
      <c r="BM37">
        <v>817.51400000000001</v>
      </c>
      <c r="BN37">
        <v>1.3407800000000001</v>
      </c>
      <c r="BO37">
        <v>800.08799999999997</v>
      </c>
      <c r="BP37">
        <v>21.3156</v>
      </c>
      <c r="BQ37">
        <v>2.2359300000000002</v>
      </c>
      <c r="BR37">
        <v>2.1036100000000002</v>
      </c>
      <c r="BS37">
        <v>19.222100000000001</v>
      </c>
      <c r="BT37">
        <v>18.246500000000001</v>
      </c>
      <c r="BU37">
        <v>1799.99</v>
      </c>
      <c r="BV37">
        <v>0.90998199999999996</v>
      </c>
      <c r="BW37">
        <v>3.4006500000000002E-2</v>
      </c>
      <c r="BX37">
        <v>2.2003999999999999E-2</v>
      </c>
      <c r="BY37">
        <v>3.4007900000000001E-2</v>
      </c>
      <c r="BZ37">
        <v>26</v>
      </c>
      <c r="CA37">
        <v>33528</v>
      </c>
      <c r="CB37">
        <v>1690381960.0999999</v>
      </c>
      <c r="CC37" t="s">
        <v>332</v>
      </c>
      <c r="CD37">
        <v>1690381960.0999999</v>
      </c>
      <c r="CE37">
        <v>1690381958.0999999</v>
      </c>
      <c r="CF37">
        <v>4</v>
      </c>
      <c r="CG37">
        <v>9.9000000000000005E-2</v>
      </c>
      <c r="CH37">
        <v>1.2E-2</v>
      </c>
      <c r="CI37">
        <v>-0.26300000000000001</v>
      </c>
      <c r="CJ37">
        <v>0.127</v>
      </c>
      <c r="CK37">
        <v>798</v>
      </c>
      <c r="CL37">
        <v>18</v>
      </c>
      <c r="CM37">
        <v>0.02</v>
      </c>
      <c r="CN37">
        <v>0.12</v>
      </c>
      <c r="CO37">
        <v>-18.68501707317073</v>
      </c>
      <c r="CP37">
        <v>-14.744195121951231</v>
      </c>
      <c r="CQ37">
        <v>1.4544506948861651</v>
      </c>
      <c r="CR37">
        <v>-1</v>
      </c>
      <c r="CS37">
        <v>1.0795054390243899</v>
      </c>
      <c r="CT37">
        <v>1.3660340069686401</v>
      </c>
      <c r="CU37">
        <v>0.135235121864513</v>
      </c>
      <c r="CV37">
        <v>-1</v>
      </c>
      <c r="CW37">
        <v>0</v>
      </c>
      <c r="CX37">
        <v>0</v>
      </c>
      <c r="CY37" t="s">
        <v>333</v>
      </c>
      <c r="CZ37">
        <v>2.3645800000000001</v>
      </c>
      <c r="DA37">
        <v>2.7138499999999999</v>
      </c>
      <c r="DB37">
        <v>0.14353099999999999</v>
      </c>
      <c r="DC37">
        <v>0.14582500000000001</v>
      </c>
      <c r="DD37">
        <v>0.108941</v>
      </c>
      <c r="DE37">
        <v>0.102826</v>
      </c>
      <c r="DF37">
        <v>31265</v>
      </c>
      <c r="DG37">
        <v>27515.5</v>
      </c>
      <c r="DH37">
        <v>31164.6</v>
      </c>
      <c r="DI37">
        <v>28069.4</v>
      </c>
      <c r="DJ37">
        <v>37702.699999999997</v>
      </c>
      <c r="DK37">
        <v>35805.800000000003</v>
      </c>
      <c r="DL37">
        <v>44349.1</v>
      </c>
      <c r="DM37">
        <v>42541.9</v>
      </c>
      <c r="DN37">
        <v>1.4613499999999999</v>
      </c>
      <c r="DO37">
        <v>2.05925</v>
      </c>
      <c r="DP37">
        <v>0.16841999999999999</v>
      </c>
      <c r="DQ37">
        <v>0.13494900000000001</v>
      </c>
      <c r="DR37">
        <v>25.445699999999999</v>
      </c>
      <c r="DS37">
        <v>25.193200000000001</v>
      </c>
      <c r="DT37">
        <v>57.9</v>
      </c>
      <c r="DU37">
        <v>28.7</v>
      </c>
      <c r="DV37">
        <v>23.189599999999999</v>
      </c>
      <c r="DW37">
        <v>61.073</v>
      </c>
      <c r="DX37">
        <v>35.829300000000003</v>
      </c>
      <c r="DY37">
        <v>1</v>
      </c>
      <c r="DZ37">
        <v>-7.2095999999999993E-2</v>
      </c>
      <c r="EA37">
        <v>3.1851600000000002</v>
      </c>
      <c r="EB37">
        <v>20.156099999999999</v>
      </c>
      <c r="EC37">
        <v>5.2409499999999998</v>
      </c>
      <c r="ED37">
        <v>12.039899999999999</v>
      </c>
      <c r="EE37">
        <v>5.0171000000000001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</v>
      </c>
      <c r="EL37">
        <v>1.8646199999999999</v>
      </c>
      <c r="EM37">
        <v>1.8692</v>
      </c>
      <c r="EN37">
        <v>1.86724</v>
      </c>
      <c r="EO37">
        <v>1.8633999999999999</v>
      </c>
      <c r="EP37">
        <v>1.86446</v>
      </c>
      <c r="EQ37">
        <v>1.87015</v>
      </c>
      <c r="ER37">
        <v>1.86941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-0.249</v>
      </c>
      <c r="FG37">
        <v>0.17530000000000001</v>
      </c>
      <c r="FH37">
        <v>0.28746640474027818</v>
      </c>
      <c r="FI37">
        <v>-6.1462078757559423E-4</v>
      </c>
      <c r="FJ37">
        <v>-1.8861989874597051E-7</v>
      </c>
      <c r="FK37">
        <v>1.1980462299894961E-10</v>
      </c>
      <c r="FL37">
        <v>0.17524818673008091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12.8</v>
      </c>
      <c r="FU37">
        <v>12.8</v>
      </c>
      <c r="FV37">
        <v>1.79688</v>
      </c>
      <c r="FW37">
        <v>2.5805699999999998</v>
      </c>
      <c r="FX37">
        <v>1.5490699999999999</v>
      </c>
      <c r="FY37">
        <v>2.3327599999999999</v>
      </c>
      <c r="FZ37">
        <v>1.50146</v>
      </c>
      <c r="GA37">
        <v>2.2863799999999999</v>
      </c>
      <c r="GB37">
        <v>33.423200000000001</v>
      </c>
      <c r="GC37">
        <v>23.9649</v>
      </c>
      <c r="GD37">
        <v>19</v>
      </c>
      <c r="GE37">
        <v>277.07799999999997</v>
      </c>
      <c r="GF37">
        <v>602.96699999999998</v>
      </c>
      <c r="GG37">
        <v>19.697600000000001</v>
      </c>
      <c r="GH37">
        <v>26.4922</v>
      </c>
      <c r="GI37">
        <v>30.000299999999999</v>
      </c>
      <c r="GJ37">
        <v>26.463000000000001</v>
      </c>
      <c r="GK37">
        <v>26.396100000000001</v>
      </c>
      <c r="GL37">
        <v>35.93</v>
      </c>
      <c r="GM37">
        <v>18.040400000000002</v>
      </c>
      <c r="GN37">
        <v>100</v>
      </c>
      <c r="GO37">
        <v>19.743400000000001</v>
      </c>
      <c r="GP37">
        <v>800</v>
      </c>
      <c r="GQ37">
        <v>21.101700000000001</v>
      </c>
      <c r="GR37">
        <v>99.712100000000007</v>
      </c>
      <c r="GS37">
        <v>99.521900000000002</v>
      </c>
    </row>
    <row r="38" spans="1:201" x14ac:dyDescent="0.25">
      <c r="A38">
        <v>22</v>
      </c>
      <c r="B38">
        <v>1690382735.5999999</v>
      </c>
      <c r="C38">
        <v>260.5</v>
      </c>
      <c r="D38" t="s">
        <v>375</v>
      </c>
      <c r="E38" t="s">
        <v>376</v>
      </c>
      <c r="F38" t="s">
        <v>330</v>
      </c>
      <c r="H38">
        <v>1690382735.5999999</v>
      </c>
      <c r="I38">
        <f t="shared" si="0"/>
        <v>1.6101084792193585E-4</v>
      </c>
      <c r="J38">
        <f t="shared" si="1"/>
        <v>0.16101084792193585</v>
      </c>
      <c r="K38">
        <f t="shared" si="2"/>
        <v>2.1117045501970346</v>
      </c>
      <c r="L38">
        <f t="shared" si="3"/>
        <v>775.82399999999996</v>
      </c>
      <c r="M38">
        <f t="shared" si="4"/>
        <v>431.47014258777517</v>
      </c>
      <c r="N38">
        <f t="shared" si="5"/>
        <v>42.62468211327262</v>
      </c>
      <c r="O38">
        <f t="shared" si="6"/>
        <v>76.643197551311999</v>
      </c>
      <c r="P38">
        <f t="shared" si="7"/>
        <v>1.0287159136046454E-2</v>
      </c>
      <c r="Q38">
        <f t="shared" si="8"/>
        <v>2.1124369351370054</v>
      </c>
      <c r="R38">
        <f t="shared" si="9"/>
        <v>1.0259408832802287E-2</v>
      </c>
      <c r="S38">
        <f t="shared" si="10"/>
        <v>6.4146174914120162E-3</v>
      </c>
      <c r="T38">
        <f t="shared" si="11"/>
        <v>276.11424360145793</v>
      </c>
      <c r="U38">
        <f t="shared" si="12"/>
        <v>27.808033493001201</v>
      </c>
      <c r="V38">
        <f t="shared" si="13"/>
        <v>27.808033493001201</v>
      </c>
      <c r="W38">
        <f t="shared" si="14"/>
        <v>3.7525784255506203</v>
      </c>
      <c r="X38">
        <f t="shared" si="15"/>
        <v>68.00746262893071</v>
      </c>
      <c r="Y38">
        <f t="shared" si="16"/>
        <v>2.2492768709492004</v>
      </c>
      <c r="Z38">
        <f t="shared" si="17"/>
        <v>3.3073971355495724</v>
      </c>
      <c r="AA38">
        <f t="shared" si="18"/>
        <v>1.5033015546014199</v>
      </c>
      <c r="AB38">
        <f t="shared" si="19"/>
        <v>-7.1005783933573712</v>
      </c>
      <c r="AC38">
        <f t="shared" si="20"/>
        <v>-244.37974953496916</v>
      </c>
      <c r="AD38">
        <f t="shared" si="21"/>
        <v>-24.900674893569878</v>
      </c>
      <c r="AE38">
        <f t="shared" si="22"/>
        <v>-0.26675922043850164</v>
      </c>
      <c r="AF38">
        <v>0</v>
      </c>
      <c r="AG38">
        <v>0</v>
      </c>
      <c r="AH38">
        <f t="shared" si="23"/>
        <v>1</v>
      </c>
      <c r="AI38">
        <f t="shared" si="24"/>
        <v>0</v>
      </c>
      <c r="AJ38">
        <f t="shared" si="25"/>
        <v>52524.463124372647</v>
      </c>
      <c r="AK38">
        <f t="shared" si="26"/>
        <v>1799.99</v>
      </c>
      <c r="AL38">
        <f t="shared" si="27"/>
        <v>1499.1028634044899</v>
      </c>
      <c r="AM38">
        <f t="shared" si="28"/>
        <v>0.83283955099999996</v>
      </c>
      <c r="AN38">
        <f t="shared" si="29"/>
        <v>0.15339765421000001</v>
      </c>
      <c r="AO38">
        <v>32.700000000000003</v>
      </c>
      <c r="AP38">
        <v>0.5</v>
      </c>
      <c r="AQ38" t="s">
        <v>331</v>
      </c>
      <c r="AR38">
        <v>2</v>
      </c>
      <c r="AS38">
        <v>1690382735.5999999</v>
      </c>
      <c r="AT38">
        <v>775.82399999999996</v>
      </c>
      <c r="AU38">
        <v>800.18100000000004</v>
      </c>
      <c r="AV38">
        <v>22.7684</v>
      </c>
      <c r="AW38">
        <v>21.0549</v>
      </c>
      <c r="AX38">
        <v>776.07100000000003</v>
      </c>
      <c r="AY38">
        <v>22.5931</v>
      </c>
      <c r="AZ38">
        <v>300.27300000000002</v>
      </c>
      <c r="BA38">
        <v>98.689400000000006</v>
      </c>
      <c r="BB38">
        <v>0.100013</v>
      </c>
      <c r="BC38">
        <v>25.662199999999999</v>
      </c>
      <c r="BD38">
        <v>28.1374</v>
      </c>
      <c r="BE38">
        <v>27.366199999999999</v>
      </c>
      <c r="BF38">
        <v>0</v>
      </c>
      <c r="BG38">
        <v>0</v>
      </c>
      <c r="BH38">
        <v>10021.200000000001</v>
      </c>
      <c r="BI38">
        <v>1068.26</v>
      </c>
      <c r="BJ38">
        <v>2.4108399999999999</v>
      </c>
      <c r="BK38">
        <v>-24.356400000000001</v>
      </c>
      <c r="BL38">
        <v>793.9</v>
      </c>
      <c r="BM38">
        <v>817.39099999999996</v>
      </c>
      <c r="BN38">
        <v>1.7134199999999999</v>
      </c>
      <c r="BO38">
        <v>800.18100000000004</v>
      </c>
      <c r="BP38">
        <v>21.0549</v>
      </c>
      <c r="BQ38">
        <v>2.2469999999999999</v>
      </c>
      <c r="BR38">
        <v>2.0779000000000001</v>
      </c>
      <c r="BS38">
        <v>19.301400000000001</v>
      </c>
      <c r="BT38">
        <v>18.050799999999999</v>
      </c>
      <c r="BU38">
        <v>1799.99</v>
      </c>
      <c r="BV38">
        <v>0.90999099999999999</v>
      </c>
      <c r="BW38">
        <v>3.4003100000000001E-2</v>
      </c>
      <c r="BX38">
        <v>2.2001799999999998E-2</v>
      </c>
      <c r="BY38">
        <v>3.40045E-2</v>
      </c>
      <c r="BZ38">
        <v>26</v>
      </c>
      <c r="CA38">
        <v>33528.199999999997</v>
      </c>
      <c r="CB38">
        <v>1690381960.0999999</v>
      </c>
      <c r="CC38" t="s">
        <v>332</v>
      </c>
      <c r="CD38">
        <v>1690381960.0999999</v>
      </c>
      <c r="CE38">
        <v>1690381958.0999999</v>
      </c>
      <c r="CF38">
        <v>4</v>
      </c>
      <c r="CG38">
        <v>9.9000000000000005E-2</v>
      </c>
      <c r="CH38">
        <v>1.2E-2</v>
      </c>
      <c r="CI38">
        <v>-0.26300000000000001</v>
      </c>
      <c r="CJ38">
        <v>0.127</v>
      </c>
      <c r="CK38">
        <v>798</v>
      </c>
      <c r="CL38">
        <v>18</v>
      </c>
      <c r="CM38">
        <v>0.02</v>
      </c>
      <c r="CN38">
        <v>0.12</v>
      </c>
      <c r="CO38">
        <v>-21.207932499999998</v>
      </c>
      <c r="CP38">
        <v>-16.11951782363969</v>
      </c>
      <c r="CQ38">
        <v>1.5517034388676689</v>
      </c>
      <c r="CR38">
        <v>-1</v>
      </c>
      <c r="CS38">
        <v>1.3273842499999999</v>
      </c>
      <c r="CT38">
        <v>1.675431557223263</v>
      </c>
      <c r="CU38">
        <v>0.16322226868426229</v>
      </c>
      <c r="CV38">
        <v>-1</v>
      </c>
      <c r="CW38">
        <v>0</v>
      </c>
      <c r="CX38">
        <v>0</v>
      </c>
      <c r="CY38" t="s">
        <v>333</v>
      </c>
      <c r="CZ38">
        <v>2.3645900000000002</v>
      </c>
      <c r="DA38">
        <v>2.7138300000000002</v>
      </c>
      <c r="DB38">
        <v>0.14319100000000001</v>
      </c>
      <c r="DC38">
        <v>0.14582999999999999</v>
      </c>
      <c r="DD38">
        <v>0.109322</v>
      </c>
      <c r="DE38">
        <v>0.101937</v>
      </c>
      <c r="DF38">
        <v>31276.9</v>
      </c>
      <c r="DG38">
        <v>27514.799999999999</v>
      </c>
      <c r="DH38">
        <v>31164.2</v>
      </c>
      <c r="DI38">
        <v>28068.9</v>
      </c>
      <c r="DJ38">
        <v>37685.800000000003</v>
      </c>
      <c r="DK38">
        <v>35840.699999999997</v>
      </c>
      <c r="DL38">
        <v>44348.3</v>
      </c>
      <c r="DM38">
        <v>42541.1</v>
      </c>
      <c r="DN38">
        <v>1.4612499999999999</v>
      </c>
      <c r="DO38">
        <v>2.0582500000000001</v>
      </c>
      <c r="DP38">
        <v>0.16724700000000001</v>
      </c>
      <c r="DQ38">
        <v>0.13595399999999999</v>
      </c>
      <c r="DR38">
        <v>25.401199999999999</v>
      </c>
      <c r="DS38">
        <v>25.1401</v>
      </c>
      <c r="DT38">
        <v>58</v>
      </c>
      <c r="DU38">
        <v>28.7</v>
      </c>
      <c r="DV38">
        <v>23.226800000000001</v>
      </c>
      <c r="DW38">
        <v>60.613</v>
      </c>
      <c r="DX38">
        <v>36.033700000000003</v>
      </c>
      <c r="DY38">
        <v>1</v>
      </c>
      <c r="DZ38">
        <v>-7.1359199999999998E-2</v>
      </c>
      <c r="EA38">
        <v>3.0557400000000001</v>
      </c>
      <c r="EB38">
        <v>20.158899999999999</v>
      </c>
      <c r="EC38">
        <v>5.2409499999999998</v>
      </c>
      <c r="ED38">
        <v>12.039899999999999</v>
      </c>
      <c r="EE38">
        <v>5.0171000000000001</v>
      </c>
      <c r="EF38">
        <v>3.2879700000000001</v>
      </c>
      <c r="EG38">
        <v>9999</v>
      </c>
      <c r="EH38">
        <v>9999</v>
      </c>
      <c r="EI38">
        <v>9999</v>
      </c>
      <c r="EJ38">
        <v>999.9</v>
      </c>
      <c r="EK38">
        <v>1.8689</v>
      </c>
      <c r="EL38">
        <v>1.8646199999999999</v>
      </c>
      <c r="EM38">
        <v>1.8692</v>
      </c>
      <c r="EN38">
        <v>1.8672299999999999</v>
      </c>
      <c r="EO38">
        <v>1.8633999999999999</v>
      </c>
      <c r="EP38">
        <v>1.8644700000000001</v>
      </c>
      <c r="EQ38">
        <v>1.87016</v>
      </c>
      <c r="ER38">
        <v>1.86937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-0.247</v>
      </c>
      <c r="FG38">
        <v>0.17530000000000001</v>
      </c>
      <c r="FH38">
        <v>0.28746640474027818</v>
      </c>
      <c r="FI38">
        <v>-6.1462078757559423E-4</v>
      </c>
      <c r="FJ38">
        <v>-1.8861989874597051E-7</v>
      </c>
      <c r="FK38">
        <v>1.1980462299894961E-10</v>
      </c>
      <c r="FL38">
        <v>0.17524818673008091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12.9</v>
      </c>
      <c r="FU38">
        <v>13</v>
      </c>
      <c r="FV38">
        <v>1.79565</v>
      </c>
      <c r="FW38">
        <v>2.5756800000000002</v>
      </c>
      <c r="FX38">
        <v>1.5490699999999999</v>
      </c>
      <c r="FY38">
        <v>2.3315399999999999</v>
      </c>
      <c r="FZ38">
        <v>1.50146</v>
      </c>
      <c r="GA38">
        <v>2.2875999999999999</v>
      </c>
      <c r="GB38">
        <v>33.423200000000001</v>
      </c>
      <c r="GC38">
        <v>23.973700000000001</v>
      </c>
      <c r="GD38">
        <v>19</v>
      </c>
      <c r="GE38">
        <v>277.07</v>
      </c>
      <c r="GF38">
        <v>602.19500000000005</v>
      </c>
      <c r="GG38">
        <v>19.7776</v>
      </c>
      <c r="GH38">
        <v>26.497199999999999</v>
      </c>
      <c r="GI38">
        <v>30.000299999999999</v>
      </c>
      <c r="GJ38">
        <v>26.471</v>
      </c>
      <c r="GK38">
        <v>26.4026</v>
      </c>
      <c r="GL38">
        <v>35.918300000000002</v>
      </c>
      <c r="GM38">
        <v>19.9617</v>
      </c>
      <c r="GN38">
        <v>100</v>
      </c>
      <c r="GO38">
        <v>19.822199999999999</v>
      </c>
      <c r="GP38">
        <v>800</v>
      </c>
      <c r="GQ38">
        <v>20.771999999999998</v>
      </c>
      <c r="GR38">
        <v>99.710400000000007</v>
      </c>
      <c r="GS38">
        <v>99.519900000000007</v>
      </c>
    </row>
    <row r="39" spans="1:201" x14ac:dyDescent="0.25">
      <c r="A39">
        <v>23</v>
      </c>
      <c r="B39">
        <v>1690382745.5999999</v>
      </c>
      <c r="C39">
        <v>270.5</v>
      </c>
      <c r="D39" t="s">
        <v>377</v>
      </c>
      <c r="E39" t="s">
        <v>378</v>
      </c>
      <c r="F39" t="s">
        <v>330</v>
      </c>
      <c r="H39">
        <v>1690382745.5999999</v>
      </c>
      <c r="I39">
        <f t="shared" si="0"/>
        <v>1.9983244564661699E-4</v>
      </c>
      <c r="J39">
        <f t="shared" si="1"/>
        <v>0.19983244564661698</v>
      </c>
      <c r="K39">
        <f t="shared" si="2"/>
        <v>2.348879520597448</v>
      </c>
      <c r="L39">
        <f t="shared" si="3"/>
        <v>772.88599999999997</v>
      </c>
      <c r="M39">
        <f t="shared" si="4"/>
        <v>466.95231500675334</v>
      </c>
      <c r="N39">
        <f t="shared" si="5"/>
        <v>46.129987591168913</v>
      </c>
      <c r="O39">
        <f t="shared" si="6"/>
        <v>76.353024588543988</v>
      </c>
      <c r="P39">
        <f t="shared" si="7"/>
        <v>1.2969962123533654E-2</v>
      </c>
      <c r="Q39">
        <f t="shared" si="8"/>
        <v>2.1160219583406898</v>
      </c>
      <c r="R39">
        <f t="shared" si="9"/>
        <v>1.2925958263202763E-2</v>
      </c>
      <c r="S39">
        <f t="shared" si="10"/>
        <v>8.0826649801545164E-3</v>
      </c>
      <c r="T39">
        <f t="shared" si="11"/>
        <v>276.11363324284883</v>
      </c>
      <c r="U39">
        <f t="shared" si="12"/>
        <v>27.751467813355362</v>
      </c>
      <c r="V39">
        <f t="shared" si="13"/>
        <v>27.751467813355362</v>
      </c>
      <c r="W39">
        <f t="shared" si="14"/>
        <v>3.7402041360919149</v>
      </c>
      <c r="X39">
        <f t="shared" si="15"/>
        <v>68.472092246060171</v>
      </c>
      <c r="Y39">
        <f t="shared" si="16"/>
        <v>2.2593159564800001</v>
      </c>
      <c r="Z39">
        <f t="shared" si="17"/>
        <v>3.2996157739140788</v>
      </c>
      <c r="AA39">
        <f t="shared" si="18"/>
        <v>1.4808881796119149</v>
      </c>
      <c r="AB39">
        <f t="shared" si="19"/>
        <v>-8.8126108530158085</v>
      </c>
      <c r="AC39">
        <f t="shared" si="20"/>
        <v>-242.87046769720152</v>
      </c>
      <c r="AD39">
        <f t="shared" si="21"/>
        <v>-24.693057570733831</v>
      </c>
      <c r="AE39">
        <f t="shared" si="22"/>
        <v>-0.26250287810231043</v>
      </c>
      <c r="AF39">
        <v>0</v>
      </c>
      <c r="AG39">
        <v>0</v>
      </c>
      <c r="AH39">
        <f t="shared" si="23"/>
        <v>1</v>
      </c>
      <c r="AI39">
        <f t="shared" si="24"/>
        <v>0</v>
      </c>
      <c r="AJ39">
        <f t="shared" si="25"/>
        <v>52688.713238446311</v>
      </c>
      <c r="AK39">
        <f t="shared" si="26"/>
        <v>1799.99</v>
      </c>
      <c r="AL39">
        <f t="shared" si="27"/>
        <v>1499.10290120428</v>
      </c>
      <c r="AM39">
        <f t="shared" si="28"/>
        <v>0.83283957200000003</v>
      </c>
      <c r="AN39">
        <f t="shared" si="29"/>
        <v>0.15339731512000002</v>
      </c>
      <c r="AO39">
        <v>32.700000000000003</v>
      </c>
      <c r="AP39">
        <v>0.5</v>
      </c>
      <c r="AQ39" t="s">
        <v>331</v>
      </c>
      <c r="AR39">
        <v>2</v>
      </c>
      <c r="AS39">
        <v>1690382745.5999999</v>
      </c>
      <c r="AT39">
        <v>772.88599999999997</v>
      </c>
      <c r="AU39">
        <v>800.15099999999995</v>
      </c>
      <c r="AV39">
        <v>22.87</v>
      </c>
      <c r="AW39">
        <v>20.743300000000001</v>
      </c>
      <c r="AX39">
        <v>773.13099999999997</v>
      </c>
      <c r="AY39">
        <v>22.694800000000001</v>
      </c>
      <c r="AZ39">
        <v>300.23399999999998</v>
      </c>
      <c r="BA39">
        <v>98.689499999999995</v>
      </c>
      <c r="BB39">
        <v>0.100004</v>
      </c>
      <c r="BC39">
        <v>25.622499999999999</v>
      </c>
      <c r="BD39">
        <v>28.089099999999998</v>
      </c>
      <c r="BE39">
        <v>27.306000000000001</v>
      </c>
      <c r="BF39">
        <v>0</v>
      </c>
      <c r="BG39">
        <v>0</v>
      </c>
      <c r="BH39">
        <v>10052.5</v>
      </c>
      <c r="BI39">
        <v>1067.31</v>
      </c>
      <c r="BJ39">
        <v>2.4108399999999999</v>
      </c>
      <c r="BK39">
        <v>-27.264900000000001</v>
      </c>
      <c r="BL39">
        <v>790.976</v>
      </c>
      <c r="BM39">
        <v>817.1</v>
      </c>
      <c r="BN39">
        <v>2.1267499999999999</v>
      </c>
      <c r="BO39">
        <v>800.15099999999995</v>
      </c>
      <c r="BP39">
        <v>20.743300000000001</v>
      </c>
      <c r="BQ39">
        <v>2.2570299999999999</v>
      </c>
      <c r="BR39">
        <v>2.0471499999999998</v>
      </c>
      <c r="BS39">
        <v>19.373000000000001</v>
      </c>
      <c r="BT39">
        <v>17.813800000000001</v>
      </c>
      <c r="BU39">
        <v>1799.99</v>
      </c>
      <c r="BV39">
        <v>0.909999</v>
      </c>
      <c r="BW39">
        <v>3.3999799999999997E-2</v>
      </c>
      <c r="BX39">
        <v>2.1999600000000001E-2</v>
      </c>
      <c r="BY39">
        <v>3.4001200000000002E-2</v>
      </c>
      <c r="BZ39">
        <v>25.958300000000001</v>
      </c>
      <c r="CA39">
        <v>33528.199999999997</v>
      </c>
      <c r="CB39">
        <v>1690381960.0999999</v>
      </c>
      <c r="CC39" t="s">
        <v>332</v>
      </c>
      <c r="CD39">
        <v>1690381960.0999999</v>
      </c>
      <c r="CE39">
        <v>1690381958.0999999</v>
      </c>
      <c r="CF39">
        <v>4</v>
      </c>
      <c r="CG39">
        <v>9.9000000000000005E-2</v>
      </c>
      <c r="CH39">
        <v>1.2E-2</v>
      </c>
      <c r="CI39">
        <v>-0.26300000000000001</v>
      </c>
      <c r="CJ39">
        <v>0.127</v>
      </c>
      <c r="CK39">
        <v>798</v>
      </c>
      <c r="CL39">
        <v>18</v>
      </c>
      <c r="CM39">
        <v>0.02</v>
      </c>
      <c r="CN39">
        <v>0.12</v>
      </c>
      <c r="CO39">
        <v>-24.07190487804878</v>
      </c>
      <c r="CP39">
        <v>-17.224013937282251</v>
      </c>
      <c r="CQ39">
        <v>1.698581147490561</v>
      </c>
      <c r="CR39">
        <v>-1</v>
      </c>
      <c r="CS39">
        <v>1.6798204878048779</v>
      </c>
      <c r="CT39">
        <v>2.4051901045296149</v>
      </c>
      <c r="CU39">
        <v>0.23740079701667449</v>
      </c>
      <c r="CV39">
        <v>-1</v>
      </c>
      <c r="CW39">
        <v>0</v>
      </c>
      <c r="CX39">
        <v>0</v>
      </c>
      <c r="CY39" t="s">
        <v>333</v>
      </c>
      <c r="CZ39">
        <v>2.36443</v>
      </c>
      <c r="DA39">
        <v>2.7138399999999998</v>
      </c>
      <c r="DB39">
        <v>0.14282600000000001</v>
      </c>
      <c r="DC39">
        <v>0.145819</v>
      </c>
      <c r="DD39">
        <v>0.109667</v>
      </c>
      <c r="DE39">
        <v>0.100869</v>
      </c>
      <c r="DF39">
        <v>31289</v>
      </c>
      <c r="DG39">
        <v>27514.5</v>
      </c>
      <c r="DH39">
        <v>31163</v>
      </c>
      <c r="DI39">
        <v>28068.2</v>
      </c>
      <c r="DJ39">
        <v>37669.699999999997</v>
      </c>
      <c r="DK39">
        <v>35882.9</v>
      </c>
      <c r="DL39">
        <v>44346.8</v>
      </c>
      <c r="DM39">
        <v>42540.6</v>
      </c>
      <c r="DN39">
        <v>1.46153</v>
      </c>
      <c r="DO39">
        <v>2.0579499999999999</v>
      </c>
      <c r="DP39">
        <v>0.167023</v>
      </c>
      <c r="DQ39">
        <v>0.135489</v>
      </c>
      <c r="DR39">
        <v>25.356300000000001</v>
      </c>
      <c r="DS39">
        <v>25.087399999999999</v>
      </c>
      <c r="DT39">
        <v>58</v>
      </c>
      <c r="DU39">
        <v>28.7</v>
      </c>
      <c r="DV39">
        <v>23.229500000000002</v>
      </c>
      <c r="DW39">
        <v>60.603000000000002</v>
      </c>
      <c r="DX39">
        <v>36.222000000000001</v>
      </c>
      <c r="DY39">
        <v>1</v>
      </c>
      <c r="DZ39">
        <v>-7.1201700000000007E-2</v>
      </c>
      <c r="EA39">
        <v>2.94123</v>
      </c>
      <c r="EB39">
        <v>20.161200000000001</v>
      </c>
      <c r="EC39">
        <v>5.2406499999999996</v>
      </c>
      <c r="ED39">
        <v>12.039899999999999</v>
      </c>
      <c r="EE39">
        <v>5.0170500000000002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</v>
      </c>
      <c r="EL39">
        <v>1.8646199999999999</v>
      </c>
      <c r="EM39">
        <v>1.8692</v>
      </c>
      <c r="EN39">
        <v>1.8672299999999999</v>
      </c>
      <c r="EO39">
        <v>1.8633900000000001</v>
      </c>
      <c r="EP39">
        <v>1.8644700000000001</v>
      </c>
      <c r="EQ39">
        <v>1.8701399999999999</v>
      </c>
      <c r="ER39">
        <v>1.86941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-0.245</v>
      </c>
      <c r="FG39">
        <v>0.17519999999999999</v>
      </c>
      <c r="FH39">
        <v>0.28746640474027818</v>
      </c>
      <c r="FI39">
        <v>-6.1462078757559423E-4</v>
      </c>
      <c r="FJ39">
        <v>-1.8861989874597051E-7</v>
      </c>
      <c r="FK39">
        <v>1.1980462299894961E-10</v>
      </c>
      <c r="FL39">
        <v>0.17524818673008091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13.1</v>
      </c>
      <c r="FU39">
        <v>13.1</v>
      </c>
      <c r="FV39">
        <v>1.79565</v>
      </c>
      <c r="FW39">
        <v>2.5732400000000002</v>
      </c>
      <c r="FX39">
        <v>1.5490699999999999</v>
      </c>
      <c r="FY39">
        <v>2.3327599999999999</v>
      </c>
      <c r="FZ39">
        <v>1.50146</v>
      </c>
      <c r="GA39">
        <v>2.34741</v>
      </c>
      <c r="GB39">
        <v>33.423200000000001</v>
      </c>
      <c r="GC39">
        <v>23.973700000000001</v>
      </c>
      <c r="GD39">
        <v>19</v>
      </c>
      <c r="GE39">
        <v>277.21699999999998</v>
      </c>
      <c r="GF39">
        <v>602.01199999999994</v>
      </c>
      <c r="GG39">
        <v>19.853300000000001</v>
      </c>
      <c r="GH39">
        <v>26.500299999999999</v>
      </c>
      <c r="GI39">
        <v>30.0001</v>
      </c>
      <c r="GJ39">
        <v>26.478300000000001</v>
      </c>
      <c r="GK39">
        <v>26.4087</v>
      </c>
      <c r="GL39">
        <v>35.907499999999999</v>
      </c>
      <c r="GM39">
        <v>21.1891</v>
      </c>
      <c r="GN39">
        <v>100</v>
      </c>
      <c r="GO39">
        <v>19.889800000000001</v>
      </c>
      <c r="GP39">
        <v>800</v>
      </c>
      <c r="GQ39">
        <v>20.5229</v>
      </c>
      <c r="GR39">
        <v>99.706800000000001</v>
      </c>
      <c r="GS39">
        <v>99.518299999999996</v>
      </c>
    </row>
    <row r="40" spans="1:201" x14ac:dyDescent="0.25">
      <c r="A40">
        <v>24</v>
      </c>
      <c r="B40">
        <v>1690382755.5999999</v>
      </c>
      <c r="C40">
        <v>280.5</v>
      </c>
      <c r="D40" t="s">
        <v>379</v>
      </c>
      <c r="E40" t="s">
        <v>380</v>
      </c>
      <c r="F40" t="s">
        <v>330</v>
      </c>
      <c r="H40">
        <v>1690382755.5999999</v>
      </c>
      <c r="I40">
        <f t="shared" si="0"/>
        <v>2.3641797533242748E-4</v>
      </c>
      <c r="J40">
        <f t="shared" si="1"/>
        <v>0.23641797533242748</v>
      </c>
      <c r="K40">
        <f t="shared" si="2"/>
        <v>2.6045926537510788</v>
      </c>
      <c r="L40">
        <f t="shared" si="3"/>
        <v>769.92100000000005</v>
      </c>
      <c r="M40">
        <f t="shared" si="4"/>
        <v>486.07104902774199</v>
      </c>
      <c r="N40">
        <f t="shared" si="5"/>
        <v>48.018827888695824</v>
      </c>
      <c r="O40">
        <f t="shared" si="6"/>
        <v>76.060288019298412</v>
      </c>
      <c r="P40">
        <f t="shared" si="7"/>
        <v>1.5572848275516868E-2</v>
      </c>
      <c r="Q40">
        <f t="shared" si="8"/>
        <v>2.1110877879106145</v>
      </c>
      <c r="R40">
        <f t="shared" si="9"/>
        <v>1.5509309364096205E-2</v>
      </c>
      <c r="S40">
        <f t="shared" si="10"/>
        <v>9.6990053827859645E-3</v>
      </c>
      <c r="T40">
        <f t="shared" si="11"/>
        <v>276.11357044119768</v>
      </c>
      <c r="U40">
        <f t="shared" si="12"/>
        <v>27.695303295748531</v>
      </c>
      <c r="V40">
        <f t="shared" si="13"/>
        <v>27.695303295748531</v>
      </c>
      <c r="W40">
        <f t="shared" si="14"/>
        <v>3.7279528467416339</v>
      </c>
      <c r="X40">
        <f t="shared" si="15"/>
        <v>68.923001980644401</v>
      </c>
      <c r="Y40">
        <f t="shared" si="16"/>
        <v>2.2677380192780801</v>
      </c>
      <c r="Z40">
        <f t="shared" si="17"/>
        <v>3.2902484716422067</v>
      </c>
      <c r="AA40">
        <f t="shared" si="18"/>
        <v>1.4602148274635538</v>
      </c>
      <c r="AB40">
        <f t="shared" si="19"/>
        <v>-10.426032712160051</v>
      </c>
      <c r="AC40">
        <f t="shared" si="20"/>
        <v>-241.3635295965814</v>
      </c>
      <c r="AD40">
        <f t="shared" si="21"/>
        <v>-24.584388773135863</v>
      </c>
      <c r="AE40">
        <f t="shared" si="22"/>
        <v>-0.26038064067964228</v>
      </c>
      <c r="AF40">
        <v>0</v>
      </c>
      <c r="AG40">
        <v>0</v>
      </c>
      <c r="AH40">
        <f t="shared" si="23"/>
        <v>1</v>
      </c>
      <c r="AI40">
        <f t="shared" si="24"/>
        <v>0</v>
      </c>
      <c r="AJ40">
        <f t="shared" si="25"/>
        <v>52480.770255823503</v>
      </c>
      <c r="AK40">
        <f t="shared" si="26"/>
        <v>1799.99</v>
      </c>
      <c r="AL40">
        <f t="shared" si="27"/>
        <v>1499.1052879910198</v>
      </c>
      <c r="AM40">
        <f t="shared" si="28"/>
        <v>0.83284089799999994</v>
      </c>
      <c r="AN40">
        <f t="shared" si="29"/>
        <v>0.15339728022999999</v>
      </c>
      <c r="AO40">
        <v>32.700000000000003</v>
      </c>
      <c r="AP40">
        <v>0.5</v>
      </c>
      <c r="AQ40" t="s">
        <v>331</v>
      </c>
      <c r="AR40">
        <v>2</v>
      </c>
      <c r="AS40">
        <v>1690382755.5999999</v>
      </c>
      <c r="AT40">
        <v>769.92100000000005</v>
      </c>
      <c r="AU40">
        <v>800.27700000000004</v>
      </c>
      <c r="AV40">
        <v>22.955200000000001</v>
      </c>
      <c r="AW40">
        <v>20.4389</v>
      </c>
      <c r="AX40">
        <v>770.16399999999999</v>
      </c>
      <c r="AY40">
        <v>22.78</v>
      </c>
      <c r="AZ40">
        <v>300.17899999999997</v>
      </c>
      <c r="BA40">
        <v>98.689800000000005</v>
      </c>
      <c r="BB40">
        <v>9.9930400000000003E-2</v>
      </c>
      <c r="BC40">
        <v>25.5746</v>
      </c>
      <c r="BD40">
        <v>28.057200000000002</v>
      </c>
      <c r="BE40">
        <v>27.278300000000002</v>
      </c>
      <c r="BF40">
        <v>0</v>
      </c>
      <c r="BG40">
        <v>0</v>
      </c>
      <c r="BH40">
        <v>10009.4</v>
      </c>
      <c r="BI40">
        <v>1066.48</v>
      </c>
      <c r="BJ40">
        <v>2.4108399999999999</v>
      </c>
      <c r="BK40">
        <v>-30.355799999999999</v>
      </c>
      <c r="BL40">
        <v>788.01</v>
      </c>
      <c r="BM40">
        <v>816.97500000000002</v>
      </c>
      <c r="BN40">
        <v>2.5162599999999999</v>
      </c>
      <c r="BO40">
        <v>800.27700000000004</v>
      </c>
      <c r="BP40">
        <v>20.4389</v>
      </c>
      <c r="BQ40">
        <v>2.26545</v>
      </c>
      <c r="BR40">
        <v>2.0171199999999998</v>
      </c>
      <c r="BS40">
        <v>19.4328</v>
      </c>
      <c r="BT40">
        <v>17.5793</v>
      </c>
      <c r="BU40">
        <v>1799.99</v>
      </c>
      <c r="BV40">
        <v>0.91000700000000001</v>
      </c>
      <c r="BW40">
        <v>3.3997100000000002E-2</v>
      </c>
      <c r="BX40">
        <v>2.1997900000000001E-2</v>
      </c>
      <c r="BY40">
        <v>3.3998500000000001E-2</v>
      </c>
      <c r="BZ40">
        <v>25.666699999999999</v>
      </c>
      <c r="CA40">
        <v>33528.199999999997</v>
      </c>
      <c r="CB40">
        <v>1690381960.0999999</v>
      </c>
      <c r="CC40" t="s">
        <v>332</v>
      </c>
      <c r="CD40">
        <v>1690381960.0999999</v>
      </c>
      <c r="CE40">
        <v>1690381958.0999999</v>
      </c>
      <c r="CF40">
        <v>4</v>
      </c>
      <c r="CG40">
        <v>9.9000000000000005E-2</v>
      </c>
      <c r="CH40">
        <v>1.2E-2</v>
      </c>
      <c r="CI40">
        <v>-0.26300000000000001</v>
      </c>
      <c r="CJ40">
        <v>0.127</v>
      </c>
      <c r="CK40">
        <v>798</v>
      </c>
      <c r="CL40">
        <v>18</v>
      </c>
      <c r="CM40">
        <v>0.02</v>
      </c>
      <c r="CN40">
        <v>0.12</v>
      </c>
      <c r="CO40">
        <v>-26.97996829268293</v>
      </c>
      <c r="CP40">
        <v>-17.670453658536559</v>
      </c>
      <c r="CQ40">
        <v>1.742638205379506</v>
      </c>
      <c r="CR40">
        <v>-1</v>
      </c>
      <c r="CS40">
        <v>2.074071951219512</v>
      </c>
      <c r="CT40">
        <v>2.3185676655052241</v>
      </c>
      <c r="CU40">
        <v>0.22877555741242001</v>
      </c>
      <c r="CV40">
        <v>-1</v>
      </c>
      <c r="CW40">
        <v>0</v>
      </c>
      <c r="CX40">
        <v>0</v>
      </c>
      <c r="CY40" t="s">
        <v>333</v>
      </c>
      <c r="CZ40">
        <v>2.3642099999999999</v>
      </c>
      <c r="DA40">
        <v>2.71373</v>
      </c>
      <c r="DB40">
        <v>0.142458</v>
      </c>
      <c r="DC40">
        <v>0.14582700000000001</v>
      </c>
      <c r="DD40">
        <v>0.109955</v>
      </c>
      <c r="DE40">
        <v>9.9818699999999996E-2</v>
      </c>
      <c r="DF40">
        <v>31302.9</v>
      </c>
      <c r="DG40">
        <v>27514.1</v>
      </c>
      <c r="DH40">
        <v>31163.4</v>
      </c>
      <c r="DI40">
        <v>28068</v>
      </c>
      <c r="DJ40">
        <v>37657.599999999999</v>
      </c>
      <c r="DK40">
        <v>35924.6</v>
      </c>
      <c r="DL40">
        <v>44347.1</v>
      </c>
      <c r="DM40">
        <v>42540.2</v>
      </c>
      <c r="DN40">
        <v>1.46143</v>
      </c>
      <c r="DO40">
        <v>2.05722</v>
      </c>
      <c r="DP40">
        <v>0.16780600000000001</v>
      </c>
      <c r="DQ40">
        <v>0.136849</v>
      </c>
      <c r="DR40">
        <v>25.311499999999999</v>
      </c>
      <c r="DS40">
        <v>25.037199999999999</v>
      </c>
      <c r="DT40">
        <v>58</v>
      </c>
      <c r="DU40">
        <v>28.7</v>
      </c>
      <c r="DV40">
        <v>23.2364</v>
      </c>
      <c r="DW40">
        <v>61.012999999999998</v>
      </c>
      <c r="DX40">
        <v>36.5184</v>
      </c>
      <c r="DY40">
        <v>1</v>
      </c>
      <c r="DZ40">
        <v>-7.0802799999999999E-2</v>
      </c>
      <c r="EA40">
        <v>2.8587699999999998</v>
      </c>
      <c r="EB40">
        <v>20.162800000000001</v>
      </c>
      <c r="EC40">
        <v>5.2406499999999996</v>
      </c>
      <c r="ED40">
        <v>12.039899999999999</v>
      </c>
      <c r="EE40">
        <v>5.0170000000000003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</v>
      </c>
      <c r="EL40">
        <v>1.8646199999999999</v>
      </c>
      <c r="EM40">
        <v>1.8692</v>
      </c>
      <c r="EN40">
        <v>1.8672299999999999</v>
      </c>
      <c r="EO40">
        <v>1.8633999999999999</v>
      </c>
      <c r="EP40">
        <v>1.86446</v>
      </c>
      <c r="EQ40">
        <v>1.87018</v>
      </c>
      <c r="ER40">
        <v>1.8693900000000001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-0.24299999999999999</v>
      </c>
      <c r="FG40">
        <v>0.17519999999999999</v>
      </c>
      <c r="FH40">
        <v>0.28746640474027818</v>
      </c>
      <c r="FI40">
        <v>-6.1462078757559423E-4</v>
      </c>
      <c r="FJ40">
        <v>-1.8861989874597051E-7</v>
      </c>
      <c r="FK40">
        <v>1.1980462299894961E-10</v>
      </c>
      <c r="FL40">
        <v>0.17524818673008091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13.3</v>
      </c>
      <c r="FU40">
        <v>13.3</v>
      </c>
      <c r="FV40">
        <v>1.79565</v>
      </c>
      <c r="FW40">
        <v>2.5756800000000002</v>
      </c>
      <c r="FX40">
        <v>1.5490699999999999</v>
      </c>
      <c r="FY40">
        <v>2.3315399999999999</v>
      </c>
      <c r="FZ40">
        <v>1.50146</v>
      </c>
      <c r="GA40">
        <v>2.36206</v>
      </c>
      <c r="GB40">
        <v>33.423200000000001</v>
      </c>
      <c r="GC40">
        <v>23.973700000000001</v>
      </c>
      <c r="GD40">
        <v>19</v>
      </c>
      <c r="GE40">
        <v>277.20100000000002</v>
      </c>
      <c r="GF40">
        <v>601.46900000000005</v>
      </c>
      <c r="GG40">
        <v>19.919</v>
      </c>
      <c r="GH40">
        <v>26.502500000000001</v>
      </c>
      <c r="GI40">
        <v>30.000299999999999</v>
      </c>
      <c r="GJ40">
        <v>26.484400000000001</v>
      </c>
      <c r="GK40">
        <v>26.4147</v>
      </c>
      <c r="GL40">
        <v>35.890099999999997</v>
      </c>
      <c r="GM40">
        <v>22.779</v>
      </c>
      <c r="GN40">
        <v>100</v>
      </c>
      <c r="GO40">
        <v>19.944500000000001</v>
      </c>
      <c r="GP40">
        <v>800</v>
      </c>
      <c r="GQ40">
        <v>20.171900000000001</v>
      </c>
      <c r="GR40">
        <v>99.707800000000006</v>
      </c>
      <c r="GS40">
        <v>99.517499999999998</v>
      </c>
    </row>
    <row r="41" spans="1:201" x14ac:dyDescent="0.25">
      <c r="A41">
        <v>25</v>
      </c>
      <c r="B41">
        <v>1690382765.5999999</v>
      </c>
      <c r="C41">
        <v>290.5</v>
      </c>
      <c r="D41" t="s">
        <v>381</v>
      </c>
      <c r="E41" t="s">
        <v>382</v>
      </c>
      <c r="F41" t="s">
        <v>330</v>
      </c>
      <c r="H41">
        <v>1690382765.5999999</v>
      </c>
      <c r="I41">
        <f t="shared" si="0"/>
        <v>2.7260930294018861E-4</v>
      </c>
      <c r="J41">
        <f t="shared" si="1"/>
        <v>0.27260930294018859</v>
      </c>
      <c r="K41">
        <f t="shared" si="2"/>
        <v>2.8498799326745896</v>
      </c>
      <c r="L41">
        <f t="shared" si="3"/>
        <v>766.80700000000002</v>
      </c>
      <c r="M41">
        <f t="shared" si="4"/>
        <v>500.0880012884914</v>
      </c>
      <c r="N41">
        <f t="shared" si="5"/>
        <v>49.402867001823935</v>
      </c>
      <c r="O41">
        <f t="shared" si="6"/>
        <v>75.751595998029003</v>
      </c>
      <c r="P41">
        <f t="shared" si="7"/>
        <v>1.8206151293625739E-2</v>
      </c>
      <c r="Q41">
        <f t="shared" si="8"/>
        <v>2.1119997887215378</v>
      </c>
      <c r="R41">
        <f t="shared" si="9"/>
        <v>1.8119409176429225E-2</v>
      </c>
      <c r="S41">
        <f t="shared" si="10"/>
        <v>1.1332389626821151E-2</v>
      </c>
      <c r="T41">
        <f t="shared" si="11"/>
        <v>276.11317491139511</v>
      </c>
      <c r="U41">
        <f t="shared" si="12"/>
        <v>27.63801855645282</v>
      </c>
      <c r="V41">
        <f t="shared" si="13"/>
        <v>27.63801855645282</v>
      </c>
      <c r="W41">
        <f t="shared" si="14"/>
        <v>3.7154932871877122</v>
      </c>
      <c r="X41">
        <f t="shared" si="15"/>
        <v>69.30138398538962</v>
      </c>
      <c r="Y41">
        <f t="shared" si="16"/>
        <v>2.2742658092951999</v>
      </c>
      <c r="Z41">
        <f t="shared" si="17"/>
        <v>3.281703305917627</v>
      </c>
      <c r="AA41">
        <f t="shared" si="18"/>
        <v>1.4412274778925123</v>
      </c>
      <c r="AB41">
        <f t="shared" si="19"/>
        <v>-12.022070259662318</v>
      </c>
      <c r="AC41">
        <f t="shared" si="20"/>
        <v>-239.93239871214737</v>
      </c>
      <c r="AD41">
        <f t="shared" si="21"/>
        <v>-24.41570281474997</v>
      </c>
      <c r="AE41">
        <f t="shared" si="22"/>
        <v>-0.25699687516456038</v>
      </c>
      <c r="AF41">
        <v>0</v>
      </c>
      <c r="AG41">
        <v>0</v>
      </c>
      <c r="AH41">
        <f t="shared" si="23"/>
        <v>1</v>
      </c>
      <c r="AI41">
        <f t="shared" si="24"/>
        <v>0</v>
      </c>
      <c r="AJ41">
        <f t="shared" si="25"/>
        <v>52528.396971464288</v>
      </c>
      <c r="AK41">
        <f t="shared" si="26"/>
        <v>1799.99</v>
      </c>
      <c r="AL41">
        <f t="shared" si="27"/>
        <v>1499.10657678386</v>
      </c>
      <c r="AM41">
        <f t="shared" si="28"/>
        <v>0.83284161400000001</v>
      </c>
      <c r="AN41">
        <f t="shared" si="29"/>
        <v>0.15339706049000001</v>
      </c>
      <c r="AO41">
        <v>32.700000000000003</v>
      </c>
      <c r="AP41">
        <v>0.5</v>
      </c>
      <c r="AQ41" t="s">
        <v>331</v>
      </c>
      <c r="AR41">
        <v>2</v>
      </c>
      <c r="AS41">
        <v>1690382765.5999999</v>
      </c>
      <c r="AT41">
        <v>766.80700000000002</v>
      </c>
      <c r="AU41">
        <v>800.12699999999995</v>
      </c>
      <c r="AV41">
        <v>23.021599999999999</v>
      </c>
      <c r="AW41">
        <v>20.1205</v>
      </c>
      <c r="AX41">
        <v>767.048</v>
      </c>
      <c r="AY41">
        <v>22.846399999999999</v>
      </c>
      <c r="AZ41">
        <v>300.2</v>
      </c>
      <c r="BA41">
        <v>98.688299999999998</v>
      </c>
      <c r="BB41">
        <v>0.100047</v>
      </c>
      <c r="BC41">
        <v>25.530799999999999</v>
      </c>
      <c r="BD41">
        <v>27.992599999999999</v>
      </c>
      <c r="BE41">
        <v>27.239899999999999</v>
      </c>
      <c r="BF41">
        <v>0</v>
      </c>
      <c r="BG41">
        <v>0</v>
      </c>
      <c r="BH41">
        <v>10017.5</v>
      </c>
      <c r="BI41">
        <v>1065.6199999999999</v>
      </c>
      <c r="BJ41">
        <v>2.39683</v>
      </c>
      <c r="BK41">
        <v>-33.319699999999997</v>
      </c>
      <c r="BL41">
        <v>784.87599999999998</v>
      </c>
      <c r="BM41">
        <v>816.55600000000004</v>
      </c>
      <c r="BN41">
        <v>2.9011100000000001</v>
      </c>
      <c r="BO41">
        <v>800.12699999999995</v>
      </c>
      <c r="BP41">
        <v>20.1205</v>
      </c>
      <c r="BQ41">
        <v>2.27196</v>
      </c>
      <c r="BR41">
        <v>1.98566</v>
      </c>
      <c r="BS41">
        <v>19.478999999999999</v>
      </c>
      <c r="BT41">
        <v>17.330400000000001</v>
      </c>
      <c r="BU41">
        <v>1799.99</v>
      </c>
      <c r="BV41">
        <v>0.91001600000000005</v>
      </c>
      <c r="BW41">
        <v>3.3993700000000002E-2</v>
      </c>
      <c r="BX41">
        <v>2.19957E-2</v>
      </c>
      <c r="BY41">
        <v>3.39951E-2</v>
      </c>
      <c r="BZ41">
        <v>25.666699999999999</v>
      </c>
      <c r="CA41">
        <v>33528.400000000001</v>
      </c>
      <c r="CB41">
        <v>1690381960.0999999</v>
      </c>
      <c r="CC41" t="s">
        <v>332</v>
      </c>
      <c r="CD41">
        <v>1690381960.0999999</v>
      </c>
      <c r="CE41">
        <v>1690381958.0999999</v>
      </c>
      <c r="CF41">
        <v>4</v>
      </c>
      <c r="CG41">
        <v>9.9000000000000005E-2</v>
      </c>
      <c r="CH41">
        <v>1.2E-2</v>
      </c>
      <c r="CI41">
        <v>-0.26300000000000001</v>
      </c>
      <c r="CJ41">
        <v>0.127</v>
      </c>
      <c r="CK41">
        <v>798</v>
      </c>
      <c r="CL41">
        <v>18</v>
      </c>
      <c r="CM41">
        <v>0.02</v>
      </c>
      <c r="CN41">
        <v>0.12</v>
      </c>
      <c r="CO41">
        <v>-29.90747</v>
      </c>
      <c r="CP41">
        <v>-18.290730956847991</v>
      </c>
      <c r="CQ41">
        <v>1.759736405857423</v>
      </c>
      <c r="CR41">
        <v>-1</v>
      </c>
      <c r="CS41">
        <v>2.4607220000000001</v>
      </c>
      <c r="CT41">
        <v>2.396618611632265</v>
      </c>
      <c r="CU41">
        <v>0.23077098717343131</v>
      </c>
      <c r="CV41">
        <v>-1</v>
      </c>
      <c r="CW41">
        <v>0</v>
      </c>
      <c r="CX41">
        <v>0</v>
      </c>
      <c r="CY41" t="s">
        <v>333</v>
      </c>
      <c r="CZ41">
        <v>2.3642599999999998</v>
      </c>
      <c r="DA41">
        <v>2.7138499999999999</v>
      </c>
      <c r="DB41">
        <v>0.142067</v>
      </c>
      <c r="DC41">
        <v>0.14579800000000001</v>
      </c>
      <c r="DD41">
        <v>0.110178</v>
      </c>
      <c r="DE41">
        <v>9.8711999999999994E-2</v>
      </c>
      <c r="DF41">
        <v>31316.6</v>
      </c>
      <c r="DG41">
        <v>27514.6</v>
      </c>
      <c r="DH41">
        <v>31162.9</v>
      </c>
      <c r="DI41">
        <v>28067.7</v>
      </c>
      <c r="DJ41">
        <v>37647.599999999999</v>
      </c>
      <c r="DK41">
        <v>35968.400000000001</v>
      </c>
      <c r="DL41">
        <v>44346.6</v>
      </c>
      <c r="DM41">
        <v>42539.7</v>
      </c>
      <c r="DN41">
        <v>1.4619</v>
      </c>
      <c r="DO41">
        <v>2.0568</v>
      </c>
      <c r="DP41">
        <v>0.166576</v>
      </c>
      <c r="DQ41">
        <v>0.137407</v>
      </c>
      <c r="DR41">
        <v>25.2667</v>
      </c>
      <c r="DS41">
        <v>24.9895</v>
      </c>
      <c r="DT41">
        <v>58</v>
      </c>
      <c r="DU41">
        <v>28.7</v>
      </c>
      <c r="DV41">
        <v>23.2273</v>
      </c>
      <c r="DW41">
        <v>60.433</v>
      </c>
      <c r="DX41">
        <v>36.7468</v>
      </c>
      <c r="DY41">
        <v>1</v>
      </c>
      <c r="DZ41">
        <v>-7.0586899999999994E-2</v>
      </c>
      <c r="EA41">
        <v>2.7971300000000001</v>
      </c>
      <c r="EB41">
        <v>20.164000000000001</v>
      </c>
      <c r="EC41">
        <v>5.2408000000000001</v>
      </c>
      <c r="ED41">
        <v>12.039899999999999</v>
      </c>
      <c r="EE41">
        <v>5.0172499999999998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</v>
      </c>
      <c r="EL41">
        <v>1.8646199999999999</v>
      </c>
      <c r="EM41">
        <v>1.8692</v>
      </c>
      <c r="EN41">
        <v>1.8672299999999999</v>
      </c>
      <c r="EO41">
        <v>1.8633999999999999</v>
      </c>
      <c r="EP41">
        <v>1.8644700000000001</v>
      </c>
      <c r="EQ41">
        <v>1.8701700000000001</v>
      </c>
      <c r="ER41">
        <v>1.8693900000000001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-0.24099999999999999</v>
      </c>
      <c r="FG41">
        <v>0.17519999999999999</v>
      </c>
      <c r="FH41">
        <v>0.28746640474027818</v>
      </c>
      <c r="FI41">
        <v>-6.1462078757559423E-4</v>
      </c>
      <c r="FJ41">
        <v>-1.8861989874597051E-7</v>
      </c>
      <c r="FK41">
        <v>1.1980462299894961E-10</v>
      </c>
      <c r="FL41">
        <v>0.17524818673008091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13.4</v>
      </c>
      <c r="FU41">
        <v>13.5</v>
      </c>
      <c r="FV41">
        <v>1.79443</v>
      </c>
      <c r="FW41">
        <v>2.5671400000000002</v>
      </c>
      <c r="FX41">
        <v>1.5490699999999999</v>
      </c>
      <c r="FY41">
        <v>2.3327599999999999</v>
      </c>
      <c r="FZ41">
        <v>1.50146</v>
      </c>
      <c r="GA41">
        <v>2.3754900000000001</v>
      </c>
      <c r="GB41">
        <v>33.445599999999999</v>
      </c>
      <c r="GC41">
        <v>23.982399999999998</v>
      </c>
      <c r="GD41">
        <v>19</v>
      </c>
      <c r="GE41">
        <v>277.42500000000001</v>
      </c>
      <c r="GF41">
        <v>601.17899999999997</v>
      </c>
      <c r="GG41">
        <v>19.968499999999999</v>
      </c>
      <c r="GH41">
        <v>26.504799999999999</v>
      </c>
      <c r="GI41">
        <v>30.0001</v>
      </c>
      <c r="GJ41">
        <v>26.489899999999999</v>
      </c>
      <c r="GK41">
        <v>26.4207</v>
      </c>
      <c r="GL41">
        <v>35.878300000000003</v>
      </c>
      <c r="GM41">
        <v>23.9438</v>
      </c>
      <c r="GN41">
        <v>100</v>
      </c>
      <c r="GO41">
        <v>19.987500000000001</v>
      </c>
      <c r="GP41">
        <v>800</v>
      </c>
      <c r="GQ41">
        <v>19.893899999999999</v>
      </c>
      <c r="GR41">
        <v>99.706400000000002</v>
      </c>
      <c r="GS41">
        <v>99.516300000000001</v>
      </c>
    </row>
    <row r="42" spans="1:201" x14ac:dyDescent="0.25">
      <c r="A42">
        <v>26</v>
      </c>
      <c r="B42">
        <v>1690382775.5999999</v>
      </c>
      <c r="C42">
        <v>300.5</v>
      </c>
      <c r="D42" t="s">
        <v>383</v>
      </c>
      <c r="E42" t="s">
        <v>384</v>
      </c>
      <c r="F42" t="s">
        <v>330</v>
      </c>
      <c r="H42">
        <v>1690382775.5999999</v>
      </c>
      <c r="I42">
        <f t="shared" si="0"/>
        <v>3.0399418990452096E-4</v>
      </c>
      <c r="J42">
        <f t="shared" si="1"/>
        <v>0.30399418990452098</v>
      </c>
      <c r="K42">
        <f t="shared" si="2"/>
        <v>3.1149908618546052</v>
      </c>
      <c r="L42">
        <f t="shared" si="3"/>
        <v>763.721</v>
      </c>
      <c r="M42">
        <f t="shared" si="4"/>
        <v>504.28605470056601</v>
      </c>
      <c r="N42">
        <f t="shared" si="5"/>
        <v>49.817106636839917</v>
      </c>
      <c r="O42">
        <f t="shared" si="6"/>
        <v>75.44600954786489</v>
      </c>
      <c r="P42">
        <f t="shared" si="7"/>
        <v>2.0493965419941317E-2</v>
      </c>
      <c r="Q42">
        <f t="shared" si="8"/>
        <v>2.1058085388496659</v>
      </c>
      <c r="R42">
        <f t="shared" si="9"/>
        <v>2.0383803182352878E-2</v>
      </c>
      <c r="S42">
        <f t="shared" si="10"/>
        <v>1.2749725164165383E-2</v>
      </c>
      <c r="T42">
        <f t="shared" si="11"/>
        <v>276.11287854304157</v>
      </c>
      <c r="U42">
        <f t="shared" si="12"/>
        <v>27.599634045783855</v>
      </c>
      <c r="V42">
        <f t="shared" si="13"/>
        <v>27.599634045783855</v>
      </c>
      <c r="W42">
        <f t="shared" si="14"/>
        <v>3.7071649160597913</v>
      </c>
      <c r="X42">
        <f t="shared" si="15"/>
        <v>69.567570243630087</v>
      </c>
      <c r="Y42">
        <f t="shared" si="16"/>
        <v>2.2785313094984998</v>
      </c>
      <c r="Z42">
        <f t="shared" si="17"/>
        <v>3.2752779801262819</v>
      </c>
      <c r="AA42">
        <f t="shared" si="18"/>
        <v>1.4286336065612915</v>
      </c>
      <c r="AB42">
        <f t="shared" si="19"/>
        <v>-13.406143774789374</v>
      </c>
      <c r="AC42">
        <f t="shared" si="20"/>
        <v>-238.61775107913985</v>
      </c>
      <c r="AD42">
        <f t="shared" si="21"/>
        <v>-24.34460938779981</v>
      </c>
      <c r="AE42">
        <f t="shared" si="22"/>
        <v>-0.255625698687453</v>
      </c>
      <c r="AF42">
        <v>0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52263.277138604935</v>
      </c>
      <c r="AK42">
        <f t="shared" si="26"/>
        <v>1799.99</v>
      </c>
      <c r="AL42">
        <f t="shared" si="27"/>
        <v>1499.10729677986</v>
      </c>
      <c r="AM42">
        <f t="shared" si="28"/>
        <v>0.83284201400000002</v>
      </c>
      <c r="AN42">
        <f t="shared" si="29"/>
        <v>0.15339689583999999</v>
      </c>
      <c r="AO42">
        <v>32.700000000000003</v>
      </c>
      <c r="AP42">
        <v>0.5</v>
      </c>
      <c r="AQ42" t="s">
        <v>331</v>
      </c>
      <c r="AR42">
        <v>2</v>
      </c>
      <c r="AS42">
        <v>1690382775.5999999</v>
      </c>
      <c r="AT42">
        <v>763.721</v>
      </c>
      <c r="AU42">
        <v>800.18799999999999</v>
      </c>
      <c r="AV42">
        <v>23.065000000000001</v>
      </c>
      <c r="AW42">
        <v>19.8294</v>
      </c>
      <c r="AX42">
        <v>763.96</v>
      </c>
      <c r="AY42">
        <v>22.889700000000001</v>
      </c>
      <c r="AZ42">
        <v>300.14</v>
      </c>
      <c r="BA42">
        <v>98.687399999999997</v>
      </c>
      <c r="BB42">
        <v>9.99969E-2</v>
      </c>
      <c r="BC42">
        <v>25.497800000000002</v>
      </c>
      <c r="BD42">
        <v>27.956299999999999</v>
      </c>
      <c r="BE42">
        <v>27.2041</v>
      </c>
      <c r="BF42">
        <v>0</v>
      </c>
      <c r="BG42">
        <v>0</v>
      </c>
      <c r="BH42">
        <v>9963.75</v>
      </c>
      <c r="BI42">
        <v>1064.75</v>
      </c>
      <c r="BJ42">
        <v>2.4108399999999999</v>
      </c>
      <c r="BK42">
        <v>-36.466900000000003</v>
      </c>
      <c r="BL42">
        <v>781.75199999999995</v>
      </c>
      <c r="BM42">
        <v>816.37599999999998</v>
      </c>
      <c r="BN42">
        <v>3.2355499999999999</v>
      </c>
      <c r="BO42">
        <v>800.18799999999999</v>
      </c>
      <c r="BP42">
        <v>19.8294</v>
      </c>
      <c r="BQ42">
        <v>2.2762199999999999</v>
      </c>
      <c r="BR42">
        <v>1.9569099999999999</v>
      </c>
      <c r="BS42">
        <v>19.5091</v>
      </c>
      <c r="BT42">
        <v>17.099900000000002</v>
      </c>
      <c r="BU42">
        <v>1799.99</v>
      </c>
      <c r="BV42">
        <v>0.910022</v>
      </c>
      <c r="BW42">
        <v>3.3991399999999998E-2</v>
      </c>
      <c r="BX42">
        <v>2.1994199999999998E-2</v>
      </c>
      <c r="BY42">
        <v>3.3992799999999997E-2</v>
      </c>
      <c r="BZ42">
        <v>25.708300000000001</v>
      </c>
      <c r="CA42">
        <v>33528.5</v>
      </c>
      <c r="CB42">
        <v>1690381960.0999999</v>
      </c>
      <c r="CC42" t="s">
        <v>332</v>
      </c>
      <c r="CD42">
        <v>1690381960.0999999</v>
      </c>
      <c r="CE42">
        <v>1690381958.0999999</v>
      </c>
      <c r="CF42">
        <v>4</v>
      </c>
      <c r="CG42">
        <v>9.9000000000000005E-2</v>
      </c>
      <c r="CH42">
        <v>1.2E-2</v>
      </c>
      <c r="CI42">
        <v>-0.26300000000000001</v>
      </c>
      <c r="CJ42">
        <v>0.127</v>
      </c>
      <c r="CK42">
        <v>798</v>
      </c>
      <c r="CL42">
        <v>18</v>
      </c>
      <c r="CM42">
        <v>0.02</v>
      </c>
      <c r="CN42">
        <v>0.12</v>
      </c>
      <c r="CO42">
        <v>-33.042456097560979</v>
      </c>
      <c r="CP42">
        <v>-18.303543554006978</v>
      </c>
      <c r="CQ42">
        <v>1.805006018238569</v>
      </c>
      <c r="CR42">
        <v>-1</v>
      </c>
      <c r="CS42">
        <v>2.8532558536585362</v>
      </c>
      <c r="CT42">
        <v>2.151994494773517</v>
      </c>
      <c r="CU42">
        <v>0.2124331390823212</v>
      </c>
      <c r="CV42">
        <v>-1</v>
      </c>
      <c r="CW42">
        <v>0</v>
      </c>
      <c r="CX42">
        <v>0</v>
      </c>
      <c r="CY42" t="s">
        <v>333</v>
      </c>
      <c r="CZ42">
        <v>2.3640500000000002</v>
      </c>
      <c r="DA42">
        <v>2.7137600000000002</v>
      </c>
      <c r="DB42">
        <v>0.141679</v>
      </c>
      <c r="DC42">
        <v>0.14579600000000001</v>
      </c>
      <c r="DD42">
        <v>0.110322</v>
      </c>
      <c r="DE42">
        <v>9.7694199999999995E-2</v>
      </c>
      <c r="DF42">
        <v>31330.400000000001</v>
      </c>
      <c r="DG42">
        <v>27514.5</v>
      </c>
      <c r="DH42">
        <v>31162.5</v>
      </c>
      <c r="DI42">
        <v>28067.5</v>
      </c>
      <c r="DJ42">
        <v>37640.9</v>
      </c>
      <c r="DK42">
        <v>36008.9</v>
      </c>
      <c r="DL42">
        <v>44346</v>
      </c>
      <c r="DM42">
        <v>42539.4</v>
      </c>
      <c r="DN42">
        <v>1.4615</v>
      </c>
      <c r="DO42">
        <v>2.0560999999999998</v>
      </c>
      <c r="DP42">
        <v>0.16700499999999999</v>
      </c>
      <c r="DQ42">
        <v>0.13796600000000001</v>
      </c>
      <c r="DR42">
        <v>25.223299999999998</v>
      </c>
      <c r="DS42">
        <v>24.944400000000002</v>
      </c>
      <c r="DT42">
        <v>58</v>
      </c>
      <c r="DU42">
        <v>28.7</v>
      </c>
      <c r="DV42">
        <v>23.230499999999999</v>
      </c>
      <c r="DW42">
        <v>60.902999999999999</v>
      </c>
      <c r="DX42">
        <v>36.730800000000002</v>
      </c>
      <c r="DY42">
        <v>1</v>
      </c>
      <c r="DZ42">
        <v>-7.0490300000000006E-2</v>
      </c>
      <c r="EA42">
        <v>2.76152</v>
      </c>
      <c r="EB42">
        <v>20.164300000000001</v>
      </c>
      <c r="EC42">
        <v>5.24125</v>
      </c>
      <c r="ED42">
        <v>12.039899999999999</v>
      </c>
      <c r="EE42">
        <v>5.0168999999999997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</v>
      </c>
      <c r="EL42">
        <v>1.8646199999999999</v>
      </c>
      <c r="EM42">
        <v>1.8692</v>
      </c>
      <c r="EN42">
        <v>1.8672200000000001</v>
      </c>
      <c r="EO42">
        <v>1.8633900000000001</v>
      </c>
      <c r="EP42">
        <v>1.8644700000000001</v>
      </c>
      <c r="EQ42">
        <v>1.8701399999999999</v>
      </c>
      <c r="ER42">
        <v>1.8693900000000001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-0.23899999999999999</v>
      </c>
      <c r="FG42">
        <v>0.17530000000000001</v>
      </c>
      <c r="FH42">
        <v>0.28746640474027818</v>
      </c>
      <c r="FI42">
        <v>-6.1462078757559423E-4</v>
      </c>
      <c r="FJ42">
        <v>-1.8861989874597051E-7</v>
      </c>
      <c r="FK42">
        <v>1.1980462299894961E-10</v>
      </c>
      <c r="FL42">
        <v>0.17524818673008091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13.6</v>
      </c>
      <c r="FU42">
        <v>13.6</v>
      </c>
      <c r="FV42">
        <v>1.79443</v>
      </c>
      <c r="FW42">
        <v>2.5695800000000002</v>
      </c>
      <c r="FX42">
        <v>1.5490699999999999</v>
      </c>
      <c r="FY42">
        <v>2.3315399999999999</v>
      </c>
      <c r="FZ42">
        <v>1.50146</v>
      </c>
      <c r="GA42">
        <v>2.3999000000000001</v>
      </c>
      <c r="GB42">
        <v>33.445599999999999</v>
      </c>
      <c r="GC42">
        <v>23.973700000000001</v>
      </c>
      <c r="GD42">
        <v>19</v>
      </c>
      <c r="GE42">
        <v>277.27699999999999</v>
      </c>
      <c r="GF42">
        <v>600.64499999999998</v>
      </c>
      <c r="GG42">
        <v>20.003599999999999</v>
      </c>
      <c r="GH42">
        <v>26.504799999999999</v>
      </c>
      <c r="GI42">
        <v>30.0002</v>
      </c>
      <c r="GJ42">
        <v>26.494700000000002</v>
      </c>
      <c r="GK42">
        <v>26.425699999999999</v>
      </c>
      <c r="GL42">
        <v>35.865900000000003</v>
      </c>
      <c r="GM42">
        <v>25.279399999999999</v>
      </c>
      <c r="GN42">
        <v>100</v>
      </c>
      <c r="GO42">
        <v>20.0139</v>
      </c>
      <c r="GP42">
        <v>800</v>
      </c>
      <c r="GQ42">
        <v>19.531500000000001</v>
      </c>
      <c r="GR42">
        <v>99.705200000000005</v>
      </c>
      <c r="GS42">
        <v>99.515600000000006</v>
      </c>
    </row>
    <row r="43" spans="1:201" x14ac:dyDescent="0.25">
      <c r="A43">
        <v>27</v>
      </c>
      <c r="B43">
        <v>1690382785.5999999</v>
      </c>
      <c r="C43">
        <v>310.5</v>
      </c>
      <c r="D43" t="s">
        <v>385</v>
      </c>
      <c r="E43" t="s">
        <v>386</v>
      </c>
      <c r="F43" t="s">
        <v>330</v>
      </c>
      <c r="H43">
        <v>1690382785.5999999</v>
      </c>
      <c r="I43">
        <f t="shared" si="0"/>
        <v>3.3721079974553038E-4</v>
      </c>
      <c r="J43">
        <f t="shared" si="1"/>
        <v>0.33721079974553037</v>
      </c>
      <c r="K43">
        <f t="shared" si="2"/>
        <v>3.3699013905642907</v>
      </c>
      <c r="L43">
        <f t="shared" si="3"/>
        <v>760.63199999999995</v>
      </c>
      <c r="M43">
        <f t="shared" si="4"/>
        <v>509.61918234997205</v>
      </c>
      <c r="N43">
        <f t="shared" si="5"/>
        <v>50.341672959019441</v>
      </c>
      <c r="O43">
        <f t="shared" si="6"/>
        <v>75.137453047967995</v>
      </c>
      <c r="P43">
        <f t="shared" si="7"/>
        <v>2.296393110849726E-2</v>
      </c>
      <c r="Q43">
        <f t="shared" si="8"/>
        <v>2.1065478600903322</v>
      </c>
      <c r="R43">
        <f t="shared" si="9"/>
        <v>2.2825759698483637E-2</v>
      </c>
      <c r="S43">
        <f t="shared" si="10"/>
        <v>1.4278444553777005E-2</v>
      </c>
      <c r="T43">
        <f t="shared" si="11"/>
        <v>276.11282731532617</v>
      </c>
      <c r="U43">
        <f t="shared" si="12"/>
        <v>27.545428147233629</v>
      </c>
      <c r="V43">
        <f t="shared" si="13"/>
        <v>27.545428147233629</v>
      </c>
      <c r="W43">
        <f t="shared" si="14"/>
        <v>3.6954314920126738</v>
      </c>
      <c r="X43">
        <f t="shared" si="15"/>
        <v>69.792817598883687</v>
      </c>
      <c r="Y43">
        <f t="shared" si="16"/>
        <v>2.2802259912768004</v>
      </c>
      <c r="Z43">
        <f t="shared" si="17"/>
        <v>3.2671356018062121</v>
      </c>
      <c r="AA43">
        <f t="shared" si="18"/>
        <v>1.4152055007358735</v>
      </c>
      <c r="AB43">
        <f t="shared" si="19"/>
        <v>-14.87099626877789</v>
      </c>
      <c r="AC43">
        <f t="shared" si="20"/>
        <v>-237.30396773414051</v>
      </c>
      <c r="AD43">
        <f t="shared" si="21"/>
        <v>-24.190426790024794</v>
      </c>
      <c r="AE43">
        <f t="shared" si="22"/>
        <v>-0.25256347761703068</v>
      </c>
      <c r="AF43">
        <v>0</v>
      </c>
      <c r="AG43">
        <v>0</v>
      </c>
      <c r="AH43">
        <f t="shared" si="23"/>
        <v>1</v>
      </c>
      <c r="AI43">
        <f t="shared" si="24"/>
        <v>0</v>
      </c>
      <c r="AJ43">
        <f t="shared" si="25"/>
        <v>52302.824839739784</v>
      </c>
      <c r="AK43">
        <f t="shared" si="26"/>
        <v>1799.99</v>
      </c>
      <c r="AL43">
        <f t="shared" si="27"/>
        <v>1499.10284000462</v>
      </c>
      <c r="AM43">
        <f t="shared" si="28"/>
        <v>0.83283953799999999</v>
      </c>
      <c r="AN43">
        <f t="shared" si="29"/>
        <v>0.15339686737999997</v>
      </c>
      <c r="AO43">
        <v>32.700000000000003</v>
      </c>
      <c r="AP43">
        <v>0.5</v>
      </c>
      <c r="AQ43" t="s">
        <v>331</v>
      </c>
      <c r="AR43">
        <v>2</v>
      </c>
      <c r="AS43">
        <v>1690382785.5999999</v>
      </c>
      <c r="AT43">
        <v>760.63199999999995</v>
      </c>
      <c r="AU43">
        <v>800.13599999999997</v>
      </c>
      <c r="AV43">
        <v>23.083200000000001</v>
      </c>
      <c r="AW43">
        <v>19.494599999999998</v>
      </c>
      <c r="AX43">
        <v>760.86800000000005</v>
      </c>
      <c r="AY43">
        <v>22.908000000000001</v>
      </c>
      <c r="AZ43">
        <v>300.18</v>
      </c>
      <c r="BA43">
        <v>98.682900000000004</v>
      </c>
      <c r="BB43">
        <v>0.100024</v>
      </c>
      <c r="BC43">
        <v>25.4559</v>
      </c>
      <c r="BD43">
        <v>27.965800000000002</v>
      </c>
      <c r="BE43">
        <v>27.162700000000001</v>
      </c>
      <c r="BF43">
        <v>0</v>
      </c>
      <c r="BG43">
        <v>0</v>
      </c>
      <c r="BH43">
        <v>9970.6200000000008</v>
      </c>
      <c r="BI43">
        <v>1064.07</v>
      </c>
      <c r="BJ43">
        <v>2.39683</v>
      </c>
      <c r="BK43">
        <v>-39.504199999999997</v>
      </c>
      <c r="BL43">
        <v>778.60400000000004</v>
      </c>
      <c r="BM43">
        <v>816.04399999999998</v>
      </c>
      <c r="BN43">
        <v>3.58867</v>
      </c>
      <c r="BO43">
        <v>800.13599999999997</v>
      </c>
      <c r="BP43">
        <v>19.494599999999998</v>
      </c>
      <c r="BQ43">
        <v>2.2779199999999999</v>
      </c>
      <c r="BR43">
        <v>1.92378</v>
      </c>
      <c r="BS43">
        <v>19.521100000000001</v>
      </c>
      <c r="BT43">
        <v>16.8306</v>
      </c>
      <c r="BU43">
        <v>1799.99</v>
      </c>
      <c r="BV43">
        <v>0.91000899999999996</v>
      </c>
      <c r="BW43">
        <v>3.4008700000000003E-2</v>
      </c>
      <c r="BX43">
        <v>2.1992399999999999E-2</v>
      </c>
      <c r="BY43">
        <v>3.3989999999999999E-2</v>
      </c>
      <c r="BZ43">
        <v>25.333300000000001</v>
      </c>
      <c r="CA43">
        <v>33528.199999999997</v>
      </c>
      <c r="CB43">
        <v>1690381960.0999999</v>
      </c>
      <c r="CC43" t="s">
        <v>332</v>
      </c>
      <c r="CD43">
        <v>1690381960.0999999</v>
      </c>
      <c r="CE43">
        <v>1690381958.0999999</v>
      </c>
      <c r="CF43">
        <v>4</v>
      </c>
      <c r="CG43">
        <v>9.9000000000000005E-2</v>
      </c>
      <c r="CH43">
        <v>1.2E-2</v>
      </c>
      <c r="CI43">
        <v>-0.26300000000000001</v>
      </c>
      <c r="CJ43">
        <v>0.127</v>
      </c>
      <c r="CK43">
        <v>798</v>
      </c>
      <c r="CL43">
        <v>18</v>
      </c>
      <c r="CM43">
        <v>0.02</v>
      </c>
      <c r="CN43">
        <v>0.12</v>
      </c>
      <c r="CO43">
        <v>-36.042540000000002</v>
      </c>
      <c r="CP43">
        <v>-18.564362476547728</v>
      </c>
      <c r="CQ43">
        <v>1.7862082133390831</v>
      </c>
      <c r="CR43">
        <v>-1</v>
      </c>
      <c r="CS43">
        <v>3.2045729999999999</v>
      </c>
      <c r="CT43">
        <v>2.1360047279549659</v>
      </c>
      <c r="CU43">
        <v>0.20572951359977501</v>
      </c>
      <c r="CV43">
        <v>-1</v>
      </c>
      <c r="CW43">
        <v>0</v>
      </c>
      <c r="CX43">
        <v>0</v>
      </c>
      <c r="CY43" t="s">
        <v>333</v>
      </c>
      <c r="CZ43">
        <v>2.3642099999999999</v>
      </c>
      <c r="DA43">
        <v>2.7137899999999999</v>
      </c>
      <c r="DB43">
        <v>0.14128599999999999</v>
      </c>
      <c r="DC43">
        <v>0.14577499999999999</v>
      </c>
      <c r="DD43">
        <v>0.110378</v>
      </c>
      <c r="DE43">
        <v>9.6514000000000003E-2</v>
      </c>
      <c r="DF43">
        <v>31344.7</v>
      </c>
      <c r="DG43">
        <v>27514.9</v>
      </c>
      <c r="DH43">
        <v>31162.400000000001</v>
      </c>
      <c r="DI43">
        <v>28067.200000000001</v>
      </c>
      <c r="DJ43">
        <v>37638.300000000003</v>
      </c>
      <c r="DK43">
        <v>36055.9</v>
      </c>
      <c r="DL43">
        <v>44345.9</v>
      </c>
      <c r="DM43">
        <v>42539.199999999997</v>
      </c>
      <c r="DN43">
        <v>1.4616</v>
      </c>
      <c r="DO43">
        <v>2.0558200000000002</v>
      </c>
      <c r="DP43">
        <v>0.17017099999999999</v>
      </c>
      <c r="DQ43">
        <v>0.13794699999999999</v>
      </c>
      <c r="DR43">
        <v>25.180800000000001</v>
      </c>
      <c r="DS43">
        <v>24.903099999999998</v>
      </c>
      <c r="DT43">
        <v>58</v>
      </c>
      <c r="DU43">
        <v>28.7</v>
      </c>
      <c r="DV43">
        <v>23.2301</v>
      </c>
      <c r="DW43">
        <v>61.463000000000001</v>
      </c>
      <c r="DX43">
        <v>36.650599999999997</v>
      </c>
      <c r="DY43">
        <v>1</v>
      </c>
      <c r="DZ43">
        <v>-7.0221000000000006E-2</v>
      </c>
      <c r="EA43">
        <v>2.74539</v>
      </c>
      <c r="EB43">
        <v>20.1645</v>
      </c>
      <c r="EC43">
        <v>5.2409499999999998</v>
      </c>
      <c r="ED43">
        <v>12.039899999999999</v>
      </c>
      <c r="EE43">
        <v>5.0170500000000002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</v>
      </c>
      <c r="EL43">
        <v>1.8646199999999999</v>
      </c>
      <c r="EM43">
        <v>1.86921</v>
      </c>
      <c r="EN43">
        <v>1.86724</v>
      </c>
      <c r="EO43">
        <v>1.8633999999999999</v>
      </c>
      <c r="EP43">
        <v>1.8644700000000001</v>
      </c>
      <c r="EQ43">
        <v>1.87018</v>
      </c>
      <c r="ER43">
        <v>1.86937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-0.23599999999999999</v>
      </c>
      <c r="FG43">
        <v>0.17519999999999999</v>
      </c>
      <c r="FH43">
        <v>0.28746640474027818</v>
      </c>
      <c r="FI43">
        <v>-6.1462078757559423E-4</v>
      </c>
      <c r="FJ43">
        <v>-1.8861989874597051E-7</v>
      </c>
      <c r="FK43">
        <v>1.1980462299894961E-10</v>
      </c>
      <c r="FL43">
        <v>0.17524818673008091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13.8</v>
      </c>
      <c r="FU43">
        <v>13.8</v>
      </c>
      <c r="FV43">
        <v>1.79321</v>
      </c>
      <c r="FW43">
        <v>2.5732400000000002</v>
      </c>
      <c r="FX43">
        <v>1.5490699999999999</v>
      </c>
      <c r="FY43">
        <v>2.3315399999999999</v>
      </c>
      <c r="FZ43">
        <v>1.50146</v>
      </c>
      <c r="GA43">
        <v>2.4121100000000002</v>
      </c>
      <c r="GB43">
        <v>33.445599999999999</v>
      </c>
      <c r="GC43">
        <v>23.982399999999998</v>
      </c>
      <c r="GD43">
        <v>19</v>
      </c>
      <c r="GE43">
        <v>277.33699999999999</v>
      </c>
      <c r="GF43">
        <v>600.47</v>
      </c>
      <c r="GG43">
        <v>20.0185</v>
      </c>
      <c r="GH43">
        <v>26.502800000000001</v>
      </c>
      <c r="GI43">
        <v>30.000299999999999</v>
      </c>
      <c r="GJ43">
        <v>26.498799999999999</v>
      </c>
      <c r="GK43">
        <v>26.430700000000002</v>
      </c>
      <c r="GL43">
        <v>35.856499999999997</v>
      </c>
      <c r="GM43">
        <v>26.770199999999999</v>
      </c>
      <c r="GN43">
        <v>100</v>
      </c>
      <c r="GO43">
        <v>20.023299999999999</v>
      </c>
      <c r="GP43">
        <v>800</v>
      </c>
      <c r="GQ43">
        <v>19.252600000000001</v>
      </c>
      <c r="GR43">
        <v>99.704899999999995</v>
      </c>
      <c r="GS43">
        <v>99.514899999999997</v>
      </c>
    </row>
    <row r="44" spans="1:201" x14ac:dyDescent="0.25">
      <c r="A44">
        <v>28</v>
      </c>
      <c r="B44">
        <v>1690382795.5999999</v>
      </c>
      <c r="C44">
        <v>320.5</v>
      </c>
      <c r="D44" t="s">
        <v>387</v>
      </c>
      <c r="E44" t="s">
        <v>388</v>
      </c>
      <c r="F44" t="s">
        <v>330</v>
      </c>
      <c r="H44">
        <v>1690382795.5999999</v>
      </c>
      <c r="I44">
        <f t="shared" si="0"/>
        <v>3.6242102605070503E-4</v>
      </c>
      <c r="J44">
        <f t="shared" si="1"/>
        <v>0.36242102605070503</v>
      </c>
      <c r="K44">
        <f t="shared" si="2"/>
        <v>3.6395283747846188</v>
      </c>
      <c r="L44">
        <f t="shared" si="3"/>
        <v>757.51199999999994</v>
      </c>
      <c r="M44">
        <f t="shared" si="4"/>
        <v>507.327928220133</v>
      </c>
      <c r="N44">
        <f t="shared" si="5"/>
        <v>50.114680759496387</v>
      </c>
      <c r="O44">
        <f t="shared" si="6"/>
        <v>74.828271695335204</v>
      </c>
      <c r="P44">
        <f t="shared" si="7"/>
        <v>2.4880503234315267E-2</v>
      </c>
      <c r="Q44">
        <f t="shared" si="8"/>
        <v>2.1081180805314945</v>
      </c>
      <c r="R44">
        <f t="shared" si="9"/>
        <v>2.4718513536316256E-2</v>
      </c>
      <c r="S44">
        <f t="shared" si="10"/>
        <v>1.5463537065126898E-2</v>
      </c>
      <c r="T44">
        <f t="shared" si="11"/>
        <v>276.114055302</v>
      </c>
      <c r="U44">
        <f t="shared" si="12"/>
        <v>27.49192054182322</v>
      </c>
      <c r="V44">
        <f t="shared" si="13"/>
        <v>27.49192054182322</v>
      </c>
      <c r="W44">
        <f t="shared" si="14"/>
        <v>3.6838810184982083</v>
      </c>
      <c r="X44">
        <f t="shared" si="15"/>
        <v>69.943223394768154</v>
      </c>
      <c r="Y44">
        <f t="shared" si="16"/>
        <v>2.2792676227489803</v>
      </c>
      <c r="Z44">
        <f t="shared" si="17"/>
        <v>3.2587397493600112</v>
      </c>
      <c r="AA44">
        <f t="shared" si="18"/>
        <v>1.4046133957492279</v>
      </c>
      <c r="AB44">
        <f t="shared" si="19"/>
        <v>-15.982767248836092</v>
      </c>
      <c r="AC44">
        <f t="shared" si="20"/>
        <v>-236.32073050546529</v>
      </c>
      <c r="AD44">
        <f t="shared" si="21"/>
        <v>-24.060581354262748</v>
      </c>
      <c r="AE44">
        <f t="shared" si="22"/>
        <v>-0.25002380656414402</v>
      </c>
      <c r="AF44">
        <v>0</v>
      </c>
      <c r="AG44">
        <v>0</v>
      </c>
      <c r="AH44">
        <f t="shared" si="23"/>
        <v>1</v>
      </c>
      <c r="AI44">
        <f t="shared" si="24"/>
        <v>0</v>
      </c>
      <c r="AJ44">
        <f t="shared" si="25"/>
        <v>52379.054908885519</v>
      </c>
      <c r="AK44">
        <f t="shared" si="26"/>
        <v>1800</v>
      </c>
      <c r="AL44">
        <f t="shared" si="27"/>
        <v>1499.1121691999999</v>
      </c>
      <c r="AM44">
        <f t="shared" si="28"/>
        <v>0.83284009399999992</v>
      </c>
      <c r="AN44">
        <f t="shared" si="29"/>
        <v>0.15339669739</v>
      </c>
      <c r="AO44">
        <v>32.700000000000003</v>
      </c>
      <c r="AP44">
        <v>0.5</v>
      </c>
      <c r="AQ44" t="s">
        <v>331</v>
      </c>
      <c r="AR44">
        <v>2</v>
      </c>
      <c r="AS44">
        <v>1690382795.5999999</v>
      </c>
      <c r="AT44">
        <v>757.51199999999994</v>
      </c>
      <c r="AU44">
        <v>800.15499999999997</v>
      </c>
      <c r="AV44">
        <v>23.073799999999999</v>
      </c>
      <c r="AW44">
        <v>19.2164</v>
      </c>
      <c r="AX44">
        <v>757.74699999999996</v>
      </c>
      <c r="AY44">
        <v>22.898599999999998</v>
      </c>
      <c r="AZ44">
        <v>300.14299999999997</v>
      </c>
      <c r="BA44">
        <v>98.681700000000006</v>
      </c>
      <c r="BB44">
        <v>9.9932099999999996E-2</v>
      </c>
      <c r="BC44">
        <v>25.412600000000001</v>
      </c>
      <c r="BD44">
        <v>27.8995</v>
      </c>
      <c r="BE44">
        <v>27.097100000000001</v>
      </c>
      <c r="BF44">
        <v>0</v>
      </c>
      <c r="BG44">
        <v>0</v>
      </c>
      <c r="BH44">
        <v>9984.3799999999992</v>
      </c>
      <c r="BI44">
        <v>1063.29</v>
      </c>
      <c r="BJ44">
        <v>2.4108399999999999</v>
      </c>
      <c r="BK44">
        <v>-42.643000000000001</v>
      </c>
      <c r="BL44">
        <v>775.404</v>
      </c>
      <c r="BM44">
        <v>815.83299999999997</v>
      </c>
      <c r="BN44">
        <v>3.85744</v>
      </c>
      <c r="BO44">
        <v>800.15499999999997</v>
      </c>
      <c r="BP44">
        <v>19.2164</v>
      </c>
      <c r="BQ44">
        <v>2.2769599999999999</v>
      </c>
      <c r="BR44">
        <v>1.8963099999999999</v>
      </c>
      <c r="BS44">
        <v>19.514399999999998</v>
      </c>
      <c r="BT44">
        <v>16.604099999999999</v>
      </c>
      <c r="BU44">
        <v>1800</v>
      </c>
      <c r="BV44">
        <v>0.91001600000000005</v>
      </c>
      <c r="BW44">
        <v>3.4006099999999997E-2</v>
      </c>
      <c r="BX44">
        <v>2.1990699999999998E-2</v>
      </c>
      <c r="BY44">
        <v>3.3987299999999998E-2</v>
      </c>
      <c r="BZ44">
        <v>25</v>
      </c>
      <c r="CA44">
        <v>33528.5</v>
      </c>
      <c r="CB44">
        <v>1690381960.0999999</v>
      </c>
      <c r="CC44" t="s">
        <v>332</v>
      </c>
      <c r="CD44">
        <v>1690381960.0999999</v>
      </c>
      <c r="CE44">
        <v>1690381958.0999999</v>
      </c>
      <c r="CF44">
        <v>4</v>
      </c>
      <c r="CG44">
        <v>9.9000000000000005E-2</v>
      </c>
      <c r="CH44">
        <v>1.2E-2</v>
      </c>
      <c r="CI44">
        <v>-0.26300000000000001</v>
      </c>
      <c r="CJ44">
        <v>0.127</v>
      </c>
      <c r="CK44">
        <v>798</v>
      </c>
      <c r="CL44">
        <v>18</v>
      </c>
      <c r="CM44">
        <v>0.02</v>
      </c>
      <c r="CN44">
        <v>0.12</v>
      </c>
      <c r="CO44">
        <v>-39.129757499999997</v>
      </c>
      <c r="CP44">
        <v>-18.375040525328231</v>
      </c>
      <c r="CQ44">
        <v>1.7679394768893391</v>
      </c>
      <c r="CR44">
        <v>-1</v>
      </c>
      <c r="CS44">
        <v>3.5392722500000011</v>
      </c>
      <c r="CT44">
        <v>1.873974596622884</v>
      </c>
      <c r="CU44">
        <v>0.18095413108696221</v>
      </c>
      <c r="CV44">
        <v>-1</v>
      </c>
      <c r="CW44">
        <v>0</v>
      </c>
      <c r="CX44">
        <v>0</v>
      </c>
      <c r="CY44" t="s">
        <v>333</v>
      </c>
      <c r="CZ44">
        <v>2.3641000000000001</v>
      </c>
      <c r="DA44">
        <v>2.7137099999999998</v>
      </c>
      <c r="DB44">
        <v>0.14089199999999999</v>
      </c>
      <c r="DC44">
        <v>0.14576900000000001</v>
      </c>
      <c r="DD44">
        <v>0.110344</v>
      </c>
      <c r="DE44">
        <v>9.5529199999999995E-2</v>
      </c>
      <c r="DF44">
        <v>31359.3</v>
      </c>
      <c r="DG44">
        <v>27515.3</v>
      </c>
      <c r="DH44">
        <v>31162.7</v>
      </c>
      <c r="DI44">
        <v>28067.4</v>
      </c>
      <c r="DJ44">
        <v>37639.9</v>
      </c>
      <c r="DK44">
        <v>36095.699999999997</v>
      </c>
      <c r="DL44">
        <v>44346.1</v>
      </c>
      <c r="DM44">
        <v>42539.7</v>
      </c>
      <c r="DN44">
        <v>1.4619</v>
      </c>
      <c r="DO44">
        <v>2.0552199999999998</v>
      </c>
      <c r="DP44">
        <v>0.16869999999999999</v>
      </c>
      <c r="DQ44">
        <v>0.136402</v>
      </c>
      <c r="DR44">
        <v>25.138400000000001</v>
      </c>
      <c r="DS44">
        <v>24.8626</v>
      </c>
      <c r="DT44">
        <v>58</v>
      </c>
      <c r="DU44">
        <v>28.7</v>
      </c>
      <c r="DV44">
        <v>23.2315</v>
      </c>
      <c r="DW44">
        <v>61.003</v>
      </c>
      <c r="DX44">
        <v>36.5625</v>
      </c>
      <c r="DY44">
        <v>1</v>
      </c>
      <c r="DZ44">
        <v>-7.0017800000000005E-2</v>
      </c>
      <c r="EA44">
        <v>2.7387299999999999</v>
      </c>
      <c r="EB44">
        <v>20.164300000000001</v>
      </c>
      <c r="EC44">
        <v>5.2406499999999996</v>
      </c>
      <c r="ED44">
        <v>12.039899999999999</v>
      </c>
      <c r="EE44">
        <v>5.01715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</v>
      </c>
      <c r="EL44">
        <v>1.8646199999999999</v>
      </c>
      <c r="EM44">
        <v>1.8692</v>
      </c>
      <c r="EN44">
        <v>1.8672200000000001</v>
      </c>
      <c r="EO44">
        <v>1.8633999999999999</v>
      </c>
      <c r="EP44">
        <v>1.8644700000000001</v>
      </c>
      <c r="EQ44">
        <v>1.8701700000000001</v>
      </c>
      <c r="ER44">
        <v>1.8693900000000001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-0.23499999999999999</v>
      </c>
      <c r="FG44">
        <v>0.17519999999999999</v>
      </c>
      <c r="FH44">
        <v>0.28746640474027818</v>
      </c>
      <c r="FI44">
        <v>-6.1462078757559423E-4</v>
      </c>
      <c r="FJ44">
        <v>-1.8861989874597051E-7</v>
      </c>
      <c r="FK44">
        <v>1.1980462299894961E-10</v>
      </c>
      <c r="FL44">
        <v>0.17524818673008091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13.9</v>
      </c>
      <c r="FU44">
        <v>14</v>
      </c>
      <c r="FV44">
        <v>1.79321</v>
      </c>
      <c r="FW44">
        <v>2.5744600000000002</v>
      </c>
      <c r="FX44">
        <v>1.5490699999999999</v>
      </c>
      <c r="FY44">
        <v>2.3315399999999999</v>
      </c>
      <c r="FZ44">
        <v>1.50146</v>
      </c>
      <c r="GA44">
        <v>2.4035600000000001</v>
      </c>
      <c r="GB44">
        <v>33.445599999999999</v>
      </c>
      <c r="GC44">
        <v>23.982399999999998</v>
      </c>
      <c r="GD44">
        <v>19</v>
      </c>
      <c r="GE44">
        <v>277.47500000000002</v>
      </c>
      <c r="GF44">
        <v>600.02099999999996</v>
      </c>
      <c r="GG44">
        <v>20.020499999999998</v>
      </c>
      <c r="GH44">
        <v>26.502199999999998</v>
      </c>
      <c r="GI44">
        <v>30.0001</v>
      </c>
      <c r="GJ44">
        <v>26.501300000000001</v>
      </c>
      <c r="GK44">
        <v>26.435700000000001</v>
      </c>
      <c r="GL44">
        <v>35.845199999999998</v>
      </c>
      <c r="GM44">
        <v>27.983799999999999</v>
      </c>
      <c r="GN44">
        <v>100</v>
      </c>
      <c r="GO44">
        <v>20.022099999999998</v>
      </c>
      <c r="GP44">
        <v>800</v>
      </c>
      <c r="GQ44">
        <v>18.902999999999999</v>
      </c>
      <c r="GR44">
        <v>99.705500000000001</v>
      </c>
      <c r="GS44">
        <v>99.515900000000002</v>
      </c>
    </row>
    <row r="45" spans="1:201" x14ac:dyDescent="0.25">
      <c r="A45">
        <v>29</v>
      </c>
      <c r="B45">
        <v>1690382805.5999999</v>
      </c>
      <c r="C45">
        <v>330.5</v>
      </c>
      <c r="D45" t="s">
        <v>389</v>
      </c>
      <c r="E45" t="s">
        <v>390</v>
      </c>
      <c r="F45" t="s">
        <v>330</v>
      </c>
      <c r="H45">
        <v>1690382805.5999999</v>
      </c>
      <c r="I45">
        <f t="shared" si="0"/>
        <v>3.924887024479032E-4</v>
      </c>
      <c r="J45">
        <f t="shared" si="1"/>
        <v>0.39248870244790318</v>
      </c>
      <c r="K45">
        <f t="shared" si="2"/>
        <v>3.8881530312735553</v>
      </c>
      <c r="L45">
        <f t="shared" si="3"/>
        <v>754.45600000000002</v>
      </c>
      <c r="M45">
        <f t="shared" si="4"/>
        <v>509.20588661577756</v>
      </c>
      <c r="N45">
        <f t="shared" si="5"/>
        <v>50.303895522768038</v>
      </c>
      <c r="O45">
        <f t="shared" si="6"/>
        <v>74.531887391872004</v>
      </c>
      <c r="P45">
        <f t="shared" si="7"/>
        <v>2.7149135765054819E-2</v>
      </c>
      <c r="Q45">
        <f t="shared" si="8"/>
        <v>2.1089920889576161</v>
      </c>
      <c r="R45">
        <f t="shared" si="9"/>
        <v>2.6956461238527171E-2</v>
      </c>
      <c r="S45">
        <f t="shared" si="10"/>
        <v>1.6864985223876316E-2</v>
      </c>
      <c r="T45">
        <f t="shared" si="11"/>
        <v>276.11472441478668</v>
      </c>
      <c r="U45">
        <f t="shared" si="12"/>
        <v>27.434934874201449</v>
      </c>
      <c r="V45">
        <f t="shared" si="13"/>
        <v>27.434934874201449</v>
      </c>
      <c r="W45">
        <f t="shared" si="14"/>
        <v>3.6716144061737239</v>
      </c>
      <c r="X45">
        <f t="shared" si="15"/>
        <v>70.049595066091015</v>
      </c>
      <c r="Y45">
        <f t="shared" si="16"/>
        <v>2.2765410825840005</v>
      </c>
      <c r="Z45">
        <f t="shared" si="17"/>
        <v>3.2498989900457085</v>
      </c>
      <c r="AA45">
        <f t="shared" si="18"/>
        <v>1.3950733235897235</v>
      </c>
      <c r="AB45">
        <f t="shared" si="19"/>
        <v>-17.30875177795253</v>
      </c>
      <c r="AC45">
        <f t="shared" si="20"/>
        <v>-235.13552693781753</v>
      </c>
      <c r="AD45">
        <f t="shared" si="21"/>
        <v>-23.917681029284935</v>
      </c>
      <c r="AE45">
        <f t="shared" si="22"/>
        <v>-0.24723533026832456</v>
      </c>
      <c r="AF45">
        <v>0</v>
      </c>
      <c r="AG45">
        <v>0</v>
      </c>
      <c r="AH45">
        <f t="shared" si="23"/>
        <v>1</v>
      </c>
      <c r="AI45">
        <f t="shared" si="24"/>
        <v>0</v>
      </c>
      <c r="AJ45">
        <f t="shared" si="25"/>
        <v>52425.485460310119</v>
      </c>
      <c r="AK45">
        <f t="shared" si="26"/>
        <v>1799.99</v>
      </c>
      <c r="AL45">
        <f t="shared" si="27"/>
        <v>1499.1049369929701</v>
      </c>
      <c r="AM45">
        <f t="shared" si="28"/>
        <v>0.83284070300000002</v>
      </c>
      <c r="AN45">
        <f t="shared" si="29"/>
        <v>0.15339792132999999</v>
      </c>
      <c r="AO45">
        <v>32.700000000000003</v>
      </c>
      <c r="AP45">
        <v>0.5</v>
      </c>
      <c r="AQ45" t="s">
        <v>331</v>
      </c>
      <c r="AR45">
        <v>2</v>
      </c>
      <c r="AS45">
        <v>1690382805.5999999</v>
      </c>
      <c r="AT45">
        <v>754.45600000000002</v>
      </c>
      <c r="AU45">
        <v>800.05100000000004</v>
      </c>
      <c r="AV45">
        <v>23.044499999999999</v>
      </c>
      <c r="AW45">
        <v>18.866199999999999</v>
      </c>
      <c r="AX45">
        <v>754.68799999999999</v>
      </c>
      <c r="AY45">
        <v>22.869299999999999</v>
      </c>
      <c r="AZ45">
        <v>300.089</v>
      </c>
      <c r="BA45">
        <v>98.688900000000004</v>
      </c>
      <c r="BB45">
        <v>0.100012</v>
      </c>
      <c r="BC45">
        <v>25.366900000000001</v>
      </c>
      <c r="BD45">
        <v>27.802700000000002</v>
      </c>
      <c r="BE45">
        <v>27.096699999999998</v>
      </c>
      <c r="BF45">
        <v>0</v>
      </c>
      <c r="BG45">
        <v>0</v>
      </c>
      <c r="BH45">
        <v>9991.25</v>
      </c>
      <c r="BI45">
        <v>1062.6199999999999</v>
      </c>
      <c r="BJ45">
        <v>2.4108399999999999</v>
      </c>
      <c r="BK45">
        <v>-45.595399999999998</v>
      </c>
      <c r="BL45">
        <v>772.25199999999995</v>
      </c>
      <c r="BM45">
        <v>815.43499999999995</v>
      </c>
      <c r="BN45">
        <v>4.17835</v>
      </c>
      <c r="BO45">
        <v>800.05100000000004</v>
      </c>
      <c r="BP45">
        <v>18.866199999999999</v>
      </c>
      <c r="BQ45">
        <v>2.2742399999999998</v>
      </c>
      <c r="BR45">
        <v>1.86188</v>
      </c>
      <c r="BS45">
        <v>19.495100000000001</v>
      </c>
      <c r="BT45">
        <v>16.316199999999998</v>
      </c>
      <c r="BU45">
        <v>1799.99</v>
      </c>
      <c r="BV45">
        <v>0.91</v>
      </c>
      <c r="BW45">
        <v>3.4003699999999998E-2</v>
      </c>
      <c r="BX45">
        <v>2.20074E-2</v>
      </c>
      <c r="BY45">
        <v>3.3988900000000002E-2</v>
      </c>
      <c r="BZ45">
        <v>25</v>
      </c>
      <c r="CA45">
        <v>33528.199999999997</v>
      </c>
      <c r="CB45">
        <v>1690381960.0999999</v>
      </c>
      <c r="CC45" t="s">
        <v>332</v>
      </c>
      <c r="CD45">
        <v>1690381960.0999999</v>
      </c>
      <c r="CE45">
        <v>1690381958.0999999</v>
      </c>
      <c r="CF45">
        <v>4</v>
      </c>
      <c r="CG45">
        <v>9.9000000000000005E-2</v>
      </c>
      <c r="CH45">
        <v>1.2E-2</v>
      </c>
      <c r="CI45">
        <v>-0.26300000000000001</v>
      </c>
      <c r="CJ45">
        <v>0.127</v>
      </c>
      <c r="CK45">
        <v>798</v>
      </c>
      <c r="CL45">
        <v>18</v>
      </c>
      <c r="CM45">
        <v>0.02</v>
      </c>
      <c r="CN45">
        <v>0.12</v>
      </c>
      <c r="CO45">
        <v>-42.2061025</v>
      </c>
      <c r="CP45">
        <v>-18.441312945590951</v>
      </c>
      <c r="CQ45">
        <v>1.774249792375288</v>
      </c>
      <c r="CR45">
        <v>-1</v>
      </c>
      <c r="CS45">
        <v>3.8406799999999999</v>
      </c>
      <c r="CT45">
        <v>1.774158123827384</v>
      </c>
      <c r="CU45">
        <v>0.1710475813333823</v>
      </c>
      <c r="CV45">
        <v>-1</v>
      </c>
      <c r="CW45">
        <v>0</v>
      </c>
      <c r="CX45">
        <v>0</v>
      </c>
      <c r="CY45" t="s">
        <v>333</v>
      </c>
      <c r="CZ45">
        <v>2.3639199999999998</v>
      </c>
      <c r="DA45">
        <v>2.7137899999999999</v>
      </c>
      <c r="DB45">
        <v>0.140517</v>
      </c>
      <c r="DC45">
        <v>0.145758</v>
      </c>
      <c r="DD45">
        <v>0.110252</v>
      </c>
      <c r="DE45">
        <v>9.4289999999999999E-2</v>
      </c>
      <c r="DF45">
        <v>31373</v>
      </c>
      <c r="DG45">
        <v>27515.599999999999</v>
      </c>
      <c r="DH45">
        <v>31162.7</v>
      </c>
      <c r="DI45">
        <v>28067.4</v>
      </c>
      <c r="DJ45">
        <v>37643.800000000003</v>
      </c>
      <c r="DK45">
        <v>36145.199999999997</v>
      </c>
      <c r="DL45">
        <v>44346.1</v>
      </c>
      <c r="DM45">
        <v>42539.6</v>
      </c>
      <c r="DN45">
        <v>1.46105</v>
      </c>
      <c r="DO45">
        <v>2.0543499999999999</v>
      </c>
      <c r="DP45">
        <v>0.16534699999999999</v>
      </c>
      <c r="DQ45">
        <v>0.138823</v>
      </c>
      <c r="DR45">
        <v>25.0961</v>
      </c>
      <c r="DS45">
        <v>24.822500000000002</v>
      </c>
      <c r="DT45">
        <v>58</v>
      </c>
      <c r="DU45">
        <v>28.7</v>
      </c>
      <c r="DV45">
        <v>23.2288</v>
      </c>
      <c r="DW45">
        <v>60.902999999999999</v>
      </c>
      <c r="DX45">
        <v>36.318100000000001</v>
      </c>
      <c r="DY45">
        <v>1</v>
      </c>
      <c r="DZ45">
        <v>-7.0002499999999995E-2</v>
      </c>
      <c r="EA45">
        <v>2.69129</v>
      </c>
      <c r="EB45">
        <v>20.165400000000002</v>
      </c>
      <c r="EC45">
        <v>5.2403500000000003</v>
      </c>
      <c r="ED45">
        <v>12.039899999999999</v>
      </c>
      <c r="EE45">
        <v>5.0170000000000003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</v>
      </c>
      <c r="EL45">
        <v>1.8646400000000001</v>
      </c>
      <c r="EM45">
        <v>1.86921</v>
      </c>
      <c r="EN45">
        <v>1.86724</v>
      </c>
      <c r="EO45">
        <v>1.8633999999999999</v>
      </c>
      <c r="EP45">
        <v>1.8644700000000001</v>
      </c>
      <c r="EQ45">
        <v>1.8701700000000001</v>
      </c>
      <c r="ER45">
        <v>1.8693900000000001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-0.23200000000000001</v>
      </c>
      <c r="FG45">
        <v>0.17519999999999999</v>
      </c>
      <c r="FH45">
        <v>0.28746640474027818</v>
      </c>
      <c r="FI45">
        <v>-6.1462078757559423E-4</v>
      </c>
      <c r="FJ45">
        <v>-1.8861989874597051E-7</v>
      </c>
      <c r="FK45">
        <v>1.1980462299894961E-10</v>
      </c>
      <c r="FL45">
        <v>0.17524818673008091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14.1</v>
      </c>
      <c r="FU45">
        <v>14.1</v>
      </c>
      <c r="FV45">
        <v>1.79199</v>
      </c>
      <c r="FW45">
        <v>2.5756800000000002</v>
      </c>
      <c r="FX45">
        <v>1.5490699999999999</v>
      </c>
      <c r="FY45">
        <v>2.3315399999999999</v>
      </c>
      <c r="FZ45">
        <v>1.50146</v>
      </c>
      <c r="GA45">
        <v>2.4084500000000002</v>
      </c>
      <c r="GB45">
        <v>33.445599999999999</v>
      </c>
      <c r="GC45">
        <v>23.973700000000001</v>
      </c>
      <c r="GD45">
        <v>19</v>
      </c>
      <c r="GE45">
        <v>277.12700000000001</v>
      </c>
      <c r="GF45">
        <v>599.33299999999997</v>
      </c>
      <c r="GG45">
        <v>20.019200000000001</v>
      </c>
      <c r="GH45">
        <v>26.4983</v>
      </c>
      <c r="GI45">
        <v>30.0001</v>
      </c>
      <c r="GJ45">
        <v>26.503900000000002</v>
      </c>
      <c r="GK45">
        <v>26.440100000000001</v>
      </c>
      <c r="GL45">
        <v>35.8414</v>
      </c>
      <c r="GM45">
        <v>29.1737</v>
      </c>
      <c r="GN45">
        <v>100</v>
      </c>
      <c r="GO45">
        <v>20.020600000000002</v>
      </c>
      <c r="GP45">
        <v>800</v>
      </c>
      <c r="GQ45">
        <v>18.642299999999999</v>
      </c>
      <c r="GR45">
        <v>99.705500000000001</v>
      </c>
      <c r="GS45">
        <v>99.515799999999999</v>
      </c>
    </row>
    <row r="46" spans="1:201" x14ac:dyDescent="0.25">
      <c r="A46">
        <v>30</v>
      </c>
      <c r="B46">
        <v>1690382815.5999999</v>
      </c>
      <c r="C46">
        <v>340.5</v>
      </c>
      <c r="D46" t="s">
        <v>391</v>
      </c>
      <c r="E46" t="s">
        <v>392</v>
      </c>
      <c r="F46" t="s">
        <v>330</v>
      </c>
      <c r="H46">
        <v>1690382815.5999999</v>
      </c>
      <c r="I46">
        <f t="shared" si="0"/>
        <v>4.1431472142774891E-4</v>
      </c>
      <c r="J46">
        <f t="shared" si="1"/>
        <v>0.41431472142774889</v>
      </c>
      <c r="K46">
        <f t="shared" si="2"/>
        <v>4.1475116413676139</v>
      </c>
      <c r="L46">
        <f t="shared" si="3"/>
        <v>751.49099999999999</v>
      </c>
      <c r="M46">
        <f t="shared" si="4"/>
        <v>504.84261533268432</v>
      </c>
      <c r="N46">
        <f t="shared" si="5"/>
        <v>49.870758410844957</v>
      </c>
      <c r="O46">
        <f t="shared" si="6"/>
        <v>74.235860782527595</v>
      </c>
      <c r="P46">
        <f t="shared" si="7"/>
        <v>2.8778630024044259E-2</v>
      </c>
      <c r="Q46">
        <f t="shared" si="8"/>
        <v>2.1082979945068656</v>
      </c>
      <c r="R46">
        <f t="shared" si="9"/>
        <v>2.8562161517705971E-2</v>
      </c>
      <c r="S46">
        <f t="shared" si="10"/>
        <v>1.7870663954444074E-2</v>
      </c>
      <c r="T46">
        <f t="shared" si="11"/>
        <v>276.11649491399999</v>
      </c>
      <c r="U46">
        <f t="shared" si="12"/>
        <v>27.391443223118063</v>
      </c>
      <c r="V46">
        <f t="shared" si="13"/>
        <v>27.391443223118063</v>
      </c>
      <c r="W46">
        <f t="shared" si="14"/>
        <v>3.6622764861221979</v>
      </c>
      <c r="X46">
        <f t="shared" si="15"/>
        <v>70.073343388661243</v>
      </c>
      <c r="Y46">
        <f t="shared" si="16"/>
        <v>2.2723755525198799</v>
      </c>
      <c r="Z46">
        <f t="shared" si="17"/>
        <v>3.2428530488636267</v>
      </c>
      <c r="AA46">
        <f t="shared" si="18"/>
        <v>1.389900933602318</v>
      </c>
      <c r="AB46">
        <f t="shared" si="19"/>
        <v>-18.271279214963727</v>
      </c>
      <c r="AC46">
        <f t="shared" si="20"/>
        <v>-234.2634520602935</v>
      </c>
      <c r="AD46">
        <f t="shared" si="21"/>
        <v>-23.827266308639533</v>
      </c>
      <c r="AE46">
        <f t="shared" si="22"/>
        <v>-0.24550266989677993</v>
      </c>
      <c r="AF46">
        <v>0</v>
      </c>
      <c r="AG46">
        <v>0</v>
      </c>
      <c r="AH46">
        <f t="shared" si="23"/>
        <v>1</v>
      </c>
      <c r="AI46">
        <f t="shared" si="24"/>
        <v>0</v>
      </c>
      <c r="AJ46">
        <f t="shared" si="25"/>
        <v>52401.429617472437</v>
      </c>
      <c r="AK46">
        <f t="shared" si="26"/>
        <v>1800</v>
      </c>
      <c r="AL46">
        <f t="shared" si="27"/>
        <v>1499.1101603999998</v>
      </c>
      <c r="AM46">
        <f t="shared" si="28"/>
        <v>0.83283897799999984</v>
      </c>
      <c r="AN46">
        <f t="shared" si="29"/>
        <v>0.15339805272999998</v>
      </c>
      <c r="AO46">
        <v>32.700000000000003</v>
      </c>
      <c r="AP46">
        <v>0.5</v>
      </c>
      <c r="AQ46" t="s">
        <v>331</v>
      </c>
      <c r="AR46">
        <v>2</v>
      </c>
      <c r="AS46">
        <v>1690382815.5999999</v>
      </c>
      <c r="AT46">
        <v>751.49099999999999</v>
      </c>
      <c r="AU46">
        <v>800.08</v>
      </c>
      <c r="AV46">
        <v>23.003299999999999</v>
      </c>
      <c r="AW46">
        <v>18.592300000000002</v>
      </c>
      <c r="AX46">
        <v>751.721</v>
      </c>
      <c r="AY46">
        <v>22.827999999999999</v>
      </c>
      <c r="AZ46">
        <v>300.07799999999997</v>
      </c>
      <c r="BA46">
        <v>98.684899999999999</v>
      </c>
      <c r="BB46">
        <v>9.9863599999999997E-2</v>
      </c>
      <c r="BC46">
        <v>25.330400000000001</v>
      </c>
      <c r="BD46">
        <v>27.732299999999999</v>
      </c>
      <c r="BE46">
        <v>27.0366</v>
      </c>
      <c r="BF46">
        <v>0</v>
      </c>
      <c r="BG46">
        <v>0</v>
      </c>
      <c r="BH46">
        <v>9985.6200000000008</v>
      </c>
      <c r="BI46">
        <v>1062.01</v>
      </c>
      <c r="BJ46">
        <v>2.4108399999999999</v>
      </c>
      <c r="BK46">
        <v>-48.589399999999998</v>
      </c>
      <c r="BL46">
        <v>769.18499999999995</v>
      </c>
      <c r="BM46">
        <v>815.23800000000006</v>
      </c>
      <c r="BN46">
        <v>4.41092</v>
      </c>
      <c r="BO46">
        <v>800.08</v>
      </c>
      <c r="BP46">
        <v>18.592300000000002</v>
      </c>
      <c r="BQ46">
        <v>2.27007</v>
      </c>
      <c r="BR46">
        <v>1.8347800000000001</v>
      </c>
      <c r="BS46">
        <v>19.465599999999998</v>
      </c>
      <c r="BT46">
        <v>16.086300000000001</v>
      </c>
      <c r="BU46">
        <v>1800</v>
      </c>
      <c r="BV46">
        <v>0.90998199999999996</v>
      </c>
      <c r="BW46">
        <v>3.4001900000000002E-2</v>
      </c>
      <c r="BX46">
        <v>2.2008900000000001E-2</v>
      </c>
      <c r="BY46">
        <v>3.4006700000000001E-2</v>
      </c>
      <c r="BZ46">
        <v>25</v>
      </c>
      <c r="CA46">
        <v>33528.199999999997</v>
      </c>
      <c r="CB46">
        <v>1690381960.0999999</v>
      </c>
      <c r="CC46" t="s">
        <v>332</v>
      </c>
      <c r="CD46">
        <v>1690381960.0999999</v>
      </c>
      <c r="CE46">
        <v>1690381958.0999999</v>
      </c>
      <c r="CF46">
        <v>4</v>
      </c>
      <c r="CG46">
        <v>9.9000000000000005E-2</v>
      </c>
      <c r="CH46">
        <v>1.2E-2</v>
      </c>
      <c r="CI46">
        <v>-0.26300000000000001</v>
      </c>
      <c r="CJ46">
        <v>0.127</v>
      </c>
      <c r="CK46">
        <v>798</v>
      </c>
      <c r="CL46">
        <v>18</v>
      </c>
      <c r="CM46">
        <v>0.02</v>
      </c>
      <c r="CN46">
        <v>0.12</v>
      </c>
      <c r="CO46">
        <v>-45.343212195121957</v>
      </c>
      <c r="CP46">
        <v>-18.17397282229976</v>
      </c>
      <c r="CQ46">
        <v>1.7922184970228361</v>
      </c>
      <c r="CR46">
        <v>-1</v>
      </c>
      <c r="CS46">
        <v>4.1337282926829264</v>
      </c>
      <c r="CT46">
        <v>1.679252195121943</v>
      </c>
      <c r="CU46">
        <v>0.1664162745163896</v>
      </c>
      <c r="CV46">
        <v>-1</v>
      </c>
      <c r="CW46">
        <v>0</v>
      </c>
      <c r="CX46">
        <v>0</v>
      </c>
      <c r="CY46" t="s">
        <v>333</v>
      </c>
      <c r="CZ46">
        <v>2.3639000000000001</v>
      </c>
      <c r="DA46">
        <v>2.7136399999999998</v>
      </c>
      <c r="DB46">
        <v>0.14013700000000001</v>
      </c>
      <c r="DC46">
        <v>0.14574899999999999</v>
      </c>
      <c r="DD46">
        <v>0.110107</v>
      </c>
      <c r="DE46">
        <v>9.3305299999999994E-2</v>
      </c>
      <c r="DF46">
        <v>31386.7</v>
      </c>
      <c r="DG46">
        <v>27515.9</v>
      </c>
      <c r="DH46">
        <v>31162.5</v>
      </c>
      <c r="DI46">
        <v>28067.5</v>
      </c>
      <c r="DJ46">
        <v>37649.9</v>
      </c>
      <c r="DK46">
        <v>36184.699999999997</v>
      </c>
      <c r="DL46">
        <v>44346</v>
      </c>
      <c r="DM46">
        <v>42539.8</v>
      </c>
      <c r="DN46">
        <v>1.4618</v>
      </c>
      <c r="DO46">
        <v>2.0545200000000001</v>
      </c>
      <c r="DP46">
        <v>0.16361500000000001</v>
      </c>
      <c r="DQ46">
        <v>0.13766800000000001</v>
      </c>
      <c r="DR46">
        <v>25.053899999999999</v>
      </c>
      <c r="DS46">
        <v>24.781099999999999</v>
      </c>
      <c r="DT46">
        <v>58.1</v>
      </c>
      <c r="DU46">
        <v>28.7</v>
      </c>
      <c r="DV46">
        <v>23.273</v>
      </c>
      <c r="DW46">
        <v>61.283000000000001</v>
      </c>
      <c r="DX46">
        <v>35.881399999999999</v>
      </c>
      <c r="DY46">
        <v>1</v>
      </c>
      <c r="DZ46">
        <v>-6.97459E-2</v>
      </c>
      <c r="EA46">
        <v>2.6894300000000002</v>
      </c>
      <c r="EB46">
        <v>20.165400000000002</v>
      </c>
      <c r="EC46">
        <v>5.2411000000000003</v>
      </c>
      <c r="ED46">
        <v>12.039899999999999</v>
      </c>
      <c r="EE46">
        <v>5.01715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1.8689100000000001</v>
      </c>
      <c r="EL46">
        <v>1.86463</v>
      </c>
      <c r="EM46">
        <v>1.8692</v>
      </c>
      <c r="EN46">
        <v>1.8672299999999999</v>
      </c>
      <c r="EO46">
        <v>1.8633999999999999</v>
      </c>
      <c r="EP46">
        <v>1.8644700000000001</v>
      </c>
      <c r="EQ46">
        <v>1.8701700000000001</v>
      </c>
      <c r="ER46">
        <v>1.86941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-0.23</v>
      </c>
      <c r="FG46">
        <v>0.17530000000000001</v>
      </c>
      <c r="FH46">
        <v>0.28746640474027818</v>
      </c>
      <c r="FI46">
        <v>-6.1462078757559423E-4</v>
      </c>
      <c r="FJ46">
        <v>-1.8861989874597051E-7</v>
      </c>
      <c r="FK46">
        <v>1.1980462299894961E-10</v>
      </c>
      <c r="FL46">
        <v>0.17524818673008091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14.3</v>
      </c>
      <c r="FU46">
        <v>14.3</v>
      </c>
      <c r="FV46">
        <v>1.79199</v>
      </c>
      <c r="FW46">
        <v>2.5793499999999998</v>
      </c>
      <c r="FX46">
        <v>1.5490699999999999</v>
      </c>
      <c r="FY46">
        <v>2.3315399999999999</v>
      </c>
      <c r="FZ46">
        <v>1.50146</v>
      </c>
      <c r="GA46">
        <v>2.3901400000000002</v>
      </c>
      <c r="GB46">
        <v>33.4681</v>
      </c>
      <c r="GC46">
        <v>23.982399999999998</v>
      </c>
      <c r="GD46">
        <v>19</v>
      </c>
      <c r="GE46">
        <v>277.452</v>
      </c>
      <c r="GF46">
        <v>599.53200000000004</v>
      </c>
      <c r="GG46">
        <v>20.0122</v>
      </c>
      <c r="GH46">
        <v>26.495799999999999</v>
      </c>
      <c r="GI46">
        <v>30.0002</v>
      </c>
      <c r="GJ46">
        <v>26.5061</v>
      </c>
      <c r="GK46">
        <v>26.444500000000001</v>
      </c>
      <c r="GL46">
        <v>35.8337</v>
      </c>
      <c r="GM46">
        <v>30.046399999999998</v>
      </c>
      <c r="GN46">
        <v>100</v>
      </c>
      <c r="GO46">
        <v>20.0062</v>
      </c>
      <c r="GP46">
        <v>800</v>
      </c>
      <c r="GQ46">
        <v>18.3917</v>
      </c>
      <c r="GR46">
        <v>99.705200000000005</v>
      </c>
      <c r="GS46">
        <v>99.516099999999994</v>
      </c>
    </row>
    <row r="47" spans="1:201" x14ac:dyDescent="0.25">
      <c r="A47">
        <v>31</v>
      </c>
      <c r="B47">
        <v>1690382825.5999999</v>
      </c>
      <c r="C47">
        <v>350.5</v>
      </c>
      <c r="D47" t="s">
        <v>393</v>
      </c>
      <c r="E47" t="s">
        <v>394</v>
      </c>
      <c r="F47" t="s">
        <v>330</v>
      </c>
      <c r="H47">
        <v>1690382825.5999999</v>
      </c>
      <c r="I47">
        <f t="shared" si="0"/>
        <v>4.3923525980717469E-4</v>
      </c>
      <c r="J47">
        <f t="shared" si="1"/>
        <v>0.4392352598071747</v>
      </c>
      <c r="K47">
        <f t="shared" si="2"/>
        <v>4.4035568396157609</v>
      </c>
      <c r="L47">
        <f t="shared" si="3"/>
        <v>748.45899999999995</v>
      </c>
      <c r="M47">
        <f t="shared" si="4"/>
        <v>502.50615942860981</v>
      </c>
      <c r="N47">
        <f t="shared" si="5"/>
        <v>49.639620211130214</v>
      </c>
      <c r="O47">
        <f t="shared" si="6"/>
        <v>73.93585094727699</v>
      </c>
      <c r="P47">
        <f t="shared" si="7"/>
        <v>3.0644110319078242E-2</v>
      </c>
      <c r="Q47">
        <f t="shared" si="8"/>
        <v>2.1077133292377206</v>
      </c>
      <c r="R47">
        <f t="shared" si="9"/>
        <v>3.0398730132666016E-2</v>
      </c>
      <c r="S47">
        <f t="shared" si="10"/>
        <v>1.9021088889044625E-2</v>
      </c>
      <c r="T47">
        <f t="shared" si="11"/>
        <v>276.11488230990949</v>
      </c>
      <c r="U47">
        <f t="shared" si="12"/>
        <v>27.339146161561899</v>
      </c>
      <c r="V47">
        <f t="shared" si="13"/>
        <v>27.339146161561899</v>
      </c>
      <c r="W47">
        <f t="shared" si="14"/>
        <v>3.6510754425594305</v>
      </c>
      <c r="X47">
        <f t="shared" si="15"/>
        <v>70.075199834886092</v>
      </c>
      <c r="Y47">
        <f t="shared" si="16"/>
        <v>2.2664827024114</v>
      </c>
      <c r="Z47">
        <f t="shared" si="17"/>
        <v>3.2343578152495813</v>
      </c>
      <c r="AA47">
        <f t="shared" si="18"/>
        <v>1.3845927401480305</v>
      </c>
      <c r="AB47">
        <f t="shared" si="19"/>
        <v>-19.370274957496402</v>
      </c>
      <c r="AC47">
        <f t="shared" si="20"/>
        <v>-233.26704636317061</v>
      </c>
      <c r="AD47">
        <f t="shared" si="21"/>
        <v>-23.721038454352602</v>
      </c>
      <c r="AE47">
        <f t="shared" si="22"/>
        <v>-0.24347746511011792</v>
      </c>
      <c r="AF47">
        <v>0</v>
      </c>
      <c r="AG47">
        <v>0</v>
      </c>
      <c r="AH47">
        <f t="shared" si="23"/>
        <v>1</v>
      </c>
      <c r="AI47">
        <f t="shared" si="24"/>
        <v>0</v>
      </c>
      <c r="AJ47">
        <f t="shared" si="25"/>
        <v>52383.571564089238</v>
      </c>
      <c r="AK47">
        <f t="shared" si="26"/>
        <v>1799.99</v>
      </c>
      <c r="AL47">
        <f t="shared" si="27"/>
        <v>1499.1017996103999</v>
      </c>
      <c r="AM47">
        <f t="shared" si="28"/>
        <v>0.83283895999999991</v>
      </c>
      <c r="AN47">
        <f t="shared" si="29"/>
        <v>0.15339800905000001</v>
      </c>
      <c r="AO47">
        <v>32.700000000000003</v>
      </c>
      <c r="AP47">
        <v>0.5</v>
      </c>
      <c r="AQ47" t="s">
        <v>331</v>
      </c>
      <c r="AR47">
        <v>2</v>
      </c>
      <c r="AS47">
        <v>1690382825.5999999</v>
      </c>
      <c r="AT47">
        <v>748.45899999999995</v>
      </c>
      <c r="AU47">
        <v>800.02</v>
      </c>
      <c r="AV47">
        <v>22.9438</v>
      </c>
      <c r="AW47">
        <v>18.267900000000001</v>
      </c>
      <c r="AX47">
        <v>748.68700000000001</v>
      </c>
      <c r="AY47">
        <v>22.7685</v>
      </c>
      <c r="AZ47">
        <v>300.12299999999999</v>
      </c>
      <c r="BA47">
        <v>98.684100000000001</v>
      </c>
      <c r="BB47">
        <v>0.10000299999999999</v>
      </c>
      <c r="BC47">
        <v>25.286300000000001</v>
      </c>
      <c r="BD47">
        <v>27.7544</v>
      </c>
      <c r="BE47">
        <v>26.979500000000002</v>
      </c>
      <c r="BF47">
        <v>0</v>
      </c>
      <c r="BG47">
        <v>0</v>
      </c>
      <c r="BH47">
        <v>9980.6200000000008</v>
      </c>
      <c r="BI47">
        <v>1061.33</v>
      </c>
      <c r="BJ47">
        <v>2.4108399999999999</v>
      </c>
      <c r="BK47">
        <v>-51.5608</v>
      </c>
      <c r="BL47">
        <v>766.03499999999997</v>
      </c>
      <c r="BM47">
        <v>814.90700000000004</v>
      </c>
      <c r="BN47">
        <v>4.6758199999999999</v>
      </c>
      <c r="BO47">
        <v>800.02</v>
      </c>
      <c r="BP47">
        <v>18.267900000000001</v>
      </c>
      <c r="BQ47">
        <v>2.2641800000000001</v>
      </c>
      <c r="BR47">
        <v>1.8027500000000001</v>
      </c>
      <c r="BS47">
        <v>19.4238</v>
      </c>
      <c r="BT47">
        <v>15.810700000000001</v>
      </c>
      <c r="BU47">
        <v>1799.99</v>
      </c>
      <c r="BV47">
        <v>0.90998000000000001</v>
      </c>
      <c r="BW47">
        <v>3.3999799999999997E-2</v>
      </c>
      <c r="BX47">
        <v>2.2007499999999999E-2</v>
      </c>
      <c r="BY47">
        <v>3.4012500000000001E-2</v>
      </c>
      <c r="BZ47">
        <v>25</v>
      </c>
      <c r="CA47">
        <v>33528.1</v>
      </c>
      <c r="CB47">
        <v>1690381960.0999999</v>
      </c>
      <c r="CC47" t="s">
        <v>332</v>
      </c>
      <c r="CD47">
        <v>1690381960.0999999</v>
      </c>
      <c r="CE47">
        <v>1690381958.0999999</v>
      </c>
      <c r="CF47">
        <v>4</v>
      </c>
      <c r="CG47">
        <v>9.9000000000000005E-2</v>
      </c>
      <c r="CH47">
        <v>1.2E-2</v>
      </c>
      <c r="CI47">
        <v>-0.26300000000000001</v>
      </c>
      <c r="CJ47">
        <v>0.127</v>
      </c>
      <c r="CK47">
        <v>798</v>
      </c>
      <c r="CL47">
        <v>18</v>
      </c>
      <c r="CM47">
        <v>0.02</v>
      </c>
      <c r="CN47">
        <v>0.12</v>
      </c>
      <c r="CO47">
        <v>-48.243899999999996</v>
      </c>
      <c r="CP47">
        <v>-17.586774484052501</v>
      </c>
      <c r="CQ47">
        <v>1.692191118195578</v>
      </c>
      <c r="CR47">
        <v>-1</v>
      </c>
      <c r="CS47">
        <v>4.3844469999999998</v>
      </c>
      <c r="CT47">
        <v>1.4232285928705339</v>
      </c>
      <c r="CU47">
        <v>0.13726496811277081</v>
      </c>
      <c r="CV47">
        <v>-1</v>
      </c>
      <c r="CW47">
        <v>0</v>
      </c>
      <c r="CX47">
        <v>0</v>
      </c>
      <c r="CY47" t="s">
        <v>333</v>
      </c>
      <c r="CZ47">
        <v>2.3640599999999998</v>
      </c>
      <c r="DA47">
        <v>2.7137799999999999</v>
      </c>
      <c r="DB47">
        <v>0.13975199999999999</v>
      </c>
      <c r="DC47">
        <v>0.145733</v>
      </c>
      <c r="DD47">
        <v>0.109904</v>
      </c>
      <c r="DE47">
        <v>9.2135599999999998E-2</v>
      </c>
      <c r="DF47">
        <v>31401</v>
      </c>
      <c r="DG47">
        <v>27516.5</v>
      </c>
      <c r="DH47">
        <v>31162.7</v>
      </c>
      <c r="DI47">
        <v>28067.599999999999</v>
      </c>
      <c r="DJ47">
        <v>37658.800000000003</v>
      </c>
      <c r="DK47">
        <v>36231.599999999999</v>
      </c>
      <c r="DL47">
        <v>44346.3</v>
      </c>
      <c r="DM47">
        <v>42540</v>
      </c>
      <c r="DN47">
        <v>1.46235</v>
      </c>
      <c r="DO47">
        <v>2.0540500000000002</v>
      </c>
      <c r="DP47">
        <v>0.167433</v>
      </c>
      <c r="DQ47">
        <v>0.13671800000000001</v>
      </c>
      <c r="DR47">
        <v>25.013500000000001</v>
      </c>
      <c r="DS47">
        <v>24.7394</v>
      </c>
      <c r="DT47">
        <v>58.1</v>
      </c>
      <c r="DU47">
        <v>28.7</v>
      </c>
      <c r="DV47">
        <v>23.270399999999999</v>
      </c>
      <c r="DW47">
        <v>61.332999999999998</v>
      </c>
      <c r="DX47">
        <v>35.520800000000001</v>
      </c>
      <c r="DY47">
        <v>1</v>
      </c>
      <c r="DZ47">
        <v>-7.0012699999999997E-2</v>
      </c>
      <c r="EA47">
        <v>2.6895899999999999</v>
      </c>
      <c r="EB47">
        <v>20.165299999999998</v>
      </c>
      <c r="EC47">
        <v>5.2411000000000003</v>
      </c>
      <c r="ED47">
        <v>12.039899999999999</v>
      </c>
      <c r="EE47">
        <v>5.0168999999999997</v>
      </c>
      <c r="EF47">
        <v>3.2879700000000001</v>
      </c>
      <c r="EG47">
        <v>9999</v>
      </c>
      <c r="EH47">
        <v>9999</v>
      </c>
      <c r="EI47">
        <v>9999</v>
      </c>
      <c r="EJ47">
        <v>999.9</v>
      </c>
      <c r="EK47">
        <v>1.8689</v>
      </c>
      <c r="EL47">
        <v>1.86463</v>
      </c>
      <c r="EM47">
        <v>1.8692</v>
      </c>
      <c r="EN47">
        <v>1.8672299999999999</v>
      </c>
      <c r="EO47">
        <v>1.8633999999999999</v>
      </c>
      <c r="EP47">
        <v>1.8644700000000001</v>
      </c>
      <c r="EQ47">
        <v>1.8701700000000001</v>
      </c>
      <c r="ER47">
        <v>1.8694299999999999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-0.22800000000000001</v>
      </c>
      <c r="FG47">
        <v>0.17530000000000001</v>
      </c>
      <c r="FH47">
        <v>0.28746640474027818</v>
      </c>
      <c r="FI47">
        <v>-6.1462078757559423E-4</v>
      </c>
      <c r="FJ47">
        <v>-1.8861989874597051E-7</v>
      </c>
      <c r="FK47">
        <v>1.1980462299894961E-10</v>
      </c>
      <c r="FL47">
        <v>0.17524818673008091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14.4</v>
      </c>
      <c r="FU47">
        <v>14.5</v>
      </c>
      <c r="FV47">
        <v>1.79199</v>
      </c>
      <c r="FW47">
        <v>2.5732400000000002</v>
      </c>
      <c r="FX47">
        <v>1.5490699999999999</v>
      </c>
      <c r="FY47">
        <v>2.3315399999999999</v>
      </c>
      <c r="FZ47">
        <v>1.50146</v>
      </c>
      <c r="GA47">
        <v>2.3584000000000001</v>
      </c>
      <c r="GB47">
        <v>33.4681</v>
      </c>
      <c r="GC47">
        <v>23.973700000000001</v>
      </c>
      <c r="GD47">
        <v>19</v>
      </c>
      <c r="GE47">
        <v>277.69200000000001</v>
      </c>
      <c r="GF47">
        <v>599.16300000000001</v>
      </c>
      <c r="GG47">
        <v>19.9924</v>
      </c>
      <c r="GH47">
        <v>26.491599999999998</v>
      </c>
      <c r="GI47">
        <v>30</v>
      </c>
      <c r="GJ47">
        <v>26.507999999999999</v>
      </c>
      <c r="GK47">
        <v>26.447299999999998</v>
      </c>
      <c r="GL47">
        <v>35.8322</v>
      </c>
      <c r="GM47">
        <v>31.484300000000001</v>
      </c>
      <c r="GN47">
        <v>99.627600000000001</v>
      </c>
      <c r="GO47">
        <v>19.9802</v>
      </c>
      <c r="GP47">
        <v>800</v>
      </c>
      <c r="GQ47">
        <v>18.066800000000001</v>
      </c>
      <c r="GR47">
        <v>99.7059</v>
      </c>
      <c r="GS47">
        <v>99.516499999999994</v>
      </c>
    </row>
    <row r="48" spans="1:201" x14ac:dyDescent="0.25">
      <c r="A48">
        <v>32</v>
      </c>
      <c r="B48">
        <v>1690382835.5999999</v>
      </c>
      <c r="C48">
        <v>360.5</v>
      </c>
      <c r="D48" t="s">
        <v>395</v>
      </c>
      <c r="E48" t="s">
        <v>396</v>
      </c>
      <c r="F48" t="s">
        <v>330</v>
      </c>
      <c r="H48">
        <v>1690382835.5999999</v>
      </c>
      <c r="I48">
        <f t="shared" si="0"/>
        <v>4.5591715862116613E-4</v>
      </c>
      <c r="J48">
        <f t="shared" si="1"/>
        <v>0.45591715862116611</v>
      </c>
      <c r="K48">
        <f t="shared" si="2"/>
        <v>4.658122193189155</v>
      </c>
      <c r="L48">
        <f t="shared" si="3"/>
        <v>745.62099999999998</v>
      </c>
      <c r="M48">
        <f t="shared" si="4"/>
        <v>496.29655606407795</v>
      </c>
      <c r="N48">
        <f t="shared" si="5"/>
        <v>49.027526787542392</v>
      </c>
      <c r="O48">
        <f t="shared" si="6"/>
        <v>73.657479795475993</v>
      </c>
      <c r="P48">
        <f t="shared" si="7"/>
        <v>3.1937813469412081E-2</v>
      </c>
      <c r="Q48">
        <f t="shared" si="8"/>
        <v>2.1092539062121487</v>
      </c>
      <c r="R48">
        <f t="shared" si="9"/>
        <v>3.1671567548670232E-2</v>
      </c>
      <c r="S48">
        <f t="shared" si="10"/>
        <v>1.9818465758456964E-2</v>
      </c>
      <c r="T48">
        <f t="shared" si="11"/>
        <v>276.11316874581445</v>
      </c>
      <c r="U48">
        <f t="shared" si="12"/>
        <v>27.281686376635339</v>
      </c>
      <c r="V48">
        <f t="shared" si="13"/>
        <v>27.281686376635339</v>
      </c>
      <c r="W48">
        <f t="shared" si="14"/>
        <v>3.6388031244729908</v>
      </c>
      <c r="X48">
        <f t="shared" si="15"/>
        <v>70.059519723820117</v>
      </c>
      <c r="Y48">
        <f t="shared" si="16"/>
        <v>2.2592037163419998</v>
      </c>
      <c r="Z48">
        <f t="shared" si="17"/>
        <v>3.2246919836846586</v>
      </c>
      <c r="AA48">
        <f t="shared" si="18"/>
        <v>1.379599408130991</v>
      </c>
      <c r="AB48">
        <f t="shared" si="19"/>
        <v>-20.105946695193428</v>
      </c>
      <c r="AC48">
        <f t="shared" si="20"/>
        <v>-232.62337822905479</v>
      </c>
      <c r="AD48">
        <f t="shared" si="21"/>
        <v>-23.62554066471634</v>
      </c>
      <c r="AE48">
        <f t="shared" si="22"/>
        <v>-0.24169684315012319</v>
      </c>
      <c r="AF48">
        <v>0</v>
      </c>
      <c r="AG48">
        <v>0</v>
      </c>
      <c r="AH48">
        <f t="shared" si="23"/>
        <v>1</v>
      </c>
      <c r="AI48">
        <f t="shared" si="24"/>
        <v>0</v>
      </c>
      <c r="AJ48">
        <f t="shared" si="25"/>
        <v>52459.915787264821</v>
      </c>
      <c r="AK48">
        <f t="shared" si="26"/>
        <v>1799.98</v>
      </c>
      <c r="AL48">
        <f t="shared" si="27"/>
        <v>1499.09502460354</v>
      </c>
      <c r="AM48">
        <f t="shared" si="28"/>
        <v>0.83283982299999992</v>
      </c>
      <c r="AN48">
        <f t="shared" si="29"/>
        <v>0.15339790928000002</v>
      </c>
      <c r="AO48">
        <v>32.700000000000003</v>
      </c>
      <c r="AP48">
        <v>0.5</v>
      </c>
      <c r="AQ48" t="s">
        <v>331</v>
      </c>
      <c r="AR48">
        <v>2</v>
      </c>
      <c r="AS48">
        <v>1690382835.5999999</v>
      </c>
      <c r="AT48">
        <v>745.62099999999998</v>
      </c>
      <c r="AU48">
        <v>800.05</v>
      </c>
      <c r="AV48">
        <v>22.869499999999999</v>
      </c>
      <c r="AW48">
        <v>18.0181</v>
      </c>
      <c r="AX48">
        <v>745.84699999999998</v>
      </c>
      <c r="AY48">
        <v>22.694299999999998</v>
      </c>
      <c r="AZ48">
        <v>300.27499999999998</v>
      </c>
      <c r="BA48">
        <v>98.686700000000002</v>
      </c>
      <c r="BB48">
        <v>0.10005600000000001</v>
      </c>
      <c r="BC48">
        <v>25.236000000000001</v>
      </c>
      <c r="BD48">
        <v>27.662700000000001</v>
      </c>
      <c r="BE48">
        <v>26.949400000000001</v>
      </c>
      <c r="BF48">
        <v>0</v>
      </c>
      <c r="BG48">
        <v>0</v>
      </c>
      <c r="BH48">
        <v>9993.75</v>
      </c>
      <c r="BI48">
        <v>1060.6400000000001</v>
      </c>
      <c r="BJ48">
        <v>2.3730000000000002</v>
      </c>
      <c r="BK48">
        <v>-54.429400000000001</v>
      </c>
      <c r="BL48">
        <v>763.072</v>
      </c>
      <c r="BM48">
        <v>814.73</v>
      </c>
      <c r="BN48">
        <v>4.8514400000000002</v>
      </c>
      <c r="BO48">
        <v>800.05</v>
      </c>
      <c r="BP48">
        <v>18.0181</v>
      </c>
      <c r="BQ48">
        <v>2.25692</v>
      </c>
      <c r="BR48">
        <v>1.7781499999999999</v>
      </c>
      <c r="BS48">
        <v>19.372199999999999</v>
      </c>
      <c r="BT48">
        <v>15.596</v>
      </c>
      <c r="BU48">
        <v>1799.98</v>
      </c>
      <c r="BV48">
        <v>0.90998699999999999</v>
      </c>
      <c r="BW48">
        <v>3.3997300000000001E-2</v>
      </c>
      <c r="BX48">
        <v>2.2005899999999998E-2</v>
      </c>
      <c r="BY48">
        <v>3.4009999999999999E-2</v>
      </c>
      <c r="BZ48">
        <v>25</v>
      </c>
      <c r="CA48">
        <v>33528</v>
      </c>
      <c r="CB48">
        <v>1690381960.0999999</v>
      </c>
      <c r="CC48" t="s">
        <v>332</v>
      </c>
      <c r="CD48">
        <v>1690381960.0999999</v>
      </c>
      <c r="CE48">
        <v>1690381958.0999999</v>
      </c>
      <c r="CF48">
        <v>4</v>
      </c>
      <c r="CG48">
        <v>9.9000000000000005E-2</v>
      </c>
      <c r="CH48">
        <v>1.2E-2</v>
      </c>
      <c r="CI48">
        <v>-0.26300000000000001</v>
      </c>
      <c r="CJ48">
        <v>0.127</v>
      </c>
      <c r="CK48">
        <v>798</v>
      </c>
      <c r="CL48">
        <v>18</v>
      </c>
      <c r="CM48">
        <v>0.02</v>
      </c>
      <c r="CN48">
        <v>0.12</v>
      </c>
      <c r="CO48">
        <v>-51.225299999999997</v>
      </c>
      <c r="CP48">
        <v>-17.355175609756149</v>
      </c>
      <c r="CQ48">
        <v>1.711451338455884</v>
      </c>
      <c r="CR48">
        <v>-1</v>
      </c>
      <c r="CS48">
        <v>4.6291741463414633</v>
      </c>
      <c r="CT48">
        <v>1.4349411846689879</v>
      </c>
      <c r="CU48">
        <v>0.14229383400205009</v>
      </c>
      <c r="CV48">
        <v>-1</v>
      </c>
      <c r="CW48">
        <v>0</v>
      </c>
      <c r="CX48">
        <v>0</v>
      </c>
      <c r="CY48" t="s">
        <v>333</v>
      </c>
      <c r="CZ48">
        <v>2.3645499999999999</v>
      </c>
      <c r="DA48">
        <v>2.7138399999999998</v>
      </c>
      <c r="DB48">
        <v>0.13939499999999999</v>
      </c>
      <c r="DC48">
        <v>0.145734</v>
      </c>
      <c r="DD48">
        <v>0.109654</v>
      </c>
      <c r="DE48">
        <v>9.1231599999999996E-2</v>
      </c>
      <c r="DF48">
        <v>31414.400000000001</v>
      </c>
      <c r="DG48">
        <v>27517</v>
      </c>
      <c r="DH48">
        <v>31163.1</v>
      </c>
      <c r="DI48">
        <v>28068.1</v>
      </c>
      <c r="DJ48">
        <v>37669.800000000003</v>
      </c>
      <c r="DK48">
        <v>36268.400000000001</v>
      </c>
      <c r="DL48">
        <v>44346.7</v>
      </c>
      <c r="DM48">
        <v>42540.7</v>
      </c>
      <c r="DN48">
        <v>1.4629000000000001</v>
      </c>
      <c r="DO48">
        <v>2.05335</v>
      </c>
      <c r="DP48">
        <v>0.16428499999999999</v>
      </c>
      <c r="DQ48">
        <v>0.13727700000000001</v>
      </c>
      <c r="DR48">
        <v>24.972899999999999</v>
      </c>
      <c r="DS48">
        <v>24.700099999999999</v>
      </c>
      <c r="DT48">
        <v>58.1</v>
      </c>
      <c r="DU48">
        <v>28.7</v>
      </c>
      <c r="DV48">
        <v>23.268999999999998</v>
      </c>
      <c r="DW48">
        <v>61.203000000000003</v>
      </c>
      <c r="DX48">
        <v>35.3245</v>
      </c>
      <c r="DY48">
        <v>1</v>
      </c>
      <c r="DZ48">
        <v>-6.99848E-2</v>
      </c>
      <c r="EA48">
        <v>2.7044899999999998</v>
      </c>
      <c r="EB48">
        <v>20.164999999999999</v>
      </c>
      <c r="EC48">
        <v>5.2409499999999998</v>
      </c>
      <c r="ED48">
        <v>12.039899999999999</v>
      </c>
      <c r="EE48">
        <v>5.0164499999999999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</v>
      </c>
      <c r="EL48">
        <v>1.86463</v>
      </c>
      <c r="EM48">
        <v>1.86921</v>
      </c>
      <c r="EN48">
        <v>1.8672200000000001</v>
      </c>
      <c r="EO48">
        <v>1.8633999999999999</v>
      </c>
      <c r="EP48">
        <v>1.8644700000000001</v>
      </c>
      <c r="EQ48">
        <v>1.87019</v>
      </c>
      <c r="ER48">
        <v>1.86941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-0.22600000000000001</v>
      </c>
      <c r="FG48">
        <v>0.17519999999999999</v>
      </c>
      <c r="FH48">
        <v>0.28746640474027818</v>
      </c>
      <c r="FI48">
        <v>-6.1462078757559423E-4</v>
      </c>
      <c r="FJ48">
        <v>-1.8861989874597051E-7</v>
      </c>
      <c r="FK48">
        <v>1.1980462299894961E-10</v>
      </c>
      <c r="FL48">
        <v>0.17524818673008091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14.6</v>
      </c>
      <c r="FU48">
        <v>14.6</v>
      </c>
      <c r="FV48">
        <v>1.79199</v>
      </c>
      <c r="FW48">
        <v>2.5695800000000002</v>
      </c>
      <c r="FX48">
        <v>1.5490699999999999</v>
      </c>
      <c r="FY48">
        <v>2.3315399999999999</v>
      </c>
      <c r="FZ48">
        <v>1.50146</v>
      </c>
      <c r="GA48">
        <v>2.4011200000000001</v>
      </c>
      <c r="GB48">
        <v>33.4681</v>
      </c>
      <c r="GC48">
        <v>23.973700000000001</v>
      </c>
      <c r="GD48">
        <v>19</v>
      </c>
      <c r="GE48">
        <v>277.93400000000003</v>
      </c>
      <c r="GF48">
        <v>598.62300000000005</v>
      </c>
      <c r="GG48">
        <v>19.963200000000001</v>
      </c>
      <c r="GH48">
        <v>26.487100000000002</v>
      </c>
      <c r="GI48">
        <v>30.0001</v>
      </c>
      <c r="GJ48">
        <v>26.510300000000001</v>
      </c>
      <c r="GK48">
        <v>26.451599999999999</v>
      </c>
      <c r="GL48">
        <v>35.829599999999999</v>
      </c>
      <c r="GM48">
        <v>32.067500000000003</v>
      </c>
      <c r="GN48">
        <v>99.627600000000001</v>
      </c>
      <c r="GO48">
        <v>19.9466</v>
      </c>
      <c r="GP48">
        <v>800</v>
      </c>
      <c r="GQ48">
        <v>17.844100000000001</v>
      </c>
      <c r="GR48">
        <v>99.706800000000001</v>
      </c>
      <c r="GS48">
        <v>99.518299999999996</v>
      </c>
    </row>
    <row r="49" spans="1:201" x14ac:dyDescent="0.25">
      <c r="A49">
        <v>33</v>
      </c>
      <c r="B49">
        <v>1690382845.5999999</v>
      </c>
      <c r="C49">
        <v>370.5</v>
      </c>
      <c r="D49" t="s">
        <v>397</v>
      </c>
      <c r="E49" t="s">
        <v>398</v>
      </c>
      <c r="F49" t="s">
        <v>330</v>
      </c>
      <c r="H49">
        <v>1690382845.5999999</v>
      </c>
      <c r="I49">
        <f t="shared" si="0"/>
        <v>4.713949899384456E-4</v>
      </c>
      <c r="J49">
        <f t="shared" si="1"/>
        <v>0.47139498993844559</v>
      </c>
      <c r="K49">
        <f t="shared" si="2"/>
        <v>4.9086053096830353</v>
      </c>
      <c r="L49">
        <f t="shared" si="3"/>
        <v>742.822</v>
      </c>
      <c r="M49">
        <f t="shared" si="4"/>
        <v>489.07903998878066</v>
      </c>
      <c r="N49">
        <f t="shared" si="5"/>
        <v>48.314572870725286</v>
      </c>
      <c r="O49">
        <f t="shared" si="6"/>
        <v>73.381038062480016</v>
      </c>
      <c r="P49">
        <f t="shared" si="7"/>
        <v>3.3026544879632913E-2</v>
      </c>
      <c r="Q49">
        <f t="shared" si="8"/>
        <v>2.1094700229492389</v>
      </c>
      <c r="R49">
        <f t="shared" si="9"/>
        <v>3.2741953557572798E-2</v>
      </c>
      <c r="S49">
        <f t="shared" si="10"/>
        <v>2.0489085878987519E-2</v>
      </c>
      <c r="T49">
        <f t="shared" si="11"/>
        <v>276.11445731427062</v>
      </c>
      <c r="U49">
        <f t="shared" si="12"/>
        <v>27.239820512332695</v>
      </c>
      <c r="V49">
        <f t="shared" si="13"/>
        <v>27.239820512332695</v>
      </c>
      <c r="W49">
        <f t="shared" si="14"/>
        <v>3.6298840590923409</v>
      </c>
      <c r="X49">
        <f t="shared" si="15"/>
        <v>69.923449748358095</v>
      </c>
      <c r="Y49">
        <f t="shared" si="16"/>
        <v>2.2499493104720005</v>
      </c>
      <c r="Z49">
        <f t="shared" si="17"/>
        <v>3.2177321321661947</v>
      </c>
      <c r="AA49">
        <f t="shared" si="18"/>
        <v>1.3799347486203404</v>
      </c>
      <c r="AB49">
        <f t="shared" si="19"/>
        <v>-20.788519056285452</v>
      </c>
      <c r="AC49">
        <f t="shared" si="20"/>
        <v>-232.01423102473254</v>
      </c>
      <c r="AD49">
        <f t="shared" si="21"/>
        <v>-23.552029290650946</v>
      </c>
      <c r="AE49">
        <f t="shared" si="22"/>
        <v>-0.24032205739831625</v>
      </c>
      <c r="AF49">
        <v>0</v>
      </c>
      <c r="AG49">
        <v>0</v>
      </c>
      <c r="AH49">
        <f t="shared" si="23"/>
        <v>1</v>
      </c>
      <c r="AI49">
        <f t="shared" si="24"/>
        <v>0</v>
      </c>
      <c r="AJ49">
        <f t="shared" si="25"/>
        <v>52475.772227353496</v>
      </c>
      <c r="AK49">
        <f t="shared" si="26"/>
        <v>1799.99</v>
      </c>
      <c r="AL49">
        <f t="shared" si="27"/>
        <v>1499.1039397985098</v>
      </c>
      <c r="AM49">
        <f t="shared" si="28"/>
        <v>0.83284014899999992</v>
      </c>
      <c r="AN49">
        <f t="shared" si="29"/>
        <v>0.15339777294000001</v>
      </c>
      <c r="AO49">
        <v>32.700000000000003</v>
      </c>
      <c r="AP49">
        <v>0.5</v>
      </c>
      <c r="AQ49" t="s">
        <v>331</v>
      </c>
      <c r="AR49">
        <v>2</v>
      </c>
      <c r="AS49">
        <v>1690382845.5999999</v>
      </c>
      <c r="AT49">
        <v>742.822</v>
      </c>
      <c r="AU49">
        <v>800.10400000000004</v>
      </c>
      <c r="AV49">
        <v>22.7758</v>
      </c>
      <c r="AW49">
        <v>17.757999999999999</v>
      </c>
      <c r="AX49">
        <v>743.04600000000005</v>
      </c>
      <c r="AY49">
        <v>22.6006</v>
      </c>
      <c r="AZ49">
        <v>300.202</v>
      </c>
      <c r="BA49">
        <v>98.686800000000005</v>
      </c>
      <c r="BB49">
        <v>0.10004</v>
      </c>
      <c r="BC49">
        <v>25.1997</v>
      </c>
      <c r="BD49">
        <v>27.590900000000001</v>
      </c>
      <c r="BE49">
        <v>26.8627</v>
      </c>
      <c r="BF49">
        <v>0</v>
      </c>
      <c r="BG49">
        <v>0</v>
      </c>
      <c r="BH49">
        <v>9995.6200000000008</v>
      </c>
      <c r="BI49">
        <v>1059.93</v>
      </c>
      <c r="BJ49">
        <v>2.4108399999999999</v>
      </c>
      <c r="BK49">
        <v>-57.282800000000002</v>
      </c>
      <c r="BL49">
        <v>760.13400000000001</v>
      </c>
      <c r="BM49">
        <v>814.57</v>
      </c>
      <c r="BN49">
        <v>5.0177800000000001</v>
      </c>
      <c r="BO49">
        <v>800.10400000000004</v>
      </c>
      <c r="BP49">
        <v>17.757999999999999</v>
      </c>
      <c r="BQ49">
        <v>2.2476699999999998</v>
      </c>
      <c r="BR49">
        <v>1.75248</v>
      </c>
      <c r="BS49">
        <v>19.3062</v>
      </c>
      <c r="BT49">
        <v>15.369300000000001</v>
      </c>
      <c r="BU49">
        <v>1799.99</v>
      </c>
      <c r="BV49">
        <v>0.90999200000000002</v>
      </c>
      <c r="BW49">
        <v>3.3995400000000002E-2</v>
      </c>
      <c r="BX49">
        <v>2.2004699999999999E-2</v>
      </c>
      <c r="BY49">
        <v>3.4007999999999997E-2</v>
      </c>
      <c r="BZ49">
        <v>25</v>
      </c>
      <c r="CA49">
        <v>33528.199999999997</v>
      </c>
      <c r="CB49">
        <v>1690381960.0999999</v>
      </c>
      <c r="CC49" t="s">
        <v>332</v>
      </c>
      <c r="CD49">
        <v>1690381960.0999999</v>
      </c>
      <c r="CE49">
        <v>1690381958.0999999</v>
      </c>
      <c r="CF49">
        <v>4</v>
      </c>
      <c r="CG49">
        <v>9.9000000000000005E-2</v>
      </c>
      <c r="CH49">
        <v>1.2E-2</v>
      </c>
      <c r="CI49">
        <v>-0.26300000000000001</v>
      </c>
      <c r="CJ49">
        <v>0.127</v>
      </c>
      <c r="CK49">
        <v>798</v>
      </c>
      <c r="CL49">
        <v>18</v>
      </c>
      <c r="CM49">
        <v>0.02</v>
      </c>
      <c r="CN49">
        <v>0.12</v>
      </c>
      <c r="CO49">
        <v>-54.121956097560982</v>
      </c>
      <c r="CP49">
        <v>-17.221580487804939</v>
      </c>
      <c r="CQ49">
        <v>1.6982820987259639</v>
      </c>
      <c r="CR49">
        <v>-1</v>
      </c>
      <c r="CS49">
        <v>4.8290353658536587</v>
      </c>
      <c r="CT49">
        <v>0.94150076655053172</v>
      </c>
      <c r="CU49">
        <v>9.3372238160025364E-2</v>
      </c>
      <c r="CV49">
        <v>-1</v>
      </c>
      <c r="CW49">
        <v>0</v>
      </c>
      <c r="CX49">
        <v>0</v>
      </c>
      <c r="CY49" t="s">
        <v>333</v>
      </c>
      <c r="CZ49">
        <v>2.3643399999999999</v>
      </c>
      <c r="DA49">
        <v>2.7138300000000002</v>
      </c>
      <c r="DB49">
        <v>0.139039</v>
      </c>
      <c r="DC49">
        <v>0.145735</v>
      </c>
      <c r="DD49">
        <v>0.109334</v>
      </c>
      <c r="DE49">
        <v>9.0283299999999997E-2</v>
      </c>
      <c r="DF49">
        <v>31427.3</v>
      </c>
      <c r="DG49">
        <v>27516.7</v>
      </c>
      <c r="DH49">
        <v>31163</v>
      </c>
      <c r="DI49">
        <v>28067.8</v>
      </c>
      <c r="DJ49">
        <v>37683.300000000003</v>
      </c>
      <c r="DK49">
        <v>36306.199999999997</v>
      </c>
      <c r="DL49">
        <v>44346.6</v>
      </c>
      <c r="DM49">
        <v>42540.6</v>
      </c>
      <c r="DN49">
        <v>1.4624200000000001</v>
      </c>
      <c r="DO49">
        <v>2.0531999999999999</v>
      </c>
      <c r="DP49">
        <v>0.16229199999999999</v>
      </c>
      <c r="DQ49">
        <v>0.13427800000000001</v>
      </c>
      <c r="DR49">
        <v>24.933599999999998</v>
      </c>
      <c r="DS49">
        <v>24.662299999999998</v>
      </c>
      <c r="DT49">
        <v>58.1</v>
      </c>
      <c r="DU49">
        <v>28.7</v>
      </c>
      <c r="DV49">
        <v>23.2683</v>
      </c>
      <c r="DW49">
        <v>60.953000000000003</v>
      </c>
      <c r="DX49">
        <v>35.516800000000003</v>
      </c>
      <c r="DY49">
        <v>1</v>
      </c>
      <c r="DZ49">
        <v>-7.0190500000000003E-2</v>
      </c>
      <c r="EA49">
        <v>2.7349299999999999</v>
      </c>
      <c r="EB49">
        <v>20.164300000000001</v>
      </c>
      <c r="EC49">
        <v>5.24125</v>
      </c>
      <c r="ED49">
        <v>12.039899999999999</v>
      </c>
      <c r="EE49">
        <v>5.0176999999999996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</v>
      </c>
      <c r="EL49">
        <v>1.86463</v>
      </c>
      <c r="EM49">
        <v>1.8692</v>
      </c>
      <c r="EN49">
        <v>1.8672200000000001</v>
      </c>
      <c r="EO49">
        <v>1.8633900000000001</v>
      </c>
      <c r="EP49">
        <v>1.8644700000000001</v>
      </c>
      <c r="EQ49">
        <v>1.87016</v>
      </c>
      <c r="ER49">
        <v>1.8694299999999999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-0.224</v>
      </c>
      <c r="FG49">
        <v>0.17519999999999999</v>
      </c>
      <c r="FH49">
        <v>0.28746640474027818</v>
      </c>
      <c r="FI49">
        <v>-6.1462078757559423E-4</v>
      </c>
      <c r="FJ49">
        <v>-1.8861989874597051E-7</v>
      </c>
      <c r="FK49">
        <v>1.1980462299894961E-10</v>
      </c>
      <c r="FL49">
        <v>0.17524818673008091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14.8</v>
      </c>
      <c r="FU49">
        <v>14.8</v>
      </c>
      <c r="FV49">
        <v>1.79199</v>
      </c>
      <c r="FW49">
        <v>2.5744600000000002</v>
      </c>
      <c r="FX49">
        <v>1.5490699999999999</v>
      </c>
      <c r="FY49">
        <v>2.3315399999999999</v>
      </c>
      <c r="FZ49">
        <v>1.50146</v>
      </c>
      <c r="GA49">
        <v>2.4035600000000001</v>
      </c>
      <c r="GB49">
        <v>33.4681</v>
      </c>
      <c r="GC49">
        <v>23.973700000000001</v>
      </c>
      <c r="GD49">
        <v>19</v>
      </c>
      <c r="GE49">
        <v>277.73399999999998</v>
      </c>
      <c r="GF49">
        <v>598.52200000000005</v>
      </c>
      <c r="GG49">
        <v>19.9222</v>
      </c>
      <c r="GH49">
        <v>26.482399999999998</v>
      </c>
      <c r="GI49">
        <v>29.9998</v>
      </c>
      <c r="GJ49">
        <v>26.510300000000001</v>
      </c>
      <c r="GK49">
        <v>26.453800000000001</v>
      </c>
      <c r="GL49">
        <v>35.826700000000002</v>
      </c>
      <c r="GM49">
        <v>33.399299999999997</v>
      </c>
      <c r="GN49">
        <v>99.235100000000003</v>
      </c>
      <c r="GO49">
        <v>19.900600000000001</v>
      </c>
      <c r="GP49">
        <v>800</v>
      </c>
      <c r="GQ49">
        <v>17.551100000000002</v>
      </c>
      <c r="GR49">
        <v>99.706599999999995</v>
      </c>
      <c r="GS49">
        <v>99.517600000000002</v>
      </c>
    </row>
    <row r="50" spans="1:201" x14ac:dyDescent="0.25">
      <c r="A50">
        <v>34</v>
      </c>
      <c r="B50">
        <v>1690382855.5999999</v>
      </c>
      <c r="C50">
        <v>380.5</v>
      </c>
      <c r="D50" t="s">
        <v>399</v>
      </c>
      <c r="E50" t="s">
        <v>400</v>
      </c>
      <c r="F50" t="s">
        <v>330</v>
      </c>
      <c r="H50">
        <v>1690382855.5999999</v>
      </c>
      <c r="I50">
        <f t="shared" si="0"/>
        <v>4.8372678067829048E-4</v>
      </c>
      <c r="J50">
        <f t="shared" si="1"/>
        <v>0.4837267806782905</v>
      </c>
      <c r="K50">
        <f t="shared" si="2"/>
        <v>5.1483270983944989</v>
      </c>
      <c r="L50">
        <f t="shared" si="3"/>
        <v>740.09199999999998</v>
      </c>
      <c r="M50">
        <f t="shared" si="4"/>
        <v>480.990229389224</v>
      </c>
      <c r="N50">
        <f t="shared" si="5"/>
        <v>47.514036272868204</v>
      </c>
      <c r="O50">
        <f t="shared" si="6"/>
        <v>73.109090340385606</v>
      </c>
      <c r="P50">
        <f t="shared" si="7"/>
        <v>3.3872075570380675E-2</v>
      </c>
      <c r="Q50">
        <f t="shared" si="8"/>
        <v>2.1105127460430477</v>
      </c>
      <c r="R50">
        <f t="shared" si="9"/>
        <v>3.3572943451305147E-2</v>
      </c>
      <c r="S50">
        <f t="shared" si="10"/>
        <v>2.1009745218819657E-2</v>
      </c>
      <c r="T50">
        <f t="shared" si="11"/>
        <v>276.11414220802118</v>
      </c>
      <c r="U50">
        <f t="shared" si="12"/>
        <v>27.194633351143608</v>
      </c>
      <c r="V50">
        <f t="shared" si="13"/>
        <v>27.194633351143608</v>
      </c>
      <c r="W50">
        <f t="shared" si="14"/>
        <v>3.6202788448906325</v>
      </c>
      <c r="X50">
        <f t="shared" si="15"/>
        <v>69.75504368684777</v>
      </c>
      <c r="Y50">
        <f t="shared" si="16"/>
        <v>2.2391913656676801</v>
      </c>
      <c r="Z50">
        <f t="shared" si="17"/>
        <v>3.2100780779668221</v>
      </c>
      <c r="AA50">
        <f t="shared" si="18"/>
        <v>1.3810874792229524</v>
      </c>
      <c r="AB50">
        <f t="shared" si="19"/>
        <v>-21.332351027912612</v>
      </c>
      <c r="AC50">
        <f t="shared" si="20"/>
        <v>-231.53871160238606</v>
      </c>
      <c r="AD50">
        <f t="shared" si="21"/>
        <v>-23.482114350433964</v>
      </c>
      <c r="AE50">
        <f t="shared" si="22"/>
        <v>-0.2390347727114488</v>
      </c>
      <c r="AF50">
        <v>0</v>
      </c>
      <c r="AG50">
        <v>0</v>
      </c>
      <c r="AH50">
        <f t="shared" si="23"/>
        <v>1</v>
      </c>
      <c r="AI50">
        <f t="shared" si="24"/>
        <v>0</v>
      </c>
      <c r="AJ50">
        <f t="shared" si="25"/>
        <v>52528.451488631457</v>
      </c>
      <c r="AK50">
        <f t="shared" si="26"/>
        <v>1799.99</v>
      </c>
      <c r="AL50">
        <f t="shared" si="27"/>
        <v>1499.1042439968201</v>
      </c>
      <c r="AM50">
        <f t="shared" si="28"/>
        <v>0.83284031800000002</v>
      </c>
      <c r="AN50">
        <f t="shared" si="29"/>
        <v>0.15339759787999999</v>
      </c>
      <c r="AO50">
        <v>32.700000000000003</v>
      </c>
      <c r="AP50">
        <v>0.5</v>
      </c>
      <c r="AQ50" t="s">
        <v>331</v>
      </c>
      <c r="AR50">
        <v>2</v>
      </c>
      <c r="AS50">
        <v>1690382855.5999999</v>
      </c>
      <c r="AT50">
        <v>740.09199999999998</v>
      </c>
      <c r="AU50">
        <v>800.07600000000002</v>
      </c>
      <c r="AV50">
        <v>22.6676</v>
      </c>
      <c r="AW50">
        <v>17.517499999999998</v>
      </c>
      <c r="AX50">
        <v>740.31399999999996</v>
      </c>
      <c r="AY50">
        <v>22.4923</v>
      </c>
      <c r="AZ50">
        <v>300.17500000000001</v>
      </c>
      <c r="BA50">
        <v>98.683800000000005</v>
      </c>
      <c r="BB50">
        <v>9.9986800000000001E-2</v>
      </c>
      <c r="BC50">
        <v>25.159700000000001</v>
      </c>
      <c r="BD50">
        <v>27.569800000000001</v>
      </c>
      <c r="BE50">
        <v>26.855599999999999</v>
      </c>
      <c r="BF50">
        <v>0</v>
      </c>
      <c r="BG50">
        <v>0</v>
      </c>
      <c r="BH50">
        <v>10005</v>
      </c>
      <c r="BI50">
        <v>1059.1600000000001</v>
      </c>
      <c r="BJ50">
        <v>2.4108399999999999</v>
      </c>
      <c r="BK50">
        <v>-59.984099999999998</v>
      </c>
      <c r="BL50">
        <v>757.25699999999995</v>
      </c>
      <c r="BM50">
        <v>814.34100000000001</v>
      </c>
      <c r="BN50">
        <v>5.1500300000000001</v>
      </c>
      <c r="BO50">
        <v>800.07600000000002</v>
      </c>
      <c r="BP50">
        <v>17.517499999999998</v>
      </c>
      <c r="BQ50">
        <v>2.23692</v>
      </c>
      <c r="BR50">
        <v>1.7286999999999999</v>
      </c>
      <c r="BS50">
        <v>19.229199999999999</v>
      </c>
      <c r="BT50">
        <v>15.156499999999999</v>
      </c>
      <c r="BU50">
        <v>1799.99</v>
      </c>
      <c r="BV50">
        <v>0.90999699999999994</v>
      </c>
      <c r="BW50">
        <v>3.39934E-2</v>
      </c>
      <c r="BX50">
        <v>2.2003399999999999E-2</v>
      </c>
      <c r="BY50">
        <v>3.4006000000000002E-2</v>
      </c>
      <c r="BZ50">
        <v>25</v>
      </c>
      <c r="CA50">
        <v>33528.199999999997</v>
      </c>
      <c r="CB50">
        <v>1690381960.0999999</v>
      </c>
      <c r="CC50" t="s">
        <v>332</v>
      </c>
      <c r="CD50">
        <v>1690381960.0999999</v>
      </c>
      <c r="CE50">
        <v>1690381958.0999999</v>
      </c>
      <c r="CF50">
        <v>4</v>
      </c>
      <c r="CG50">
        <v>9.9000000000000005E-2</v>
      </c>
      <c r="CH50">
        <v>1.2E-2</v>
      </c>
      <c r="CI50">
        <v>-0.26300000000000001</v>
      </c>
      <c r="CJ50">
        <v>0.127</v>
      </c>
      <c r="CK50">
        <v>798</v>
      </c>
      <c r="CL50">
        <v>18</v>
      </c>
      <c r="CM50">
        <v>0.02</v>
      </c>
      <c r="CN50">
        <v>0.12</v>
      </c>
      <c r="CO50">
        <v>-57.153129999999997</v>
      </c>
      <c r="CP50">
        <v>-16.539858911819739</v>
      </c>
      <c r="CQ50">
        <v>1.5918487687591429</v>
      </c>
      <c r="CR50">
        <v>-1</v>
      </c>
      <c r="CS50">
        <v>5.0031914999999998</v>
      </c>
      <c r="CT50">
        <v>0.95841590994370385</v>
      </c>
      <c r="CU50">
        <v>9.2850012804253299E-2</v>
      </c>
      <c r="CV50">
        <v>-1</v>
      </c>
      <c r="CW50">
        <v>0</v>
      </c>
      <c r="CX50">
        <v>0</v>
      </c>
      <c r="CY50" t="s">
        <v>333</v>
      </c>
      <c r="CZ50">
        <v>2.3642599999999998</v>
      </c>
      <c r="DA50">
        <v>2.7137799999999999</v>
      </c>
      <c r="DB50">
        <v>0.138687</v>
      </c>
      <c r="DC50">
        <v>0.14572199999999999</v>
      </c>
      <c r="DD50">
        <v>0.108962</v>
      </c>
      <c r="DE50">
        <v>8.9398699999999998E-2</v>
      </c>
      <c r="DF50">
        <v>31440.3</v>
      </c>
      <c r="DG50">
        <v>27516.9</v>
      </c>
      <c r="DH50">
        <v>31163.200000000001</v>
      </c>
      <c r="DI50">
        <v>28067.5</v>
      </c>
      <c r="DJ50">
        <v>37699.4</v>
      </c>
      <c r="DK50">
        <v>36341.1</v>
      </c>
      <c r="DL50">
        <v>44346.8</v>
      </c>
      <c r="DM50">
        <v>42540</v>
      </c>
      <c r="DN50">
        <v>1.4623999999999999</v>
      </c>
      <c r="DO50">
        <v>2.0529000000000002</v>
      </c>
      <c r="DP50">
        <v>0.16341</v>
      </c>
      <c r="DQ50">
        <v>0.136103</v>
      </c>
      <c r="DR50">
        <v>24.894100000000002</v>
      </c>
      <c r="DS50">
        <v>24.6252</v>
      </c>
      <c r="DT50">
        <v>58.1</v>
      </c>
      <c r="DU50">
        <v>28.7</v>
      </c>
      <c r="DV50">
        <v>23.271799999999999</v>
      </c>
      <c r="DW50">
        <v>60.942999999999998</v>
      </c>
      <c r="DX50">
        <v>35.725200000000001</v>
      </c>
      <c r="DY50">
        <v>1</v>
      </c>
      <c r="DZ50">
        <v>-7.0477600000000001E-2</v>
      </c>
      <c r="EA50">
        <v>2.77163</v>
      </c>
      <c r="EB50">
        <v>20.163599999999999</v>
      </c>
      <c r="EC50">
        <v>5.2418500000000003</v>
      </c>
      <c r="ED50">
        <v>12.039899999999999</v>
      </c>
      <c r="EE50">
        <v>5.0173500000000004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</v>
      </c>
      <c r="EL50">
        <v>1.8646199999999999</v>
      </c>
      <c r="EM50">
        <v>1.8692</v>
      </c>
      <c r="EN50">
        <v>1.8672200000000001</v>
      </c>
      <c r="EO50">
        <v>1.86338</v>
      </c>
      <c r="EP50">
        <v>1.86446</v>
      </c>
      <c r="EQ50">
        <v>1.8701399999999999</v>
      </c>
      <c r="ER50">
        <v>1.8693900000000001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-0.222</v>
      </c>
      <c r="FG50">
        <v>0.17530000000000001</v>
      </c>
      <c r="FH50">
        <v>0.28746640474027818</v>
      </c>
      <c r="FI50">
        <v>-6.1462078757559423E-4</v>
      </c>
      <c r="FJ50">
        <v>-1.8861989874597051E-7</v>
      </c>
      <c r="FK50">
        <v>1.1980462299894961E-10</v>
      </c>
      <c r="FL50">
        <v>0.17524818673008091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14.9</v>
      </c>
      <c r="FU50">
        <v>15</v>
      </c>
      <c r="FV50">
        <v>1.79199</v>
      </c>
      <c r="FW50">
        <v>2.5744600000000002</v>
      </c>
      <c r="FX50">
        <v>1.5490699999999999</v>
      </c>
      <c r="FY50">
        <v>2.3315399999999999</v>
      </c>
      <c r="FZ50">
        <v>1.50146</v>
      </c>
      <c r="GA50">
        <v>2.3950200000000001</v>
      </c>
      <c r="GB50">
        <v>33.4681</v>
      </c>
      <c r="GC50">
        <v>23.973700000000001</v>
      </c>
      <c r="GD50">
        <v>19</v>
      </c>
      <c r="GE50">
        <v>277.72300000000001</v>
      </c>
      <c r="GF50">
        <v>598.30200000000002</v>
      </c>
      <c r="GG50">
        <v>19.870200000000001</v>
      </c>
      <c r="GH50">
        <v>26.4771</v>
      </c>
      <c r="GI50">
        <v>30</v>
      </c>
      <c r="GJ50">
        <v>26.510300000000001</v>
      </c>
      <c r="GK50">
        <v>26.456700000000001</v>
      </c>
      <c r="GL50">
        <v>35.822699999999998</v>
      </c>
      <c r="GM50">
        <v>33.954000000000001</v>
      </c>
      <c r="GN50">
        <v>99.235100000000003</v>
      </c>
      <c r="GO50">
        <v>19.838799999999999</v>
      </c>
      <c r="GP50">
        <v>800</v>
      </c>
      <c r="GQ50">
        <v>17.3627</v>
      </c>
      <c r="GR50">
        <v>99.707099999999997</v>
      </c>
      <c r="GS50">
        <v>99.516499999999994</v>
      </c>
    </row>
    <row r="51" spans="1:201" x14ac:dyDescent="0.25">
      <c r="A51">
        <v>35</v>
      </c>
      <c r="B51">
        <v>1690382865.5999999</v>
      </c>
      <c r="C51">
        <v>390.5</v>
      </c>
      <c r="D51" t="s">
        <v>401</v>
      </c>
      <c r="E51" t="s">
        <v>402</v>
      </c>
      <c r="F51" t="s">
        <v>330</v>
      </c>
      <c r="H51">
        <v>1690382865.5999999</v>
      </c>
      <c r="I51">
        <f t="shared" si="0"/>
        <v>4.8963595406271033E-4</v>
      </c>
      <c r="J51">
        <f t="shared" si="1"/>
        <v>0.48963595406271032</v>
      </c>
      <c r="K51">
        <f t="shared" si="2"/>
        <v>5.3866138529914647</v>
      </c>
      <c r="L51">
        <f t="shared" si="3"/>
        <v>737.42700000000002</v>
      </c>
      <c r="M51">
        <f t="shared" si="4"/>
        <v>469.8394268715349</v>
      </c>
      <c r="N51">
        <f t="shared" si="5"/>
        <v>46.411111309987554</v>
      </c>
      <c r="O51">
        <f t="shared" si="6"/>
        <v>72.84362406083909</v>
      </c>
      <c r="P51">
        <f t="shared" si="7"/>
        <v>3.42376303034383E-2</v>
      </c>
      <c r="Q51">
        <f t="shared" si="8"/>
        <v>2.1114088195866678</v>
      </c>
      <c r="R51">
        <f t="shared" si="9"/>
        <v>3.3932166616805343E-2</v>
      </c>
      <c r="S51">
        <f t="shared" si="10"/>
        <v>2.123482159849065E-2</v>
      </c>
      <c r="T51">
        <f t="shared" si="11"/>
        <v>276.11396373901266</v>
      </c>
      <c r="U51">
        <f t="shared" si="12"/>
        <v>27.147249655691176</v>
      </c>
      <c r="V51">
        <f t="shared" si="13"/>
        <v>27.147249655691176</v>
      </c>
      <c r="W51">
        <f t="shared" si="14"/>
        <v>3.6102305597849029</v>
      </c>
      <c r="X51">
        <f t="shared" si="15"/>
        <v>69.558338076725349</v>
      </c>
      <c r="Y51">
        <f t="shared" si="16"/>
        <v>2.2269537164725199</v>
      </c>
      <c r="Z51">
        <f t="shared" si="17"/>
        <v>3.2015625704227006</v>
      </c>
      <c r="AA51">
        <f t="shared" si="18"/>
        <v>1.383276843312383</v>
      </c>
      <c r="AB51">
        <f t="shared" si="19"/>
        <v>-21.592945574165526</v>
      </c>
      <c r="AC51">
        <f t="shared" si="20"/>
        <v>-231.32014862419757</v>
      </c>
      <c r="AD51">
        <f t="shared" si="21"/>
        <v>-23.439178152856542</v>
      </c>
      <c r="AE51">
        <f t="shared" si="22"/>
        <v>-0.2383086122069642</v>
      </c>
      <c r="AF51">
        <v>0</v>
      </c>
      <c r="AG51">
        <v>0</v>
      </c>
      <c r="AH51">
        <f t="shared" si="23"/>
        <v>1</v>
      </c>
      <c r="AI51">
        <f t="shared" si="24"/>
        <v>0</v>
      </c>
      <c r="AJ51">
        <f t="shared" si="25"/>
        <v>52575.549781016656</v>
      </c>
      <c r="AK51">
        <f t="shared" si="26"/>
        <v>1799.99</v>
      </c>
      <c r="AL51">
        <f t="shared" si="27"/>
        <v>1499.1048109936698</v>
      </c>
      <c r="AM51">
        <f t="shared" si="28"/>
        <v>0.83284063299999989</v>
      </c>
      <c r="AN51">
        <f t="shared" si="29"/>
        <v>0.15339749872999997</v>
      </c>
      <c r="AO51">
        <v>32.700000000000003</v>
      </c>
      <c r="AP51">
        <v>0.5</v>
      </c>
      <c r="AQ51" t="s">
        <v>331</v>
      </c>
      <c r="AR51">
        <v>2</v>
      </c>
      <c r="AS51">
        <v>1690382865.5999999</v>
      </c>
      <c r="AT51">
        <v>737.42700000000002</v>
      </c>
      <c r="AU51">
        <v>800.04899999999998</v>
      </c>
      <c r="AV51">
        <v>22.5444</v>
      </c>
      <c r="AW51">
        <v>17.329999999999998</v>
      </c>
      <c r="AX51">
        <v>737.64700000000005</v>
      </c>
      <c r="AY51">
        <v>22.369199999999999</v>
      </c>
      <c r="AZ51">
        <v>300.13299999999998</v>
      </c>
      <c r="BA51">
        <v>98.680899999999994</v>
      </c>
      <c r="BB51">
        <v>9.9893300000000004E-2</v>
      </c>
      <c r="BC51">
        <v>25.115100000000002</v>
      </c>
      <c r="BD51">
        <v>27.580400000000001</v>
      </c>
      <c r="BE51">
        <v>26.795999999999999</v>
      </c>
      <c r="BF51">
        <v>0</v>
      </c>
      <c r="BG51">
        <v>0</v>
      </c>
      <c r="BH51">
        <v>10013.1</v>
      </c>
      <c r="BI51">
        <v>1058.57</v>
      </c>
      <c r="BJ51">
        <v>2.4108399999999999</v>
      </c>
      <c r="BK51">
        <v>-62.622399999999999</v>
      </c>
      <c r="BL51">
        <v>754.43499999999995</v>
      </c>
      <c r="BM51">
        <v>814.15800000000002</v>
      </c>
      <c r="BN51">
        <v>5.2144399999999997</v>
      </c>
      <c r="BO51">
        <v>800.04899999999998</v>
      </c>
      <c r="BP51">
        <v>17.329999999999998</v>
      </c>
      <c r="BQ51">
        <v>2.2246999999999999</v>
      </c>
      <c r="BR51">
        <v>1.71014</v>
      </c>
      <c r="BS51">
        <v>19.141300000000001</v>
      </c>
      <c r="BT51">
        <v>14.988799999999999</v>
      </c>
      <c r="BU51">
        <v>1799.99</v>
      </c>
      <c r="BV51">
        <v>0.91000099999999995</v>
      </c>
      <c r="BW51">
        <v>3.3991899999999999E-2</v>
      </c>
      <c r="BX51">
        <v>2.2002399999999998E-2</v>
      </c>
      <c r="BY51">
        <v>3.40045E-2</v>
      </c>
      <c r="BZ51">
        <v>25</v>
      </c>
      <c r="CA51">
        <v>33528.300000000003</v>
      </c>
      <c r="CB51">
        <v>1690381960.0999999</v>
      </c>
      <c r="CC51" t="s">
        <v>332</v>
      </c>
      <c r="CD51">
        <v>1690381960.0999999</v>
      </c>
      <c r="CE51">
        <v>1690381958.0999999</v>
      </c>
      <c r="CF51">
        <v>4</v>
      </c>
      <c r="CG51">
        <v>9.9000000000000005E-2</v>
      </c>
      <c r="CH51">
        <v>1.2E-2</v>
      </c>
      <c r="CI51">
        <v>-0.26300000000000001</v>
      </c>
      <c r="CJ51">
        <v>0.127</v>
      </c>
      <c r="CK51">
        <v>798</v>
      </c>
      <c r="CL51">
        <v>18</v>
      </c>
      <c r="CM51">
        <v>0.02</v>
      </c>
      <c r="CN51">
        <v>0.12</v>
      </c>
      <c r="CO51">
        <v>-59.606879999999997</v>
      </c>
      <c r="CP51">
        <v>-16.168687429643452</v>
      </c>
      <c r="CQ51">
        <v>1.556174083963616</v>
      </c>
      <c r="CR51">
        <v>-1</v>
      </c>
      <c r="CS51">
        <v>5.1226229999999999</v>
      </c>
      <c r="CT51">
        <v>0.60436525328329038</v>
      </c>
      <c r="CU51">
        <v>5.9354346984867079E-2</v>
      </c>
      <c r="CV51">
        <v>-1</v>
      </c>
      <c r="CW51">
        <v>0</v>
      </c>
      <c r="CX51">
        <v>0</v>
      </c>
      <c r="CY51" t="s">
        <v>333</v>
      </c>
      <c r="CZ51">
        <v>2.36415</v>
      </c>
      <c r="DA51">
        <v>2.7136999999999998</v>
      </c>
      <c r="DB51">
        <v>0.13834299999999999</v>
      </c>
      <c r="DC51">
        <v>0.14571000000000001</v>
      </c>
      <c r="DD51">
        <v>0.108538</v>
      </c>
      <c r="DE51">
        <v>8.8705099999999995E-2</v>
      </c>
      <c r="DF51">
        <v>31452.9</v>
      </c>
      <c r="DG51">
        <v>27517.3</v>
      </c>
      <c r="DH51">
        <v>31163.200000000001</v>
      </c>
      <c r="DI51">
        <v>28067.599999999999</v>
      </c>
      <c r="DJ51">
        <v>37717.5</v>
      </c>
      <c r="DK51">
        <v>36369.1</v>
      </c>
      <c r="DL51">
        <v>44346.9</v>
      </c>
      <c r="DM51">
        <v>42540.3</v>
      </c>
      <c r="DN51">
        <v>1.4624200000000001</v>
      </c>
      <c r="DO51">
        <v>2.0522999999999998</v>
      </c>
      <c r="DP51">
        <v>0.16650200000000001</v>
      </c>
      <c r="DQ51">
        <v>0.134688</v>
      </c>
      <c r="DR51">
        <v>24.853899999999999</v>
      </c>
      <c r="DS51">
        <v>24.5886</v>
      </c>
      <c r="DT51">
        <v>58.1</v>
      </c>
      <c r="DU51">
        <v>28.7</v>
      </c>
      <c r="DV51">
        <v>23.2697</v>
      </c>
      <c r="DW51">
        <v>60.872999999999998</v>
      </c>
      <c r="DX51">
        <v>36.253999999999998</v>
      </c>
      <c r="DY51">
        <v>1</v>
      </c>
      <c r="DZ51">
        <v>-7.0403999999999994E-2</v>
      </c>
      <c r="EA51">
        <v>2.8162199999999999</v>
      </c>
      <c r="EB51">
        <v>20.162600000000001</v>
      </c>
      <c r="EC51">
        <v>5.24125</v>
      </c>
      <c r="ED51">
        <v>12.039899999999999</v>
      </c>
      <c r="EE51">
        <v>5.0168499999999998</v>
      </c>
      <c r="EF51">
        <v>3.2879499999999999</v>
      </c>
      <c r="EG51">
        <v>9999</v>
      </c>
      <c r="EH51">
        <v>9999</v>
      </c>
      <c r="EI51">
        <v>9999</v>
      </c>
      <c r="EJ51">
        <v>999.9</v>
      </c>
      <c r="EK51">
        <v>1.8689</v>
      </c>
      <c r="EL51">
        <v>1.8646199999999999</v>
      </c>
      <c r="EM51">
        <v>1.8692</v>
      </c>
      <c r="EN51">
        <v>1.8672299999999999</v>
      </c>
      <c r="EO51">
        <v>1.8633999999999999</v>
      </c>
      <c r="EP51">
        <v>1.8644700000000001</v>
      </c>
      <c r="EQ51">
        <v>1.87016</v>
      </c>
      <c r="ER51">
        <v>1.86938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-0.22</v>
      </c>
      <c r="FG51">
        <v>0.17519999999999999</v>
      </c>
      <c r="FH51">
        <v>0.28746640474027818</v>
      </c>
      <c r="FI51">
        <v>-6.1462078757559423E-4</v>
      </c>
      <c r="FJ51">
        <v>-1.8861989874597051E-7</v>
      </c>
      <c r="FK51">
        <v>1.1980462299894961E-10</v>
      </c>
      <c r="FL51">
        <v>0.17524818673008091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15.1</v>
      </c>
      <c r="FU51">
        <v>15.1</v>
      </c>
      <c r="FV51">
        <v>1.79199</v>
      </c>
      <c r="FW51">
        <v>2.5793499999999998</v>
      </c>
      <c r="FX51">
        <v>1.5490699999999999</v>
      </c>
      <c r="FY51">
        <v>2.3315399999999999</v>
      </c>
      <c r="FZ51">
        <v>1.50146</v>
      </c>
      <c r="GA51">
        <v>2.3828100000000001</v>
      </c>
      <c r="GB51">
        <v>33.4681</v>
      </c>
      <c r="GC51">
        <v>23.973700000000001</v>
      </c>
      <c r="GD51">
        <v>19</v>
      </c>
      <c r="GE51">
        <v>277.73500000000001</v>
      </c>
      <c r="GF51">
        <v>597.83500000000004</v>
      </c>
      <c r="GG51">
        <v>19.802700000000002</v>
      </c>
      <c r="GH51">
        <v>26.471499999999999</v>
      </c>
      <c r="GI51">
        <v>29.9999</v>
      </c>
      <c r="GJ51">
        <v>26.510300000000001</v>
      </c>
      <c r="GK51">
        <v>26.46</v>
      </c>
      <c r="GL51">
        <v>35.816699999999997</v>
      </c>
      <c r="GM51">
        <v>34.976700000000001</v>
      </c>
      <c r="GN51">
        <v>98.861999999999995</v>
      </c>
      <c r="GO51">
        <v>19.768899999999999</v>
      </c>
      <c r="GP51">
        <v>800</v>
      </c>
      <c r="GQ51">
        <v>17.115300000000001</v>
      </c>
      <c r="GR51">
        <v>99.707300000000004</v>
      </c>
      <c r="GS51">
        <v>99.516999999999996</v>
      </c>
    </row>
    <row r="52" spans="1:201" x14ac:dyDescent="0.25">
      <c r="A52">
        <v>36</v>
      </c>
      <c r="B52">
        <v>1690382875.5999999</v>
      </c>
      <c r="C52">
        <v>400.5</v>
      </c>
      <c r="D52" t="s">
        <v>403</v>
      </c>
      <c r="E52" t="s">
        <v>404</v>
      </c>
      <c r="F52" t="s">
        <v>330</v>
      </c>
      <c r="H52">
        <v>1690382875.5999999</v>
      </c>
      <c r="I52">
        <f t="shared" si="0"/>
        <v>4.9764008991911343E-4</v>
      </c>
      <c r="J52">
        <f t="shared" si="1"/>
        <v>0.4976400899191134</v>
      </c>
      <c r="K52">
        <f t="shared" si="2"/>
        <v>5.619421353290611</v>
      </c>
      <c r="L52">
        <f t="shared" si="3"/>
        <v>734.76199999999994</v>
      </c>
      <c r="M52">
        <f t="shared" si="4"/>
        <v>459.98609806596596</v>
      </c>
      <c r="N52">
        <f t="shared" si="5"/>
        <v>45.438855575773928</v>
      </c>
      <c r="O52">
        <f t="shared" si="6"/>
        <v>72.582072677724398</v>
      </c>
      <c r="P52">
        <f t="shared" si="7"/>
        <v>3.4722353732138604E-2</v>
      </c>
      <c r="Q52">
        <f t="shared" si="8"/>
        <v>2.1074876027830021</v>
      </c>
      <c r="R52">
        <f t="shared" si="9"/>
        <v>3.4407643591118101E-2</v>
      </c>
      <c r="S52">
        <f t="shared" si="10"/>
        <v>2.1532814876128278E-2</v>
      </c>
      <c r="T52">
        <f t="shared" si="11"/>
        <v>276.11545987800002</v>
      </c>
      <c r="U52">
        <f t="shared" si="12"/>
        <v>27.101061960654974</v>
      </c>
      <c r="V52">
        <f t="shared" si="13"/>
        <v>27.101061960654974</v>
      </c>
      <c r="W52">
        <f t="shared" si="14"/>
        <v>3.6004593392903903</v>
      </c>
      <c r="X52">
        <f t="shared" si="15"/>
        <v>69.34092263466556</v>
      </c>
      <c r="Y52">
        <f t="shared" si="16"/>
        <v>2.21379855811634</v>
      </c>
      <c r="Z52">
        <f t="shared" si="17"/>
        <v>3.1926292209581839</v>
      </c>
      <c r="AA52">
        <f t="shared" si="18"/>
        <v>1.3866607811740503</v>
      </c>
      <c r="AB52">
        <f t="shared" si="19"/>
        <v>-21.945927965432901</v>
      </c>
      <c r="AC52">
        <f t="shared" si="20"/>
        <v>-230.97148217201121</v>
      </c>
      <c r="AD52">
        <f t="shared" si="21"/>
        <v>-23.436450965650589</v>
      </c>
      <c r="AE52">
        <f t="shared" si="22"/>
        <v>-0.23840122509466255</v>
      </c>
      <c r="AF52">
        <v>0</v>
      </c>
      <c r="AG52">
        <v>0</v>
      </c>
      <c r="AH52">
        <f t="shared" si="23"/>
        <v>1</v>
      </c>
      <c r="AI52">
        <f t="shared" si="24"/>
        <v>0</v>
      </c>
      <c r="AJ52">
        <f t="shared" si="25"/>
        <v>52411.997908472098</v>
      </c>
      <c r="AK52">
        <f t="shared" si="26"/>
        <v>1800</v>
      </c>
      <c r="AL52">
        <f t="shared" si="27"/>
        <v>1499.1110478000001</v>
      </c>
      <c r="AM52">
        <f t="shared" si="28"/>
        <v>0.832839471</v>
      </c>
      <c r="AN52">
        <f t="shared" si="29"/>
        <v>0.15339747771000001</v>
      </c>
      <c r="AO52">
        <v>32.700000000000003</v>
      </c>
      <c r="AP52">
        <v>0.5</v>
      </c>
      <c r="AQ52" t="s">
        <v>331</v>
      </c>
      <c r="AR52">
        <v>2</v>
      </c>
      <c r="AS52">
        <v>1690382875.5999999</v>
      </c>
      <c r="AT52">
        <v>734.76199999999994</v>
      </c>
      <c r="AU52">
        <v>799.95600000000002</v>
      </c>
      <c r="AV52">
        <v>22.410699999999999</v>
      </c>
      <c r="AW52">
        <v>17.111499999999999</v>
      </c>
      <c r="AX52">
        <v>734.98</v>
      </c>
      <c r="AY52">
        <v>22.235499999999998</v>
      </c>
      <c r="AZ52">
        <v>300.19900000000001</v>
      </c>
      <c r="BA52">
        <v>98.683199999999999</v>
      </c>
      <c r="BB52">
        <v>9.9906200000000001E-2</v>
      </c>
      <c r="BC52">
        <v>25.068200000000001</v>
      </c>
      <c r="BD52">
        <v>27.5914</v>
      </c>
      <c r="BE52">
        <v>26.767499999999998</v>
      </c>
      <c r="BF52">
        <v>0</v>
      </c>
      <c r="BG52">
        <v>0</v>
      </c>
      <c r="BH52">
        <v>9978.75</v>
      </c>
      <c r="BI52">
        <v>1057.78</v>
      </c>
      <c r="BJ52">
        <v>2.4108399999999999</v>
      </c>
      <c r="BK52">
        <v>-65.194400000000002</v>
      </c>
      <c r="BL52">
        <v>751.60599999999999</v>
      </c>
      <c r="BM52">
        <v>813.88300000000004</v>
      </c>
      <c r="BN52">
        <v>5.2992699999999999</v>
      </c>
      <c r="BO52">
        <v>799.95600000000002</v>
      </c>
      <c r="BP52">
        <v>17.111499999999999</v>
      </c>
      <c r="BQ52">
        <v>2.21156</v>
      </c>
      <c r="BR52">
        <v>1.6886099999999999</v>
      </c>
      <c r="BS52">
        <v>19.046299999999999</v>
      </c>
      <c r="BT52">
        <v>14.792199999999999</v>
      </c>
      <c r="BU52">
        <v>1800</v>
      </c>
      <c r="BV52">
        <v>0.909995</v>
      </c>
      <c r="BW52">
        <v>3.4001999999999998E-2</v>
      </c>
      <c r="BX52">
        <v>2.2000800000000001E-2</v>
      </c>
      <c r="BY52">
        <v>3.40021E-2</v>
      </c>
      <c r="BZ52">
        <v>25</v>
      </c>
      <c r="CA52">
        <v>33528.300000000003</v>
      </c>
      <c r="CB52">
        <v>1690381960.0999999</v>
      </c>
      <c r="CC52" t="s">
        <v>332</v>
      </c>
      <c r="CD52">
        <v>1690381960.0999999</v>
      </c>
      <c r="CE52">
        <v>1690381958.0999999</v>
      </c>
      <c r="CF52">
        <v>4</v>
      </c>
      <c r="CG52">
        <v>9.9000000000000005E-2</v>
      </c>
      <c r="CH52">
        <v>1.2E-2</v>
      </c>
      <c r="CI52">
        <v>-0.26300000000000001</v>
      </c>
      <c r="CJ52">
        <v>0.127</v>
      </c>
      <c r="CK52">
        <v>798</v>
      </c>
      <c r="CL52">
        <v>18</v>
      </c>
      <c r="CM52">
        <v>0.02</v>
      </c>
      <c r="CN52">
        <v>0.12</v>
      </c>
      <c r="CO52">
        <v>-62.375319512195126</v>
      </c>
      <c r="CP52">
        <v>-15.99629477351913</v>
      </c>
      <c r="CQ52">
        <v>1.578116046803989</v>
      </c>
      <c r="CR52">
        <v>-1</v>
      </c>
      <c r="CS52">
        <v>5.2248353658536582</v>
      </c>
      <c r="CT52">
        <v>0.57572487804878913</v>
      </c>
      <c r="CU52">
        <v>5.8691922995129028E-2</v>
      </c>
      <c r="CV52">
        <v>-1</v>
      </c>
      <c r="CW52">
        <v>0</v>
      </c>
      <c r="CX52">
        <v>0</v>
      </c>
      <c r="CY52" t="s">
        <v>333</v>
      </c>
      <c r="CZ52">
        <v>2.36436</v>
      </c>
      <c r="DA52">
        <v>2.7136800000000001</v>
      </c>
      <c r="DB52">
        <v>0.13800399999999999</v>
      </c>
      <c r="DC52">
        <v>0.14569599999999999</v>
      </c>
      <c r="DD52">
        <v>0.108082</v>
      </c>
      <c r="DE52">
        <v>8.7898000000000004E-2</v>
      </c>
      <c r="DF52">
        <v>31465.200000000001</v>
      </c>
      <c r="DG52">
        <v>27518.1</v>
      </c>
      <c r="DH52">
        <v>31163.1</v>
      </c>
      <c r="DI52">
        <v>28067.9</v>
      </c>
      <c r="DJ52">
        <v>37736.9</v>
      </c>
      <c r="DK52">
        <v>36401.599999999999</v>
      </c>
      <c r="DL52">
        <v>44346.9</v>
      </c>
      <c r="DM52">
        <v>42540.6</v>
      </c>
      <c r="DN52">
        <v>1.4625300000000001</v>
      </c>
      <c r="DO52">
        <v>2.0522499999999999</v>
      </c>
      <c r="DP52">
        <v>0.16950100000000001</v>
      </c>
      <c r="DQ52">
        <v>0.135154</v>
      </c>
      <c r="DR52">
        <v>24.8157</v>
      </c>
      <c r="DS52">
        <v>24.552399999999999</v>
      </c>
      <c r="DT52">
        <v>58.1</v>
      </c>
      <c r="DU52">
        <v>28.7</v>
      </c>
      <c r="DV52">
        <v>23.269300000000001</v>
      </c>
      <c r="DW52">
        <v>61.372999999999998</v>
      </c>
      <c r="DX52">
        <v>36.466299999999997</v>
      </c>
      <c r="DY52">
        <v>1</v>
      </c>
      <c r="DZ52">
        <v>-7.0007600000000003E-2</v>
      </c>
      <c r="EA52">
        <v>2.8746200000000002</v>
      </c>
      <c r="EB52">
        <v>20.1615</v>
      </c>
      <c r="EC52">
        <v>5.2413999999999996</v>
      </c>
      <c r="ED52">
        <v>12.039899999999999</v>
      </c>
      <c r="EE52">
        <v>5.0173500000000004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</v>
      </c>
      <c r="EL52">
        <v>1.86463</v>
      </c>
      <c r="EM52">
        <v>1.8692</v>
      </c>
      <c r="EN52">
        <v>1.8672299999999999</v>
      </c>
      <c r="EO52">
        <v>1.8633999999999999</v>
      </c>
      <c r="EP52">
        <v>1.86446</v>
      </c>
      <c r="EQ52">
        <v>1.87015</v>
      </c>
      <c r="ER52">
        <v>1.86941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-0.218</v>
      </c>
      <c r="FG52">
        <v>0.17519999999999999</v>
      </c>
      <c r="FH52">
        <v>0.28746640474027818</v>
      </c>
      <c r="FI52">
        <v>-6.1462078757559423E-4</v>
      </c>
      <c r="FJ52">
        <v>-1.8861989874597051E-7</v>
      </c>
      <c r="FK52">
        <v>1.1980462299894961E-10</v>
      </c>
      <c r="FL52">
        <v>0.17524818673008091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15.3</v>
      </c>
      <c r="FU52">
        <v>15.3</v>
      </c>
      <c r="FV52">
        <v>1.79199</v>
      </c>
      <c r="FW52">
        <v>2.5769000000000002</v>
      </c>
      <c r="FX52">
        <v>1.5490699999999999</v>
      </c>
      <c r="FY52">
        <v>2.3315399999999999</v>
      </c>
      <c r="FZ52">
        <v>1.50146</v>
      </c>
      <c r="GA52">
        <v>2.3584000000000001</v>
      </c>
      <c r="GB52">
        <v>33.4681</v>
      </c>
      <c r="GC52">
        <v>23.9649</v>
      </c>
      <c r="GD52">
        <v>19</v>
      </c>
      <c r="GE52">
        <v>277.77600000000001</v>
      </c>
      <c r="GF52">
        <v>597.81899999999996</v>
      </c>
      <c r="GG52">
        <v>19.7258</v>
      </c>
      <c r="GH52">
        <v>26.465900000000001</v>
      </c>
      <c r="GI52">
        <v>30.0001</v>
      </c>
      <c r="GJ52">
        <v>26.510300000000001</v>
      </c>
      <c r="GK52">
        <v>26.462299999999999</v>
      </c>
      <c r="GL52">
        <v>35.817500000000003</v>
      </c>
      <c r="GM52">
        <v>35.5259</v>
      </c>
      <c r="GN52">
        <v>98.487799999999993</v>
      </c>
      <c r="GO52">
        <v>19.686199999999999</v>
      </c>
      <c r="GP52">
        <v>800</v>
      </c>
      <c r="GQ52">
        <v>16.968299999999999</v>
      </c>
      <c r="GR52">
        <v>99.707099999999997</v>
      </c>
      <c r="GS52">
        <v>99.517899999999997</v>
      </c>
    </row>
    <row r="53" spans="1:201" x14ac:dyDescent="0.25">
      <c r="A53">
        <v>37</v>
      </c>
      <c r="B53">
        <v>1690382885.5999999</v>
      </c>
      <c r="C53">
        <v>410.5</v>
      </c>
      <c r="D53" t="s">
        <v>405</v>
      </c>
      <c r="E53" t="s">
        <v>406</v>
      </c>
      <c r="F53" t="s">
        <v>330</v>
      </c>
      <c r="H53">
        <v>1690382885.5999999</v>
      </c>
      <c r="I53">
        <f t="shared" si="0"/>
        <v>4.9925684107095236E-4</v>
      </c>
      <c r="J53">
        <f t="shared" si="1"/>
        <v>0.49925684107095242</v>
      </c>
      <c r="K53">
        <f t="shared" si="2"/>
        <v>5.8600611972436134</v>
      </c>
      <c r="L53">
        <f t="shared" si="3"/>
        <v>732.21400000000006</v>
      </c>
      <c r="M53">
        <f t="shared" si="4"/>
        <v>446.75131198343297</v>
      </c>
      <c r="N53">
        <f t="shared" si="5"/>
        <v>44.13135220266674</v>
      </c>
      <c r="O53">
        <f t="shared" si="6"/>
        <v>72.330160102410005</v>
      </c>
      <c r="P53">
        <f t="shared" si="7"/>
        <v>3.4764786523297321E-2</v>
      </c>
      <c r="Q53">
        <f t="shared" si="8"/>
        <v>2.1117177893826913</v>
      </c>
      <c r="R53">
        <f t="shared" si="9"/>
        <v>3.4449936278593107E-2</v>
      </c>
      <c r="S53">
        <f t="shared" si="10"/>
        <v>2.1559260471837847E-2</v>
      </c>
      <c r="T53">
        <f t="shared" si="11"/>
        <v>276.11385194163381</v>
      </c>
      <c r="U53">
        <f t="shared" si="12"/>
        <v>27.047869816522162</v>
      </c>
      <c r="V53">
        <f t="shared" si="13"/>
        <v>27.047869816522162</v>
      </c>
      <c r="W53">
        <f t="shared" si="14"/>
        <v>3.5892349029570689</v>
      </c>
      <c r="X53">
        <f t="shared" si="15"/>
        <v>69.097594094511194</v>
      </c>
      <c r="Y53">
        <f t="shared" si="16"/>
        <v>2.1995969416049999</v>
      </c>
      <c r="Z53">
        <f t="shared" si="17"/>
        <v>3.1833191450868852</v>
      </c>
      <c r="AA53">
        <f t="shared" si="18"/>
        <v>1.3896379613520691</v>
      </c>
      <c r="AB53">
        <f t="shared" si="19"/>
        <v>-22.017226691228998</v>
      </c>
      <c r="AC53">
        <f t="shared" si="20"/>
        <v>-230.95782950166327</v>
      </c>
      <c r="AD53">
        <f t="shared" si="21"/>
        <v>-23.376134632167556</v>
      </c>
      <c r="AE53">
        <f t="shared" si="22"/>
        <v>-0.23733888342601972</v>
      </c>
      <c r="AF53">
        <v>0</v>
      </c>
      <c r="AG53">
        <v>0</v>
      </c>
      <c r="AH53">
        <f t="shared" si="23"/>
        <v>1</v>
      </c>
      <c r="AI53">
        <f t="shared" si="24"/>
        <v>0</v>
      </c>
      <c r="AJ53">
        <f t="shared" si="25"/>
        <v>52606.070616290664</v>
      </c>
      <c r="AK53">
        <f t="shared" si="26"/>
        <v>1799.99</v>
      </c>
      <c r="AL53">
        <f t="shared" si="27"/>
        <v>1499.1007682161298</v>
      </c>
      <c r="AM53">
        <f t="shared" si="28"/>
        <v>0.8328383869999999</v>
      </c>
      <c r="AN53">
        <f t="shared" si="29"/>
        <v>0.15339743661999999</v>
      </c>
      <c r="AO53">
        <v>32.700000000000003</v>
      </c>
      <c r="AP53">
        <v>0.5</v>
      </c>
      <c r="AQ53" t="s">
        <v>331</v>
      </c>
      <c r="AR53">
        <v>2</v>
      </c>
      <c r="AS53">
        <v>1690382885.5999999</v>
      </c>
      <c r="AT53">
        <v>732.21400000000006</v>
      </c>
      <c r="AU53">
        <v>800.03599999999994</v>
      </c>
      <c r="AV53">
        <v>22.266999999999999</v>
      </c>
      <c r="AW53">
        <v>16.949200000000001</v>
      </c>
      <c r="AX53">
        <v>732.43100000000004</v>
      </c>
      <c r="AY53">
        <v>22.091699999999999</v>
      </c>
      <c r="AZ53">
        <v>300.16500000000002</v>
      </c>
      <c r="BA53">
        <v>98.6828</v>
      </c>
      <c r="BB53">
        <v>0.10001500000000001</v>
      </c>
      <c r="BC53">
        <v>25.019200000000001</v>
      </c>
      <c r="BD53">
        <v>27.492899999999999</v>
      </c>
      <c r="BE53">
        <v>26.733599999999999</v>
      </c>
      <c r="BF53">
        <v>0</v>
      </c>
      <c r="BG53">
        <v>0</v>
      </c>
      <c r="BH53">
        <v>10015.6</v>
      </c>
      <c r="BI53">
        <v>1057.23</v>
      </c>
      <c r="BJ53">
        <v>2.4108399999999999</v>
      </c>
      <c r="BK53">
        <v>-67.822000000000003</v>
      </c>
      <c r="BL53">
        <v>748.89</v>
      </c>
      <c r="BM53">
        <v>813.83</v>
      </c>
      <c r="BN53">
        <v>5.3177700000000003</v>
      </c>
      <c r="BO53">
        <v>800.03599999999994</v>
      </c>
      <c r="BP53">
        <v>16.949200000000001</v>
      </c>
      <c r="BQ53">
        <v>2.1973699999999998</v>
      </c>
      <c r="BR53">
        <v>1.67259</v>
      </c>
      <c r="BS53">
        <v>18.943100000000001</v>
      </c>
      <c r="BT53">
        <v>14.644399999999999</v>
      </c>
      <c r="BU53">
        <v>1799.99</v>
      </c>
      <c r="BV53">
        <v>0.90998999999999997</v>
      </c>
      <c r="BW53">
        <v>3.4008499999999997E-2</v>
      </c>
      <c r="BX53">
        <v>2.2000100000000002E-2</v>
      </c>
      <c r="BY53">
        <v>3.4001000000000003E-2</v>
      </c>
      <c r="BZ53">
        <v>25</v>
      </c>
      <c r="CA53">
        <v>33528.199999999997</v>
      </c>
      <c r="CB53">
        <v>1690381960.0999999</v>
      </c>
      <c r="CC53" t="s">
        <v>332</v>
      </c>
      <c r="CD53">
        <v>1690381960.0999999</v>
      </c>
      <c r="CE53">
        <v>1690381958.0999999</v>
      </c>
      <c r="CF53">
        <v>4</v>
      </c>
      <c r="CG53">
        <v>9.9000000000000005E-2</v>
      </c>
      <c r="CH53">
        <v>1.2E-2</v>
      </c>
      <c r="CI53">
        <v>-0.26300000000000001</v>
      </c>
      <c r="CJ53">
        <v>0.127</v>
      </c>
      <c r="CK53">
        <v>798</v>
      </c>
      <c r="CL53">
        <v>18</v>
      </c>
      <c r="CM53">
        <v>0.02</v>
      </c>
      <c r="CN53">
        <v>0.12</v>
      </c>
      <c r="CO53">
        <v>-64.929169999999999</v>
      </c>
      <c r="CP53">
        <v>-15.44141313320819</v>
      </c>
      <c r="CQ53">
        <v>1.4866014153430629</v>
      </c>
      <c r="CR53">
        <v>-1</v>
      </c>
      <c r="CS53">
        <v>5.2856502500000007</v>
      </c>
      <c r="CT53">
        <v>0.1918449906191263</v>
      </c>
      <c r="CU53">
        <v>2.8411620024868349E-2</v>
      </c>
      <c r="CV53">
        <v>-1</v>
      </c>
      <c r="CW53">
        <v>0</v>
      </c>
      <c r="CX53">
        <v>0</v>
      </c>
      <c r="CY53" t="s">
        <v>333</v>
      </c>
      <c r="CZ53">
        <v>2.3642500000000002</v>
      </c>
      <c r="DA53">
        <v>2.7138200000000001</v>
      </c>
      <c r="DB53">
        <v>0.13767399999999999</v>
      </c>
      <c r="DC53">
        <v>0.145701</v>
      </c>
      <c r="DD53">
        <v>0.107586</v>
      </c>
      <c r="DE53">
        <v>8.7293800000000005E-2</v>
      </c>
      <c r="DF53">
        <v>31477.4</v>
      </c>
      <c r="DG53">
        <v>27518.1</v>
      </c>
      <c r="DH53">
        <v>31163.3</v>
      </c>
      <c r="DI53">
        <v>28068.1</v>
      </c>
      <c r="DJ53">
        <v>37758.1</v>
      </c>
      <c r="DK53">
        <v>36426.1</v>
      </c>
      <c r="DL53">
        <v>44347</v>
      </c>
      <c r="DM53">
        <v>42541</v>
      </c>
      <c r="DN53">
        <v>1.46255</v>
      </c>
      <c r="DO53">
        <v>2.0520999999999998</v>
      </c>
      <c r="DP53">
        <v>0.16570099999999999</v>
      </c>
      <c r="DQ53">
        <v>0.135321</v>
      </c>
      <c r="DR53">
        <v>24.779199999999999</v>
      </c>
      <c r="DS53">
        <v>24.515599999999999</v>
      </c>
      <c r="DT53">
        <v>58.1</v>
      </c>
      <c r="DU53">
        <v>28.7</v>
      </c>
      <c r="DV53">
        <v>23.269600000000001</v>
      </c>
      <c r="DW53">
        <v>60.192999999999998</v>
      </c>
      <c r="DX53">
        <v>36.778799999999997</v>
      </c>
      <c r="DY53">
        <v>1</v>
      </c>
      <c r="DZ53">
        <v>-7.0533499999999999E-2</v>
      </c>
      <c r="EA53">
        <v>2.9308900000000002</v>
      </c>
      <c r="EB53">
        <v>20.160399999999999</v>
      </c>
      <c r="EC53">
        <v>5.24125</v>
      </c>
      <c r="ED53">
        <v>12.039899999999999</v>
      </c>
      <c r="EE53">
        <v>5.0171000000000001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</v>
      </c>
      <c r="EL53">
        <v>1.8646199999999999</v>
      </c>
      <c r="EM53">
        <v>1.8692</v>
      </c>
      <c r="EN53">
        <v>1.8672299999999999</v>
      </c>
      <c r="EO53">
        <v>1.8633900000000001</v>
      </c>
      <c r="EP53">
        <v>1.86446</v>
      </c>
      <c r="EQ53">
        <v>1.87015</v>
      </c>
      <c r="ER53">
        <v>1.86938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-0.217</v>
      </c>
      <c r="FG53">
        <v>0.17530000000000001</v>
      </c>
      <c r="FH53">
        <v>0.28746640474027818</v>
      </c>
      <c r="FI53">
        <v>-6.1462078757559423E-4</v>
      </c>
      <c r="FJ53">
        <v>-1.8861989874597051E-7</v>
      </c>
      <c r="FK53">
        <v>1.1980462299894961E-10</v>
      </c>
      <c r="FL53">
        <v>0.17524818673008091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15.4</v>
      </c>
      <c r="FU53">
        <v>15.5</v>
      </c>
      <c r="FV53">
        <v>1.79199</v>
      </c>
      <c r="FW53">
        <v>2.5805699999999998</v>
      </c>
      <c r="FX53">
        <v>1.5490699999999999</v>
      </c>
      <c r="FY53">
        <v>2.3327599999999999</v>
      </c>
      <c r="FZ53">
        <v>1.50146</v>
      </c>
      <c r="GA53">
        <v>2.3315399999999999</v>
      </c>
      <c r="GB53">
        <v>33.490600000000001</v>
      </c>
      <c r="GC53">
        <v>23.9649</v>
      </c>
      <c r="GD53">
        <v>19</v>
      </c>
      <c r="GE53">
        <v>277.78699999999998</v>
      </c>
      <c r="GF53">
        <v>597.69899999999996</v>
      </c>
      <c r="GG53">
        <v>19.6372</v>
      </c>
      <c r="GH53">
        <v>26.4603</v>
      </c>
      <c r="GI53">
        <v>30.0001</v>
      </c>
      <c r="GJ53">
        <v>26.510300000000001</v>
      </c>
      <c r="GK53">
        <v>26.462800000000001</v>
      </c>
      <c r="GL53">
        <v>35.812899999999999</v>
      </c>
      <c r="GM53">
        <v>36.157200000000003</v>
      </c>
      <c r="GN53">
        <v>98.487799999999993</v>
      </c>
      <c r="GO53">
        <v>19.595199999999998</v>
      </c>
      <c r="GP53">
        <v>800</v>
      </c>
      <c r="GQ53">
        <v>16.758800000000001</v>
      </c>
      <c r="GR53">
        <v>99.707499999999996</v>
      </c>
      <c r="GS53">
        <v>99.518600000000006</v>
      </c>
    </row>
    <row r="54" spans="1:201" x14ac:dyDescent="0.25">
      <c r="A54">
        <v>38</v>
      </c>
      <c r="B54">
        <v>1690382895.5999999</v>
      </c>
      <c r="C54">
        <v>420.5</v>
      </c>
      <c r="D54" t="s">
        <v>407</v>
      </c>
      <c r="E54" t="s">
        <v>408</v>
      </c>
      <c r="F54" t="s">
        <v>330</v>
      </c>
      <c r="H54">
        <v>1690382895.5999999</v>
      </c>
      <c r="I54">
        <f t="shared" si="0"/>
        <v>5.0190754666352587E-4</v>
      </c>
      <c r="J54">
        <f t="shared" si="1"/>
        <v>0.50190754666352588</v>
      </c>
      <c r="K54">
        <f t="shared" si="2"/>
        <v>6.0984523080428756</v>
      </c>
      <c r="L54">
        <f t="shared" si="3"/>
        <v>729.63</v>
      </c>
      <c r="M54">
        <f t="shared" si="4"/>
        <v>433.57160557139656</v>
      </c>
      <c r="N54">
        <f t="shared" si="5"/>
        <v>42.830972983830428</v>
      </c>
      <c r="O54">
        <f t="shared" si="6"/>
        <v>72.077512495329003</v>
      </c>
      <c r="P54">
        <f t="shared" si="7"/>
        <v>3.4806979248264584E-2</v>
      </c>
      <c r="Q54">
        <f t="shared" si="8"/>
        <v>2.1064457381701822</v>
      </c>
      <c r="R54">
        <f t="shared" si="9"/>
        <v>3.4490585868448789E-2</v>
      </c>
      <c r="S54">
        <f t="shared" si="10"/>
        <v>2.1584803067111354E-2</v>
      </c>
      <c r="T54">
        <f t="shared" si="11"/>
        <v>276.11524816200006</v>
      </c>
      <c r="U54">
        <f t="shared" si="12"/>
        <v>27.008040967441445</v>
      </c>
      <c r="V54">
        <f t="shared" si="13"/>
        <v>27.008040967441445</v>
      </c>
      <c r="W54">
        <f t="shared" si="14"/>
        <v>3.5808503563858753</v>
      </c>
      <c r="X54">
        <f t="shared" si="15"/>
        <v>68.826006201495488</v>
      </c>
      <c r="Y54">
        <f t="shared" si="16"/>
        <v>2.1852635742231299</v>
      </c>
      <c r="Z54">
        <f t="shared" si="17"/>
        <v>3.1750550334499108</v>
      </c>
      <c r="AA54">
        <f t="shared" si="18"/>
        <v>1.3955867821627455</v>
      </c>
      <c r="AB54">
        <f t="shared" si="19"/>
        <v>-22.134122807861491</v>
      </c>
      <c r="AC54">
        <f t="shared" si="20"/>
        <v>-230.80948921124624</v>
      </c>
      <c r="AD54">
        <f t="shared" si="21"/>
        <v>-23.409790704898445</v>
      </c>
      <c r="AE54">
        <f t="shared" si="22"/>
        <v>-0.23815456200614449</v>
      </c>
      <c r="AF54">
        <v>0</v>
      </c>
      <c r="AG54">
        <v>0</v>
      </c>
      <c r="AH54">
        <f t="shared" si="23"/>
        <v>1</v>
      </c>
      <c r="AI54">
        <f t="shared" si="24"/>
        <v>0</v>
      </c>
      <c r="AJ54">
        <f t="shared" si="25"/>
        <v>52382.73477273342</v>
      </c>
      <c r="AK54">
        <f t="shared" si="26"/>
        <v>1800</v>
      </c>
      <c r="AL54">
        <f t="shared" si="27"/>
        <v>1499.1098201999998</v>
      </c>
      <c r="AM54">
        <f t="shared" si="28"/>
        <v>0.83283878899999997</v>
      </c>
      <c r="AN54">
        <f t="shared" si="29"/>
        <v>0.15339736009000002</v>
      </c>
      <c r="AO54">
        <v>32.700000000000003</v>
      </c>
      <c r="AP54">
        <v>0.5</v>
      </c>
      <c r="AQ54" t="s">
        <v>331</v>
      </c>
      <c r="AR54">
        <v>2</v>
      </c>
      <c r="AS54">
        <v>1690382895.5999999</v>
      </c>
      <c r="AT54">
        <v>729.63</v>
      </c>
      <c r="AU54">
        <v>800.053</v>
      </c>
      <c r="AV54">
        <v>22.121099999999998</v>
      </c>
      <c r="AW54">
        <v>16.7745</v>
      </c>
      <c r="AX54">
        <v>729.84500000000003</v>
      </c>
      <c r="AY54">
        <v>21.945900000000002</v>
      </c>
      <c r="AZ54">
        <v>300.178</v>
      </c>
      <c r="BA54">
        <v>98.686400000000006</v>
      </c>
      <c r="BB54">
        <v>9.9988300000000002E-2</v>
      </c>
      <c r="BC54">
        <v>24.9756</v>
      </c>
      <c r="BD54">
        <v>27.4161</v>
      </c>
      <c r="BE54">
        <v>26.659500000000001</v>
      </c>
      <c r="BF54">
        <v>0</v>
      </c>
      <c r="BG54">
        <v>0</v>
      </c>
      <c r="BH54">
        <v>9969.3799999999992</v>
      </c>
      <c r="BI54">
        <v>1056.58</v>
      </c>
      <c r="BJ54">
        <v>2.39683</v>
      </c>
      <c r="BK54">
        <v>-70.422799999999995</v>
      </c>
      <c r="BL54">
        <v>746.13499999999999</v>
      </c>
      <c r="BM54">
        <v>813.702</v>
      </c>
      <c r="BN54">
        <v>5.3466300000000002</v>
      </c>
      <c r="BO54">
        <v>800.053</v>
      </c>
      <c r="BP54">
        <v>16.7745</v>
      </c>
      <c r="BQ54">
        <v>2.1830500000000002</v>
      </c>
      <c r="BR54">
        <v>1.65541</v>
      </c>
      <c r="BS54">
        <v>18.8385</v>
      </c>
      <c r="BT54">
        <v>14.484500000000001</v>
      </c>
      <c r="BU54">
        <v>1800</v>
      </c>
      <c r="BV54">
        <v>0.90999399999999997</v>
      </c>
      <c r="BW54">
        <v>3.4007000000000003E-2</v>
      </c>
      <c r="BX54">
        <v>2.19992E-2</v>
      </c>
      <c r="BY54">
        <v>3.3999500000000002E-2</v>
      </c>
      <c r="BZ54">
        <v>25</v>
      </c>
      <c r="CA54">
        <v>33528.300000000003</v>
      </c>
      <c r="CB54">
        <v>1690381960.0999999</v>
      </c>
      <c r="CC54" t="s">
        <v>332</v>
      </c>
      <c r="CD54">
        <v>1690381960.0999999</v>
      </c>
      <c r="CE54">
        <v>1690381958.0999999</v>
      </c>
      <c r="CF54">
        <v>4</v>
      </c>
      <c r="CG54">
        <v>9.9000000000000005E-2</v>
      </c>
      <c r="CH54">
        <v>1.2E-2</v>
      </c>
      <c r="CI54">
        <v>-0.26300000000000001</v>
      </c>
      <c r="CJ54">
        <v>0.127</v>
      </c>
      <c r="CK54">
        <v>798</v>
      </c>
      <c r="CL54">
        <v>18</v>
      </c>
      <c r="CM54">
        <v>0.02</v>
      </c>
      <c r="CN54">
        <v>0.12</v>
      </c>
      <c r="CO54">
        <v>-67.569234146341458</v>
      </c>
      <c r="CP54">
        <v>-15.75665644599316</v>
      </c>
      <c r="CQ54">
        <v>1.5539564070242089</v>
      </c>
      <c r="CR54">
        <v>-1</v>
      </c>
      <c r="CS54">
        <v>5.3173741463414634</v>
      </c>
      <c r="CT54">
        <v>0.2123262020906003</v>
      </c>
      <c r="CU54">
        <v>2.2828509131113121E-2</v>
      </c>
      <c r="CV54">
        <v>-1</v>
      </c>
      <c r="CW54">
        <v>0</v>
      </c>
      <c r="CX54">
        <v>0</v>
      </c>
      <c r="CY54" t="s">
        <v>333</v>
      </c>
      <c r="CZ54">
        <v>2.3643100000000001</v>
      </c>
      <c r="DA54">
        <v>2.7137500000000001</v>
      </c>
      <c r="DB54">
        <v>0.137348</v>
      </c>
      <c r="DC54">
        <v>0.145705</v>
      </c>
      <c r="DD54">
        <v>0.107089</v>
      </c>
      <c r="DE54">
        <v>8.6645600000000003E-2</v>
      </c>
      <c r="DF54">
        <v>31488.9</v>
      </c>
      <c r="DG54">
        <v>27518</v>
      </c>
      <c r="DH54">
        <v>31162.799999999999</v>
      </c>
      <c r="DI54">
        <v>28068.1</v>
      </c>
      <c r="DJ54">
        <v>37778.800000000003</v>
      </c>
      <c r="DK54">
        <v>36452.199999999997</v>
      </c>
      <c r="DL54">
        <v>44346.400000000001</v>
      </c>
      <c r="DM54">
        <v>42541.2</v>
      </c>
      <c r="DN54">
        <v>1.4623699999999999</v>
      </c>
      <c r="DO54">
        <v>2.0516299999999998</v>
      </c>
      <c r="DP54">
        <v>0.16331699999999999</v>
      </c>
      <c r="DQ54">
        <v>0.133049</v>
      </c>
      <c r="DR54">
        <v>24.741199999999999</v>
      </c>
      <c r="DS54">
        <v>24.4785</v>
      </c>
      <c r="DT54">
        <v>58.1</v>
      </c>
      <c r="DU54">
        <v>28.7</v>
      </c>
      <c r="DV54">
        <v>23.2682</v>
      </c>
      <c r="DW54">
        <v>60.363</v>
      </c>
      <c r="DX54">
        <v>36.7027</v>
      </c>
      <c r="DY54">
        <v>1</v>
      </c>
      <c r="DZ54">
        <v>-7.0431900000000006E-2</v>
      </c>
      <c r="EA54">
        <v>2.9931299999999998</v>
      </c>
      <c r="EB54">
        <v>20.159099999999999</v>
      </c>
      <c r="EC54">
        <v>5.2416999999999998</v>
      </c>
      <c r="ED54">
        <v>12.039899999999999</v>
      </c>
      <c r="EE54">
        <v>5.0174000000000003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</v>
      </c>
      <c r="EL54">
        <v>1.8646199999999999</v>
      </c>
      <c r="EM54">
        <v>1.8692</v>
      </c>
      <c r="EN54">
        <v>1.8672200000000001</v>
      </c>
      <c r="EO54">
        <v>1.86338</v>
      </c>
      <c r="EP54">
        <v>1.8644700000000001</v>
      </c>
      <c r="EQ54">
        <v>1.8701399999999999</v>
      </c>
      <c r="ER54">
        <v>1.86941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-0.215</v>
      </c>
      <c r="FG54">
        <v>0.17519999999999999</v>
      </c>
      <c r="FH54">
        <v>0.28746640474027818</v>
      </c>
      <c r="FI54">
        <v>-6.1462078757559423E-4</v>
      </c>
      <c r="FJ54">
        <v>-1.8861989874597051E-7</v>
      </c>
      <c r="FK54">
        <v>1.1980462299894961E-10</v>
      </c>
      <c r="FL54">
        <v>0.17524818673008091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15.6</v>
      </c>
      <c r="FU54">
        <v>15.6</v>
      </c>
      <c r="FV54">
        <v>1.79077</v>
      </c>
      <c r="FW54">
        <v>2.5817899999999998</v>
      </c>
      <c r="FX54">
        <v>1.5490699999999999</v>
      </c>
      <c r="FY54">
        <v>2.3327599999999999</v>
      </c>
      <c r="FZ54">
        <v>1.50146</v>
      </c>
      <c r="GA54">
        <v>2.323</v>
      </c>
      <c r="GB54">
        <v>33.490600000000001</v>
      </c>
      <c r="GC54">
        <v>23.9649</v>
      </c>
      <c r="GD54">
        <v>19</v>
      </c>
      <c r="GE54">
        <v>277.70299999999997</v>
      </c>
      <c r="GF54">
        <v>597.32299999999998</v>
      </c>
      <c r="GG54">
        <v>19.542000000000002</v>
      </c>
      <c r="GH54">
        <v>26.4542</v>
      </c>
      <c r="GI54">
        <v>30.0001</v>
      </c>
      <c r="GJ54">
        <v>26.507999999999999</v>
      </c>
      <c r="GK54">
        <v>26.4648</v>
      </c>
      <c r="GL54">
        <v>35.810499999999998</v>
      </c>
      <c r="GM54">
        <v>36.733400000000003</v>
      </c>
      <c r="GN54">
        <v>98.111599999999996</v>
      </c>
      <c r="GO54">
        <v>19.495000000000001</v>
      </c>
      <c r="GP54">
        <v>800</v>
      </c>
      <c r="GQ54">
        <v>16.6447</v>
      </c>
      <c r="GR54">
        <v>99.706000000000003</v>
      </c>
      <c r="GS54">
        <v>99.518900000000002</v>
      </c>
    </row>
    <row r="55" spans="1:201" x14ac:dyDescent="0.25">
      <c r="A55">
        <v>39</v>
      </c>
      <c r="B55">
        <v>1690382905.5999999</v>
      </c>
      <c r="C55">
        <v>430.5</v>
      </c>
      <c r="D55" t="s">
        <v>409</v>
      </c>
      <c r="E55" t="s">
        <v>410</v>
      </c>
      <c r="F55" t="s">
        <v>330</v>
      </c>
      <c r="H55">
        <v>1690382905.5999999</v>
      </c>
      <c r="I55">
        <f t="shared" si="0"/>
        <v>4.9993143745442111E-4</v>
      </c>
      <c r="J55">
        <f t="shared" si="1"/>
        <v>0.49993143745442109</v>
      </c>
      <c r="K55">
        <f t="shared" si="2"/>
        <v>6.3283570646447957</v>
      </c>
      <c r="L55">
        <f t="shared" si="3"/>
        <v>727.11300000000006</v>
      </c>
      <c r="M55">
        <f t="shared" si="4"/>
        <v>418.92527042052023</v>
      </c>
      <c r="N55">
        <f t="shared" si="5"/>
        <v>41.383319521743395</v>
      </c>
      <c r="O55">
        <f t="shared" si="6"/>
        <v>71.827487459060407</v>
      </c>
      <c r="P55">
        <f t="shared" si="7"/>
        <v>3.4609826105723974E-2</v>
      </c>
      <c r="Q55">
        <f t="shared" si="8"/>
        <v>2.1082220088098511</v>
      </c>
      <c r="R55">
        <f t="shared" si="9"/>
        <v>3.4297250427391658E-2</v>
      </c>
      <c r="S55">
        <f t="shared" si="10"/>
        <v>2.146362982596757E-2</v>
      </c>
      <c r="T55">
        <f t="shared" si="11"/>
        <v>276.11514576000002</v>
      </c>
      <c r="U55">
        <f t="shared" si="12"/>
        <v>26.949887694136759</v>
      </c>
      <c r="V55">
        <f t="shared" si="13"/>
        <v>26.949887694136759</v>
      </c>
      <c r="W55">
        <f t="shared" si="14"/>
        <v>3.5686389617795586</v>
      </c>
      <c r="X55">
        <f t="shared" si="15"/>
        <v>68.596789430565622</v>
      </c>
      <c r="Y55">
        <f t="shared" si="16"/>
        <v>2.1705422241029999</v>
      </c>
      <c r="Z55">
        <f t="shared" si="17"/>
        <v>3.1642038091302296</v>
      </c>
      <c r="AA55">
        <f t="shared" si="18"/>
        <v>1.3980967376765587</v>
      </c>
      <c r="AB55">
        <f t="shared" si="19"/>
        <v>-22.046976391739971</v>
      </c>
      <c r="AC55">
        <f t="shared" si="20"/>
        <v>-230.91850455095275</v>
      </c>
      <c r="AD55">
        <f t="shared" si="21"/>
        <v>-23.387551011501433</v>
      </c>
      <c r="AE55">
        <f t="shared" si="22"/>
        <v>-0.23788619419414658</v>
      </c>
      <c r="AF55">
        <v>0</v>
      </c>
      <c r="AG55">
        <v>0</v>
      </c>
      <c r="AH55">
        <f t="shared" si="23"/>
        <v>1</v>
      </c>
      <c r="AI55">
        <f t="shared" si="24"/>
        <v>0</v>
      </c>
      <c r="AJ55">
        <f t="shared" si="25"/>
        <v>52470.593561751753</v>
      </c>
      <c r="AK55">
        <f t="shared" si="26"/>
        <v>1800</v>
      </c>
      <c r="AL55">
        <f t="shared" si="27"/>
        <v>1499.1110639999999</v>
      </c>
      <c r="AM55">
        <f t="shared" si="28"/>
        <v>0.83283947999999997</v>
      </c>
      <c r="AN55">
        <f t="shared" si="29"/>
        <v>0.1533973032</v>
      </c>
      <c r="AO55">
        <v>32.700000000000003</v>
      </c>
      <c r="AP55">
        <v>0.5</v>
      </c>
      <c r="AQ55" t="s">
        <v>331</v>
      </c>
      <c r="AR55">
        <v>2</v>
      </c>
      <c r="AS55">
        <v>1690382905.5999999</v>
      </c>
      <c r="AT55">
        <v>727.11300000000006</v>
      </c>
      <c r="AU55">
        <v>800.03899999999999</v>
      </c>
      <c r="AV55">
        <v>21.9725</v>
      </c>
      <c r="AW55">
        <v>16.644100000000002</v>
      </c>
      <c r="AX55">
        <v>727.32600000000002</v>
      </c>
      <c r="AY55">
        <v>21.7973</v>
      </c>
      <c r="AZ55">
        <v>300.06299999999999</v>
      </c>
      <c r="BA55">
        <v>98.6845</v>
      </c>
      <c r="BB55">
        <v>9.9990800000000005E-2</v>
      </c>
      <c r="BC55">
        <v>24.918199999999999</v>
      </c>
      <c r="BD55">
        <v>27.354500000000002</v>
      </c>
      <c r="BE55">
        <v>26.6004</v>
      </c>
      <c r="BF55">
        <v>0</v>
      </c>
      <c r="BG55">
        <v>0</v>
      </c>
      <c r="BH55">
        <v>9985</v>
      </c>
      <c r="BI55">
        <v>1055.8699999999999</v>
      </c>
      <c r="BJ55">
        <v>2.3547799999999999</v>
      </c>
      <c r="BK55">
        <v>-72.9268</v>
      </c>
      <c r="BL55">
        <v>743.44799999999998</v>
      </c>
      <c r="BM55">
        <v>813.58100000000002</v>
      </c>
      <c r="BN55">
        <v>5.3284700000000003</v>
      </c>
      <c r="BO55">
        <v>800.03899999999999</v>
      </c>
      <c r="BP55">
        <v>16.644100000000002</v>
      </c>
      <c r="BQ55">
        <v>2.1683500000000002</v>
      </c>
      <c r="BR55">
        <v>1.6425099999999999</v>
      </c>
      <c r="BS55">
        <v>18.730399999999999</v>
      </c>
      <c r="BT55">
        <v>14.3635</v>
      </c>
      <c r="BU55">
        <v>1800</v>
      </c>
      <c r="BV55">
        <v>0.909999</v>
      </c>
      <c r="BW55">
        <v>3.4005300000000002E-2</v>
      </c>
      <c r="BX55">
        <v>2.1998E-2</v>
      </c>
      <c r="BY55">
        <v>3.3997800000000002E-2</v>
      </c>
      <c r="BZ55">
        <v>25</v>
      </c>
      <c r="CA55">
        <v>33528.400000000001</v>
      </c>
      <c r="CB55">
        <v>1690381960.0999999</v>
      </c>
      <c r="CC55" t="s">
        <v>332</v>
      </c>
      <c r="CD55">
        <v>1690381960.0999999</v>
      </c>
      <c r="CE55">
        <v>1690381958.0999999</v>
      </c>
      <c r="CF55">
        <v>4</v>
      </c>
      <c r="CG55">
        <v>9.9000000000000005E-2</v>
      </c>
      <c r="CH55">
        <v>1.2E-2</v>
      </c>
      <c r="CI55">
        <v>-0.26300000000000001</v>
      </c>
      <c r="CJ55">
        <v>0.127</v>
      </c>
      <c r="CK55">
        <v>798</v>
      </c>
      <c r="CL55">
        <v>18</v>
      </c>
      <c r="CM55">
        <v>0.02</v>
      </c>
      <c r="CN55">
        <v>0.12</v>
      </c>
      <c r="CO55">
        <v>-70.144175609756104</v>
      </c>
      <c r="CP55">
        <v>-15.237884320557439</v>
      </c>
      <c r="CQ55">
        <v>1.5028459109596171</v>
      </c>
      <c r="CR55">
        <v>-1</v>
      </c>
      <c r="CS55">
        <v>5.3445653658536578</v>
      </c>
      <c r="CT55">
        <v>0.1124052961672406</v>
      </c>
      <c r="CU55">
        <v>1.708462710751214E-2</v>
      </c>
      <c r="CV55">
        <v>-1</v>
      </c>
      <c r="CW55">
        <v>0</v>
      </c>
      <c r="CX55">
        <v>0</v>
      </c>
      <c r="CY55" t="s">
        <v>333</v>
      </c>
      <c r="CZ55">
        <v>2.3639299999999999</v>
      </c>
      <c r="DA55">
        <v>2.7137699999999998</v>
      </c>
      <c r="DB55">
        <v>0.137021</v>
      </c>
      <c r="DC55">
        <v>0.14569699999999999</v>
      </c>
      <c r="DD55">
        <v>0.106573</v>
      </c>
      <c r="DE55">
        <v>8.6155200000000001E-2</v>
      </c>
      <c r="DF55">
        <v>31501.200000000001</v>
      </c>
      <c r="DG55">
        <v>27518.7</v>
      </c>
      <c r="DH55">
        <v>31163.200000000001</v>
      </c>
      <c r="DI55">
        <v>28068.5</v>
      </c>
      <c r="DJ55">
        <v>37801.199999999997</v>
      </c>
      <c r="DK55">
        <v>36472.300000000003</v>
      </c>
      <c r="DL55">
        <v>44346.8</v>
      </c>
      <c r="DM55">
        <v>42541.7</v>
      </c>
      <c r="DN55">
        <v>1.4625999999999999</v>
      </c>
      <c r="DO55">
        <v>2.0514999999999999</v>
      </c>
      <c r="DP55">
        <v>0.161938</v>
      </c>
      <c r="DQ55">
        <v>0.13181899999999999</v>
      </c>
      <c r="DR55">
        <v>24.702000000000002</v>
      </c>
      <c r="DS55">
        <v>24.439399999999999</v>
      </c>
      <c r="DT55">
        <v>58.1</v>
      </c>
      <c r="DU55">
        <v>28.7</v>
      </c>
      <c r="DV55">
        <v>23.2727</v>
      </c>
      <c r="DW55">
        <v>60.893000000000001</v>
      </c>
      <c r="DX55">
        <v>36.6066</v>
      </c>
      <c r="DY55">
        <v>1</v>
      </c>
      <c r="DZ55">
        <v>-7.0099099999999998E-2</v>
      </c>
      <c r="EA55">
        <v>3.05626</v>
      </c>
      <c r="EB55">
        <v>20.157599999999999</v>
      </c>
      <c r="EC55">
        <v>5.2411000000000003</v>
      </c>
      <c r="ED55">
        <v>12.039899999999999</v>
      </c>
      <c r="EE55">
        <v>5.0167999999999999</v>
      </c>
      <c r="EF55">
        <v>3.2879499999999999</v>
      </c>
      <c r="EG55">
        <v>9999</v>
      </c>
      <c r="EH55">
        <v>9999</v>
      </c>
      <c r="EI55">
        <v>9999</v>
      </c>
      <c r="EJ55">
        <v>999.9</v>
      </c>
      <c r="EK55">
        <v>1.8689</v>
      </c>
      <c r="EL55">
        <v>1.8646199999999999</v>
      </c>
      <c r="EM55">
        <v>1.8692</v>
      </c>
      <c r="EN55">
        <v>1.8672200000000001</v>
      </c>
      <c r="EO55">
        <v>1.86338</v>
      </c>
      <c r="EP55">
        <v>1.86446</v>
      </c>
      <c r="EQ55">
        <v>1.87016</v>
      </c>
      <c r="ER55">
        <v>1.86938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-0.21299999999999999</v>
      </c>
      <c r="FG55">
        <v>0.17519999999999999</v>
      </c>
      <c r="FH55">
        <v>0.28746640474027818</v>
      </c>
      <c r="FI55">
        <v>-6.1462078757559423E-4</v>
      </c>
      <c r="FJ55">
        <v>-1.8861989874597051E-7</v>
      </c>
      <c r="FK55">
        <v>1.1980462299894961E-10</v>
      </c>
      <c r="FL55">
        <v>0.17524818673008091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15.8</v>
      </c>
      <c r="FU55">
        <v>15.8</v>
      </c>
      <c r="FV55">
        <v>1.79077</v>
      </c>
      <c r="FW55">
        <v>2.5817899999999998</v>
      </c>
      <c r="FX55">
        <v>1.5490699999999999</v>
      </c>
      <c r="FY55">
        <v>2.3315399999999999</v>
      </c>
      <c r="FZ55">
        <v>1.50146</v>
      </c>
      <c r="GA55">
        <v>2.2778299999999998</v>
      </c>
      <c r="GB55">
        <v>33.490600000000001</v>
      </c>
      <c r="GC55">
        <v>23.9649</v>
      </c>
      <c r="GD55">
        <v>19</v>
      </c>
      <c r="GE55">
        <v>277.798</v>
      </c>
      <c r="GF55">
        <v>597.23099999999999</v>
      </c>
      <c r="GG55">
        <v>19.437999999999999</v>
      </c>
      <c r="GH55">
        <v>26.448</v>
      </c>
      <c r="GI55">
        <v>30.0002</v>
      </c>
      <c r="GJ55">
        <v>26.507999999999999</v>
      </c>
      <c r="GK55">
        <v>26.466100000000001</v>
      </c>
      <c r="GL55">
        <v>35.805999999999997</v>
      </c>
      <c r="GM55">
        <v>37.116</v>
      </c>
      <c r="GN55">
        <v>97.732799999999997</v>
      </c>
      <c r="GO55">
        <v>19.391300000000001</v>
      </c>
      <c r="GP55">
        <v>800</v>
      </c>
      <c r="GQ55">
        <v>16.479099999999999</v>
      </c>
      <c r="GR55">
        <v>99.707099999999997</v>
      </c>
      <c r="GS55">
        <v>99.520300000000006</v>
      </c>
    </row>
    <row r="56" spans="1:201" x14ac:dyDescent="0.25">
      <c r="A56">
        <v>40</v>
      </c>
      <c r="B56">
        <v>1690382915.5999999</v>
      </c>
      <c r="C56">
        <v>440.5</v>
      </c>
      <c r="D56" t="s">
        <v>411</v>
      </c>
      <c r="E56" t="s">
        <v>412</v>
      </c>
      <c r="F56" t="s">
        <v>330</v>
      </c>
      <c r="H56">
        <v>1690382915.5999999</v>
      </c>
      <c r="I56">
        <f t="shared" si="0"/>
        <v>4.9932612968547527E-4</v>
      </c>
      <c r="J56">
        <f t="shared" si="1"/>
        <v>0.4993261296854753</v>
      </c>
      <c r="K56">
        <f t="shared" si="2"/>
        <v>6.561910921581795</v>
      </c>
      <c r="L56">
        <f t="shared" si="3"/>
        <v>724.58500000000004</v>
      </c>
      <c r="M56">
        <f t="shared" si="4"/>
        <v>404.72304457394307</v>
      </c>
      <c r="N56">
        <f t="shared" si="5"/>
        <v>39.981241036275314</v>
      </c>
      <c r="O56">
        <f t="shared" si="6"/>
        <v>71.579337832779999</v>
      </c>
      <c r="P56">
        <f t="shared" si="7"/>
        <v>3.450012965880811E-2</v>
      </c>
      <c r="Q56">
        <f t="shared" si="8"/>
        <v>2.1102582164111245</v>
      </c>
      <c r="R56">
        <f t="shared" si="9"/>
        <v>3.4189819474224031E-2</v>
      </c>
      <c r="S56">
        <f t="shared" si="10"/>
        <v>2.13962845941639E-2</v>
      </c>
      <c r="T56">
        <f t="shared" si="11"/>
        <v>276.11329992070057</v>
      </c>
      <c r="U56">
        <f t="shared" si="12"/>
        <v>26.89450459111649</v>
      </c>
      <c r="V56">
        <f t="shared" si="13"/>
        <v>26.89450459111649</v>
      </c>
      <c r="W56">
        <f t="shared" si="14"/>
        <v>3.5570430772516546</v>
      </c>
      <c r="X56">
        <f t="shared" si="15"/>
        <v>68.357609110090607</v>
      </c>
      <c r="Y56">
        <f t="shared" si="16"/>
        <v>2.1560289077668</v>
      </c>
      <c r="Z56">
        <f t="shared" si="17"/>
        <v>3.1540437646005062</v>
      </c>
      <c r="AA56">
        <f t="shared" si="18"/>
        <v>1.4010141694848546</v>
      </c>
      <c r="AB56">
        <f t="shared" si="19"/>
        <v>-22.020282319129461</v>
      </c>
      <c r="AC56">
        <f t="shared" si="20"/>
        <v>-230.97280512664759</v>
      </c>
      <c r="AD56">
        <f t="shared" si="21"/>
        <v>-23.357664952290602</v>
      </c>
      <c r="AE56">
        <f t="shared" si="22"/>
        <v>-0.23745247736707142</v>
      </c>
      <c r="AF56">
        <v>0</v>
      </c>
      <c r="AG56">
        <v>0</v>
      </c>
      <c r="AH56">
        <f t="shared" si="23"/>
        <v>1</v>
      </c>
      <c r="AI56">
        <f t="shared" si="24"/>
        <v>0</v>
      </c>
      <c r="AJ56">
        <f t="shared" si="25"/>
        <v>52569.436457580436</v>
      </c>
      <c r="AK56">
        <f t="shared" si="26"/>
        <v>1799.99</v>
      </c>
      <c r="AL56">
        <f t="shared" si="27"/>
        <v>1499.1023648072598</v>
      </c>
      <c r="AM56">
        <f t="shared" si="28"/>
        <v>0.83283927399999991</v>
      </c>
      <c r="AN56">
        <f t="shared" si="29"/>
        <v>0.15339712993999999</v>
      </c>
      <c r="AO56">
        <v>32.700000000000003</v>
      </c>
      <c r="AP56">
        <v>0.5</v>
      </c>
      <c r="AQ56" t="s">
        <v>331</v>
      </c>
      <c r="AR56">
        <v>2</v>
      </c>
      <c r="AS56">
        <v>1690382915.5999999</v>
      </c>
      <c r="AT56">
        <v>724.58500000000004</v>
      </c>
      <c r="AU56">
        <v>800.01</v>
      </c>
      <c r="AV56">
        <v>21.825099999999999</v>
      </c>
      <c r="AW56">
        <v>16.504300000000001</v>
      </c>
      <c r="AX56">
        <v>724.79600000000005</v>
      </c>
      <c r="AY56">
        <v>21.649899999999999</v>
      </c>
      <c r="AZ56">
        <v>300.173</v>
      </c>
      <c r="BA56">
        <v>98.686599999999999</v>
      </c>
      <c r="BB56">
        <v>0.100068</v>
      </c>
      <c r="BC56">
        <v>24.8643</v>
      </c>
      <c r="BD56">
        <v>27.2866</v>
      </c>
      <c r="BE56">
        <v>26.541599999999999</v>
      </c>
      <c r="BF56">
        <v>0</v>
      </c>
      <c r="BG56">
        <v>0</v>
      </c>
      <c r="BH56">
        <v>10002.5</v>
      </c>
      <c r="BI56">
        <v>1055.19</v>
      </c>
      <c r="BJ56">
        <v>2.3547799999999999</v>
      </c>
      <c r="BK56">
        <v>-75.424999999999997</v>
      </c>
      <c r="BL56">
        <v>740.75199999999995</v>
      </c>
      <c r="BM56">
        <v>813.43499999999995</v>
      </c>
      <c r="BN56">
        <v>5.3208099999999998</v>
      </c>
      <c r="BO56">
        <v>800.01</v>
      </c>
      <c r="BP56">
        <v>16.504300000000001</v>
      </c>
      <c r="BQ56">
        <v>2.1538499999999998</v>
      </c>
      <c r="BR56">
        <v>1.6287499999999999</v>
      </c>
      <c r="BS56">
        <v>18.623100000000001</v>
      </c>
      <c r="BT56">
        <v>14.233599999999999</v>
      </c>
      <c r="BU56">
        <v>1799.99</v>
      </c>
      <c r="BV56">
        <v>0.91000199999999998</v>
      </c>
      <c r="BW56">
        <v>3.4003899999999997E-2</v>
      </c>
      <c r="BX56">
        <v>2.1997200000000001E-2</v>
      </c>
      <c r="BY56">
        <v>3.3996400000000003E-2</v>
      </c>
      <c r="BZ56">
        <v>25</v>
      </c>
      <c r="CA56">
        <v>33528.300000000003</v>
      </c>
      <c r="CB56">
        <v>1690381960.0999999</v>
      </c>
      <c r="CC56" t="s">
        <v>332</v>
      </c>
      <c r="CD56">
        <v>1690381960.0999999</v>
      </c>
      <c r="CE56">
        <v>1690381958.0999999</v>
      </c>
      <c r="CF56">
        <v>4</v>
      </c>
      <c r="CG56">
        <v>9.9000000000000005E-2</v>
      </c>
      <c r="CH56">
        <v>1.2E-2</v>
      </c>
      <c r="CI56">
        <v>-0.26300000000000001</v>
      </c>
      <c r="CJ56">
        <v>0.127</v>
      </c>
      <c r="CK56">
        <v>798</v>
      </c>
      <c r="CL56">
        <v>18</v>
      </c>
      <c r="CM56">
        <v>0.02</v>
      </c>
      <c r="CN56">
        <v>0.12</v>
      </c>
      <c r="CO56">
        <v>-72.67048780487805</v>
      </c>
      <c r="CP56">
        <v>-15.025946341463481</v>
      </c>
      <c r="CQ56">
        <v>1.482011241884079</v>
      </c>
      <c r="CR56">
        <v>-1</v>
      </c>
      <c r="CS56">
        <v>5.3457556097560976</v>
      </c>
      <c r="CT56">
        <v>-7.3921463414618013E-2</v>
      </c>
      <c r="CU56">
        <v>1.177229986622806E-2</v>
      </c>
      <c r="CV56">
        <v>-1</v>
      </c>
      <c r="CW56">
        <v>0</v>
      </c>
      <c r="CX56">
        <v>0</v>
      </c>
      <c r="CY56" t="s">
        <v>333</v>
      </c>
      <c r="CZ56">
        <v>2.3643000000000001</v>
      </c>
      <c r="DA56">
        <v>2.7138599999999999</v>
      </c>
      <c r="DB56">
        <v>0.13669799999999999</v>
      </c>
      <c r="DC56">
        <v>0.14569399999999999</v>
      </c>
      <c r="DD56">
        <v>0.10606500000000001</v>
      </c>
      <c r="DE56">
        <v>8.5632200000000006E-2</v>
      </c>
      <c r="DF56">
        <v>31513.5</v>
      </c>
      <c r="DG56">
        <v>27519</v>
      </c>
      <c r="DH56">
        <v>31163.599999999999</v>
      </c>
      <c r="DI56">
        <v>28068.7</v>
      </c>
      <c r="DJ56">
        <v>37823.599999999999</v>
      </c>
      <c r="DK56">
        <v>36493.599999999999</v>
      </c>
      <c r="DL56">
        <v>44347.8</v>
      </c>
      <c r="DM56">
        <v>42542.2</v>
      </c>
      <c r="DN56">
        <v>1.4629000000000001</v>
      </c>
      <c r="DO56">
        <v>2.0513300000000001</v>
      </c>
      <c r="DP56">
        <v>0.160299</v>
      </c>
      <c r="DQ56">
        <v>0.130609</v>
      </c>
      <c r="DR56">
        <v>24.660599999999999</v>
      </c>
      <c r="DS56">
        <v>24.400300000000001</v>
      </c>
      <c r="DT56">
        <v>58.1</v>
      </c>
      <c r="DU56">
        <v>28.7</v>
      </c>
      <c r="DV56">
        <v>23.270299999999999</v>
      </c>
      <c r="DW56">
        <v>60.582999999999998</v>
      </c>
      <c r="DX56">
        <v>35.957500000000003</v>
      </c>
      <c r="DY56">
        <v>1</v>
      </c>
      <c r="DZ56">
        <v>-7.0787600000000006E-2</v>
      </c>
      <c r="EA56">
        <v>3.1007500000000001</v>
      </c>
      <c r="EB56">
        <v>20.157</v>
      </c>
      <c r="EC56">
        <v>5.24125</v>
      </c>
      <c r="ED56">
        <v>12.039899999999999</v>
      </c>
      <c r="EE56">
        <v>5.0171000000000001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</v>
      </c>
      <c r="EL56">
        <v>1.8646199999999999</v>
      </c>
      <c r="EM56">
        <v>1.86921</v>
      </c>
      <c r="EN56">
        <v>1.8672200000000001</v>
      </c>
      <c r="EO56">
        <v>1.86338</v>
      </c>
      <c r="EP56">
        <v>1.86446</v>
      </c>
      <c r="EQ56">
        <v>1.87015</v>
      </c>
      <c r="ER56">
        <v>1.8694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-0.21099999999999999</v>
      </c>
      <c r="FG56">
        <v>0.17519999999999999</v>
      </c>
      <c r="FH56">
        <v>0.28746640474027818</v>
      </c>
      <c r="FI56">
        <v>-6.1462078757559423E-4</v>
      </c>
      <c r="FJ56">
        <v>-1.8861989874597051E-7</v>
      </c>
      <c r="FK56">
        <v>1.1980462299894961E-10</v>
      </c>
      <c r="FL56">
        <v>0.17524818673008091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15.9</v>
      </c>
      <c r="FU56">
        <v>16</v>
      </c>
      <c r="FV56">
        <v>1.79077</v>
      </c>
      <c r="FW56">
        <v>2.5756800000000002</v>
      </c>
      <c r="FX56">
        <v>1.5490699999999999</v>
      </c>
      <c r="FY56">
        <v>2.3327599999999999</v>
      </c>
      <c r="FZ56">
        <v>1.50146</v>
      </c>
      <c r="GA56">
        <v>2.34009</v>
      </c>
      <c r="GB56">
        <v>33.490600000000001</v>
      </c>
      <c r="GC56">
        <v>23.973700000000001</v>
      </c>
      <c r="GD56">
        <v>19</v>
      </c>
      <c r="GE56">
        <v>277.91500000000002</v>
      </c>
      <c r="GF56">
        <v>597.096</v>
      </c>
      <c r="GG56">
        <v>19.331399999999999</v>
      </c>
      <c r="GH56">
        <v>26.441400000000002</v>
      </c>
      <c r="GI56">
        <v>29.9998</v>
      </c>
      <c r="GJ56">
        <v>26.505800000000001</v>
      </c>
      <c r="GK56">
        <v>26.467099999999999</v>
      </c>
      <c r="GL56">
        <v>35.807600000000001</v>
      </c>
      <c r="GM56">
        <v>37.704700000000003</v>
      </c>
      <c r="GN56">
        <v>97.360299999999995</v>
      </c>
      <c r="GO56">
        <v>19.284700000000001</v>
      </c>
      <c r="GP56">
        <v>800</v>
      </c>
      <c r="GQ56">
        <v>16.398800000000001</v>
      </c>
      <c r="GR56">
        <v>99.709000000000003</v>
      </c>
      <c r="GS56">
        <v>99.521299999999997</v>
      </c>
    </row>
    <row r="57" spans="1:201" x14ac:dyDescent="0.25">
      <c r="A57">
        <v>41</v>
      </c>
      <c r="B57">
        <v>1690382925.5999999</v>
      </c>
      <c r="C57">
        <v>450.5</v>
      </c>
      <c r="D57" t="s">
        <v>413</v>
      </c>
      <c r="E57" t="s">
        <v>414</v>
      </c>
      <c r="F57" t="s">
        <v>330</v>
      </c>
      <c r="H57">
        <v>1690382925.5999999</v>
      </c>
      <c r="I57">
        <f t="shared" si="0"/>
        <v>4.9775256926722934E-4</v>
      </c>
      <c r="J57">
        <f t="shared" si="1"/>
        <v>0.49775256926722933</v>
      </c>
      <c r="K57">
        <f t="shared" si="2"/>
        <v>6.7943269679406573</v>
      </c>
      <c r="L57">
        <f t="shared" si="3"/>
        <v>722.10900000000004</v>
      </c>
      <c r="M57">
        <f t="shared" si="4"/>
        <v>389.91128874970127</v>
      </c>
      <c r="N57">
        <f t="shared" si="5"/>
        <v>38.518770454303009</v>
      </c>
      <c r="O57">
        <f t="shared" si="6"/>
        <v>71.336100329841003</v>
      </c>
      <c r="P57">
        <f t="shared" si="7"/>
        <v>3.4320264828155846E-2</v>
      </c>
      <c r="Q57">
        <f t="shared" si="8"/>
        <v>2.1125067197870053</v>
      </c>
      <c r="R57">
        <f t="shared" si="9"/>
        <v>3.4013489963374458E-2</v>
      </c>
      <c r="S57">
        <f t="shared" si="10"/>
        <v>2.1285765092204628E-2</v>
      </c>
      <c r="T57">
        <f t="shared" si="11"/>
        <v>276.114753468</v>
      </c>
      <c r="U57">
        <f t="shared" si="12"/>
        <v>26.842799250625276</v>
      </c>
      <c r="V57">
        <f t="shared" si="13"/>
        <v>26.842799250625276</v>
      </c>
      <c r="W57">
        <f t="shared" si="14"/>
        <v>3.5462469305133877</v>
      </c>
      <c r="X57">
        <f t="shared" si="15"/>
        <v>68.123799014944296</v>
      </c>
      <c r="Y57">
        <f t="shared" si="16"/>
        <v>2.1422000485003001</v>
      </c>
      <c r="Z57">
        <f t="shared" si="17"/>
        <v>3.1445692687079392</v>
      </c>
      <c r="AA57">
        <f t="shared" si="18"/>
        <v>1.4040468820130876</v>
      </c>
      <c r="AB57">
        <f t="shared" si="19"/>
        <v>-21.950888304684813</v>
      </c>
      <c r="AC57">
        <f t="shared" si="20"/>
        <v>-231.07024466823958</v>
      </c>
      <c r="AD57">
        <f t="shared" si="21"/>
        <v>-23.330686969840954</v>
      </c>
      <c r="AE57">
        <f t="shared" si="22"/>
        <v>-0.23706647476532794</v>
      </c>
      <c r="AF57">
        <v>0</v>
      </c>
      <c r="AG57">
        <v>0</v>
      </c>
      <c r="AH57">
        <f t="shared" si="23"/>
        <v>1</v>
      </c>
      <c r="AI57">
        <f t="shared" si="24"/>
        <v>0</v>
      </c>
      <c r="AJ57">
        <f t="shared" si="25"/>
        <v>52677.121712083695</v>
      </c>
      <c r="AK57">
        <f t="shared" si="26"/>
        <v>1800</v>
      </c>
      <c r="AL57">
        <f t="shared" si="27"/>
        <v>1499.1116778000001</v>
      </c>
      <c r="AM57">
        <f t="shared" si="28"/>
        <v>0.83283982099999998</v>
      </c>
      <c r="AN57">
        <f t="shared" si="29"/>
        <v>0.15339708526000001</v>
      </c>
      <c r="AO57">
        <v>32.700000000000003</v>
      </c>
      <c r="AP57">
        <v>0.5</v>
      </c>
      <c r="AQ57" t="s">
        <v>331</v>
      </c>
      <c r="AR57">
        <v>2</v>
      </c>
      <c r="AS57">
        <v>1690382925.5999999</v>
      </c>
      <c r="AT57">
        <v>722.10900000000004</v>
      </c>
      <c r="AU57">
        <v>800.04600000000005</v>
      </c>
      <c r="AV57">
        <v>21.684699999999999</v>
      </c>
      <c r="AW57">
        <v>16.3795</v>
      </c>
      <c r="AX57">
        <v>722.31899999999996</v>
      </c>
      <c r="AY57">
        <v>21.509499999999999</v>
      </c>
      <c r="AZ57">
        <v>300.14999999999998</v>
      </c>
      <c r="BA57">
        <v>98.688500000000005</v>
      </c>
      <c r="BB57">
        <v>0.100049</v>
      </c>
      <c r="BC57">
        <v>24.8139</v>
      </c>
      <c r="BD57">
        <v>27.188400000000001</v>
      </c>
      <c r="BE57">
        <v>26.474</v>
      </c>
      <c r="BF57">
        <v>0</v>
      </c>
      <c r="BG57">
        <v>0</v>
      </c>
      <c r="BH57">
        <v>10021.9</v>
      </c>
      <c r="BI57">
        <v>1054.42</v>
      </c>
      <c r="BJ57">
        <v>2.3547799999999999</v>
      </c>
      <c r="BK57">
        <v>-77.936899999999994</v>
      </c>
      <c r="BL57">
        <v>738.11500000000001</v>
      </c>
      <c r="BM57">
        <v>813.36900000000003</v>
      </c>
      <c r="BN57">
        <v>5.3052099999999998</v>
      </c>
      <c r="BO57">
        <v>800.04600000000005</v>
      </c>
      <c r="BP57">
        <v>16.3795</v>
      </c>
      <c r="BQ57">
        <v>2.1400299999999999</v>
      </c>
      <c r="BR57">
        <v>1.6164700000000001</v>
      </c>
      <c r="BS57">
        <v>18.520299999999999</v>
      </c>
      <c r="BT57">
        <v>14.1167</v>
      </c>
      <c r="BU57">
        <v>1800</v>
      </c>
      <c r="BV57">
        <v>0.91000599999999998</v>
      </c>
      <c r="BW57">
        <v>3.4002499999999998E-2</v>
      </c>
      <c r="BX57">
        <v>2.19963E-2</v>
      </c>
      <c r="BY57">
        <v>3.3994999999999997E-2</v>
      </c>
      <c r="BZ57">
        <v>25</v>
      </c>
      <c r="CA57">
        <v>33528.400000000001</v>
      </c>
      <c r="CB57">
        <v>1690381960.0999999</v>
      </c>
      <c r="CC57" t="s">
        <v>332</v>
      </c>
      <c r="CD57">
        <v>1690381960.0999999</v>
      </c>
      <c r="CE57">
        <v>1690381958.0999999</v>
      </c>
      <c r="CF57">
        <v>4</v>
      </c>
      <c r="CG57">
        <v>9.9000000000000005E-2</v>
      </c>
      <c r="CH57">
        <v>1.2E-2</v>
      </c>
      <c r="CI57">
        <v>-0.26300000000000001</v>
      </c>
      <c r="CJ57">
        <v>0.127</v>
      </c>
      <c r="CK57">
        <v>798</v>
      </c>
      <c r="CL57">
        <v>18</v>
      </c>
      <c r="CM57">
        <v>0.02</v>
      </c>
      <c r="CN57">
        <v>0.12</v>
      </c>
      <c r="CO57">
        <v>-75.371695000000003</v>
      </c>
      <c r="CP57">
        <v>-15.12688930581599</v>
      </c>
      <c r="CQ57">
        <v>1.455609397288641</v>
      </c>
      <c r="CR57">
        <v>-1</v>
      </c>
      <c r="CS57">
        <v>5.3278000000000008</v>
      </c>
      <c r="CT57">
        <v>-8.3190168855542368E-2</v>
      </c>
      <c r="CU57">
        <v>1.2282806071903929E-2</v>
      </c>
      <c r="CV57">
        <v>-1</v>
      </c>
      <c r="CW57">
        <v>0</v>
      </c>
      <c r="CX57">
        <v>0</v>
      </c>
      <c r="CY57" t="s">
        <v>333</v>
      </c>
      <c r="CZ57">
        <v>2.36422</v>
      </c>
      <c r="DA57">
        <v>2.7138599999999999</v>
      </c>
      <c r="DB57">
        <v>0.136381</v>
      </c>
      <c r="DC57">
        <v>0.145699</v>
      </c>
      <c r="DD57">
        <v>0.10557999999999999</v>
      </c>
      <c r="DE57">
        <v>8.5163699999999995E-2</v>
      </c>
      <c r="DF57">
        <v>31525.5</v>
      </c>
      <c r="DG57">
        <v>27519.200000000001</v>
      </c>
      <c r="DH57">
        <v>31164</v>
      </c>
      <c r="DI57">
        <v>28069</v>
      </c>
      <c r="DJ57">
        <v>37844.800000000003</v>
      </c>
      <c r="DK57">
        <v>36512.5</v>
      </c>
      <c r="DL57">
        <v>44348.3</v>
      </c>
      <c r="DM57">
        <v>42542.3</v>
      </c>
      <c r="DN57">
        <v>1.4624999999999999</v>
      </c>
      <c r="DO57">
        <v>2.05145</v>
      </c>
      <c r="DP57">
        <v>0.15670400000000001</v>
      </c>
      <c r="DQ57">
        <v>0.12893199999999999</v>
      </c>
      <c r="DR57">
        <v>24.620999999999999</v>
      </c>
      <c r="DS57">
        <v>24.36</v>
      </c>
      <c r="DT57">
        <v>58.1</v>
      </c>
      <c r="DU57">
        <v>28.7</v>
      </c>
      <c r="DV57">
        <v>23.270700000000001</v>
      </c>
      <c r="DW57">
        <v>60.783000000000001</v>
      </c>
      <c r="DX57">
        <v>35.633000000000003</v>
      </c>
      <c r="DY57">
        <v>1</v>
      </c>
      <c r="DZ57">
        <v>-7.1242399999999997E-2</v>
      </c>
      <c r="EA57">
        <v>3.1651899999999999</v>
      </c>
      <c r="EB57">
        <v>20.1557</v>
      </c>
      <c r="EC57">
        <v>5.2416999999999998</v>
      </c>
      <c r="ED57">
        <v>12.039899999999999</v>
      </c>
      <c r="EE57">
        <v>5.0174000000000003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</v>
      </c>
      <c r="EL57">
        <v>1.86463</v>
      </c>
      <c r="EM57">
        <v>1.8692</v>
      </c>
      <c r="EN57">
        <v>1.8672200000000001</v>
      </c>
      <c r="EO57">
        <v>1.8633999999999999</v>
      </c>
      <c r="EP57">
        <v>1.86446</v>
      </c>
      <c r="EQ57">
        <v>1.87015</v>
      </c>
      <c r="ER57">
        <v>1.8694200000000001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-0.21</v>
      </c>
      <c r="FG57">
        <v>0.17519999999999999</v>
      </c>
      <c r="FH57">
        <v>0.28746640474027818</v>
      </c>
      <c r="FI57">
        <v>-6.1462078757559423E-4</v>
      </c>
      <c r="FJ57">
        <v>-1.8861989874597051E-7</v>
      </c>
      <c r="FK57">
        <v>1.1980462299894961E-10</v>
      </c>
      <c r="FL57">
        <v>0.17524818673008091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16.100000000000001</v>
      </c>
      <c r="FU57">
        <v>16.100000000000001</v>
      </c>
      <c r="FV57">
        <v>1.79077</v>
      </c>
      <c r="FW57">
        <v>2.5732400000000002</v>
      </c>
      <c r="FX57">
        <v>1.5490699999999999</v>
      </c>
      <c r="FY57">
        <v>2.3315399999999999</v>
      </c>
      <c r="FZ57">
        <v>1.50146</v>
      </c>
      <c r="GA57">
        <v>2.3828100000000001</v>
      </c>
      <c r="GB57">
        <v>33.490600000000001</v>
      </c>
      <c r="GC57">
        <v>23.973700000000001</v>
      </c>
      <c r="GD57">
        <v>19</v>
      </c>
      <c r="GE57">
        <v>277.738</v>
      </c>
      <c r="GF57">
        <v>597.20100000000002</v>
      </c>
      <c r="GG57">
        <v>19.224599999999999</v>
      </c>
      <c r="GH57">
        <v>26.435500000000001</v>
      </c>
      <c r="GI57">
        <v>30</v>
      </c>
      <c r="GJ57">
        <v>26.503900000000002</v>
      </c>
      <c r="GK57">
        <v>26.467099999999999</v>
      </c>
      <c r="GL57">
        <v>35.803899999999999</v>
      </c>
      <c r="GM57">
        <v>37.979100000000003</v>
      </c>
      <c r="GN57">
        <v>96.989000000000004</v>
      </c>
      <c r="GO57">
        <v>19.176300000000001</v>
      </c>
      <c r="GP57">
        <v>800</v>
      </c>
      <c r="GQ57">
        <v>16.248799999999999</v>
      </c>
      <c r="GR57">
        <v>99.7102</v>
      </c>
      <c r="GS57">
        <v>99.521900000000002</v>
      </c>
    </row>
    <row r="58" spans="1:201" x14ac:dyDescent="0.25">
      <c r="A58">
        <v>42</v>
      </c>
      <c r="B58">
        <v>1690382935.5999999</v>
      </c>
      <c r="C58">
        <v>460.5</v>
      </c>
      <c r="D58" t="s">
        <v>415</v>
      </c>
      <c r="E58" t="s">
        <v>416</v>
      </c>
      <c r="F58" t="s">
        <v>330</v>
      </c>
      <c r="H58">
        <v>1690382935.5999999</v>
      </c>
      <c r="I58">
        <f t="shared" si="0"/>
        <v>4.9865401949701258E-4</v>
      </c>
      <c r="J58">
        <f t="shared" si="1"/>
        <v>0.49865401949701255</v>
      </c>
      <c r="K58">
        <f t="shared" si="2"/>
        <v>7.0165775452851831</v>
      </c>
      <c r="L58">
        <f t="shared" si="3"/>
        <v>719.69500000000005</v>
      </c>
      <c r="M58">
        <f t="shared" si="4"/>
        <v>377.39024804203609</v>
      </c>
      <c r="N58">
        <f t="shared" si="5"/>
        <v>37.282014648580905</v>
      </c>
      <c r="O58">
        <f t="shared" si="6"/>
        <v>71.097967347375004</v>
      </c>
      <c r="P58">
        <f t="shared" si="7"/>
        <v>3.4339153565865213E-2</v>
      </c>
      <c r="Q58">
        <f t="shared" si="8"/>
        <v>2.1092082556710152</v>
      </c>
      <c r="R58">
        <f t="shared" si="9"/>
        <v>3.4031566930059959E-2</v>
      </c>
      <c r="S58">
        <f t="shared" si="10"/>
        <v>2.1297135046825018E-2</v>
      </c>
      <c r="T58">
        <f t="shared" si="11"/>
        <v>276.11458461000001</v>
      </c>
      <c r="U58">
        <f t="shared" si="12"/>
        <v>26.787671889624743</v>
      </c>
      <c r="V58">
        <f t="shared" si="13"/>
        <v>26.787671889624743</v>
      </c>
      <c r="W58">
        <f t="shared" si="14"/>
        <v>3.5347677805782918</v>
      </c>
      <c r="X58">
        <f t="shared" si="15"/>
        <v>67.929675614650947</v>
      </c>
      <c r="Y58">
        <f t="shared" si="16"/>
        <v>2.1287355474074996</v>
      </c>
      <c r="Z58">
        <f t="shared" si="17"/>
        <v>3.1337343041107908</v>
      </c>
      <c r="AA58">
        <f t="shared" si="18"/>
        <v>1.4060322331707922</v>
      </c>
      <c r="AB58">
        <f t="shared" si="19"/>
        <v>-21.990642259818255</v>
      </c>
      <c r="AC58">
        <f t="shared" si="20"/>
        <v>-231.0133621638868</v>
      </c>
      <c r="AD58">
        <f t="shared" si="21"/>
        <v>-23.348181016357099</v>
      </c>
      <c r="AE58">
        <f t="shared" si="22"/>
        <v>-0.23760083006214927</v>
      </c>
      <c r="AF58">
        <v>0</v>
      </c>
      <c r="AG58">
        <v>0</v>
      </c>
      <c r="AH58">
        <f t="shared" si="23"/>
        <v>1</v>
      </c>
      <c r="AI58">
        <f t="shared" si="24"/>
        <v>0</v>
      </c>
      <c r="AJ58">
        <f t="shared" si="25"/>
        <v>52542.513595161901</v>
      </c>
      <c r="AK58">
        <f t="shared" si="26"/>
        <v>1800</v>
      </c>
      <c r="AL58">
        <f t="shared" si="27"/>
        <v>1499.1119639999999</v>
      </c>
      <c r="AM58">
        <f t="shared" si="28"/>
        <v>0.83283997999999992</v>
      </c>
      <c r="AN58">
        <f t="shared" si="29"/>
        <v>0.15339699144999999</v>
      </c>
      <c r="AO58">
        <v>32.700000000000003</v>
      </c>
      <c r="AP58">
        <v>0.5</v>
      </c>
      <c r="AQ58" t="s">
        <v>331</v>
      </c>
      <c r="AR58">
        <v>2</v>
      </c>
      <c r="AS58">
        <v>1690382935.5999999</v>
      </c>
      <c r="AT58">
        <v>719.69500000000005</v>
      </c>
      <c r="AU58">
        <v>800.03899999999999</v>
      </c>
      <c r="AV58">
        <v>21.548300000000001</v>
      </c>
      <c r="AW58">
        <v>16.2333</v>
      </c>
      <c r="AX58">
        <v>719.904</v>
      </c>
      <c r="AY58">
        <v>21.373100000000001</v>
      </c>
      <c r="AZ58">
        <v>300.18099999999998</v>
      </c>
      <c r="BA58">
        <v>98.688999999999993</v>
      </c>
      <c r="BB58">
        <v>0.100025</v>
      </c>
      <c r="BC58">
        <v>24.7561</v>
      </c>
      <c r="BD58">
        <v>27.180299999999999</v>
      </c>
      <c r="BE58">
        <v>26.421099999999999</v>
      </c>
      <c r="BF58">
        <v>0</v>
      </c>
      <c r="BG58">
        <v>0</v>
      </c>
      <c r="BH58">
        <v>9993.1200000000008</v>
      </c>
      <c r="BI58">
        <v>1053.71</v>
      </c>
      <c r="BJ58">
        <v>1.89503</v>
      </c>
      <c r="BK58">
        <v>-80.343400000000003</v>
      </c>
      <c r="BL58">
        <v>735.54499999999996</v>
      </c>
      <c r="BM58">
        <v>813.24099999999999</v>
      </c>
      <c r="BN58">
        <v>5.3149899999999999</v>
      </c>
      <c r="BO58">
        <v>800.03899999999999</v>
      </c>
      <c r="BP58">
        <v>16.2333</v>
      </c>
      <c r="BQ58">
        <v>2.1265800000000001</v>
      </c>
      <c r="BR58">
        <v>1.60205</v>
      </c>
      <c r="BS58">
        <v>18.419699999999999</v>
      </c>
      <c r="BT58">
        <v>13.9785</v>
      </c>
      <c r="BU58">
        <v>1800</v>
      </c>
      <c r="BV58">
        <v>0.91000899999999996</v>
      </c>
      <c r="BW58">
        <v>3.4001299999999998E-2</v>
      </c>
      <c r="BX58">
        <v>2.1995500000000001E-2</v>
      </c>
      <c r="BY58">
        <v>3.3993900000000001E-2</v>
      </c>
      <c r="BZ58">
        <v>25</v>
      </c>
      <c r="CA58">
        <v>33528.400000000001</v>
      </c>
      <c r="CB58">
        <v>1690381960.0999999</v>
      </c>
      <c r="CC58" t="s">
        <v>332</v>
      </c>
      <c r="CD58">
        <v>1690381960.0999999</v>
      </c>
      <c r="CE58">
        <v>1690381958.0999999</v>
      </c>
      <c r="CF58">
        <v>4</v>
      </c>
      <c r="CG58">
        <v>9.9000000000000005E-2</v>
      </c>
      <c r="CH58">
        <v>1.2E-2</v>
      </c>
      <c r="CI58">
        <v>-0.26300000000000001</v>
      </c>
      <c r="CJ58">
        <v>0.127</v>
      </c>
      <c r="CK58">
        <v>798</v>
      </c>
      <c r="CL58">
        <v>18</v>
      </c>
      <c r="CM58">
        <v>0.02</v>
      </c>
      <c r="CN58">
        <v>0.12</v>
      </c>
      <c r="CO58">
        <v>-77.853560000000002</v>
      </c>
      <c r="CP58">
        <v>-14.830113320825371</v>
      </c>
      <c r="CQ58">
        <v>1.4276214349049281</v>
      </c>
      <c r="CR58">
        <v>-1</v>
      </c>
      <c r="CS58">
        <v>5.310554999999999</v>
      </c>
      <c r="CT58">
        <v>-5.5572833020633913E-2</v>
      </c>
      <c r="CU58">
        <v>1.133201570771942E-2</v>
      </c>
      <c r="CV58">
        <v>-1</v>
      </c>
      <c r="CW58">
        <v>0</v>
      </c>
      <c r="CX58">
        <v>0</v>
      </c>
      <c r="CY58" t="s">
        <v>333</v>
      </c>
      <c r="CZ58">
        <v>2.3643299999999998</v>
      </c>
      <c r="DA58">
        <v>2.7138100000000001</v>
      </c>
      <c r="DB58">
        <v>0.136069</v>
      </c>
      <c r="DC58">
        <v>0.14569499999999999</v>
      </c>
      <c r="DD58">
        <v>0.105105</v>
      </c>
      <c r="DE58">
        <v>8.4611599999999995E-2</v>
      </c>
      <c r="DF58">
        <v>31537</v>
      </c>
      <c r="DG58">
        <v>27519.5</v>
      </c>
      <c r="DH58">
        <v>31164.1</v>
      </c>
      <c r="DI58">
        <v>28069.200000000001</v>
      </c>
      <c r="DJ58">
        <v>37865.4</v>
      </c>
      <c r="DK58">
        <v>36535</v>
      </c>
      <c r="DL58">
        <v>44348.800000000003</v>
      </c>
      <c r="DM58">
        <v>42542.9</v>
      </c>
      <c r="DN58">
        <v>1.46275</v>
      </c>
      <c r="DO58">
        <v>2.0511300000000001</v>
      </c>
      <c r="DP58">
        <v>0.15860399999999999</v>
      </c>
      <c r="DQ58">
        <v>0.128113</v>
      </c>
      <c r="DR58">
        <v>24.581700000000001</v>
      </c>
      <c r="DS58">
        <v>24.320399999999999</v>
      </c>
      <c r="DT58">
        <v>58.1</v>
      </c>
      <c r="DU58">
        <v>28.7</v>
      </c>
      <c r="DV58">
        <v>23.266300000000001</v>
      </c>
      <c r="DW58">
        <v>61.133000000000003</v>
      </c>
      <c r="DX58">
        <v>35.528799999999997</v>
      </c>
      <c r="DY58">
        <v>1</v>
      </c>
      <c r="DZ58">
        <v>-7.1310999999999999E-2</v>
      </c>
      <c r="EA58">
        <v>3.2127500000000002</v>
      </c>
      <c r="EB58">
        <v>20.154599999999999</v>
      </c>
      <c r="EC58">
        <v>5.2415500000000002</v>
      </c>
      <c r="ED58">
        <v>12.039899999999999</v>
      </c>
      <c r="EE58">
        <v>5.0175999999999998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</v>
      </c>
      <c r="EL58">
        <v>1.86463</v>
      </c>
      <c r="EM58">
        <v>1.8692</v>
      </c>
      <c r="EN58">
        <v>1.8672200000000001</v>
      </c>
      <c r="EO58">
        <v>1.8633999999999999</v>
      </c>
      <c r="EP58">
        <v>1.86446</v>
      </c>
      <c r="EQ58">
        <v>1.87015</v>
      </c>
      <c r="ER58">
        <v>1.86941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-0.20899999999999999</v>
      </c>
      <c r="FG58">
        <v>0.17519999999999999</v>
      </c>
      <c r="FH58">
        <v>0.28746640474027818</v>
      </c>
      <c r="FI58">
        <v>-6.1462078757559423E-4</v>
      </c>
      <c r="FJ58">
        <v>-1.8861989874597051E-7</v>
      </c>
      <c r="FK58">
        <v>1.1980462299894961E-10</v>
      </c>
      <c r="FL58">
        <v>0.17524818673008091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16.3</v>
      </c>
      <c r="FU58">
        <v>16.3</v>
      </c>
      <c r="FV58">
        <v>1.79077</v>
      </c>
      <c r="FW58">
        <v>2.5720200000000002</v>
      </c>
      <c r="FX58">
        <v>1.5490699999999999</v>
      </c>
      <c r="FY58">
        <v>2.3327599999999999</v>
      </c>
      <c r="FZ58">
        <v>1.50146</v>
      </c>
      <c r="GA58">
        <v>2.3986800000000001</v>
      </c>
      <c r="GB58">
        <v>33.490600000000001</v>
      </c>
      <c r="GC58">
        <v>23.9649</v>
      </c>
      <c r="GD58">
        <v>19</v>
      </c>
      <c r="GE58">
        <v>277.84100000000001</v>
      </c>
      <c r="GF58">
        <v>596.92700000000002</v>
      </c>
      <c r="GG58">
        <v>19.116299999999999</v>
      </c>
      <c r="GH58">
        <v>26.429099999999998</v>
      </c>
      <c r="GI58">
        <v>30</v>
      </c>
      <c r="GJ58">
        <v>26.503299999999999</v>
      </c>
      <c r="GK58">
        <v>26.467099999999999</v>
      </c>
      <c r="GL58">
        <v>35.797899999999998</v>
      </c>
      <c r="GM58">
        <v>38.270899999999997</v>
      </c>
      <c r="GN58">
        <v>96.989000000000004</v>
      </c>
      <c r="GO58">
        <v>19.070900000000002</v>
      </c>
      <c r="GP58">
        <v>800</v>
      </c>
      <c r="GQ58">
        <v>16.192900000000002</v>
      </c>
      <c r="GR58">
        <v>99.710899999999995</v>
      </c>
      <c r="GS58">
        <v>99.522800000000004</v>
      </c>
    </row>
    <row r="59" spans="1:201" x14ac:dyDescent="0.25">
      <c r="A59">
        <v>43</v>
      </c>
      <c r="B59">
        <v>1690382945.5999999</v>
      </c>
      <c r="C59">
        <v>470.5</v>
      </c>
      <c r="D59" t="s">
        <v>417</v>
      </c>
      <c r="E59" t="s">
        <v>418</v>
      </c>
      <c r="F59" t="s">
        <v>330</v>
      </c>
      <c r="H59">
        <v>1690382945.5999999</v>
      </c>
      <c r="I59">
        <f t="shared" si="0"/>
        <v>4.9240807862431892E-4</v>
      </c>
      <c r="J59">
        <f t="shared" si="1"/>
        <v>0.4924080786243189</v>
      </c>
      <c r="K59">
        <f t="shared" si="2"/>
        <v>7.2514876889933726</v>
      </c>
      <c r="L59">
        <f t="shared" si="3"/>
        <v>717.20600000000002</v>
      </c>
      <c r="M59">
        <f t="shared" si="4"/>
        <v>359.39429885506183</v>
      </c>
      <c r="N59">
        <f t="shared" si="5"/>
        <v>35.5039216244624</v>
      </c>
      <c r="O59">
        <f t="shared" si="6"/>
        <v>70.851501244496006</v>
      </c>
      <c r="P59">
        <f t="shared" si="7"/>
        <v>3.3867709262570066E-2</v>
      </c>
      <c r="Q59">
        <f t="shared" si="8"/>
        <v>2.1097736332040262</v>
      </c>
      <c r="R59">
        <f t="shared" si="9"/>
        <v>3.3568550121978034E-2</v>
      </c>
      <c r="S59">
        <f t="shared" si="10"/>
        <v>2.1007001747691455E-2</v>
      </c>
      <c r="T59">
        <f t="shared" si="11"/>
        <v>276.11432045999999</v>
      </c>
      <c r="U59">
        <f t="shared" si="12"/>
        <v>26.734977846339721</v>
      </c>
      <c r="V59">
        <f t="shared" si="13"/>
        <v>26.734977846339721</v>
      </c>
      <c r="W59">
        <f t="shared" si="14"/>
        <v>3.5238256564923209</v>
      </c>
      <c r="X59">
        <f t="shared" si="15"/>
        <v>67.746456423371825</v>
      </c>
      <c r="Y59">
        <f t="shared" si="16"/>
        <v>2.1160929808279998</v>
      </c>
      <c r="Z59">
        <f t="shared" si="17"/>
        <v>3.1235478467003177</v>
      </c>
      <c r="AA59">
        <f t="shared" si="18"/>
        <v>1.4077326756643211</v>
      </c>
      <c r="AB59">
        <f t="shared" si="19"/>
        <v>-21.715196267332466</v>
      </c>
      <c r="AC59">
        <f t="shared" si="20"/>
        <v>-231.28069910057528</v>
      </c>
      <c r="AD59">
        <f t="shared" si="21"/>
        <v>-23.356362571768262</v>
      </c>
      <c r="AE59">
        <f t="shared" si="22"/>
        <v>-0.2379374796760203</v>
      </c>
      <c r="AF59">
        <v>0</v>
      </c>
      <c r="AG59">
        <v>0</v>
      </c>
      <c r="AH59">
        <f t="shared" si="23"/>
        <v>1</v>
      </c>
      <c r="AI59">
        <f t="shared" si="24"/>
        <v>0</v>
      </c>
      <c r="AJ59">
        <f t="shared" si="25"/>
        <v>52576.928265535273</v>
      </c>
      <c r="AK59">
        <f t="shared" si="26"/>
        <v>1800</v>
      </c>
      <c r="AL59">
        <f t="shared" si="27"/>
        <v>1499.1121350000001</v>
      </c>
      <c r="AM59">
        <f t="shared" si="28"/>
        <v>0.83284007500000001</v>
      </c>
      <c r="AN59">
        <f t="shared" si="29"/>
        <v>0.15339684470000001</v>
      </c>
      <c r="AO59">
        <v>32.700000000000003</v>
      </c>
      <c r="AP59">
        <v>0.5</v>
      </c>
      <c r="AQ59" t="s">
        <v>331</v>
      </c>
      <c r="AR59">
        <v>2</v>
      </c>
      <c r="AS59">
        <v>1690382945.5999999</v>
      </c>
      <c r="AT59">
        <v>717.20600000000002</v>
      </c>
      <c r="AU59">
        <v>800.03700000000003</v>
      </c>
      <c r="AV59">
        <v>21.420500000000001</v>
      </c>
      <c r="AW59">
        <v>16.172000000000001</v>
      </c>
      <c r="AX59">
        <v>717.41200000000003</v>
      </c>
      <c r="AY59">
        <v>21.2453</v>
      </c>
      <c r="AZ59">
        <v>300.21600000000001</v>
      </c>
      <c r="BA59">
        <v>98.688199999999995</v>
      </c>
      <c r="BB59">
        <v>0.10001599999999999</v>
      </c>
      <c r="BC59">
        <v>24.701599999999999</v>
      </c>
      <c r="BD59">
        <v>27.1206</v>
      </c>
      <c r="BE59">
        <v>26.34</v>
      </c>
      <c r="BF59">
        <v>0</v>
      </c>
      <c r="BG59">
        <v>0</v>
      </c>
      <c r="BH59">
        <v>9998.1200000000008</v>
      </c>
      <c r="BI59">
        <v>1052.8</v>
      </c>
      <c r="BJ59">
        <v>2.21461</v>
      </c>
      <c r="BK59">
        <v>-82.831100000000006</v>
      </c>
      <c r="BL59">
        <v>732.90499999999997</v>
      </c>
      <c r="BM59">
        <v>813.18799999999999</v>
      </c>
      <c r="BN59">
        <v>5.2484799999999998</v>
      </c>
      <c r="BO59">
        <v>800.03700000000003</v>
      </c>
      <c r="BP59">
        <v>16.172000000000001</v>
      </c>
      <c r="BQ59">
        <v>2.11395</v>
      </c>
      <c r="BR59">
        <v>1.59599</v>
      </c>
      <c r="BS59">
        <v>18.3247</v>
      </c>
      <c r="BT59">
        <v>13.9201</v>
      </c>
      <c r="BU59">
        <v>1800</v>
      </c>
      <c r="BV59">
        <v>0.91001299999999996</v>
      </c>
      <c r="BW59">
        <v>3.3999700000000001E-2</v>
      </c>
      <c r="BX59">
        <v>2.19945E-2</v>
      </c>
      <c r="BY59">
        <v>3.39922E-2</v>
      </c>
      <c r="BZ59">
        <v>25</v>
      </c>
      <c r="CA59">
        <v>33528.5</v>
      </c>
      <c r="CB59">
        <v>1690381960.0999999</v>
      </c>
      <c r="CC59" t="s">
        <v>332</v>
      </c>
      <c r="CD59">
        <v>1690381960.0999999</v>
      </c>
      <c r="CE59">
        <v>1690381958.0999999</v>
      </c>
      <c r="CF59">
        <v>4</v>
      </c>
      <c r="CG59">
        <v>9.9000000000000005E-2</v>
      </c>
      <c r="CH59">
        <v>1.2E-2</v>
      </c>
      <c r="CI59">
        <v>-0.26300000000000001</v>
      </c>
      <c r="CJ59">
        <v>0.127</v>
      </c>
      <c r="CK59">
        <v>798</v>
      </c>
      <c r="CL59">
        <v>18</v>
      </c>
      <c r="CM59">
        <v>0.02</v>
      </c>
      <c r="CN59">
        <v>0.12</v>
      </c>
      <c r="CO59">
        <v>-80.277252500000003</v>
      </c>
      <c r="CP59">
        <v>-14.594016135084271</v>
      </c>
      <c r="CQ59">
        <v>1.40546765063937</v>
      </c>
      <c r="CR59">
        <v>-1</v>
      </c>
      <c r="CS59">
        <v>5.2876114999999997</v>
      </c>
      <c r="CT59">
        <v>-0.19189215759851549</v>
      </c>
      <c r="CU59">
        <v>2.3506790460418071E-2</v>
      </c>
      <c r="CV59">
        <v>-1</v>
      </c>
      <c r="CW59">
        <v>0</v>
      </c>
      <c r="CX59">
        <v>0</v>
      </c>
      <c r="CY59" t="s">
        <v>333</v>
      </c>
      <c r="CZ59">
        <v>2.3644400000000001</v>
      </c>
      <c r="DA59">
        <v>2.7138100000000001</v>
      </c>
      <c r="DB59">
        <v>0.135745</v>
      </c>
      <c r="DC59">
        <v>0.14569299999999999</v>
      </c>
      <c r="DD59">
        <v>0.104659</v>
      </c>
      <c r="DE59">
        <v>8.4378700000000001E-2</v>
      </c>
      <c r="DF59">
        <v>31548.6</v>
      </c>
      <c r="DG59">
        <v>27519.599999999999</v>
      </c>
      <c r="DH59">
        <v>31163.9</v>
      </c>
      <c r="DI59">
        <v>28069.3</v>
      </c>
      <c r="DJ59">
        <v>37884.199999999997</v>
      </c>
      <c r="DK59">
        <v>36544.5</v>
      </c>
      <c r="DL59">
        <v>44348.6</v>
      </c>
      <c r="DM59">
        <v>42543.1</v>
      </c>
      <c r="DN59">
        <v>1.4627699999999999</v>
      </c>
      <c r="DO59">
        <v>2.0513699999999999</v>
      </c>
      <c r="DP59">
        <v>0.15742300000000001</v>
      </c>
      <c r="DQ59">
        <v>0.12559799999999999</v>
      </c>
      <c r="DR59">
        <v>24.5412</v>
      </c>
      <c r="DS59">
        <v>24.2803</v>
      </c>
      <c r="DT59">
        <v>58.1</v>
      </c>
      <c r="DU59">
        <v>28.7</v>
      </c>
      <c r="DV59">
        <v>23.2685</v>
      </c>
      <c r="DW59">
        <v>60.222999999999999</v>
      </c>
      <c r="DX59">
        <v>35.6691</v>
      </c>
      <c r="DY59">
        <v>1</v>
      </c>
      <c r="DZ59">
        <v>-7.1669200000000002E-2</v>
      </c>
      <c r="EA59">
        <v>3.2429700000000001</v>
      </c>
      <c r="EB59">
        <v>20.1539</v>
      </c>
      <c r="EC59">
        <v>5.2413999999999996</v>
      </c>
      <c r="ED59">
        <v>12.039899999999999</v>
      </c>
      <c r="EE59">
        <v>5.0172999999999996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</v>
      </c>
      <c r="EL59">
        <v>1.8646199999999999</v>
      </c>
      <c r="EM59">
        <v>1.8692</v>
      </c>
      <c r="EN59">
        <v>1.8672200000000001</v>
      </c>
      <c r="EO59">
        <v>1.8633900000000001</v>
      </c>
      <c r="EP59">
        <v>1.8644700000000001</v>
      </c>
      <c r="EQ59">
        <v>1.8701700000000001</v>
      </c>
      <c r="ER59">
        <v>1.8694200000000001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-0.20599999999999999</v>
      </c>
      <c r="FG59">
        <v>0.17519999999999999</v>
      </c>
      <c r="FH59">
        <v>0.28746640474027818</v>
      </c>
      <c r="FI59">
        <v>-6.1462078757559423E-4</v>
      </c>
      <c r="FJ59">
        <v>-1.8861989874597051E-7</v>
      </c>
      <c r="FK59">
        <v>1.1980462299894961E-10</v>
      </c>
      <c r="FL59">
        <v>0.17524818673008091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16.399999999999999</v>
      </c>
      <c r="FU59">
        <v>16.5</v>
      </c>
      <c r="FV59">
        <v>1.79077</v>
      </c>
      <c r="FW59">
        <v>2.5756800000000002</v>
      </c>
      <c r="FX59">
        <v>1.5490699999999999</v>
      </c>
      <c r="FY59">
        <v>2.3339799999999999</v>
      </c>
      <c r="FZ59">
        <v>1.50146</v>
      </c>
      <c r="GA59">
        <v>2.4035600000000001</v>
      </c>
      <c r="GB59">
        <v>33.490600000000001</v>
      </c>
      <c r="GC59">
        <v>23.973700000000001</v>
      </c>
      <c r="GD59">
        <v>19</v>
      </c>
      <c r="GE59">
        <v>277.84300000000002</v>
      </c>
      <c r="GF59">
        <v>597.13800000000003</v>
      </c>
      <c r="GG59">
        <v>19.011900000000001</v>
      </c>
      <c r="GH59">
        <v>26.423100000000002</v>
      </c>
      <c r="GI59">
        <v>30</v>
      </c>
      <c r="GJ59">
        <v>26.501300000000001</v>
      </c>
      <c r="GK59">
        <v>26.467099999999999</v>
      </c>
      <c r="GL59">
        <v>35.796999999999997</v>
      </c>
      <c r="GM59">
        <v>38.849299999999999</v>
      </c>
      <c r="GN59">
        <v>96.612399999999994</v>
      </c>
      <c r="GO59">
        <v>18.9697</v>
      </c>
      <c r="GP59">
        <v>800</v>
      </c>
      <c r="GQ59">
        <v>16.0502</v>
      </c>
      <c r="GR59">
        <v>99.710400000000007</v>
      </c>
      <c r="GS59">
        <v>99.523300000000006</v>
      </c>
    </row>
    <row r="60" spans="1:201" x14ac:dyDescent="0.25">
      <c r="A60">
        <v>44</v>
      </c>
      <c r="B60">
        <v>1690382955.5999999</v>
      </c>
      <c r="C60">
        <v>480.5</v>
      </c>
      <c r="D60" t="s">
        <v>419</v>
      </c>
      <c r="E60" t="s">
        <v>420</v>
      </c>
      <c r="F60" t="s">
        <v>330</v>
      </c>
      <c r="H60">
        <v>1690382955.5999999</v>
      </c>
      <c r="I60">
        <f t="shared" si="0"/>
        <v>4.8945641287099204E-4</v>
      </c>
      <c r="J60">
        <f t="shared" si="1"/>
        <v>0.48945641287099201</v>
      </c>
      <c r="K60">
        <f t="shared" si="2"/>
        <v>7.4780059786376141</v>
      </c>
      <c r="L60">
        <f t="shared" si="3"/>
        <v>714.76599999999996</v>
      </c>
      <c r="M60">
        <f t="shared" si="4"/>
        <v>343.7857928244332</v>
      </c>
      <c r="N60">
        <f t="shared" si="5"/>
        <v>33.962217180302936</v>
      </c>
      <c r="O60">
        <f t="shared" si="6"/>
        <v>70.610940393029395</v>
      </c>
      <c r="P60">
        <f t="shared" si="7"/>
        <v>3.3622364016214316E-2</v>
      </c>
      <c r="Q60">
        <f t="shared" si="8"/>
        <v>2.106617696787163</v>
      </c>
      <c r="R60">
        <f t="shared" si="9"/>
        <v>3.3327065622347669E-2</v>
      </c>
      <c r="S60">
        <f t="shared" si="10"/>
        <v>2.085573114323332E-2</v>
      </c>
      <c r="T60">
        <f t="shared" si="11"/>
        <v>276.11419932000001</v>
      </c>
      <c r="U60">
        <f t="shared" si="12"/>
        <v>26.690278507078862</v>
      </c>
      <c r="V60">
        <f t="shared" si="13"/>
        <v>26.690278507078862</v>
      </c>
      <c r="W60">
        <f t="shared" si="14"/>
        <v>3.5145668581553178</v>
      </c>
      <c r="X60">
        <f t="shared" si="15"/>
        <v>67.586503690543211</v>
      </c>
      <c r="Y60">
        <f t="shared" si="16"/>
        <v>2.1049739295190202</v>
      </c>
      <c r="Z60">
        <f t="shared" si="17"/>
        <v>3.114488565878502</v>
      </c>
      <c r="AA60">
        <f t="shared" si="18"/>
        <v>1.4095929286362976</v>
      </c>
      <c r="AB60">
        <f t="shared" si="19"/>
        <v>-21.58502780761075</v>
      </c>
      <c r="AC60">
        <f t="shared" si="20"/>
        <v>-231.37774014785501</v>
      </c>
      <c r="AD60">
        <f t="shared" si="21"/>
        <v>-23.390206880314373</v>
      </c>
      <c r="AE60">
        <f t="shared" si="22"/>
        <v>-0.23877551578010525</v>
      </c>
      <c r="AF60">
        <v>0</v>
      </c>
      <c r="AG60">
        <v>0</v>
      </c>
      <c r="AH60">
        <f t="shared" si="23"/>
        <v>1</v>
      </c>
      <c r="AI60">
        <f t="shared" si="24"/>
        <v>0</v>
      </c>
      <c r="AJ60">
        <f t="shared" si="25"/>
        <v>52447.097008798672</v>
      </c>
      <c r="AK60">
        <f t="shared" si="26"/>
        <v>1800</v>
      </c>
      <c r="AL60">
        <f t="shared" si="27"/>
        <v>1499.1129629999998</v>
      </c>
      <c r="AM60">
        <f t="shared" si="28"/>
        <v>0.83284053499999988</v>
      </c>
      <c r="AN60">
        <f t="shared" si="29"/>
        <v>0.15339677740000002</v>
      </c>
      <c r="AO60">
        <v>32.700000000000003</v>
      </c>
      <c r="AP60">
        <v>0.5</v>
      </c>
      <c r="AQ60" t="s">
        <v>331</v>
      </c>
      <c r="AR60">
        <v>2</v>
      </c>
      <c r="AS60">
        <v>1690382955.5999999</v>
      </c>
      <c r="AT60">
        <v>714.76599999999996</v>
      </c>
      <c r="AU60">
        <v>800.03899999999999</v>
      </c>
      <c r="AV60">
        <v>21.3078</v>
      </c>
      <c r="AW60">
        <v>16.089500000000001</v>
      </c>
      <c r="AX60">
        <v>714.971</v>
      </c>
      <c r="AY60">
        <v>21.1325</v>
      </c>
      <c r="AZ60">
        <v>300.178</v>
      </c>
      <c r="BA60">
        <v>98.688900000000004</v>
      </c>
      <c r="BB60">
        <v>9.9990899999999994E-2</v>
      </c>
      <c r="BC60">
        <v>24.652999999999999</v>
      </c>
      <c r="BD60">
        <v>27.086500000000001</v>
      </c>
      <c r="BE60">
        <v>26.3215</v>
      </c>
      <c r="BF60">
        <v>0</v>
      </c>
      <c r="BG60">
        <v>0</v>
      </c>
      <c r="BH60">
        <v>9970.6200000000008</v>
      </c>
      <c r="BI60">
        <v>1051.8699999999999</v>
      </c>
      <c r="BJ60">
        <v>2.3547799999999999</v>
      </c>
      <c r="BK60">
        <v>-85.273099999999999</v>
      </c>
      <c r="BL60">
        <v>730.32799999999997</v>
      </c>
      <c r="BM60">
        <v>813.12199999999996</v>
      </c>
      <c r="BN60">
        <v>5.2183000000000002</v>
      </c>
      <c r="BO60">
        <v>800.03899999999999</v>
      </c>
      <c r="BP60">
        <v>16.089500000000001</v>
      </c>
      <c r="BQ60">
        <v>2.10284</v>
      </c>
      <c r="BR60">
        <v>1.58785</v>
      </c>
      <c r="BS60">
        <v>18.2407</v>
      </c>
      <c r="BT60">
        <v>13.8414</v>
      </c>
      <c r="BU60">
        <v>1800</v>
      </c>
      <c r="BV60">
        <v>0.91001699999999996</v>
      </c>
      <c r="BW60">
        <v>3.3998300000000002E-2</v>
      </c>
      <c r="BX60">
        <v>2.1993499999999999E-2</v>
      </c>
      <c r="BY60">
        <v>3.3990800000000002E-2</v>
      </c>
      <c r="BZ60">
        <v>25</v>
      </c>
      <c r="CA60">
        <v>33528.5</v>
      </c>
      <c r="CB60">
        <v>1690381960.0999999</v>
      </c>
      <c r="CC60" t="s">
        <v>332</v>
      </c>
      <c r="CD60">
        <v>1690381960.0999999</v>
      </c>
      <c r="CE60">
        <v>1690381958.0999999</v>
      </c>
      <c r="CF60">
        <v>4</v>
      </c>
      <c r="CG60">
        <v>9.9000000000000005E-2</v>
      </c>
      <c r="CH60">
        <v>1.2E-2</v>
      </c>
      <c r="CI60">
        <v>-0.26300000000000001</v>
      </c>
      <c r="CJ60">
        <v>0.127</v>
      </c>
      <c r="CK60">
        <v>798</v>
      </c>
      <c r="CL60">
        <v>18</v>
      </c>
      <c r="CM60">
        <v>0.02</v>
      </c>
      <c r="CN60">
        <v>0.12</v>
      </c>
      <c r="CO60">
        <v>-82.707922499999995</v>
      </c>
      <c r="CP60">
        <v>-14.7993692307691</v>
      </c>
      <c r="CQ60">
        <v>1.4243208761524719</v>
      </c>
      <c r="CR60">
        <v>-1</v>
      </c>
      <c r="CS60">
        <v>5.2555244999999999</v>
      </c>
      <c r="CT60">
        <v>-0.22398213883677839</v>
      </c>
      <c r="CU60">
        <v>2.41696563846075E-2</v>
      </c>
      <c r="CV60">
        <v>-1</v>
      </c>
      <c r="CW60">
        <v>0</v>
      </c>
      <c r="CX60">
        <v>0</v>
      </c>
      <c r="CY60" t="s">
        <v>333</v>
      </c>
      <c r="CZ60">
        <v>2.3643200000000002</v>
      </c>
      <c r="DA60">
        <v>2.7137600000000002</v>
      </c>
      <c r="DB60">
        <v>0.13542999999999999</v>
      </c>
      <c r="DC60">
        <v>0.14569199999999999</v>
      </c>
      <c r="DD60">
        <v>0.104265</v>
      </c>
      <c r="DE60">
        <v>8.4066000000000002E-2</v>
      </c>
      <c r="DF60">
        <v>31560</v>
      </c>
      <c r="DG60">
        <v>27520.1</v>
      </c>
      <c r="DH60">
        <v>31163.8</v>
      </c>
      <c r="DI60">
        <v>28069.7</v>
      </c>
      <c r="DJ60">
        <v>37900.9</v>
      </c>
      <c r="DK60">
        <v>36557.599999999999</v>
      </c>
      <c r="DL60">
        <v>44348.4</v>
      </c>
      <c r="DM60">
        <v>42543.7</v>
      </c>
      <c r="DN60">
        <v>1.46265</v>
      </c>
      <c r="DO60">
        <v>2.05118</v>
      </c>
      <c r="DP60">
        <v>0.157725</v>
      </c>
      <c r="DQ60">
        <v>0.12695400000000001</v>
      </c>
      <c r="DR60">
        <v>24.501999999999999</v>
      </c>
      <c r="DS60">
        <v>24.2395</v>
      </c>
      <c r="DT60">
        <v>58.1</v>
      </c>
      <c r="DU60">
        <v>28.7</v>
      </c>
      <c r="DV60">
        <v>23.271100000000001</v>
      </c>
      <c r="DW60">
        <v>61.442999999999998</v>
      </c>
      <c r="DX60">
        <v>36.137799999999999</v>
      </c>
      <c r="DY60">
        <v>1</v>
      </c>
      <c r="DZ60">
        <v>-7.1844500000000006E-2</v>
      </c>
      <c r="EA60">
        <v>3.28308</v>
      </c>
      <c r="EB60">
        <v>20.153199999999998</v>
      </c>
      <c r="EC60">
        <v>5.24125</v>
      </c>
      <c r="ED60">
        <v>12.039899999999999</v>
      </c>
      <c r="EE60">
        <v>5.0174000000000003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</v>
      </c>
      <c r="EL60">
        <v>1.8646199999999999</v>
      </c>
      <c r="EM60">
        <v>1.8692</v>
      </c>
      <c r="EN60">
        <v>1.8672299999999999</v>
      </c>
      <c r="EO60">
        <v>1.8633999999999999</v>
      </c>
      <c r="EP60">
        <v>1.8644700000000001</v>
      </c>
      <c r="EQ60">
        <v>1.87019</v>
      </c>
      <c r="ER60">
        <v>1.8694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-0.20499999999999999</v>
      </c>
      <c r="FG60">
        <v>0.17530000000000001</v>
      </c>
      <c r="FH60">
        <v>0.28746640474027818</v>
      </c>
      <c r="FI60">
        <v>-6.1462078757559423E-4</v>
      </c>
      <c r="FJ60">
        <v>-1.8861989874597051E-7</v>
      </c>
      <c r="FK60">
        <v>1.1980462299894961E-10</v>
      </c>
      <c r="FL60">
        <v>0.17524818673008091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16.600000000000001</v>
      </c>
      <c r="FU60">
        <v>16.600000000000001</v>
      </c>
      <c r="FV60">
        <v>1.79077</v>
      </c>
      <c r="FW60">
        <v>2.5744600000000002</v>
      </c>
      <c r="FX60">
        <v>1.5490699999999999</v>
      </c>
      <c r="FY60">
        <v>2.3327599999999999</v>
      </c>
      <c r="FZ60">
        <v>1.50146</v>
      </c>
      <c r="GA60">
        <v>2.3754900000000001</v>
      </c>
      <c r="GB60">
        <v>33.490600000000001</v>
      </c>
      <c r="GC60">
        <v>23.973700000000001</v>
      </c>
      <c r="GD60">
        <v>19</v>
      </c>
      <c r="GE60">
        <v>277.77999999999997</v>
      </c>
      <c r="GF60">
        <v>596.97</v>
      </c>
      <c r="GG60">
        <v>18.9129</v>
      </c>
      <c r="GH60">
        <v>26.416399999999999</v>
      </c>
      <c r="GI60">
        <v>30</v>
      </c>
      <c r="GJ60">
        <v>26.499099999999999</v>
      </c>
      <c r="GK60">
        <v>26.467099999999999</v>
      </c>
      <c r="GL60">
        <v>35.799500000000002</v>
      </c>
      <c r="GM60">
        <v>39.127400000000002</v>
      </c>
      <c r="GN60">
        <v>96.227000000000004</v>
      </c>
      <c r="GO60">
        <v>18.8706</v>
      </c>
      <c r="GP60">
        <v>800</v>
      </c>
      <c r="GQ60">
        <v>16.002300000000002</v>
      </c>
      <c r="GR60">
        <v>99.710099999999997</v>
      </c>
      <c r="GS60">
        <v>99.524799999999999</v>
      </c>
    </row>
    <row r="61" spans="1:201" x14ac:dyDescent="0.25">
      <c r="A61">
        <v>45</v>
      </c>
      <c r="B61">
        <v>1690382965.5999999</v>
      </c>
      <c r="C61">
        <v>490.5</v>
      </c>
      <c r="D61" t="s">
        <v>421</v>
      </c>
      <c r="E61" t="s">
        <v>422</v>
      </c>
      <c r="F61" t="s">
        <v>330</v>
      </c>
      <c r="H61">
        <v>1690382965.5999999</v>
      </c>
      <c r="I61">
        <f t="shared" si="0"/>
        <v>4.9537464216930171E-4</v>
      </c>
      <c r="J61">
        <f t="shared" si="1"/>
        <v>0.49537464216930172</v>
      </c>
      <c r="K61">
        <f t="shared" si="2"/>
        <v>7.6956786576331533</v>
      </c>
      <c r="L61">
        <f t="shared" si="3"/>
        <v>712.37900000000002</v>
      </c>
      <c r="M61">
        <f t="shared" si="4"/>
        <v>336.00363631295568</v>
      </c>
      <c r="N61">
        <f t="shared" si="5"/>
        <v>33.19634002365396</v>
      </c>
      <c r="O61">
        <f t="shared" si="6"/>
        <v>70.381308277522194</v>
      </c>
      <c r="P61">
        <f t="shared" si="7"/>
        <v>3.407819743934859E-2</v>
      </c>
      <c r="Q61">
        <f t="shared" si="8"/>
        <v>2.1121080673379007</v>
      </c>
      <c r="R61">
        <f t="shared" si="9"/>
        <v>3.3775657674847838E-2</v>
      </c>
      <c r="S61">
        <f t="shared" si="10"/>
        <v>2.1136744090689309E-2</v>
      </c>
      <c r="T61">
        <f t="shared" si="11"/>
        <v>276.11256619077693</v>
      </c>
      <c r="U61">
        <f t="shared" si="12"/>
        <v>26.631063379990476</v>
      </c>
      <c r="V61">
        <f t="shared" si="13"/>
        <v>26.631063379990476</v>
      </c>
      <c r="W61">
        <f t="shared" si="14"/>
        <v>3.5023340414094641</v>
      </c>
      <c r="X61">
        <f t="shared" si="15"/>
        <v>67.45639654137149</v>
      </c>
      <c r="Y61">
        <f t="shared" si="16"/>
        <v>2.0943502340611198</v>
      </c>
      <c r="Z61">
        <f t="shared" si="17"/>
        <v>3.1047466829578418</v>
      </c>
      <c r="AA61">
        <f t="shared" si="18"/>
        <v>1.4079838073483444</v>
      </c>
      <c r="AB61">
        <f t="shared" si="19"/>
        <v>-21.846021719666204</v>
      </c>
      <c r="AC61">
        <f t="shared" si="20"/>
        <v>-231.20474349534405</v>
      </c>
      <c r="AD61">
        <f t="shared" si="21"/>
        <v>-23.29889472806714</v>
      </c>
      <c r="AE61">
        <f t="shared" si="22"/>
        <v>-0.23709375230043861</v>
      </c>
      <c r="AF61">
        <v>0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52697.548725588567</v>
      </c>
      <c r="AK61">
        <f t="shared" si="26"/>
        <v>1799.99</v>
      </c>
      <c r="AL61">
        <f t="shared" si="27"/>
        <v>1499.1052033914898</v>
      </c>
      <c r="AM61">
        <f t="shared" si="28"/>
        <v>0.83284085099999994</v>
      </c>
      <c r="AN61">
        <f t="shared" si="29"/>
        <v>0.15339672231000001</v>
      </c>
      <c r="AO61">
        <v>32.700000000000003</v>
      </c>
      <c r="AP61">
        <v>0.5</v>
      </c>
      <c r="AQ61" t="s">
        <v>331</v>
      </c>
      <c r="AR61">
        <v>2</v>
      </c>
      <c r="AS61">
        <v>1690382965.5999999</v>
      </c>
      <c r="AT61">
        <v>712.37900000000002</v>
      </c>
      <c r="AU61">
        <v>800.05</v>
      </c>
      <c r="AV61">
        <v>21.198399999999999</v>
      </c>
      <c r="AW61">
        <v>15.9168</v>
      </c>
      <c r="AX61">
        <v>712.58199999999999</v>
      </c>
      <c r="AY61">
        <v>21.023199999999999</v>
      </c>
      <c r="AZ61">
        <v>300.2</v>
      </c>
      <c r="BA61">
        <v>98.697599999999994</v>
      </c>
      <c r="BB61">
        <v>9.9961800000000003E-2</v>
      </c>
      <c r="BC61">
        <v>24.6006</v>
      </c>
      <c r="BD61">
        <v>27.028400000000001</v>
      </c>
      <c r="BE61">
        <v>26.2334</v>
      </c>
      <c r="BF61">
        <v>0</v>
      </c>
      <c r="BG61">
        <v>0</v>
      </c>
      <c r="BH61">
        <v>10017.5</v>
      </c>
      <c r="BI61">
        <v>1051.07</v>
      </c>
      <c r="BJ61">
        <v>2.3547799999999999</v>
      </c>
      <c r="BK61">
        <v>-87.671199999999999</v>
      </c>
      <c r="BL61">
        <v>727.80700000000002</v>
      </c>
      <c r="BM61">
        <v>812.99</v>
      </c>
      <c r="BN61">
        <v>5.2816599999999996</v>
      </c>
      <c r="BO61">
        <v>800.05</v>
      </c>
      <c r="BP61">
        <v>15.9168</v>
      </c>
      <c r="BQ61">
        <v>2.0922399999999999</v>
      </c>
      <c r="BR61">
        <v>1.5709500000000001</v>
      </c>
      <c r="BS61">
        <v>18.1602</v>
      </c>
      <c r="BT61">
        <v>13.6768</v>
      </c>
      <c r="BU61">
        <v>1799.99</v>
      </c>
      <c r="BV61">
        <v>0.91002000000000005</v>
      </c>
      <c r="BW61">
        <v>3.3997199999999998E-2</v>
      </c>
      <c r="BX61">
        <v>2.19928E-2</v>
      </c>
      <c r="BY61">
        <v>3.3989699999999998E-2</v>
      </c>
      <c r="BZ61">
        <v>25</v>
      </c>
      <c r="CA61">
        <v>33528.400000000001</v>
      </c>
      <c r="CB61">
        <v>1690381960.0999999</v>
      </c>
      <c r="CC61" t="s">
        <v>332</v>
      </c>
      <c r="CD61">
        <v>1690381960.0999999</v>
      </c>
      <c r="CE61">
        <v>1690381958.0999999</v>
      </c>
      <c r="CF61">
        <v>4</v>
      </c>
      <c r="CG61">
        <v>9.9000000000000005E-2</v>
      </c>
      <c r="CH61">
        <v>1.2E-2</v>
      </c>
      <c r="CI61">
        <v>-0.26300000000000001</v>
      </c>
      <c r="CJ61">
        <v>0.127</v>
      </c>
      <c r="CK61">
        <v>798</v>
      </c>
      <c r="CL61">
        <v>18</v>
      </c>
      <c r="CM61">
        <v>0.02</v>
      </c>
      <c r="CN61">
        <v>0.12</v>
      </c>
      <c r="CO61">
        <v>-84.995199999999997</v>
      </c>
      <c r="CP61">
        <v>-14.693282926829429</v>
      </c>
      <c r="CQ61">
        <v>1.449233291324391</v>
      </c>
      <c r="CR61">
        <v>-1</v>
      </c>
      <c r="CS61">
        <v>5.2420946341463406</v>
      </c>
      <c r="CT61">
        <v>7.4361324041803262E-2</v>
      </c>
      <c r="CU61">
        <v>2.343012300203598E-2</v>
      </c>
      <c r="CV61">
        <v>-1</v>
      </c>
      <c r="CW61">
        <v>0</v>
      </c>
      <c r="CX61">
        <v>0</v>
      </c>
      <c r="CY61" t="s">
        <v>333</v>
      </c>
      <c r="CZ61">
        <v>2.3643999999999998</v>
      </c>
      <c r="DA61">
        <v>2.7137699999999998</v>
      </c>
      <c r="DB61">
        <v>0.135132</v>
      </c>
      <c r="DC61">
        <v>0.145704</v>
      </c>
      <c r="DD61">
        <v>0.103892</v>
      </c>
      <c r="DE61">
        <v>8.3416199999999996E-2</v>
      </c>
      <c r="DF61">
        <v>31571.9</v>
      </c>
      <c r="DG61">
        <v>27520.3</v>
      </c>
      <c r="DH61">
        <v>31164.799999999999</v>
      </c>
      <c r="DI61">
        <v>28070.3</v>
      </c>
      <c r="DJ61">
        <v>37918</v>
      </c>
      <c r="DK61">
        <v>36584.199999999997</v>
      </c>
      <c r="DL61">
        <v>44349.8</v>
      </c>
      <c r="DM61">
        <v>42544.5</v>
      </c>
      <c r="DN61">
        <v>1.46315</v>
      </c>
      <c r="DO61">
        <v>2.0511300000000001</v>
      </c>
      <c r="DP61">
        <v>0.156581</v>
      </c>
      <c r="DQ61">
        <v>0.124052</v>
      </c>
      <c r="DR61">
        <v>24.462399999999999</v>
      </c>
      <c r="DS61">
        <v>24.198699999999999</v>
      </c>
      <c r="DT61">
        <v>58.1</v>
      </c>
      <c r="DU61">
        <v>28.7</v>
      </c>
      <c r="DV61">
        <v>23.269400000000001</v>
      </c>
      <c r="DW61">
        <v>60.923000000000002</v>
      </c>
      <c r="DX61">
        <v>36.5304</v>
      </c>
      <c r="DY61">
        <v>1</v>
      </c>
      <c r="DZ61">
        <v>-7.2428900000000004E-2</v>
      </c>
      <c r="EA61">
        <v>3.3090099999999998</v>
      </c>
      <c r="EB61">
        <v>20.152699999999999</v>
      </c>
      <c r="EC61">
        <v>5.2413999999999996</v>
      </c>
      <c r="ED61">
        <v>12.039899999999999</v>
      </c>
      <c r="EE61">
        <v>5.0175000000000001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</v>
      </c>
      <c r="EL61">
        <v>1.8646199999999999</v>
      </c>
      <c r="EM61">
        <v>1.8692</v>
      </c>
      <c r="EN61">
        <v>1.8672200000000001</v>
      </c>
      <c r="EO61">
        <v>1.8633999999999999</v>
      </c>
      <c r="EP61">
        <v>1.86446</v>
      </c>
      <c r="EQ61">
        <v>1.87016</v>
      </c>
      <c r="ER61">
        <v>1.8694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-0.20300000000000001</v>
      </c>
      <c r="FG61">
        <v>0.17519999999999999</v>
      </c>
      <c r="FH61">
        <v>0.28746640474027818</v>
      </c>
      <c r="FI61">
        <v>-6.1462078757559423E-4</v>
      </c>
      <c r="FJ61">
        <v>-1.8861989874597051E-7</v>
      </c>
      <c r="FK61">
        <v>1.1980462299894961E-10</v>
      </c>
      <c r="FL61">
        <v>0.17524818673008091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16.8</v>
      </c>
      <c r="FU61">
        <v>16.8</v>
      </c>
      <c r="FV61">
        <v>1.79077</v>
      </c>
      <c r="FW61">
        <v>2.5781200000000002</v>
      </c>
      <c r="FX61">
        <v>1.5490699999999999</v>
      </c>
      <c r="FY61">
        <v>2.3327599999999999</v>
      </c>
      <c r="FZ61">
        <v>1.50146</v>
      </c>
      <c r="GA61">
        <v>2.36206</v>
      </c>
      <c r="GB61">
        <v>33.490600000000001</v>
      </c>
      <c r="GC61">
        <v>23.9649</v>
      </c>
      <c r="GD61">
        <v>19</v>
      </c>
      <c r="GE61">
        <v>277.98200000000003</v>
      </c>
      <c r="GF61">
        <v>596.90099999999995</v>
      </c>
      <c r="GG61">
        <v>18.817299999999999</v>
      </c>
      <c r="GH61">
        <v>26.4102</v>
      </c>
      <c r="GI61">
        <v>29.9998</v>
      </c>
      <c r="GJ61">
        <v>26.4969</v>
      </c>
      <c r="GK61">
        <v>26.4648</v>
      </c>
      <c r="GL61">
        <v>35.793799999999997</v>
      </c>
      <c r="GM61">
        <v>39.404400000000003</v>
      </c>
      <c r="GN61">
        <v>95.851699999999994</v>
      </c>
      <c r="GO61">
        <v>18.782399999999999</v>
      </c>
      <c r="GP61">
        <v>800</v>
      </c>
      <c r="GQ61">
        <v>15.868</v>
      </c>
      <c r="GR61">
        <v>99.713200000000001</v>
      </c>
      <c r="GS61">
        <v>99.526700000000005</v>
      </c>
    </row>
    <row r="62" spans="1:201" x14ac:dyDescent="0.25">
      <c r="A62">
        <v>46</v>
      </c>
      <c r="B62">
        <v>1690382975.5999999</v>
      </c>
      <c r="C62">
        <v>500.5</v>
      </c>
      <c r="D62" t="s">
        <v>423</v>
      </c>
      <c r="E62" t="s">
        <v>424</v>
      </c>
      <c r="F62" t="s">
        <v>330</v>
      </c>
      <c r="H62">
        <v>1690382975.5999999</v>
      </c>
      <c r="I62">
        <f t="shared" si="0"/>
        <v>4.882240858174573E-4</v>
      </c>
      <c r="J62">
        <f t="shared" si="1"/>
        <v>0.4882240858174573</v>
      </c>
      <c r="K62">
        <f t="shared" si="2"/>
        <v>7.9156801222403468</v>
      </c>
      <c r="L62">
        <f t="shared" si="3"/>
        <v>709.96799999999996</v>
      </c>
      <c r="M62">
        <f t="shared" si="4"/>
        <v>318.62564946151451</v>
      </c>
      <c r="N62">
        <f t="shared" si="5"/>
        <v>31.476441320482358</v>
      </c>
      <c r="O62">
        <f t="shared" si="6"/>
        <v>70.136431668911982</v>
      </c>
      <c r="P62">
        <f t="shared" si="7"/>
        <v>3.3642820612297453E-2</v>
      </c>
      <c r="Q62">
        <f t="shared" si="8"/>
        <v>2.1104950682817298</v>
      </c>
      <c r="R62">
        <f t="shared" si="9"/>
        <v>3.3347702515620657E-2</v>
      </c>
      <c r="S62">
        <f t="shared" si="10"/>
        <v>2.0868613397185095E-2</v>
      </c>
      <c r="T62">
        <f t="shared" si="11"/>
        <v>276.11246702932783</v>
      </c>
      <c r="U62">
        <f t="shared" si="12"/>
        <v>26.572509991045401</v>
      </c>
      <c r="V62">
        <f t="shared" si="13"/>
        <v>26.572509991045401</v>
      </c>
      <c r="W62">
        <f t="shared" si="14"/>
        <v>3.4902744983839682</v>
      </c>
      <c r="X62">
        <f t="shared" si="15"/>
        <v>67.400230778226828</v>
      </c>
      <c r="Y62">
        <f t="shared" si="16"/>
        <v>2.0847857922723998</v>
      </c>
      <c r="Z62">
        <f t="shared" si="17"/>
        <v>3.0931434035176553</v>
      </c>
      <c r="AA62">
        <f t="shared" si="18"/>
        <v>1.4054887061115684</v>
      </c>
      <c r="AB62">
        <f t="shared" si="19"/>
        <v>-21.530682184549867</v>
      </c>
      <c r="AC62">
        <f t="shared" si="20"/>
        <v>-231.48860188282865</v>
      </c>
      <c r="AD62">
        <f t="shared" si="21"/>
        <v>-23.331124937759171</v>
      </c>
      <c r="AE62">
        <f t="shared" si="22"/>
        <v>-0.23794197580986065</v>
      </c>
      <c r="AF62">
        <v>0</v>
      </c>
      <c r="AG62">
        <v>0</v>
      </c>
      <c r="AH62">
        <f t="shared" si="23"/>
        <v>1</v>
      </c>
      <c r="AI62">
        <f t="shared" si="24"/>
        <v>0</v>
      </c>
      <c r="AJ62">
        <f t="shared" si="25"/>
        <v>52637.52819015256</v>
      </c>
      <c r="AK62">
        <f t="shared" si="26"/>
        <v>1799.99</v>
      </c>
      <c r="AL62">
        <f t="shared" si="27"/>
        <v>1499.1057721883301</v>
      </c>
      <c r="AM62">
        <f t="shared" si="28"/>
        <v>0.83284116699999999</v>
      </c>
      <c r="AN62">
        <f t="shared" si="29"/>
        <v>0.15339666722</v>
      </c>
      <c r="AO62">
        <v>32.700000000000003</v>
      </c>
      <c r="AP62">
        <v>0.5</v>
      </c>
      <c r="AQ62" t="s">
        <v>331</v>
      </c>
      <c r="AR62">
        <v>2</v>
      </c>
      <c r="AS62">
        <v>1690382975.5999999</v>
      </c>
      <c r="AT62">
        <v>709.96799999999996</v>
      </c>
      <c r="AU62">
        <v>800.00400000000002</v>
      </c>
      <c r="AV62">
        <v>21.1036</v>
      </c>
      <c r="AW62">
        <v>15.8956</v>
      </c>
      <c r="AX62">
        <v>710.16899999999998</v>
      </c>
      <c r="AY62">
        <v>20.9283</v>
      </c>
      <c r="AZ62">
        <v>300.077</v>
      </c>
      <c r="BA62">
        <v>98.688199999999995</v>
      </c>
      <c r="BB62">
        <v>9.9959000000000006E-2</v>
      </c>
      <c r="BC62">
        <v>24.538</v>
      </c>
      <c r="BD62">
        <v>26.936699999999998</v>
      </c>
      <c r="BE62">
        <v>26.1767</v>
      </c>
      <c r="BF62">
        <v>0</v>
      </c>
      <c r="BG62">
        <v>0</v>
      </c>
      <c r="BH62">
        <v>10004.4</v>
      </c>
      <c r="BI62">
        <v>1050.18</v>
      </c>
      <c r="BJ62">
        <v>2.3547799999999999</v>
      </c>
      <c r="BK62">
        <v>-90.036299999999997</v>
      </c>
      <c r="BL62">
        <v>725.274</v>
      </c>
      <c r="BM62">
        <v>812.92600000000004</v>
      </c>
      <c r="BN62">
        <v>5.2079599999999999</v>
      </c>
      <c r="BO62">
        <v>800.00400000000002</v>
      </c>
      <c r="BP62">
        <v>15.8956</v>
      </c>
      <c r="BQ62">
        <v>2.0826699999999998</v>
      </c>
      <c r="BR62">
        <v>1.56871</v>
      </c>
      <c r="BS62">
        <v>18.087299999999999</v>
      </c>
      <c r="BT62">
        <v>13.6548</v>
      </c>
      <c r="BU62">
        <v>1799.99</v>
      </c>
      <c r="BV62">
        <v>0.91002300000000003</v>
      </c>
      <c r="BW62">
        <v>3.3996100000000001E-2</v>
      </c>
      <c r="BX62">
        <v>2.1992100000000001E-2</v>
      </c>
      <c r="BY62">
        <v>3.3988600000000001E-2</v>
      </c>
      <c r="BZ62">
        <v>25</v>
      </c>
      <c r="CA62">
        <v>33528.400000000001</v>
      </c>
      <c r="CB62">
        <v>1690381960.0999999</v>
      </c>
      <c r="CC62" t="s">
        <v>332</v>
      </c>
      <c r="CD62">
        <v>1690381960.0999999</v>
      </c>
      <c r="CE62">
        <v>1690381958.0999999</v>
      </c>
      <c r="CF62">
        <v>4</v>
      </c>
      <c r="CG62">
        <v>9.9000000000000005E-2</v>
      </c>
      <c r="CH62">
        <v>1.2E-2</v>
      </c>
      <c r="CI62">
        <v>-0.26300000000000001</v>
      </c>
      <c r="CJ62">
        <v>0.127</v>
      </c>
      <c r="CK62">
        <v>798</v>
      </c>
      <c r="CL62">
        <v>18</v>
      </c>
      <c r="CM62">
        <v>0.02</v>
      </c>
      <c r="CN62">
        <v>0.12</v>
      </c>
      <c r="CO62">
        <v>-87.375714999999985</v>
      </c>
      <c r="CP62">
        <v>-14.375569981238121</v>
      </c>
      <c r="CQ62">
        <v>1.383121952061712</v>
      </c>
      <c r="CR62">
        <v>-1</v>
      </c>
      <c r="CS62">
        <v>5.24732675</v>
      </c>
      <c r="CT62">
        <v>7.3753733583488607E-2</v>
      </c>
      <c r="CU62">
        <v>2.7965537308220888E-2</v>
      </c>
      <c r="CV62">
        <v>-1</v>
      </c>
      <c r="CW62">
        <v>0</v>
      </c>
      <c r="CX62">
        <v>0</v>
      </c>
      <c r="CY62" t="s">
        <v>333</v>
      </c>
      <c r="CZ62">
        <v>2.3639999999999999</v>
      </c>
      <c r="DA62">
        <v>2.7137500000000001</v>
      </c>
      <c r="DB62">
        <v>0.13480600000000001</v>
      </c>
      <c r="DC62">
        <v>0.14568400000000001</v>
      </c>
      <c r="DD62">
        <v>0.103549</v>
      </c>
      <c r="DE62">
        <v>8.3327600000000002E-2</v>
      </c>
      <c r="DF62">
        <v>31584.3</v>
      </c>
      <c r="DG62">
        <v>27520.5</v>
      </c>
      <c r="DH62">
        <v>31165.200000000001</v>
      </c>
      <c r="DI62">
        <v>28069.8</v>
      </c>
      <c r="DJ62">
        <v>37933.1</v>
      </c>
      <c r="DK62">
        <v>36587.300000000003</v>
      </c>
      <c r="DL62">
        <v>44350.5</v>
      </c>
      <c r="DM62">
        <v>42544</v>
      </c>
      <c r="DN62">
        <v>1.4626999999999999</v>
      </c>
      <c r="DO62">
        <v>2.0510999999999999</v>
      </c>
      <c r="DP62">
        <v>0.15345600000000001</v>
      </c>
      <c r="DQ62">
        <v>0.123069</v>
      </c>
      <c r="DR62">
        <v>24.421700000000001</v>
      </c>
      <c r="DS62">
        <v>24.158000000000001</v>
      </c>
      <c r="DT62">
        <v>58</v>
      </c>
      <c r="DU62">
        <v>28.7</v>
      </c>
      <c r="DV62">
        <v>23.2285</v>
      </c>
      <c r="DW62">
        <v>60.643000000000001</v>
      </c>
      <c r="DX62">
        <v>36.923099999999998</v>
      </c>
      <c r="DY62">
        <v>1</v>
      </c>
      <c r="DZ62">
        <v>-7.2436500000000001E-2</v>
      </c>
      <c r="EA62">
        <v>2.0952899999999999</v>
      </c>
      <c r="EB62">
        <v>20.132899999999999</v>
      </c>
      <c r="EC62">
        <v>5.2411000000000003</v>
      </c>
      <c r="ED62">
        <v>12.039899999999999</v>
      </c>
      <c r="EE62">
        <v>5.0172499999999998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</v>
      </c>
      <c r="EL62">
        <v>1.8646199999999999</v>
      </c>
      <c r="EM62">
        <v>1.8692</v>
      </c>
      <c r="EN62">
        <v>1.8672299999999999</v>
      </c>
      <c r="EO62">
        <v>1.8633900000000001</v>
      </c>
      <c r="EP62">
        <v>1.8644499999999999</v>
      </c>
      <c r="EQ62">
        <v>1.8701399999999999</v>
      </c>
      <c r="ER62">
        <v>1.8694200000000001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-0.20100000000000001</v>
      </c>
      <c r="FG62">
        <v>0.17530000000000001</v>
      </c>
      <c r="FH62">
        <v>0.28746640474027818</v>
      </c>
      <c r="FI62">
        <v>-6.1462078757559423E-4</v>
      </c>
      <c r="FJ62">
        <v>-1.8861989874597051E-7</v>
      </c>
      <c r="FK62">
        <v>1.1980462299894961E-10</v>
      </c>
      <c r="FL62">
        <v>0.17524818673008091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16.899999999999999</v>
      </c>
      <c r="FU62">
        <v>17</v>
      </c>
      <c r="FV62">
        <v>1.79077</v>
      </c>
      <c r="FW62">
        <v>2.5781200000000002</v>
      </c>
      <c r="FX62">
        <v>1.5490699999999999</v>
      </c>
      <c r="FY62">
        <v>2.3315399999999999</v>
      </c>
      <c r="FZ62">
        <v>1.50146</v>
      </c>
      <c r="GA62">
        <v>2.33765</v>
      </c>
      <c r="GB62">
        <v>33.490600000000001</v>
      </c>
      <c r="GC62">
        <v>23.903600000000001</v>
      </c>
      <c r="GD62">
        <v>19</v>
      </c>
      <c r="GE62">
        <v>277.78300000000002</v>
      </c>
      <c r="GF62">
        <v>596.88099999999997</v>
      </c>
      <c r="GG62">
        <v>18.7331</v>
      </c>
      <c r="GH62">
        <v>26.403500000000001</v>
      </c>
      <c r="GI62">
        <v>30</v>
      </c>
      <c r="GJ62">
        <v>26.494700000000002</v>
      </c>
      <c r="GK62">
        <v>26.4648</v>
      </c>
      <c r="GL62">
        <v>35.790700000000001</v>
      </c>
      <c r="GM62">
        <v>39.677500000000002</v>
      </c>
      <c r="GN62">
        <v>95.477400000000003</v>
      </c>
      <c r="GO62">
        <v>23.986000000000001</v>
      </c>
      <c r="GP62">
        <v>800</v>
      </c>
      <c r="GQ62">
        <v>15.731</v>
      </c>
      <c r="GR62">
        <v>99.714699999999993</v>
      </c>
      <c r="GS62">
        <v>99.525300000000001</v>
      </c>
    </row>
    <row r="63" spans="1:201" x14ac:dyDescent="0.25">
      <c r="A63">
        <v>47</v>
      </c>
      <c r="B63">
        <v>1690382985.5999999</v>
      </c>
      <c r="C63">
        <v>510.5</v>
      </c>
      <c r="D63" t="s">
        <v>425</v>
      </c>
      <c r="E63" t="s">
        <v>426</v>
      </c>
      <c r="F63" t="s">
        <v>330</v>
      </c>
      <c r="H63">
        <v>1690382985.5999999</v>
      </c>
      <c r="I63">
        <f t="shared" si="0"/>
        <v>6.1035880624460989E-4</v>
      </c>
      <c r="J63">
        <f t="shared" si="1"/>
        <v>0.61035880624460992</v>
      </c>
      <c r="K63">
        <f t="shared" si="2"/>
        <v>8.1464191201049267</v>
      </c>
      <c r="L63">
        <f t="shared" si="3"/>
        <v>706.96299999999997</v>
      </c>
      <c r="M63">
        <f t="shared" si="4"/>
        <v>399.33231371295324</v>
      </c>
      <c r="N63">
        <f t="shared" si="5"/>
        <v>39.449380972383494</v>
      </c>
      <c r="O63">
        <f t="shared" si="6"/>
        <v>69.839709341494498</v>
      </c>
      <c r="P63">
        <f t="shared" si="7"/>
        <v>4.4568536319799311E-2</v>
      </c>
      <c r="Q63">
        <f t="shared" si="8"/>
        <v>2.1114961450687844</v>
      </c>
      <c r="R63">
        <f t="shared" si="9"/>
        <v>4.4052438871286986E-2</v>
      </c>
      <c r="S63">
        <f t="shared" si="10"/>
        <v>2.7578645570177258E-2</v>
      </c>
      <c r="T63">
        <f t="shared" si="11"/>
        <v>276.11230729821523</v>
      </c>
      <c r="U63">
        <f t="shared" si="12"/>
        <v>26.633515076880585</v>
      </c>
      <c r="V63">
        <f t="shared" si="13"/>
        <v>26.633515076880585</v>
      </c>
      <c r="W63">
        <f t="shared" si="14"/>
        <v>3.5028397807109077</v>
      </c>
      <c r="X63">
        <f t="shared" si="15"/>
        <v>69.825569022623952</v>
      </c>
      <c r="Y63">
        <f t="shared" si="16"/>
        <v>2.1734227636812</v>
      </c>
      <c r="Z63">
        <f t="shared" si="17"/>
        <v>3.1126459749679896</v>
      </c>
      <c r="AA63">
        <f t="shared" si="18"/>
        <v>1.3294170170297077</v>
      </c>
      <c r="AB63">
        <f t="shared" si="19"/>
        <v>-26.916823355387297</v>
      </c>
      <c r="AC63">
        <f t="shared" si="20"/>
        <v>-226.57886081263871</v>
      </c>
      <c r="AD63">
        <f t="shared" si="21"/>
        <v>-22.844500884923292</v>
      </c>
      <c r="AE63">
        <f t="shared" si="22"/>
        <v>-0.22787775473406668</v>
      </c>
      <c r="AF63">
        <v>0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52662.925871441017</v>
      </c>
      <c r="AK63">
        <f t="shared" si="26"/>
        <v>1799.99</v>
      </c>
      <c r="AL63">
        <f t="shared" si="27"/>
        <v>1499.1067549828697</v>
      </c>
      <c r="AM63">
        <f t="shared" si="28"/>
        <v>0.83284171299999987</v>
      </c>
      <c r="AN63">
        <f t="shared" si="29"/>
        <v>0.15339657848000002</v>
      </c>
      <c r="AO63">
        <v>32.700000000000003</v>
      </c>
      <c r="AP63">
        <v>0.5</v>
      </c>
      <c r="AQ63" t="s">
        <v>331</v>
      </c>
      <c r="AR63">
        <v>2</v>
      </c>
      <c r="AS63">
        <v>1690382985.5999999</v>
      </c>
      <c r="AT63">
        <v>706.96299999999997</v>
      </c>
      <c r="AU63">
        <v>800.41</v>
      </c>
      <c r="AV63">
        <v>22.000800000000002</v>
      </c>
      <c r="AW63">
        <v>15.4979</v>
      </c>
      <c r="AX63">
        <v>707.16200000000003</v>
      </c>
      <c r="AY63">
        <v>21.825600000000001</v>
      </c>
      <c r="AZ63">
        <v>300.16800000000001</v>
      </c>
      <c r="BA63">
        <v>98.688400000000001</v>
      </c>
      <c r="BB63">
        <v>9.9951499999999999E-2</v>
      </c>
      <c r="BC63">
        <v>24.6431</v>
      </c>
      <c r="BD63">
        <v>26.926300000000001</v>
      </c>
      <c r="BE63">
        <v>26.236999999999998</v>
      </c>
      <c r="BF63">
        <v>0</v>
      </c>
      <c r="BG63">
        <v>0</v>
      </c>
      <c r="BH63">
        <v>10013.1</v>
      </c>
      <c r="BI63">
        <v>1049.67</v>
      </c>
      <c r="BJ63">
        <v>2.3954200000000001</v>
      </c>
      <c r="BK63">
        <v>-93.447100000000006</v>
      </c>
      <c r="BL63">
        <v>722.86599999999999</v>
      </c>
      <c r="BM63">
        <v>813.01</v>
      </c>
      <c r="BN63">
        <v>6.5029199999999996</v>
      </c>
      <c r="BO63">
        <v>800.41</v>
      </c>
      <c r="BP63">
        <v>15.4979</v>
      </c>
      <c r="BQ63">
        <v>2.17123</v>
      </c>
      <c r="BR63">
        <v>1.52946</v>
      </c>
      <c r="BS63">
        <v>18.7516</v>
      </c>
      <c r="BT63">
        <v>13.2659</v>
      </c>
      <c r="BU63">
        <v>1799.99</v>
      </c>
      <c r="BV63">
        <v>0.91002799999999995</v>
      </c>
      <c r="BW63">
        <v>3.3994299999999998E-2</v>
      </c>
      <c r="BX63">
        <v>2.1990900000000001E-2</v>
      </c>
      <c r="BY63">
        <v>3.3986799999999998E-2</v>
      </c>
      <c r="BZ63">
        <v>25</v>
      </c>
      <c r="CA63">
        <v>33528.5</v>
      </c>
      <c r="CB63">
        <v>1690381960.0999999</v>
      </c>
      <c r="CC63" t="s">
        <v>332</v>
      </c>
      <c r="CD63">
        <v>1690381960.0999999</v>
      </c>
      <c r="CE63">
        <v>1690381958.0999999</v>
      </c>
      <c r="CF63">
        <v>4</v>
      </c>
      <c r="CG63">
        <v>9.9000000000000005E-2</v>
      </c>
      <c r="CH63">
        <v>1.2E-2</v>
      </c>
      <c r="CI63">
        <v>-0.26300000000000001</v>
      </c>
      <c r="CJ63">
        <v>0.127</v>
      </c>
      <c r="CK63">
        <v>798</v>
      </c>
      <c r="CL63">
        <v>18</v>
      </c>
      <c r="CM63">
        <v>0.02</v>
      </c>
      <c r="CN63">
        <v>0.12</v>
      </c>
      <c r="CO63">
        <v>-90.132852499999984</v>
      </c>
      <c r="CP63">
        <v>-16.0948919324576</v>
      </c>
      <c r="CQ63">
        <v>1.557957681868718</v>
      </c>
      <c r="CR63">
        <v>-1</v>
      </c>
      <c r="CS63">
        <v>5.3912602500000002</v>
      </c>
      <c r="CT63">
        <v>2.1454933958724181</v>
      </c>
      <c r="CU63">
        <v>0.30135121422924038</v>
      </c>
      <c r="CV63">
        <v>-1</v>
      </c>
      <c r="CW63">
        <v>0</v>
      </c>
      <c r="CX63">
        <v>0</v>
      </c>
      <c r="CY63" t="s">
        <v>333</v>
      </c>
      <c r="CZ63">
        <v>2.3643000000000001</v>
      </c>
      <c r="DA63">
        <v>2.7137500000000001</v>
      </c>
      <c r="DB63">
        <v>0.13442999999999999</v>
      </c>
      <c r="DC63">
        <v>0.14572599999999999</v>
      </c>
      <c r="DD63">
        <v>0.10667500000000001</v>
      </c>
      <c r="DE63">
        <v>8.1801700000000005E-2</v>
      </c>
      <c r="DF63">
        <v>31596.7</v>
      </c>
      <c r="DG63">
        <v>27518.400000000001</v>
      </c>
      <c r="DH63">
        <v>31163.9</v>
      </c>
      <c r="DI63">
        <v>28069.1</v>
      </c>
      <c r="DJ63">
        <v>37798.1</v>
      </c>
      <c r="DK63">
        <v>36647.599999999999</v>
      </c>
      <c r="DL63">
        <v>44348.800000000003</v>
      </c>
      <c r="DM63">
        <v>42543.1</v>
      </c>
      <c r="DN63">
        <v>1.4719500000000001</v>
      </c>
      <c r="DO63">
        <v>2.0501</v>
      </c>
      <c r="DP63">
        <v>0.155281</v>
      </c>
      <c r="DQ63">
        <v>0.129223</v>
      </c>
      <c r="DR63">
        <v>24.3812</v>
      </c>
      <c r="DS63">
        <v>24.1174</v>
      </c>
      <c r="DT63">
        <v>58</v>
      </c>
      <c r="DU63">
        <v>28.7</v>
      </c>
      <c r="DV63">
        <v>23.228200000000001</v>
      </c>
      <c r="DW63">
        <v>61.173000000000002</v>
      </c>
      <c r="DX63">
        <v>36.943100000000001</v>
      </c>
      <c r="DY63">
        <v>1</v>
      </c>
      <c r="DZ63">
        <v>-6.4232700000000004E-2</v>
      </c>
      <c r="EA63">
        <v>-6.6666699999999999</v>
      </c>
      <c r="EB63">
        <v>20.0059</v>
      </c>
      <c r="EC63">
        <v>5.2409499999999998</v>
      </c>
      <c r="ED63">
        <v>12.039899999999999</v>
      </c>
      <c r="EE63">
        <v>5.0174000000000003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</v>
      </c>
      <c r="EL63">
        <v>1.8646199999999999</v>
      </c>
      <c r="EM63">
        <v>1.8692</v>
      </c>
      <c r="EN63">
        <v>1.8672200000000001</v>
      </c>
      <c r="EO63">
        <v>1.86338</v>
      </c>
      <c r="EP63">
        <v>1.86446</v>
      </c>
      <c r="EQ63">
        <v>1.8701300000000001</v>
      </c>
      <c r="ER63">
        <v>1.8693900000000001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-0.19900000000000001</v>
      </c>
      <c r="FG63">
        <v>0.17519999999999999</v>
      </c>
      <c r="FH63">
        <v>0.28746640474027818</v>
      </c>
      <c r="FI63">
        <v>-6.1462078757559423E-4</v>
      </c>
      <c r="FJ63">
        <v>-1.8861989874597051E-7</v>
      </c>
      <c r="FK63">
        <v>1.1980462299894961E-10</v>
      </c>
      <c r="FL63">
        <v>0.17524818673008091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17.100000000000001</v>
      </c>
      <c r="FU63">
        <v>17.100000000000001</v>
      </c>
      <c r="FV63">
        <v>1.78955</v>
      </c>
      <c r="FW63">
        <v>2.5817899999999998</v>
      </c>
      <c r="FX63">
        <v>1.5490699999999999</v>
      </c>
      <c r="FY63">
        <v>2.3327599999999999</v>
      </c>
      <c r="FZ63">
        <v>1.50146</v>
      </c>
      <c r="GA63">
        <v>2.3059099999999999</v>
      </c>
      <c r="GB63">
        <v>33.512999999999998</v>
      </c>
      <c r="GC63">
        <v>23.912400000000002</v>
      </c>
      <c r="GD63">
        <v>19</v>
      </c>
      <c r="GE63">
        <v>281.73700000000002</v>
      </c>
      <c r="GF63">
        <v>596.02</v>
      </c>
      <c r="GG63">
        <v>22.708200000000001</v>
      </c>
      <c r="GH63">
        <v>26.3978</v>
      </c>
      <c r="GI63">
        <v>30.002600000000001</v>
      </c>
      <c r="GJ63">
        <v>26.5031</v>
      </c>
      <c r="GK63">
        <v>26.463100000000001</v>
      </c>
      <c r="GL63">
        <v>35.771000000000001</v>
      </c>
      <c r="GM63">
        <v>43.2</v>
      </c>
      <c r="GN63">
        <v>94.700800000000001</v>
      </c>
      <c r="GO63">
        <v>24.094799999999999</v>
      </c>
      <c r="GP63">
        <v>800</v>
      </c>
      <c r="GQ63">
        <v>14.706799999999999</v>
      </c>
      <c r="GR63">
        <v>99.710700000000003</v>
      </c>
      <c r="GS63">
        <v>99.522999999999996</v>
      </c>
    </row>
    <row r="64" spans="1:201" x14ac:dyDescent="0.25">
      <c r="A64">
        <v>48</v>
      </c>
      <c r="B64">
        <v>1690382995.5999999</v>
      </c>
      <c r="C64">
        <v>520.5</v>
      </c>
      <c r="D64" t="s">
        <v>427</v>
      </c>
      <c r="E64" t="s">
        <v>428</v>
      </c>
      <c r="F64" t="s">
        <v>330</v>
      </c>
      <c r="H64">
        <v>1690382995.5999999</v>
      </c>
      <c r="I64">
        <f t="shared" si="0"/>
        <v>8.6396253238517915E-4</v>
      </c>
      <c r="J64">
        <f t="shared" si="1"/>
        <v>0.86396253238517917</v>
      </c>
      <c r="K64">
        <f t="shared" si="2"/>
        <v>8.2344501634706617</v>
      </c>
      <c r="L64">
        <f t="shared" si="3"/>
        <v>703.99300000000005</v>
      </c>
      <c r="M64">
        <f t="shared" si="4"/>
        <v>493.45194620701579</v>
      </c>
      <c r="N64">
        <f t="shared" si="5"/>
        <v>48.747766872112145</v>
      </c>
      <c r="O64">
        <f t="shared" si="6"/>
        <v>69.546967860577695</v>
      </c>
      <c r="P64">
        <f t="shared" si="7"/>
        <v>6.7519801833190646E-2</v>
      </c>
      <c r="Q64">
        <f t="shared" si="8"/>
        <v>2.1096439404129885</v>
      </c>
      <c r="R64">
        <f t="shared" si="9"/>
        <v>6.6341849978684364E-2</v>
      </c>
      <c r="S64">
        <f t="shared" si="10"/>
        <v>4.1567778776932823E-2</v>
      </c>
      <c r="T64">
        <f t="shared" si="11"/>
        <v>276.11268495411713</v>
      </c>
      <c r="U64">
        <f t="shared" si="12"/>
        <v>26.93312886062726</v>
      </c>
      <c r="V64">
        <f t="shared" si="13"/>
        <v>26.93312886062726</v>
      </c>
      <c r="W64">
        <f t="shared" si="14"/>
        <v>3.5651265897751023</v>
      </c>
      <c r="X64">
        <f t="shared" si="15"/>
        <v>72.730644095117199</v>
      </c>
      <c r="Y64">
        <f t="shared" si="16"/>
        <v>2.3169051925716997</v>
      </c>
      <c r="Z64">
        <f t="shared" si="17"/>
        <v>3.1855969672723492</v>
      </c>
      <c r="AA64">
        <f t="shared" si="18"/>
        <v>1.2482213972034026</v>
      </c>
      <c r="AB64">
        <f t="shared" si="19"/>
        <v>-38.100747678186401</v>
      </c>
      <c r="AC64">
        <f t="shared" si="20"/>
        <v>-216.3161150223788</v>
      </c>
      <c r="AD64">
        <f t="shared" si="21"/>
        <v>-21.90438973720989</v>
      </c>
      <c r="AE64">
        <f t="shared" si="22"/>
        <v>-0.20856748365795852</v>
      </c>
      <c r="AF64">
        <v>0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52513.11973466575</v>
      </c>
      <c r="AK64">
        <f t="shared" si="26"/>
        <v>1799.99</v>
      </c>
      <c r="AL64">
        <f t="shared" si="27"/>
        <v>1499.1075397785103</v>
      </c>
      <c r="AM64">
        <f t="shared" si="28"/>
        <v>0.83284214900000009</v>
      </c>
      <c r="AN64">
        <f t="shared" si="29"/>
        <v>0.15339678829</v>
      </c>
      <c r="AO64">
        <v>32.700000000000003</v>
      </c>
      <c r="AP64">
        <v>0.5</v>
      </c>
      <c r="AQ64" t="s">
        <v>331</v>
      </c>
      <c r="AR64">
        <v>2</v>
      </c>
      <c r="AS64">
        <v>1690382995.5999999</v>
      </c>
      <c r="AT64">
        <v>703.99300000000005</v>
      </c>
      <c r="AU64">
        <v>800.33799999999997</v>
      </c>
      <c r="AV64">
        <v>23.452999999999999</v>
      </c>
      <c r="AW64">
        <v>14.2605</v>
      </c>
      <c r="AX64">
        <v>704.19</v>
      </c>
      <c r="AY64">
        <v>23.277799999999999</v>
      </c>
      <c r="AZ64">
        <v>300.125</v>
      </c>
      <c r="BA64">
        <v>98.689300000000003</v>
      </c>
      <c r="BB64">
        <v>9.9988900000000006E-2</v>
      </c>
      <c r="BC64">
        <v>25.031199999999998</v>
      </c>
      <c r="BD64">
        <v>27.199000000000002</v>
      </c>
      <c r="BE64">
        <v>26.627700000000001</v>
      </c>
      <c r="BF64">
        <v>0</v>
      </c>
      <c r="BG64">
        <v>0</v>
      </c>
      <c r="BH64">
        <v>9996.8799999999992</v>
      </c>
      <c r="BI64">
        <v>1050.24</v>
      </c>
      <c r="BJ64">
        <v>2.4108399999999999</v>
      </c>
      <c r="BK64">
        <v>-96.344899999999996</v>
      </c>
      <c r="BL64">
        <v>720.9</v>
      </c>
      <c r="BM64">
        <v>811.91600000000005</v>
      </c>
      <c r="BN64">
        <v>9.1925100000000004</v>
      </c>
      <c r="BO64">
        <v>800.33799999999997</v>
      </c>
      <c r="BP64">
        <v>14.2605</v>
      </c>
      <c r="BQ64">
        <v>2.3145600000000002</v>
      </c>
      <c r="BR64">
        <v>1.4073599999999999</v>
      </c>
      <c r="BS64">
        <v>19.778099999999998</v>
      </c>
      <c r="BT64">
        <v>11.997199999999999</v>
      </c>
      <c r="BU64">
        <v>1799.99</v>
      </c>
      <c r="BV64">
        <v>0.91002700000000003</v>
      </c>
      <c r="BW64">
        <v>3.3993799999999998E-2</v>
      </c>
      <c r="BX64">
        <v>2.1993200000000001E-2</v>
      </c>
      <c r="BY64">
        <v>3.3986299999999997E-2</v>
      </c>
      <c r="BZ64">
        <v>25</v>
      </c>
      <c r="CA64">
        <v>33528.400000000001</v>
      </c>
      <c r="CB64">
        <v>1690381960.0999999</v>
      </c>
      <c r="CC64" t="s">
        <v>332</v>
      </c>
      <c r="CD64">
        <v>1690381960.0999999</v>
      </c>
      <c r="CE64">
        <v>1690381958.0999999</v>
      </c>
      <c r="CF64">
        <v>4</v>
      </c>
      <c r="CG64">
        <v>9.9000000000000005E-2</v>
      </c>
      <c r="CH64">
        <v>1.2E-2</v>
      </c>
      <c r="CI64">
        <v>-0.26300000000000001</v>
      </c>
      <c r="CJ64">
        <v>0.127</v>
      </c>
      <c r="CK64">
        <v>798</v>
      </c>
      <c r="CL64">
        <v>18</v>
      </c>
      <c r="CM64">
        <v>0.02</v>
      </c>
      <c r="CN64">
        <v>0.12</v>
      </c>
      <c r="CO64">
        <v>-93.189445000000006</v>
      </c>
      <c r="CP64">
        <v>-20.284917073170512</v>
      </c>
      <c r="CQ64">
        <v>1.957564539925823</v>
      </c>
      <c r="CR64">
        <v>-1</v>
      </c>
      <c r="CS64">
        <v>6.7053737500000006</v>
      </c>
      <c r="CT64">
        <v>13.526546228893039</v>
      </c>
      <c r="CU64">
        <v>1.3280206275764079</v>
      </c>
      <c r="CV64">
        <v>-1</v>
      </c>
      <c r="CW64">
        <v>0</v>
      </c>
      <c r="CX64">
        <v>0</v>
      </c>
      <c r="CY64" t="s">
        <v>333</v>
      </c>
      <c r="CZ64">
        <v>2.36422</v>
      </c>
      <c r="DA64">
        <v>2.7137799999999999</v>
      </c>
      <c r="DB64">
        <v>0.13406599999999999</v>
      </c>
      <c r="DC64">
        <v>0.14569499999999999</v>
      </c>
      <c r="DD64">
        <v>0.11162999999999999</v>
      </c>
      <c r="DE64">
        <v>7.6957200000000003E-2</v>
      </c>
      <c r="DF64">
        <v>31610</v>
      </c>
      <c r="DG64">
        <v>27519.5</v>
      </c>
      <c r="DH64">
        <v>31163.8</v>
      </c>
      <c r="DI64">
        <v>28069.1</v>
      </c>
      <c r="DJ64">
        <v>37586</v>
      </c>
      <c r="DK64">
        <v>36841.5</v>
      </c>
      <c r="DL64">
        <v>44348.4</v>
      </c>
      <c r="DM64">
        <v>42543.199999999997</v>
      </c>
      <c r="DN64">
        <v>1.46882</v>
      </c>
      <c r="DO64">
        <v>2.0487299999999999</v>
      </c>
      <c r="DP64">
        <v>0.173982</v>
      </c>
      <c r="DQ64">
        <v>0.154421</v>
      </c>
      <c r="DR64">
        <v>24.347999999999999</v>
      </c>
      <c r="DS64">
        <v>24.095500000000001</v>
      </c>
      <c r="DT64">
        <v>58</v>
      </c>
      <c r="DU64">
        <v>28.7</v>
      </c>
      <c r="DV64">
        <v>23.229800000000001</v>
      </c>
      <c r="DW64">
        <v>61.313000000000002</v>
      </c>
      <c r="DX64">
        <v>36.510399999999997</v>
      </c>
      <c r="DY64">
        <v>1</v>
      </c>
      <c r="DZ64">
        <v>-6.4514699999999994E-2</v>
      </c>
      <c r="EA64">
        <v>-6.5603199999999999</v>
      </c>
      <c r="EB64">
        <v>20.0198</v>
      </c>
      <c r="EC64">
        <v>5.2408000000000001</v>
      </c>
      <c r="ED64">
        <v>12.039899999999999</v>
      </c>
      <c r="EE64">
        <v>5.0174500000000002</v>
      </c>
      <c r="EF64">
        <v>3.2879499999999999</v>
      </c>
      <c r="EG64">
        <v>9999</v>
      </c>
      <c r="EH64">
        <v>9999</v>
      </c>
      <c r="EI64">
        <v>9999</v>
      </c>
      <c r="EJ64">
        <v>999.9</v>
      </c>
      <c r="EK64">
        <v>1.8689</v>
      </c>
      <c r="EL64">
        <v>1.8646199999999999</v>
      </c>
      <c r="EM64">
        <v>1.86921</v>
      </c>
      <c r="EN64">
        <v>1.86724</v>
      </c>
      <c r="EO64">
        <v>1.86338</v>
      </c>
      <c r="EP64">
        <v>1.8644700000000001</v>
      </c>
      <c r="EQ64">
        <v>1.8701399999999999</v>
      </c>
      <c r="ER64">
        <v>1.8694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-0.19700000000000001</v>
      </c>
      <c r="FG64">
        <v>0.17519999999999999</v>
      </c>
      <c r="FH64">
        <v>0.28746640474027818</v>
      </c>
      <c r="FI64">
        <v>-6.1462078757559423E-4</v>
      </c>
      <c r="FJ64">
        <v>-1.8861989874597051E-7</v>
      </c>
      <c r="FK64">
        <v>1.1980462299894961E-10</v>
      </c>
      <c r="FL64">
        <v>0.17524818673008091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17.3</v>
      </c>
      <c r="FU64">
        <v>17.3</v>
      </c>
      <c r="FV64">
        <v>1.78711</v>
      </c>
      <c r="FW64">
        <v>2.5756800000000002</v>
      </c>
      <c r="FX64">
        <v>1.5490699999999999</v>
      </c>
      <c r="FY64">
        <v>2.3339799999999999</v>
      </c>
      <c r="FZ64">
        <v>1.50146</v>
      </c>
      <c r="GA64">
        <v>2.3278799999999999</v>
      </c>
      <c r="GB64">
        <v>33.490600000000001</v>
      </c>
      <c r="GC64">
        <v>23.921099999999999</v>
      </c>
      <c r="GD64">
        <v>19</v>
      </c>
      <c r="GE64">
        <v>280.46199999999999</v>
      </c>
      <c r="GF64">
        <v>594.80799999999999</v>
      </c>
      <c r="GG64">
        <v>25.744399999999999</v>
      </c>
      <c r="GH64">
        <v>26.3918</v>
      </c>
      <c r="GI64">
        <v>30.0001</v>
      </c>
      <c r="GJ64">
        <v>26.5153</v>
      </c>
      <c r="GK64">
        <v>26.458100000000002</v>
      </c>
      <c r="GL64">
        <v>35.738799999999998</v>
      </c>
      <c r="GM64">
        <v>47.094000000000001</v>
      </c>
      <c r="GN64">
        <v>94.311199999999999</v>
      </c>
      <c r="GO64">
        <v>24.799099999999999</v>
      </c>
      <c r="GP64">
        <v>800</v>
      </c>
      <c r="GQ64">
        <v>13.634499999999999</v>
      </c>
      <c r="GR64">
        <v>99.710099999999997</v>
      </c>
      <c r="GS64">
        <v>99.523300000000006</v>
      </c>
    </row>
    <row r="65" spans="1:201" x14ac:dyDescent="0.25">
      <c r="A65">
        <v>49</v>
      </c>
      <c r="B65">
        <v>1690383005.5999999</v>
      </c>
      <c r="C65">
        <v>530.5</v>
      </c>
      <c r="D65" t="s">
        <v>429</v>
      </c>
      <c r="E65" t="s">
        <v>430</v>
      </c>
      <c r="F65" t="s">
        <v>330</v>
      </c>
      <c r="H65">
        <v>1690383005.5999999</v>
      </c>
      <c r="I65">
        <f t="shared" si="0"/>
        <v>9.3541130406882885E-4</v>
      </c>
      <c r="J65">
        <f t="shared" si="1"/>
        <v>0.93541130406882889</v>
      </c>
      <c r="K65">
        <f t="shared" si="2"/>
        <v>8.4082586061823434</v>
      </c>
      <c r="L65">
        <f t="shared" si="3"/>
        <v>701.39599999999996</v>
      </c>
      <c r="M65">
        <f t="shared" si="4"/>
        <v>493.26368273399135</v>
      </c>
      <c r="N65">
        <f t="shared" si="5"/>
        <v>48.73076174850781</v>
      </c>
      <c r="O65">
        <f t="shared" si="6"/>
        <v>69.292677656524006</v>
      </c>
      <c r="P65">
        <f t="shared" si="7"/>
        <v>7.002131103189442E-2</v>
      </c>
      <c r="Q65">
        <f t="shared" si="8"/>
        <v>2.1073805661152378</v>
      </c>
      <c r="R65">
        <f t="shared" si="9"/>
        <v>6.8754008457600949E-2</v>
      </c>
      <c r="S65">
        <f t="shared" si="10"/>
        <v>4.3083206922614345E-2</v>
      </c>
      <c r="T65">
        <f t="shared" si="11"/>
        <v>276.11528695200002</v>
      </c>
      <c r="U65">
        <f t="shared" si="12"/>
        <v>27.245023113949419</v>
      </c>
      <c r="V65">
        <f t="shared" si="13"/>
        <v>27.245023113949419</v>
      </c>
      <c r="W65">
        <f t="shared" si="14"/>
        <v>3.6309913772993156</v>
      </c>
      <c r="X65">
        <f t="shared" si="15"/>
        <v>71.615129148666384</v>
      </c>
      <c r="Y65">
        <f t="shared" si="16"/>
        <v>2.3274331966172004</v>
      </c>
      <c r="Z65">
        <f t="shared" si="17"/>
        <v>3.2499183123522184</v>
      </c>
      <c r="AA65">
        <f t="shared" si="18"/>
        <v>1.3035581806821153</v>
      </c>
      <c r="AB65">
        <f t="shared" si="19"/>
        <v>-41.251638509435352</v>
      </c>
      <c r="AC65">
        <f t="shared" si="20"/>
        <v>-213.36802987647158</v>
      </c>
      <c r="AD65">
        <f t="shared" si="21"/>
        <v>-21.699422607721722</v>
      </c>
      <c r="AE65">
        <f t="shared" si="22"/>
        <v>-0.2038040416286151</v>
      </c>
      <c r="AF65">
        <v>0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52355.027055225626</v>
      </c>
      <c r="AK65">
        <f t="shared" si="26"/>
        <v>1800</v>
      </c>
      <c r="AL65">
        <f t="shared" si="27"/>
        <v>1499.1159312</v>
      </c>
      <c r="AM65">
        <f t="shared" si="28"/>
        <v>0.83284218399999999</v>
      </c>
      <c r="AN65">
        <f t="shared" si="29"/>
        <v>0.15339738164</v>
      </c>
      <c r="AO65">
        <v>32.700000000000003</v>
      </c>
      <c r="AP65">
        <v>0.5</v>
      </c>
      <c r="AQ65" t="s">
        <v>331</v>
      </c>
      <c r="AR65">
        <v>2</v>
      </c>
      <c r="AS65">
        <v>1690383005.5999999</v>
      </c>
      <c r="AT65">
        <v>701.39599999999996</v>
      </c>
      <c r="AU65">
        <v>800.15300000000002</v>
      </c>
      <c r="AV65">
        <v>23.558800000000002</v>
      </c>
      <c r="AW65">
        <v>13.6075</v>
      </c>
      <c r="AX65">
        <v>701.59100000000001</v>
      </c>
      <c r="AY65">
        <v>23.383600000000001</v>
      </c>
      <c r="AZ65">
        <v>300.13499999999999</v>
      </c>
      <c r="BA65">
        <v>98.692499999999995</v>
      </c>
      <c r="BB65">
        <v>0.100019</v>
      </c>
      <c r="BC65">
        <v>25.367000000000001</v>
      </c>
      <c r="BD65">
        <v>27.6432</v>
      </c>
      <c r="BE65">
        <v>27.0855</v>
      </c>
      <c r="BF65">
        <v>0</v>
      </c>
      <c r="BG65">
        <v>0</v>
      </c>
      <c r="BH65">
        <v>9976.8799999999992</v>
      </c>
      <c r="BI65">
        <v>1051.48</v>
      </c>
      <c r="BJ65">
        <v>2.4108399999999999</v>
      </c>
      <c r="BK65">
        <v>-98.757400000000004</v>
      </c>
      <c r="BL65">
        <v>718.31799999999998</v>
      </c>
      <c r="BM65">
        <v>811.19100000000003</v>
      </c>
      <c r="BN65">
        <v>9.9512800000000006</v>
      </c>
      <c r="BO65">
        <v>800.15300000000002</v>
      </c>
      <c r="BP65">
        <v>13.6075</v>
      </c>
      <c r="BQ65">
        <v>2.3250799999999998</v>
      </c>
      <c r="BR65">
        <v>1.3429599999999999</v>
      </c>
      <c r="BS65">
        <v>19.851199999999999</v>
      </c>
      <c r="BT65">
        <v>11.288500000000001</v>
      </c>
      <c r="BU65">
        <v>1800</v>
      </c>
      <c r="BV65">
        <v>0.91001699999999996</v>
      </c>
      <c r="BW65">
        <v>3.3992799999999997E-2</v>
      </c>
      <c r="BX65">
        <v>2.2001199999999999E-2</v>
      </c>
      <c r="BY65">
        <v>3.3989199999999997E-2</v>
      </c>
      <c r="BZ65">
        <v>25</v>
      </c>
      <c r="CA65">
        <v>33528.5</v>
      </c>
      <c r="CB65">
        <v>1690381960.0999999</v>
      </c>
      <c r="CC65" t="s">
        <v>332</v>
      </c>
      <c r="CD65">
        <v>1690381960.0999999</v>
      </c>
      <c r="CE65">
        <v>1690381958.0999999</v>
      </c>
      <c r="CF65">
        <v>4</v>
      </c>
      <c r="CG65">
        <v>9.9000000000000005E-2</v>
      </c>
      <c r="CH65">
        <v>1.2E-2</v>
      </c>
      <c r="CI65">
        <v>-0.26300000000000001</v>
      </c>
      <c r="CJ65">
        <v>0.127</v>
      </c>
      <c r="CK65">
        <v>798</v>
      </c>
      <c r="CL65">
        <v>18</v>
      </c>
      <c r="CM65">
        <v>0.02</v>
      </c>
      <c r="CN65">
        <v>0.12</v>
      </c>
      <c r="CO65">
        <v>-96.250409999999988</v>
      </c>
      <c r="CP65">
        <v>-15.72338386491538</v>
      </c>
      <c r="CQ65">
        <v>1.51687911133353</v>
      </c>
      <c r="CR65">
        <v>-1</v>
      </c>
      <c r="CS65">
        <v>8.8202525000000005</v>
      </c>
      <c r="CT65">
        <v>11.23782596622889</v>
      </c>
      <c r="CU65">
        <v>1.119975802588498</v>
      </c>
      <c r="CV65">
        <v>-1</v>
      </c>
      <c r="CW65">
        <v>0</v>
      </c>
      <c r="CX65">
        <v>0</v>
      </c>
      <c r="CY65" t="s">
        <v>333</v>
      </c>
      <c r="CZ65">
        <v>2.36429</v>
      </c>
      <c r="DA65">
        <v>2.7137899999999999</v>
      </c>
      <c r="DB65">
        <v>0.13373699999999999</v>
      </c>
      <c r="DC65">
        <v>0.14566599999999999</v>
      </c>
      <c r="DD65">
        <v>0.111994</v>
      </c>
      <c r="DE65">
        <v>7.43394E-2</v>
      </c>
      <c r="DF65">
        <v>31623.3</v>
      </c>
      <c r="DG65">
        <v>27522.6</v>
      </c>
      <c r="DH65">
        <v>31165.1</v>
      </c>
      <c r="DI65">
        <v>28071.4</v>
      </c>
      <c r="DJ65">
        <v>37571.9</v>
      </c>
      <c r="DK65">
        <v>36949.199999999997</v>
      </c>
      <c r="DL65">
        <v>44350.2</v>
      </c>
      <c r="DM65">
        <v>42546.7</v>
      </c>
      <c r="DN65">
        <v>1.4650300000000001</v>
      </c>
      <c r="DO65">
        <v>2.0487000000000002</v>
      </c>
      <c r="DP65">
        <v>0.20211599999999999</v>
      </c>
      <c r="DQ65">
        <v>0.18149199999999999</v>
      </c>
      <c r="DR65">
        <v>24.3323</v>
      </c>
      <c r="DS65">
        <v>24.110499999999998</v>
      </c>
      <c r="DT65">
        <v>58</v>
      </c>
      <c r="DU65">
        <v>28.7</v>
      </c>
      <c r="DV65">
        <v>23.230899999999998</v>
      </c>
      <c r="DW65">
        <v>61.033000000000001</v>
      </c>
      <c r="DX65">
        <v>35.965499999999999</v>
      </c>
      <c r="DY65">
        <v>1</v>
      </c>
      <c r="DZ65">
        <v>-7.5381100000000006E-2</v>
      </c>
      <c r="EA65">
        <v>2.5891899999999999</v>
      </c>
      <c r="EB65">
        <v>20.156500000000001</v>
      </c>
      <c r="EC65">
        <v>5.24125</v>
      </c>
      <c r="ED65">
        <v>12.039899999999999</v>
      </c>
      <c r="EE65">
        <v>5.0174000000000003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</v>
      </c>
      <c r="EL65">
        <v>1.8646199999999999</v>
      </c>
      <c r="EM65">
        <v>1.8692</v>
      </c>
      <c r="EN65">
        <v>1.86724</v>
      </c>
      <c r="EO65">
        <v>1.8633900000000001</v>
      </c>
      <c r="EP65">
        <v>1.8644700000000001</v>
      </c>
      <c r="EQ65">
        <v>1.87015</v>
      </c>
      <c r="ER65">
        <v>1.86938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-0.19500000000000001</v>
      </c>
      <c r="FG65">
        <v>0.17519999999999999</v>
      </c>
      <c r="FH65">
        <v>0.28746640474027818</v>
      </c>
      <c r="FI65">
        <v>-6.1462078757559423E-4</v>
      </c>
      <c r="FJ65">
        <v>-1.8861989874597051E-7</v>
      </c>
      <c r="FK65">
        <v>1.1980462299894961E-10</v>
      </c>
      <c r="FL65">
        <v>0.17524818673008091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17.399999999999999</v>
      </c>
      <c r="FU65">
        <v>17.5</v>
      </c>
      <c r="FV65">
        <v>1.78711</v>
      </c>
      <c r="FW65">
        <v>2.5756800000000002</v>
      </c>
      <c r="FX65">
        <v>1.5490699999999999</v>
      </c>
      <c r="FY65">
        <v>2.3339799999999999</v>
      </c>
      <c r="FZ65">
        <v>1.50146</v>
      </c>
      <c r="GA65">
        <v>2.36938</v>
      </c>
      <c r="GB65">
        <v>33.512999999999998</v>
      </c>
      <c r="GC65">
        <v>23.947399999999998</v>
      </c>
      <c r="GD65">
        <v>19</v>
      </c>
      <c r="GE65">
        <v>278.80399999999997</v>
      </c>
      <c r="GF65">
        <v>594.76199999999994</v>
      </c>
      <c r="GG65">
        <v>25.4969</v>
      </c>
      <c r="GH65">
        <v>26.385000000000002</v>
      </c>
      <c r="GI65">
        <v>29.996400000000001</v>
      </c>
      <c r="GJ65">
        <v>26.504000000000001</v>
      </c>
      <c r="GK65">
        <v>26.456</v>
      </c>
      <c r="GL65">
        <v>35.725999999999999</v>
      </c>
      <c r="GM65">
        <v>47.763800000000003</v>
      </c>
      <c r="GN65">
        <v>93.532499999999999</v>
      </c>
      <c r="GO65">
        <v>23.9788</v>
      </c>
      <c r="GP65">
        <v>800</v>
      </c>
      <c r="GQ65">
        <v>13.584199999999999</v>
      </c>
      <c r="GR65">
        <v>99.714100000000002</v>
      </c>
      <c r="GS65">
        <v>99.531300000000002</v>
      </c>
    </row>
    <row r="66" spans="1:201" x14ac:dyDescent="0.25">
      <c r="A66">
        <v>50</v>
      </c>
      <c r="B66">
        <v>1690383015.5999999</v>
      </c>
      <c r="C66">
        <v>540.5</v>
      </c>
      <c r="D66" t="s">
        <v>431</v>
      </c>
      <c r="E66" t="s">
        <v>432</v>
      </c>
      <c r="F66" t="s">
        <v>330</v>
      </c>
      <c r="H66">
        <v>1690383015.5999999</v>
      </c>
      <c r="I66">
        <f t="shared" si="0"/>
        <v>8.1911151763882468E-4</v>
      </c>
      <c r="J66">
        <f t="shared" si="1"/>
        <v>0.81911151763882473</v>
      </c>
      <c r="K66">
        <f t="shared" si="2"/>
        <v>8.6980401106949596</v>
      </c>
      <c r="L66">
        <f t="shared" si="3"/>
        <v>698.94100000000003</v>
      </c>
      <c r="M66">
        <f t="shared" si="4"/>
        <v>434.39872131438835</v>
      </c>
      <c r="N66">
        <f t="shared" si="5"/>
        <v>42.915281375611549</v>
      </c>
      <c r="O66">
        <f t="shared" si="6"/>
        <v>69.050041374875008</v>
      </c>
      <c r="P66">
        <f t="shared" si="7"/>
        <v>5.6115007487521414E-2</v>
      </c>
      <c r="Q66">
        <f t="shared" si="8"/>
        <v>2.1101063121727912</v>
      </c>
      <c r="R66">
        <f t="shared" si="9"/>
        <v>5.5298967205861992E-2</v>
      </c>
      <c r="S66">
        <f t="shared" si="10"/>
        <v>3.463418386573526E-2</v>
      </c>
      <c r="T66">
        <f t="shared" si="11"/>
        <v>276.11401980870119</v>
      </c>
      <c r="U66">
        <f t="shared" si="12"/>
        <v>27.298545819732773</v>
      </c>
      <c r="V66">
        <f t="shared" si="13"/>
        <v>27.298545819732773</v>
      </c>
      <c r="W66">
        <f t="shared" si="14"/>
        <v>3.6424002433980425</v>
      </c>
      <c r="X66">
        <f t="shared" si="15"/>
        <v>68.325655747139209</v>
      </c>
      <c r="Y66">
        <f t="shared" si="16"/>
        <v>2.2224826641875</v>
      </c>
      <c r="Z66">
        <f t="shared" si="17"/>
        <v>3.2527791206461352</v>
      </c>
      <c r="AA66">
        <f t="shared" si="18"/>
        <v>1.4199175792105425</v>
      </c>
      <c r="AB66">
        <f t="shared" si="19"/>
        <v>-36.12281792787217</v>
      </c>
      <c r="AC66">
        <f t="shared" si="20"/>
        <v>-218.04910316877439</v>
      </c>
      <c r="AD66">
        <f t="shared" si="21"/>
        <v>-22.154433182383773</v>
      </c>
      <c r="AE66">
        <f t="shared" si="22"/>
        <v>-0.21233447032915365</v>
      </c>
      <c r="AF66">
        <v>0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52471.732297359042</v>
      </c>
      <c r="AK66">
        <f t="shared" si="26"/>
        <v>1799.99</v>
      </c>
      <c r="AL66">
        <f t="shared" si="27"/>
        <v>1499.1061699861198</v>
      </c>
      <c r="AM66">
        <f t="shared" si="28"/>
        <v>0.83284138799999985</v>
      </c>
      <c r="AN66">
        <f t="shared" si="29"/>
        <v>0.15339752987999999</v>
      </c>
      <c r="AO66">
        <v>32.700000000000003</v>
      </c>
      <c r="AP66">
        <v>0.5</v>
      </c>
      <c r="AQ66" t="s">
        <v>331</v>
      </c>
      <c r="AR66">
        <v>2</v>
      </c>
      <c r="AS66">
        <v>1690383015.5999999</v>
      </c>
      <c r="AT66">
        <v>698.94100000000003</v>
      </c>
      <c r="AU66">
        <v>799.92100000000005</v>
      </c>
      <c r="AV66">
        <v>22.496500000000001</v>
      </c>
      <c r="AW66">
        <v>13.775</v>
      </c>
      <c r="AX66">
        <v>699.13499999999999</v>
      </c>
      <c r="AY66">
        <v>22.321200000000001</v>
      </c>
      <c r="AZ66">
        <v>300.20499999999998</v>
      </c>
      <c r="BA66">
        <v>98.692300000000003</v>
      </c>
      <c r="BB66">
        <v>0.100075</v>
      </c>
      <c r="BC66">
        <v>25.381799999999998</v>
      </c>
      <c r="BD66">
        <v>27.7059</v>
      </c>
      <c r="BE66">
        <v>27.187100000000001</v>
      </c>
      <c r="BF66">
        <v>0</v>
      </c>
      <c r="BG66">
        <v>0</v>
      </c>
      <c r="BH66">
        <v>10000.6</v>
      </c>
      <c r="BI66">
        <v>1052.4100000000001</v>
      </c>
      <c r="BJ66">
        <v>2.4108399999999999</v>
      </c>
      <c r="BK66">
        <v>-100.98</v>
      </c>
      <c r="BL66">
        <v>715.02700000000004</v>
      </c>
      <c r="BM66">
        <v>811.09400000000005</v>
      </c>
      <c r="BN66">
        <v>8.7214899999999993</v>
      </c>
      <c r="BO66">
        <v>799.92100000000005</v>
      </c>
      <c r="BP66">
        <v>13.775</v>
      </c>
      <c r="BQ66">
        <v>2.2202299999999999</v>
      </c>
      <c r="BR66">
        <v>1.3594900000000001</v>
      </c>
      <c r="BS66">
        <v>19.109000000000002</v>
      </c>
      <c r="BT66">
        <v>11.473100000000001</v>
      </c>
      <c r="BU66">
        <v>1799.99</v>
      </c>
      <c r="BV66">
        <v>0.91000599999999998</v>
      </c>
      <c r="BW66">
        <v>3.3991800000000003E-2</v>
      </c>
      <c r="BX66">
        <v>2.2002399999999998E-2</v>
      </c>
      <c r="BY66">
        <v>3.4000000000000002E-2</v>
      </c>
      <c r="BZ66">
        <v>25</v>
      </c>
      <c r="CA66">
        <v>33528.300000000003</v>
      </c>
      <c r="CB66">
        <v>1690381960.0999999</v>
      </c>
      <c r="CC66" t="s">
        <v>332</v>
      </c>
      <c r="CD66">
        <v>1690381960.0999999</v>
      </c>
      <c r="CE66">
        <v>1690381958.0999999</v>
      </c>
      <c r="CF66">
        <v>4</v>
      </c>
      <c r="CG66">
        <v>9.9000000000000005E-2</v>
      </c>
      <c r="CH66">
        <v>1.2E-2</v>
      </c>
      <c r="CI66">
        <v>-0.26300000000000001</v>
      </c>
      <c r="CJ66">
        <v>0.127</v>
      </c>
      <c r="CK66">
        <v>798</v>
      </c>
      <c r="CL66">
        <v>18</v>
      </c>
      <c r="CM66">
        <v>0.02</v>
      </c>
      <c r="CN66">
        <v>0.12</v>
      </c>
      <c r="CO66">
        <v>-98.401477499999999</v>
      </c>
      <c r="CP66">
        <v>-13.075167354596671</v>
      </c>
      <c r="CQ66">
        <v>1.2607245235354749</v>
      </c>
      <c r="CR66">
        <v>-1</v>
      </c>
      <c r="CS66">
        <v>9.6267750000000003</v>
      </c>
      <c r="CT66">
        <v>-0.42115924953097178</v>
      </c>
      <c r="CU66">
        <v>0.32986276015943361</v>
      </c>
      <c r="CV66">
        <v>-1</v>
      </c>
      <c r="CW66">
        <v>0</v>
      </c>
      <c r="CX66">
        <v>0</v>
      </c>
      <c r="CY66" t="s">
        <v>333</v>
      </c>
      <c r="CZ66">
        <v>2.3644799999999999</v>
      </c>
      <c r="DA66">
        <v>2.71387</v>
      </c>
      <c r="DB66">
        <v>0.133405</v>
      </c>
      <c r="DC66">
        <v>0.14563999999999999</v>
      </c>
      <c r="DD66">
        <v>0.108392</v>
      </c>
      <c r="DE66">
        <v>7.5015600000000002E-2</v>
      </c>
      <c r="DF66">
        <v>31635.599999999999</v>
      </c>
      <c r="DG66">
        <v>27523.7</v>
      </c>
      <c r="DH66">
        <v>31165.3</v>
      </c>
      <c r="DI66">
        <v>28071.599999999999</v>
      </c>
      <c r="DJ66">
        <v>37726</v>
      </c>
      <c r="DK66">
        <v>36922.6</v>
      </c>
      <c r="DL66">
        <v>44350.5</v>
      </c>
      <c r="DM66">
        <v>42547.199999999997</v>
      </c>
      <c r="DN66">
        <v>1.4635499999999999</v>
      </c>
      <c r="DO66">
        <v>2.04888</v>
      </c>
      <c r="DP66">
        <v>0.20594499999999999</v>
      </c>
      <c r="DQ66">
        <v>0.18528800000000001</v>
      </c>
      <c r="DR66">
        <v>24.3324</v>
      </c>
      <c r="DS66">
        <v>24.150200000000002</v>
      </c>
      <c r="DT66">
        <v>57.9</v>
      </c>
      <c r="DU66">
        <v>28.7</v>
      </c>
      <c r="DV66">
        <v>23.188199999999998</v>
      </c>
      <c r="DW66">
        <v>60.753</v>
      </c>
      <c r="DX66">
        <v>35.613</v>
      </c>
      <c r="DY66">
        <v>1</v>
      </c>
      <c r="DZ66">
        <v>-6.6585400000000003E-2</v>
      </c>
      <c r="EA66">
        <v>5.0563099999999999</v>
      </c>
      <c r="EB66">
        <v>20.082799999999999</v>
      </c>
      <c r="EC66">
        <v>5.24125</v>
      </c>
      <c r="ED66">
        <v>12.039899999999999</v>
      </c>
      <c r="EE66">
        <v>5.0175999999999998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</v>
      </c>
      <c r="EL66">
        <v>1.8646199999999999</v>
      </c>
      <c r="EM66">
        <v>1.8692</v>
      </c>
      <c r="EN66">
        <v>1.8672200000000001</v>
      </c>
      <c r="EO66">
        <v>1.8633900000000001</v>
      </c>
      <c r="EP66">
        <v>1.86446</v>
      </c>
      <c r="EQ66">
        <v>1.87015</v>
      </c>
      <c r="ER66">
        <v>1.86941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-0.19400000000000001</v>
      </c>
      <c r="FG66">
        <v>0.17530000000000001</v>
      </c>
      <c r="FH66">
        <v>0.28746640474027818</v>
      </c>
      <c r="FI66">
        <v>-6.1462078757559423E-4</v>
      </c>
      <c r="FJ66">
        <v>-1.8861989874597051E-7</v>
      </c>
      <c r="FK66">
        <v>1.1980462299894961E-10</v>
      </c>
      <c r="FL66">
        <v>0.17524818673008091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17.600000000000001</v>
      </c>
      <c r="FU66">
        <v>17.600000000000001</v>
      </c>
      <c r="FV66">
        <v>1.78711</v>
      </c>
      <c r="FW66">
        <v>2.5732400000000002</v>
      </c>
      <c r="FX66">
        <v>1.5490699999999999</v>
      </c>
      <c r="FY66">
        <v>2.3315399999999999</v>
      </c>
      <c r="FZ66">
        <v>1.50146</v>
      </c>
      <c r="GA66">
        <v>2.4011200000000001</v>
      </c>
      <c r="GB66">
        <v>33.512999999999998</v>
      </c>
      <c r="GC66">
        <v>23.912400000000002</v>
      </c>
      <c r="GD66">
        <v>19</v>
      </c>
      <c r="GE66">
        <v>278.08699999999999</v>
      </c>
      <c r="GF66">
        <v>594.93399999999997</v>
      </c>
      <c r="GG66">
        <v>23.479399999999998</v>
      </c>
      <c r="GH66">
        <v>26.376799999999999</v>
      </c>
      <c r="GI66">
        <v>30.003299999999999</v>
      </c>
      <c r="GJ66">
        <v>26.4819</v>
      </c>
      <c r="GK66">
        <v>26.458200000000001</v>
      </c>
      <c r="GL66">
        <v>35.734400000000001</v>
      </c>
      <c r="GM66">
        <v>45.284300000000002</v>
      </c>
      <c r="GN66">
        <v>93.1494</v>
      </c>
      <c r="GO66">
        <v>22.573399999999999</v>
      </c>
      <c r="GP66">
        <v>800</v>
      </c>
      <c r="GQ66">
        <v>14.21</v>
      </c>
      <c r="GR66">
        <v>99.714699999999993</v>
      </c>
      <c r="GS66">
        <v>99.532300000000006</v>
      </c>
    </row>
    <row r="67" spans="1:201" x14ac:dyDescent="0.25">
      <c r="A67">
        <v>51</v>
      </c>
      <c r="B67">
        <v>1690383025.5999999</v>
      </c>
      <c r="C67">
        <v>550.5</v>
      </c>
      <c r="D67" t="s">
        <v>433</v>
      </c>
      <c r="E67" t="s">
        <v>434</v>
      </c>
      <c r="F67" t="s">
        <v>330</v>
      </c>
      <c r="H67">
        <v>1690383025.5999999</v>
      </c>
      <c r="I67">
        <f t="shared" si="0"/>
        <v>6.8623459114166771E-4</v>
      </c>
      <c r="J67">
        <f t="shared" si="1"/>
        <v>0.68623459114166774</v>
      </c>
      <c r="K67">
        <f t="shared" si="2"/>
        <v>9.0677532496954374</v>
      </c>
      <c r="L67">
        <f t="shared" si="3"/>
        <v>695.93600000000004</v>
      </c>
      <c r="M67">
        <f t="shared" si="4"/>
        <v>357.03123899066389</v>
      </c>
      <c r="N67">
        <f t="shared" si="5"/>
        <v>35.272515947969524</v>
      </c>
      <c r="O67">
        <f t="shared" si="6"/>
        <v>68.754246065868813</v>
      </c>
      <c r="P67">
        <f t="shared" si="7"/>
        <v>4.4965701135057379E-2</v>
      </c>
      <c r="Q67">
        <f t="shared" si="8"/>
        <v>2.1127083422686717</v>
      </c>
      <c r="R67">
        <f t="shared" si="9"/>
        <v>4.444072053449101E-2</v>
      </c>
      <c r="S67">
        <f t="shared" si="10"/>
        <v>2.7822106992479955E-2</v>
      </c>
      <c r="T67">
        <f t="shared" si="11"/>
        <v>276.11669534399999</v>
      </c>
      <c r="U67">
        <f t="shared" si="12"/>
        <v>27.191843865942129</v>
      </c>
      <c r="V67">
        <f t="shared" si="13"/>
        <v>27.191843865942129</v>
      </c>
      <c r="W67">
        <f t="shared" si="14"/>
        <v>3.6196866253497073</v>
      </c>
      <c r="X67">
        <f t="shared" si="15"/>
        <v>66.342773764863281</v>
      </c>
      <c r="Y67">
        <f t="shared" si="16"/>
        <v>2.1386117623417604</v>
      </c>
      <c r="Z67">
        <f t="shared" si="17"/>
        <v>3.2235790591475393</v>
      </c>
      <c r="AA67">
        <f t="shared" si="18"/>
        <v>1.4810748630079469</v>
      </c>
      <c r="AB67">
        <f t="shared" si="19"/>
        <v>-30.262945469347546</v>
      </c>
      <c r="AC67">
        <f t="shared" si="20"/>
        <v>-223.43188788765764</v>
      </c>
      <c r="AD67">
        <f t="shared" si="21"/>
        <v>-22.644057276890564</v>
      </c>
      <c r="AE67">
        <f t="shared" si="22"/>
        <v>-0.22219528989577952</v>
      </c>
      <c r="AF67">
        <v>0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52612.559390146409</v>
      </c>
      <c r="AK67">
        <f t="shared" si="26"/>
        <v>1800</v>
      </c>
      <c r="AL67">
        <f t="shared" si="27"/>
        <v>1499.1131484</v>
      </c>
      <c r="AM67">
        <f t="shared" si="28"/>
        <v>0.83284063799999997</v>
      </c>
      <c r="AN67">
        <f t="shared" si="29"/>
        <v>0.15339816407999998</v>
      </c>
      <c r="AO67">
        <v>32.700000000000003</v>
      </c>
      <c r="AP67">
        <v>0.5</v>
      </c>
      <c r="AQ67" t="s">
        <v>331</v>
      </c>
      <c r="AR67">
        <v>2</v>
      </c>
      <c r="AS67">
        <v>1690383025.5999999</v>
      </c>
      <c r="AT67">
        <v>695.93600000000004</v>
      </c>
      <c r="AU67">
        <v>799.91700000000003</v>
      </c>
      <c r="AV67">
        <v>21.647200000000002</v>
      </c>
      <c r="AW67">
        <v>14.333600000000001</v>
      </c>
      <c r="AX67">
        <v>696.12800000000004</v>
      </c>
      <c r="AY67">
        <v>21.472000000000001</v>
      </c>
      <c r="AZ67">
        <v>300.18200000000002</v>
      </c>
      <c r="BA67">
        <v>98.694000000000003</v>
      </c>
      <c r="BB67">
        <v>9.9920800000000004E-2</v>
      </c>
      <c r="BC67">
        <v>25.2302</v>
      </c>
      <c r="BD67">
        <v>27.6419</v>
      </c>
      <c r="BE67">
        <v>27.058399999999999</v>
      </c>
      <c r="BF67">
        <v>0</v>
      </c>
      <c r="BG67">
        <v>0</v>
      </c>
      <c r="BH67">
        <v>10023.1</v>
      </c>
      <c r="BI67">
        <v>1052.75</v>
      </c>
      <c r="BJ67">
        <v>2.4108399999999999</v>
      </c>
      <c r="BK67">
        <v>-103.98099999999999</v>
      </c>
      <c r="BL67">
        <v>711.33500000000004</v>
      </c>
      <c r="BM67">
        <v>811.54899999999998</v>
      </c>
      <c r="BN67">
        <v>7.3136599999999996</v>
      </c>
      <c r="BO67">
        <v>799.91700000000003</v>
      </c>
      <c r="BP67">
        <v>14.333600000000001</v>
      </c>
      <c r="BQ67">
        <v>2.13645</v>
      </c>
      <c r="BR67">
        <v>1.4146399999999999</v>
      </c>
      <c r="BS67">
        <v>18.493600000000001</v>
      </c>
      <c r="BT67">
        <v>12.0755</v>
      </c>
      <c r="BU67">
        <v>1800</v>
      </c>
      <c r="BV67">
        <v>0.90998599999999996</v>
      </c>
      <c r="BW67">
        <v>3.3990600000000003E-2</v>
      </c>
      <c r="BX67">
        <v>2.2009399999999998E-2</v>
      </c>
      <c r="BY67">
        <v>3.40144E-2</v>
      </c>
      <c r="BZ67">
        <v>25</v>
      </c>
      <c r="CA67">
        <v>33528.199999999997</v>
      </c>
      <c r="CB67">
        <v>1690381960.0999999</v>
      </c>
      <c r="CC67" t="s">
        <v>332</v>
      </c>
      <c r="CD67">
        <v>1690381960.0999999</v>
      </c>
      <c r="CE67">
        <v>1690381958.0999999</v>
      </c>
      <c r="CF67">
        <v>4</v>
      </c>
      <c r="CG67">
        <v>9.9000000000000005E-2</v>
      </c>
      <c r="CH67">
        <v>1.2E-2</v>
      </c>
      <c r="CI67">
        <v>-0.26300000000000001</v>
      </c>
      <c r="CJ67">
        <v>0.127</v>
      </c>
      <c r="CK67">
        <v>798</v>
      </c>
      <c r="CL67">
        <v>18</v>
      </c>
      <c r="CM67">
        <v>0.02</v>
      </c>
      <c r="CN67">
        <v>0.12</v>
      </c>
      <c r="CO67">
        <v>-100.8174829268293</v>
      </c>
      <c r="CP67">
        <v>-15.345319860627241</v>
      </c>
      <c r="CQ67">
        <v>1.5184395929747689</v>
      </c>
      <c r="CR67">
        <v>-1</v>
      </c>
      <c r="CS67">
        <v>8.8343312195121957</v>
      </c>
      <c r="CT67">
        <v>-8.3469225783972316</v>
      </c>
      <c r="CU67">
        <v>0.82638779646856553</v>
      </c>
      <c r="CV67">
        <v>-1</v>
      </c>
      <c r="CW67">
        <v>0</v>
      </c>
      <c r="CX67">
        <v>0</v>
      </c>
      <c r="CY67" t="s">
        <v>333</v>
      </c>
      <c r="CZ67">
        <v>2.3643999999999998</v>
      </c>
      <c r="DA67">
        <v>2.71373</v>
      </c>
      <c r="DB67">
        <v>0.13300200000000001</v>
      </c>
      <c r="DC67">
        <v>0.145652</v>
      </c>
      <c r="DD67">
        <v>0.105462</v>
      </c>
      <c r="DE67">
        <v>7.7251500000000001E-2</v>
      </c>
      <c r="DF67">
        <v>31649.1</v>
      </c>
      <c r="DG67">
        <v>27522.2</v>
      </c>
      <c r="DH67">
        <v>31164.1</v>
      </c>
      <c r="DI67">
        <v>28070.400000000001</v>
      </c>
      <c r="DJ67">
        <v>37849.699999999997</v>
      </c>
      <c r="DK67">
        <v>36831.599999999999</v>
      </c>
      <c r="DL67">
        <v>44348.7</v>
      </c>
      <c r="DM67">
        <v>42545.5</v>
      </c>
      <c r="DN67">
        <v>1.4623200000000001</v>
      </c>
      <c r="DO67">
        <v>2.0488300000000002</v>
      </c>
      <c r="DP67">
        <v>0.20155300000000001</v>
      </c>
      <c r="DQ67">
        <v>0.17522599999999999</v>
      </c>
      <c r="DR67">
        <v>24.340199999999999</v>
      </c>
      <c r="DS67">
        <v>24.186199999999999</v>
      </c>
      <c r="DT67">
        <v>57.9</v>
      </c>
      <c r="DU67">
        <v>28.7</v>
      </c>
      <c r="DV67">
        <v>23.186399999999999</v>
      </c>
      <c r="DW67">
        <v>61.222999999999999</v>
      </c>
      <c r="DX67">
        <v>35.769199999999998</v>
      </c>
      <c r="DY67">
        <v>1</v>
      </c>
      <c r="DZ67">
        <v>-6.3529000000000002E-2</v>
      </c>
      <c r="EA67">
        <v>5.7521199999999997</v>
      </c>
      <c r="EB67">
        <v>20.058700000000002</v>
      </c>
      <c r="EC67">
        <v>5.2409499999999998</v>
      </c>
      <c r="ED67">
        <v>12.039899999999999</v>
      </c>
      <c r="EE67">
        <v>5.0168999999999997</v>
      </c>
      <c r="EF67">
        <v>3.2879299999999998</v>
      </c>
      <c r="EG67">
        <v>9999</v>
      </c>
      <c r="EH67">
        <v>9999</v>
      </c>
      <c r="EI67">
        <v>9999</v>
      </c>
      <c r="EJ67">
        <v>999.9</v>
      </c>
      <c r="EK67">
        <v>1.8689</v>
      </c>
      <c r="EL67">
        <v>1.8646199999999999</v>
      </c>
      <c r="EM67">
        <v>1.8692</v>
      </c>
      <c r="EN67">
        <v>1.8672299999999999</v>
      </c>
      <c r="EO67">
        <v>1.8633900000000001</v>
      </c>
      <c r="EP67">
        <v>1.8644700000000001</v>
      </c>
      <c r="EQ67">
        <v>1.8701300000000001</v>
      </c>
      <c r="ER67">
        <v>1.86937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-0.192</v>
      </c>
      <c r="FG67">
        <v>0.17519999999999999</v>
      </c>
      <c r="FH67">
        <v>0.28746640474027818</v>
      </c>
      <c r="FI67">
        <v>-6.1462078757559423E-4</v>
      </c>
      <c r="FJ67">
        <v>-1.8861989874597051E-7</v>
      </c>
      <c r="FK67">
        <v>1.1980462299894961E-10</v>
      </c>
      <c r="FL67">
        <v>0.17524818673008091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17.8</v>
      </c>
      <c r="FU67">
        <v>17.8</v>
      </c>
      <c r="FV67">
        <v>1.78833</v>
      </c>
      <c r="FW67">
        <v>2.5744600000000002</v>
      </c>
      <c r="FX67">
        <v>1.5490699999999999</v>
      </c>
      <c r="FY67">
        <v>2.3327599999999999</v>
      </c>
      <c r="FZ67">
        <v>1.50146</v>
      </c>
      <c r="GA67">
        <v>2.4060100000000002</v>
      </c>
      <c r="GB67">
        <v>33.512999999999998</v>
      </c>
      <c r="GC67">
        <v>23.903600000000001</v>
      </c>
      <c r="GD67">
        <v>19</v>
      </c>
      <c r="GE67">
        <v>277.53100000000001</v>
      </c>
      <c r="GF67">
        <v>594.91800000000001</v>
      </c>
      <c r="GG67">
        <v>21.825800000000001</v>
      </c>
      <c r="GH67">
        <v>26.3688</v>
      </c>
      <c r="GI67">
        <v>30.001799999999999</v>
      </c>
      <c r="GJ67">
        <v>26.472799999999999</v>
      </c>
      <c r="GK67">
        <v>26.4604</v>
      </c>
      <c r="GL67">
        <v>35.746699999999997</v>
      </c>
      <c r="GM67">
        <v>43.273899999999998</v>
      </c>
      <c r="GN67">
        <v>92.763800000000003</v>
      </c>
      <c r="GO67">
        <v>21.202400000000001</v>
      </c>
      <c r="GP67">
        <v>800</v>
      </c>
      <c r="GQ67">
        <v>14.5817</v>
      </c>
      <c r="GR67">
        <v>99.710800000000006</v>
      </c>
      <c r="GS67">
        <v>99.528199999999998</v>
      </c>
    </row>
    <row r="68" spans="1:201" x14ac:dyDescent="0.25">
      <c r="A68">
        <v>52</v>
      </c>
      <c r="B68">
        <v>1690383035.5999999</v>
      </c>
      <c r="C68">
        <v>560.5</v>
      </c>
      <c r="D68" t="s">
        <v>435</v>
      </c>
      <c r="E68" t="s">
        <v>436</v>
      </c>
      <c r="F68" t="s">
        <v>330</v>
      </c>
      <c r="H68">
        <v>1690383035.5999999</v>
      </c>
      <c r="I68">
        <f t="shared" si="0"/>
        <v>6.1070012503426218E-4</v>
      </c>
      <c r="J68">
        <f t="shared" si="1"/>
        <v>0.61070012503426219</v>
      </c>
      <c r="K68">
        <f t="shared" si="2"/>
        <v>9.4383748777933398</v>
      </c>
      <c r="L68">
        <f t="shared" si="3"/>
        <v>692.50199999999995</v>
      </c>
      <c r="M68">
        <f t="shared" si="4"/>
        <v>294.47106895816933</v>
      </c>
      <c r="N68">
        <f t="shared" si="5"/>
        <v>29.091566590857589</v>
      </c>
      <c r="O68">
        <f t="shared" si="6"/>
        <v>68.414082641727603</v>
      </c>
      <c r="P68">
        <f t="shared" si="7"/>
        <v>3.9499893054738992E-2</v>
      </c>
      <c r="Q68">
        <f t="shared" si="8"/>
        <v>2.1114084978704919</v>
      </c>
      <c r="R68">
        <f t="shared" si="9"/>
        <v>3.9093915474446274E-2</v>
      </c>
      <c r="S68">
        <f t="shared" si="10"/>
        <v>2.4469824846549051E-2</v>
      </c>
      <c r="T68">
        <f t="shared" si="11"/>
        <v>276.11506731288171</v>
      </c>
      <c r="U68">
        <f t="shared" si="12"/>
        <v>27.041047832260013</v>
      </c>
      <c r="V68">
        <f t="shared" si="13"/>
        <v>27.041047832260013</v>
      </c>
      <c r="W68">
        <f t="shared" si="14"/>
        <v>3.5877975618980473</v>
      </c>
      <c r="X68">
        <f t="shared" si="15"/>
        <v>65.493150433536371</v>
      </c>
      <c r="Y68">
        <f t="shared" si="16"/>
        <v>2.08886114692582</v>
      </c>
      <c r="Z68">
        <f t="shared" si="17"/>
        <v>3.1894345181113768</v>
      </c>
      <c r="AA68">
        <f t="shared" si="18"/>
        <v>1.4989364149722273</v>
      </c>
      <c r="AB68">
        <f t="shared" si="19"/>
        <v>-26.931875514010962</v>
      </c>
      <c r="AC68">
        <f t="shared" si="20"/>
        <v>-226.48211998139249</v>
      </c>
      <c r="AD68">
        <f t="shared" si="21"/>
        <v>-22.929397283440498</v>
      </c>
      <c r="AE68">
        <f t="shared" si="22"/>
        <v>-0.22832546596222869</v>
      </c>
      <c r="AF68">
        <v>0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52587.031081699577</v>
      </c>
      <c r="AK68">
        <f t="shared" si="26"/>
        <v>1799.99</v>
      </c>
      <c r="AL68">
        <f t="shared" si="27"/>
        <v>1499.1014810121701</v>
      </c>
      <c r="AM68">
        <f t="shared" si="28"/>
        <v>0.83283878300000003</v>
      </c>
      <c r="AN68">
        <f t="shared" si="29"/>
        <v>0.15339811182999999</v>
      </c>
      <c r="AO68">
        <v>32.700000000000003</v>
      </c>
      <c r="AP68">
        <v>0.5</v>
      </c>
      <c r="AQ68" t="s">
        <v>331</v>
      </c>
      <c r="AR68">
        <v>2</v>
      </c>
      <c r="AS68">
        <v>1690383035.5999999</v>
      </c>
      <c r="AT68">
        <v>692.50199999999995</v>
      </c>
      <c r="AU68">
        <v>799.88800000000003</v>
      </c>
      <c r="AV68">
        <v>21.143899999999999</v>
      </c>
      <c r="AW68">
        <v>14.6342</v>
      </c>
      <c r="AX68">
        <v>692.69100000000003</v>
      </c>
      <c r="AY68">
        <v>20.968599999999999</v>
      </c>
      <c r="AZ68">
        <v>300.28500000000003</v>
      </c>
      <c r="BA68">
        <v>98.692700000000002</v>
      </c>
      <c r="BB68">
        <v>9.9913799999999997E-2</v>
      </c>
      <c r="BC68">
        <v>25.051400000000001</v>
      </c>
      <c r="BD68">
        <v>27.450199999999999</v>
      </c>
      <c r="BE68">
        <v>26.8474</v>
      </c>
      <c r="BF68">
        <v>0</v>
      </c>
      <c r="BG68">
        <v>0</v>
      </c>
      <c r="BH68">
        <v>10011.9</v>
      </c>
      <c r="BI68">
        <v>1052.71</v>
      </c>
      <c r="BJ68">
        <v>2.4108399999999999</v>
      </c>
      <c r="BK68">
        <v>-107.386</v>
      </c>
      <c r="BL68">
        <v>707.46100000000001</v>
      </c>
      <c r="BM68">
        <v>811.76700000000005</v>
      </c>
      <c r="BN68">
        <v>6.5097100000000001</v>
      </c>
      <c r="BO68">
        <v>799.88800000000003</v>
      </c>
      <c r="BP68">
        <v>14.6342</v>
      </c>
      <c r="BQ68">
        <v>2.0867499999999999</v>
      </c>
      <c r="BR68">
        <v>1.4442900000000001</v>
      </c>
      <c r="BS68">
        <v>18.118400000000001</v>
      </c>
      <c r="BT68">
        <v>12.3908</v>
      </c>
      <c r="BU68">
        <v>1799.99</v>
      </c>
      <c r="BV68">
        <v>0.90997700000000004</v>
      </c>
      <c r="BW68">
        <v>3.40016E-2</v>
      </c>
      <c r="BX68">
        <v>2.2008400000000001E-2</v>
      </c>
      <c r="BY68">
        <v>3.4012899999999999E-2</v>
      </c>
      <c r="BZ68">
        <v>25</v>
      </c>
      <c r="CA68">
        <v>33528.1</v>
      </c>
      <c r="CB68">
        <v>1690381960.0999999</v>
      </c>
      <c r="CC68" t="s">
        <v>332</v>
      </c>
      <c r="CD68">
        <v>1690381960.0999999</v>
      </c>
      <c r="CE68">
        <v>1690381958.0999999</v>
      </c>
      <c r="CF68">
        <v>4</v>
      </c>
      <c r="CG68">
        <v>9.9000000000000005E-2</v>
      </c>
      <c r="CH68">
        <v>1.2E-2</v>
      </c>
      <c r="CI68">
        <v>-0.26300000000000001</v>
      </c>
      <c r="CJ68">
        <v>0.127</v>
      </c>
      <c r="CK68">
        <v>798</v>
      </c>
      <c r="CL68">
        <v>18</v>
      </c>
      <c r="CM68">
        <v>0.02</v>
      </c>
      <c r="CN68">
        <v>0.12</v>
      </c>
      <c r="CO68">
        <v>-103.6173</v>
      </c>
      <c r="CP68">
        <v>-19.124375234521342</v>
      </c>
      <c r="CQ68">
        <v>1.841837359812206</v>
      </c>
      <c r="CR68">
        <v>-1</v>
      </c>
      <c r="CS68">
        <v>7.5728992500000007</v>
      </c>
      <c r="CT68">
        <v>-6.9709439774859581</v>
      </c>
      <c r="CU68">
        <v>0.677358501656942</v>
      </c>
      <c r="CV68">
        <v>-1</v>
      </c>
      <c r="CW68">
        <v>0</v>
      </c>
      <c r="CX68">
        <v>0</v>
      </c>
      <c r="CY68" t="s">
        <v>333</v>
      </c>
      <c r="CZ68">
        <v>2.3647200000000002</v>
      </c>
      <c r="DA68">
        <v>2.7137199999999999</v>
      </c>
      <c r="DB68">
        <v>0.13254199999999999</v>
      </c>
      <c r="DC68">
        <v>0.145653</v>
      </c>
      <c r="DD68">
        <v>0.103701</v>
      </c>
      <c r="DE68">
        <v>7.8440499999999996E-2</v>
      </c>
      <c r="DF68">
        <v>31665.7</v>
      </c>
      <c r="DG68">
        <v>27522.3</v>
      </c>
      <c r="DH68">
        <v>31163.9</v>
      </c>
      <c r="DI68">
        <v>28070.6</v>
      </c>
      <c r="DJ68">
        <v>37924.9</v>
      </c>
      <c r="DK68">
        <v>36784.400000000001</v>
      </c>
      <c r="DL68">
        <v>44348.800000000003</v>
      </c>
      <c r="DM68">
        <v>42545.9</v>
      </c>
      <c r="DN68">
        <v>1.46305</v>
      </c>
      <c r="DO68">
        <v>2.0492300000000001</v>
      </c>
      <c r="DP68">
        <v>0.18958</v>
      </c>
      <c r="DQ68">
        <v>0.16129399999999999</v>
      </c>
      <c r="DR68">
        <v>24.344100000000001</v>
      </c>
      <c r="DS68">
        <v>24.203199999999999</v>
      </c>
      <c r="DT68">
        <v>57.9</v>
      </c>
      <c r="DU68">
        <v>28.7</v>
      </c>
      <c r="DV68">
        <v>23.187200000000001</v>
      </c>
      <c r="DW68">
        <v>61.393000000000001</v>
      </c>
      <c r="DX68">
        <v>35.985599999999998</v>
      </c>
      <c r="DY68">
        <v>1</v>
      </c>
      <c r="DZ68">
        <v>-6.3290100000000002E-2</v>
      </c>
      <c r="EA68">
        <v>6.1218000000000004</v>
      </c>
      <c r="EB68">
        <v>20.048400000000001</v>
      </c>
      <c r="EC68">
        <v>5.2409499999999998</v>
      </c>
      <c r="ED68">
        <v>12.039899999999999</v>
      </c>
      <c r="EE68">
        <v>5.0166000000000004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</v>
      </c>
      <c r="EL68">
        <v>1.8646199999999999</v>
      </c>
      <c r="EM68">
        <v>1.8692</v>
      </c>
      <c r="EN68">
        <v>1.8672299999999999</v>
      </c>
      <c r="EO68">
        <v>1.8633999999999999</v>
      </c>
      <c r="EP68">
        <v>1.8644700000000001</v>
      </c>
      <c r="EQ68">
        <v>1.8701700000000001</v>
      </c>
      <c r="ER68">
        <v>1.8693900000000001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-0.189</v>
      </c>
      <c r="FG68">
        <v>0.17530000000000001</v>
      </c>
      <c r="FH68">
        <v>0.28746640474027818</v>
      </c>
      <c r="FI68">
        <v>-6.1462078757559423E-4</v>
      </c>
      <c r="FJ68">
        <v>-1.8861989874597051E-7</v>
      </c>
      <c r="FK68">
        <v>1.1980462299894961E-10</v>
      </c>
      <c r="FL68">
        <v>0.17524818673008091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17.899999999999999</v>
      </c>
      <c r="FU68">
        <v>18</v>
      </c>
      <c r="FV68">
        <v>1.78833</v>
      </c>
      <c r="FW68">
        <v>2.5744600000000002</v>
      </c>
      <c r="FX68">
        <v>1.5490699999999999</v>
      </c>
      <c r="FY68">
        <v>2.3315399999999999</v>
      </c>
      <c r="FZ68">
        <v>1.50146</v>
      </c>
      <c r="GA68">
        <v>2.3803700000000001</v>
      </c>
      <c r="GB68">
        <v>33.512999999999998</v>
      </c>
      <c r="GC68">
        <v>23.912400000000002</v>
      </c>
      <c r="GD68">
        <v>19</v>
      </c>
      <c r="GE68">
        <v>277.83499999999998</v>
      </c>
      <c r="GF68">
        <v>595.22799999999995</v>
      </c>
      <c r="GG68">
        <v>20.500599999999999</v>
      </c>
      <c r="GH68">
        <v>26.363399999999999</v>
      </c>
      <c r="GI68">
        <v>30.000599999999999</v>
      </c>
      <c r="GJ68">
        <v>26.4724</v>
      </c>
      <c r="GK68">
        <v>26.458200000000001</v>
      </c>
      <c r="GL68">
        <v>35.754300000000001</v>
      </c>
      <c r="GM68">
        <v>42.392299999999999</v>
      </c>
      <c r="GN68">
        <v>92.393699999999995</v>
      </c>
      <c r="GO68">
        <v>20.056699999999999</v>
      </c>
      <c r="GP68">
        <v>800</v>
      </c>
      <c r="GQ68">
        <v>14.7508</v>
      </c>
      <c r="GR68">
        <v>99.710700000000003</v>
      </c>
      <c r="GS68">
        <v>99.5291</v>
      </c>
    </row>
    <row r="69" spans="1:201" x14ac:dyDescent="0.25">
      <c r="A69">
        <v>53</v>
      </c>
      <c r="B69">
        <v>1690383045.5999999</v>
      </c>
      <c r="C69">
        <v>570.5</v>
      </c>
      <c r="D69" t="s">
        <v>437</v>
      </c>
      <c r="E69" t="s">
        <v>438</v>
      </c>
      <c r="F69" t="s">
        <v>330</v>
      </c>
      <c r="H69">
        <v>1690383045.5999999</v>
      </c>
      <c r="I69">
        <f t="shared" si="0"/>
        <v>5.6672205959048194E-4</v>
      </c>
      <c r="J69">
        <f t="shared" si="1"/>
        <v>0.56672205959048194</v>
      </c>
      <c r="K69">
        <f t="shared" si="2"/>
        <v>9.7783431998399291</v>
      </c>
      <c r="L69">
        <f t="shared" si="3"/>
        <v>689.18</v>
      </c>
      <c r="M69">
        <f t="shared" si="4"/>
        <v>246.23031360921769</v>
      </c>
      <c r="N69">
        <f t="shared" si="5"/>
        <v>24.325545006540718</v>
      </c>
      <c r="O69">
        <f t="shared" si="6"/>
        <v>68.085358223659995</v>
      </c>
      <c r="P69">
        <f t="shared" si="7"/>
        <v>3.6577391838989143E-2</v>
      </c>
      <c r="Q69">
        <f t="shared" si="8"/>
        <v>2.1088108072391822</v>
      </c>
      <c r="R69">
        <f t="shared" si="9"/>
        <v>3.6228555858049578E-2</v>
      </c>
      <c r="S69">
        <f t="shared" si="10"/>
        <v>2.2673911593482348E-2</v>
      </c>
      <c r="T69">
        <f t="shared" si="11"/>
        <v>276.11506202091107</v>
      </c>
      <c r="U69">
        <f t="shared" si="12"/>
        <v>26.878111639674557</v>
      </c>
      <c r="V69">
        <f t="shared" si="13"/>
        <v>26.878111639674557</v>
      </c>
      <c r="W69">
        <f t="shared" si="14"/>
        <v>3.5536171041593039</v>
      </c>
      <c r="X69">
        <f t="shared" si="15"/>
        <v>65.037703277737776</v>
      </c>
      <c r="Y69">
        <f t="shared" si="16"/>
        <v>2.0520645214291999</v>
      </c>
      <c r="Z69">
        <f t="shared" si="17"/>
        <v>3.1551921700956127</v>
      </c>
      <c r="AA69">
        <f t="shared" si="18"/>
        <v>1.5015525827301039</v>
      </c>
      <c r="AB69">
        <f t="shared" si="19"/>
        <v>-24.992442827940252</v>
      </c>
      <c r="AC69">
        <f t="shared" si="20"/>
        <v>-228.25715440022893</v>
      </c>
      <c r="AD69">
        <f t="shared" si="21"/>
        <v>-23.097682683761871</v>
      </c>
      <c r="AE69">
        <f t="shared" si="22"/>
        <v>-0.23221789101998525</v>
      </c>
      <c r="AF69">
        <v>0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52504.983661909631</v>
      </c>
      <c r="AK69">
        <f t="shared" si="26"/>
        <v>1799.99</v>
      </c>
      <c r="AL69">
        <f t="shared" si="27"/>
        <v>1499.1001688194599</v>
      </c>
      <c r="AM69">
        <f t="shared" si="28"/>
        <v>0.83283805399999999</v>
      </c>
      <c r="AN69">
        <f t="shared" si="29"/>
        <v>0.15339810889</v>
      </c>
      <c r="AO69">
        <v>32.700000000000003</v>
      </c>
      <c r="AP69">
        <v>0.5</v>
      </c>
      <c r="AQ69" t="s">
        <v>331</v>
      </c>
      <c r="AR69">
        <v>2</v>
      </c>
      <c r="AS69">
        <v>1690383045.5999999</v>
      </c>
      <c r="AT69">
        <v>689.18</v>
      </c>
      <c r="AU69">
        <v>799.923</v>
      </c>
      <c r="AV69">
        <v>20.771599999999999</v>
      </c>
      <c r="AW69">
        <v>14.728</v>
      </c>
      <c r="AX69">
        <v>689.36699999999996</v>
      </c>
      <c r="AY69">
        <v>20.596399999999999</v>
      </c>
      <c r="AZ69">
        <v>300.26600000000002</v>
      </c>
      <c r="BA69">
        <v>98.691800000000001</v>
      </c>
      <c r="BB69">
        <v>0.100037</v>
      </c>
      <c r="BC69">
        <v>24.8704</v>
      </c>
      <c r="BD69">
        <v>27.334399999999999</v>
      </c>
      <c r="BE69">
        <v>26.619700000000002</v>
      </c>
      <c r="BF69">
        <v>0</v>
      </c>
      <c r="BG69">
        <v>0</v>
      </c>
      <c r="BH69">
        <v>9989.3799999999992</v>
      </c>
      <c r="BI69">
        <v>1052.32</v>
      </c>
      <c r="BJ69">
        <v>2.4108399999999999</v>
      </c>
      <c r="BK69">
        <v>-110.74299999999999</v>
      </c>
      <c r="BL69">
        <v>703.79899999999998</v>
      </c>
      <c r="BM69">
        <v>811.88</v>
      </c>
      <c r="BN69">
        <v>6.04359</v>
      </c>
      <c r="BO69">
        <v>799.923</v>
      </c>
      <c r="BP69">
        <v>14.728</v>
      </c>
      <c r="BQ69">
        <v>2.0499900000000002</v>
      </c>
      <c r="BR69">
        <v>1.45353</v>
      </c>
      <c r="BS69">
        <v>17.835799999999999</v>
      </c>
      <c r="BT69">
        <v>12.4879</v>
      </c>
      <c r="BU69">
        <v>1799.99</v>
      </c>
      <c r="BV69">
        <v>0.90997300000000003</v>
      </c>
      <c r="BW69">
        <v>3.4007299999999997E-2</v>
      </c>
      <c r="BX69">
        <v>2.2007700000000002E-2</v>
      </c>
      <c r="BY69">
        <v>3.4011899999999998E-2</v>
      </c>
      <c r="BZ69">
        <v>25</v>
      </c>
      <c r="CA69">
        <v>33528.1</v>
      </c>
      <c r="CB69">
        <v>1690381960.0999999</v>
      </c>
      <c r="CC69" t="s">
        <v>332</v>
      </c>
      <c r="CD69">
        <v>1690381960.0999999</v>
      </c>
      <c r="CE69">
        <v>1690381958.0999999</v>
      </c>
      <c r="CF69">
        <v>4</v>
      </c>
      <c r="CG69">
        <v>9.9000000000000005E-2</v>
      </c>
      <c r="CH69">
        <v>1.2E-2</v>
      </c>
      <c r="CI69">
        <v>-0.26300000000000001</v>
      </c>
      <c r="CJ69">
        <v>0.127</v>
      </c>
      <c r="CK69">
        <v>798</v>
      </c>
      <c r="CL69">
        <v>18</v>
      </c>
      <c r="CM69">
        <v>0.02</v>
      </c>
      <c r="CN69">
        <v>0.12</v>
      </c>
      <c r="CO69">
        <v>-107.0273414634146</v>
      </c>
      <c r="CP69">
        <v>-20.681498257839429</v>
      </c>
      <c r="CQ69">
        <v>2.0396693372588501</v>
      </c>
      <c r="CR69">
        <v>-1</v>
      </c>
      <c r="CS69">
        <v>6.6312646341463406</v>
      </c>
      <c r="CT69">
        <v>-4.0281169337979188</v>
      </c>
      <c r="CU69">
        <v>0.40082930414815049</v>
      </c>
      <c r="CV69">
        <v>-1</v>
      </c>
      <c r="CW69">
        <v>0</v>
      </c>
      <c r="CX69">
        <v>0</v>
      </c>
      <c r="CY69" t="s">
        <v>333</v>
      </c>
      <c r="CZ69">
        <v>2.3646500000000001</v>
      </c>
      <c r="DA69">
        <v>2.7138200000000001</v>
      </c>
      <c r="DB69">
        <v>0.13209799999999999</v>
      </c>
      <c r="DC69">
        <v>0.14565900000000001</v>
      </c>
      <c r="DD69">
        <v>0.10238700000000001</v>
      </c>
      <c r="DE69">
        <v>7.8809699999999996E-2</v>
      </c>
      <c r="DF69">
        <v>31683.200000000001</v>
      </c>
      <c r="DG69">
        <v>27522.6</v>
      </c>
      <c r="DH69">
        <v>31165.200000000001</v>
      </c>
      <c r="DI69">
        <v>28071.1</v>
      </c>
      <c r="DJ69">
        <v>37982.800000000003</v>
      </c>
      <c r="DK69">
        <v>36770.199999999997</v>
      </c>
      <c r="DL69">
        <v>44351</v>
      </c>
      <c r="DM69">
        <v>42546.5</v>
      </c>
      <c r="DN69">
        <v>1.4628000000000001</v>
      </c>
      <c r="DO69">
        <v>2.0492699999999999</v>
      </c>
      <c r="DP69">
        <v>0.18287800000000001</v>
      </c>
      <c r="DQ69">
        <v>0.14782300000000001</v>
      </c>
      <c r="DR69">
        <v>24.337800000000001</v>
      </c>
      <c r="DS69">
        <v>24.195900000000002</v>
      </c>
      <c r="DT69">
        <v>57.8</v>
      </c>
      <c r="DU69">
        <v>28.7</v>
      </c>
      <c r="DV69">
        <v>23.150500000000001</v>
      </c>
      <c r="DW69">
        <v>61.923000000000002</v>
      </c>
      <c r="DX69">
        <v>36.386200000000002</v>
      </c>
      <c r="DY69">
        <v>1</v>
      </c>
      <c r="DZ69">
        <v>-6.5203200000000003E-2</v>
      </c>
      <c r="EA69">
        <v>5.7353199999999998</v>
      </c>
      <c r="EB69">
        <v>20.069800000000001</v>
      </c>
      <c r="EC69">
        <v>5.24125</v>
      </c>
      <c r="ED69">
        <v>12.039899999999999</v>
      </c>
      <c r="EE69">
        <v>5.0174000000000003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</v>
      </c>
      <c r="EL69">
        <v>1.86463</v>
      </c>
      <c r="EM69">
        <v>1.8692</v>
      </c>
      <c r="EN69">
        <v>1.8672299999999999</v>
      </c>
      <c r="EO69">
        <v>1.86338</v>
      </c>
      <c r="EP69">
        <v>1.8644499999999999</v>
      </c>
      <c r="EQ69">
        <v>1.87016</v>
      </c>
      <c r="ER69">
        <v>1.8693599999999999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-0.187</v>
      </c>
      <c r="FG69">
        <v>0.17519999999999999</v>
      </c>
      <c r="FH69">
        <v>0.28746640474027818</v>
      </c>
      <c r="FI69">
        <v>-6.1462078757559423E-4</v>
      </c>
      <c r="FJ69">
        <v>-1.8861989874597051E-7</v>
      </c>
      <c r="FK69">
        <v>1.1980462299894961E-10</v>
      </c>
      <c r="FL69">
        <v>0.17524818673008091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18.100000000000001</v>
      </c>
      <c r="FU69">
        <v>18.100000000000001</v>
      </c>
      <c r="FV69">
        <v>1.78833</v>
      </c>
      <c r="FW69">
        <v>2.5817899999999998</v>
      </c>
      <c r="FX69">
        <v>1.5490699999999999</v>
      </c>
      <c r="FY69">
        <v>2.3315399999999999</v>
      </c>
      <c r="FZ69">
        <v>1.50146</v>
      </c>
      <c r="GA69">
        <v>2.3571800000000001</v>
      </c>
      <c r="GB69">
        <v>33.512999999999998</v>
      </c>
      <c r="GC69">
        <v>23.921099999999999</v>
      </c>
      <c r="GD69">
        <v>19</v>
      </c>
      <c r="GE69">
        <v>277.71899999999999</v>
      </c>
      <c r="GF69">
        <v>595.25099999999998</v>
      </c>
      <c r="GG69">
        <v>19.527699999999999</v>
      </c>
      <c r="GH69">
        <v>26.360099999999999</v>
      </c>
      <c r="GI69">
        <v>29.999400000000001</v>
      </c>
      <c r="GJ69">
        <v>26.470199999999998</v>
      </c>
      <c r="GK69">
        <v>26.456499999999998</v>
      </c>
      <c r="GL69">
        <v>35.7607</v>
      </c>
      <c r="GM69">
        <v>42.104199999999999</v>
      </c>
      <c r="GN69">
        <v>92.017300000000006</v>
      </c>
      <c r="GO69">
        <v>19.2926</v>
      </c>
      <c r="GP69">
        <v>800</v>
      </c>
      <c r="GQ69">
        <v>14.900700000000001</v>
      </c>
      <c r="GR69">
        <v>99.715299999999999</v>
      </c>
      <c r="GS69">
        <v>99.530600000000007</v>
      </c>
    </row>
    <row r="70" spans="1:201" x14ac:dyDescent="0.25">
      <c r="A70">
        <v>54</v>
      </c>
      <c r="B70">
        <v>1690383055.5999999</v>
      </c>
      <c r="C70">
        <v>580.5</v>
      </c>
      <c r="D70" t="s">
        <v>439</v>
      </c>
      <c r="E70" t="s">
        <v>440</v>
      </c>
      <c r="F70" t="s">
        <v>330</v>
      </c>
      <c r="H70">
        <v>1690383055.5999999</v>
      </c>
      <c r="I70">
        <f t="shared" si="0"/>
        <v>5.3439532408085591E-4</v>
      </c>
      <c r="J70">
        <f t="shared" si="1"/>
        <v>0.53439532408085588</v>
      </c>
      <c r="K70">
        <f t="shared" si="2"/>
        <v>10.101627824526936</v>
      </c>
      <c r="L70">
        <f t="shared" si="3"/>
        <v>685.82</v>
      </c>
      <c r="M70">
        <f t="shared" si="4"/>
        <v>203.86928035349365</v>
      </c>
      <c r="N70">
        <f t="shared" si="5"/>
        <v>20.14148644488867</v>
      </c>
      <c r="O70">
        <f t="shared" si="6"/>
        <v>67.756329985970012</v>
      </c>
      <c r="P70">
        <f t="shared" si="7"/>
        <v>3.4592174717716931E-2</v>
      </c>
      <c r="Q70">
        <f t="shared" si="8"/>
        <v>2.1128142072930314</v>
      </c>
      <c r="R70">
        <f t="shared" si="9"/>
        <v>3.4280588337546325E-2</v>
      </c>
      <c r="S70">
        <f t="shared" si="10"/>
        <v>2.1453128501941782E-2</v>
      </c>
      <c r="T70">
        <f t="shared" si="11"/>
        <v>276.116633874</v>
      </c>
      <c r="U70">
        <f t="shared" si="12"/>
        <v>26.724642017460489</v>
      </c>
      <c r="V70">
        <f t="shared" si="13"/>
        <v>26.724642017460489</v>
      </c>
      <c r="W70">
        <f t="shared" si="14"/>
        <v>3.5216828538318148</v>
      </c>
      <c r="X70">
        <f t="shared" si="15"/>
        <v>64.796103129583841</v>
      </c>
      <c r="Y70">
        <f t="shared" si="16"/>
        <v>2.0247960925074504</v>
      </c>
      <c r="Z70">
        <f t="shared" si="17"/>
        <v>3.1248732480996884</v>
      </c>
      <c r="AA70">
        <f t="shared" si="18"/>
        <v>1.4968867613243644</v>
      </c>
      <c r="AB70">
        <f t="shared" si="19"/>
        <v>-23.566833791965745</v>
      </c>
      <c r="AC70">
        <f t="shared" si="20"/>
        <v>-229.62797115842275</v>
      </c>
      <c r="AD70">
        <f t="shared" si="21"/>
        <v>-23.155705369693276</v>
      </c>
      <c r="AE70">
        <f t="shared" si="22"/>
        <v>-0.23387644608175151</v>
      </c>
      <c r="AF70">
        <v>0</v>
      </c>
      <c r="AG70">
        <v>0</v>
      </c>
      <c r="AH70">
        <f t="shared" si="23"/>
        <v>1</v>
      </c>
      <c r="AI70">
        <f t="shared" si="24"/>
        <v>0</v>
      </c>
      <c r="AJ70">
        <f t="shared" si="25"/>
        <v>52709.424686990169</v>
      </c>
      <c r="AK70">
        <f t="shared" si="26"/>
        <v>1800</v>
      </c>
      <c r="AL70">
        <f t="shared" si="27"/>
        <v>1499.1089813999999</v>
      </c>
      <c r="AM70">
        <f t="shared" si="28"/>
        <v>0.83283832299999994</v>
      </c>
      <c r="AN70">
        <f t="shared" si="29"/>
        <v>0.15339812992999999</v>
      </c>
      <c r="AO70">
        <v>32.700000000000003</v>
      </c>
      <c r="AP70">
        <v>0.5</v>
      </c>
      <c r="AQ70" t="s">
        <v>331</v>
      </c>
      <c r="AR70">
        <v>2</v>
      </c>
      <c r="AS70">
        <v>1690383055.5999999</v>
      </c>
      <c r="AT70">
        <v>685.82</v>
      </c>
      <c r="AU70">
        <v>799.88</v>
      </c>
      <c r="AV70">
        <v>20.494700000000002</v>
      </c>
      <c r="AW70">
        <v>14.7913</v>
      </c>
      <c r="AX70">
        <v>686.00400000000002</v>
      </c>
      <c r="AY70">
        <v>20.319500000000001</v>
      </c>
      <c r="AZ70">
        <v>300.11200000000002</v>
      </c>
      <c r="BA70">
        <v>98.696200000000005</v>
      </c>
      <c r="BB70">
        <v>9.98835E-2</v>
      </c>
      <c r="BC70">
        <v>24.7087</v>
      </c>
      <c r="BD70">
        <v>27.068899999999999</v>
      </c>
      <c r="BE70">
        <v>26.4055</v>
      </c>
      <c r="BF70">
        <v>0</v>
      </c>
      <c r="BG70">
        <v>0</v>
      </c>
      <c r="BH70">
        <v>10023.799999999999</v>
      </c>
      <c r="BI70">
        <v>1051.6600000000001</v>
      </c>
      <c r="BJ70">
        <v>2.4108399999999999</v>
      </c>
      <c r="BK70">
        <v>-114.06</v>
      </c>
      <c r="BL70">
        <v>700.17</v>
      </c>
      <c r="BM70">
        <v>811.88900000000001</v>
      </c>
      <c r="BN70">
        <v>5.7034399999999996</v>
      </c>
      <c r="BO70">
        <v>799.88</v>
      </c>
      <c r="BP70">
        <v>14.7913</v>
      </c>
      <c r="BQ70">
        <v>2.0227499999999998</v>
      </c>
      <c r="BR70">
        <v>1.4598500000000001</v>
      </c>
      <c r="BS70">
        <v>17.6236</v>
      </c>
      <c r="BT70">
        <v>12.554</v>
      </c>
      <c r="BU70">
        <v>1800</v>
      </c>
      <c r="BV70">
        <v>0.90997399999999995</v>
      </c>
      <c r="BW70">
        <v>3.4007500000000003E-2</v>
      </c>
      <c r="BX70">
        <v>2.20074E-2</v>
      </c>
      <c r="BY70">
        <v>3.4011300000000001E-2</v>
      </c>
      <c r="BZ70">
        <v>25</v>
      </c>
      <c r="CA70">
        <v>33528.1</v>
      </c>
      <c r="CB70">
        <v>1690381960.0999999</v>
      </c>
      <c r="CC70" t="s">
        <v>332</v>
      </c>
      <c r="CD70">
        <v>1690381960.0999999</v>
      </c>
      <c r="CE70">
        <v>1690381958.0999999</v>
      </c>
      <c r="CF70">
        <v>4</v>
      </c>
      <c r="CG70">
        <v>9.9000000000000005E-2</v>
      </c>
      <c r="CH70">
        <v>1.2E-2</v>
      </c>
      <c r="CI70">
        <v>-0.26300000000000001</v>
      </c>
      <c r="CJ70">
        <v>0.127</v>
      </c>
      <c r="CK70">
        <v>798</v>
      </c>
      <c r="CL70">
        <v>18</v>
      </c>
      <c r="CM70">
        <v>0.02</v>
      </c>
      <c r="CN70">
        <v>0.12</v>
      </c>
      <c r="CO70">
        <v>-110.4572682926829</v>
      </c>
      <c r="CP70">
        <v>-20.621958188153521</v>
      </c>
      <c r="CQ70">
        <v>2.0339759576533152</v>
      </c>
      <c r="CR70">
        <v>-1</v>
      </c>
      <c r="CS70">
        <v>6.0996748780487806</v>
      </c>
      <c r="CT70">
        <v>-2.3496018815330961</v>
      </c>
      <c r="CU70">
        <v>0.2336601822234427</v>
      </c>
      <c r="CV70">
        <v>-1</v>
      </c>
      <c r="CW70">
        <v>0</v>
      </c>
      <c r="CX70">
        <v>0</v>
      </c>
      <c r="CY70" t="s">
        <v>333</v>
      </c>
      <c r="CZ70">
        <v>2.36416</v>
      </c>
      <c r="DA70">
        <v>2.7136900000000002</v>
      </c>
      <c r="DB70">
        <v>0.131656</v>
      </c>
      <c r="DC70">
        <v>0.14566000000000001</v>
      </c>
      <c r="DD70">
        <v>0.101408</v>
      </c>
      <c r="DE70">
        <v>7.9061199999999998E-2</v>
      </c>
      <c r="DF70">
        <v>31700.5</v>
      </c>
      <c r="DG70">
        <v>27523.5</v>
      </c>
      <c r="DH70">
        <v>31166.3</v>
      </c>
      <c r="DI70">
        <v>28071.9</v>
      </c>
      <c r="DJ70">
        <v>38025.800000000003</v>
      </c>
      <c r="DK70">
        <v>36761.199999999997</v>
      </c>
      <c r="DL70">
        <v>44352.4</v>
      </c>
      <c r="DM70">
        <v>42547.7</v>
      </c>
      <c r="DN70">
        <v>1.46275</v>
      </c>
      <c r="DO70">
        <v>2.0497000000000001</v>
      </c>
      <c r="DP70">
        <v>0.16770099999999999</v>
      </c>
      <c r="DQ70">
        <v>0.136327</v>
      </c>
      <c r="DR70">
        <v>24.320399999999999</v>
      </c>
      <c r="DS70">
        <v>24.169799999999999</v>
      </c>
      <c r="DT70">
        <v>57.8</v>
      </c>
      <c r="DU70">
        <v>28.7</v>
      </c>
      <c r="DV70">
        <v>23.146799999999999</v>
      </c>
      <c r="DW70">
        <v>61.493000000000002</v>
      </c>
      <c r="DX70">
        <v>36.971200000000003</v>
      </c>
      <c r="DY70">
        <v>1</v>
      </c>
      <c r="DZ70">
        <v>-6.8084400000000003E-2</v>
      </c>
      <c r="EA70">
        <v>5.1614399999999998</v>
      </c>
      <c r="EB70">
        <v>20.095500000000001</v>
      </c>
      <c r="EC70">
        <v>5.2409499999999998</v>
      </c>
      <c r="ED70">
        <v>12.039899999999999</v>
      </c>
      <c r="EE70">
        <v>5.0173500000000004</v>
      </c>
      <c r="EF70">
        <v>3.2879499999999999</v>
      </c>
      <c r="EG70">
        <v>9999</v>
      </c>
      <c r="EH70">
        <v>9999</v>
      </c>
      <c r="EI70">
        <v>9999</v>
      </c>
      <c r="EJ70">
        <v>999.9</v>
      </c>
      <c r="EK70">
        <v>1.8689</v>
      </c>
      <c r="EL70">
        <v>1.8646199999999999</v>
      </c>
      <c r="EM70">
        <v>1.8692</v>
      </c>
      <c r="EN70">
        <v>1.8672200000000001</v>
      </c>
      <c r="EO70">
        <v>1.8633999999999999</v>
      </c>
      <c r="EP70">
        <v>1.8644499999999999</v>
      </c>
      <c r="EQ70">
        <v>1.87015</v>
      </c>
      <c r="ER70">
        <v>1.86937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-0.184</v>
      </c>
      <c r="FG70">
        <v>0.17519999999999999</v>
      </c>
      <c r="FH70">
        <v>0.28746640474027818</v>
      </c>
      <c r="FI70">
        <v>-6.1462078757559423E-4</v>
      </c>
      <c r="FJ70">
        <v>-1.8861989874597051E-7</v>
      </c>
      <c r="FK70">
        <v>1.1980462299894961E-10</v>
      </c>
      <c r="FL70">
        <v>0.17524818673008091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18.3</v>
      </c>
      <c r="FU70">
        <v>18.3</v>
      </c>
      <c r="FV70">
        <v>1.78955</v>
      </c>
      <c r="FW70">
        <v>2.5805699999999998</v>
      </c>
      <c r="FX70">
        <v>1.5490699999999999</v>
      </c>
      <c r="FY70">
        <v>2.3315399999999999</v>
      </c>
      <c r="FZ70">
        <v>1.50146</v>
      </c>
      <c r="GA70">
        <v>2.3339799999999999</v>
      </c>
      <c r="GB70">
        <v>33.535499999999999</v>
      </c>
      <c r="GC70">
        <v>23.938700000000001</v>
      </c>
      <c r="GD70">
        <v>19</v>
      </c>
      <c r="GE70">
        <v>277.69900000000001</v>
      </c>
      <c r="GF70">
        <v>595.601</v>
      </c>
      <c r="GG70">
        <v>18.9178</v>
      </c>
      <c r="GH70">
        <v>26.3597</v>
      </c>
      <c r="GI70">
        <v>29.998899999999999</v>
      </c>
      <c r="GJ70">
        <v>26.470199999999998</v>
      </c>
      <c r="GK70">
        <v>26.456</v>
      </c>
      <c r="GL70">
        <v>35.763500000000001</v>
      </c>
      <c r="GM70">
        <v>41.810899999999997</v>
      </c>
      <c r="GN70">
        <v>91.644499999999994</v>
      </c>
      <c r="GO70">
        <v>18.899699999999999</v>
      </c>
      <c r="GP70">
        <v>800</v>
      </c>
      <c r="GQ70">
        <v>14.845800000000001</v>
      </c>
      <c r="GR70">
        <v>99.718599999999995</v>
      </c>
      <c r="GS70">
        <v>99.533600000000007</v>
      </c>
    </row>
    <row r="71" spans="1:201" x14ac:dyDescent="0.25">
      <c r="A71">
        <v>55</v>
      </c>
      <c r="B71">
        <v>1690383065.5999999</v>
      </c>
      <c r="C71">
        <v>590.5</v>
      </c>
      <c r="D71" t="s">
        <v>441</v>
      </c>
      <c r="E71" t="s">
        <v>442</v>
      </c>
      <c r="F71" t="s">
        <v>330</v>
      </c>
      <c r="H71">
        <v>1690383065.5999999</v>
      </c>
      <c r="I71">
        <f t="shared" si="0"/>
        <v>5.1643756624924022E-4</v>
      </c>
      <c r="J71">
        <f t="shared" si="1"/>
        <v>0.5164375662492402</v>
      </c>
      <c r="K71">
        <f t="shared" si="2"/>
        <v>10.425740541832679</v>
      </c>
      <c r="L71">
        <f t="shared" si="3"/>
        <v>682.54899999999998</v>
      </c>
      <c r="M71">
        <f t="shared" si="4"/>
        <v>172.79018018454425</v>
      </c>
      <c r="N71">
        <f t="shared" si="5"/>
        <v>17.071155855121035</v>
      </c>
      <c r="O71">
        <f t="shared" si="6"/>
        <v>67.433811026254403</v>
      </c>
      <c r="P71">
        <f t="shared" si="7"/>
        <v>3.3669323116972308E-2</v>
      </c>
      <c r="Q71">
        <f t="shared" si="8"/>
        <v>2.1191822232029365</v>
      </c>
      <c r="R71">
        <f t="shared" si="9"/>
        <v>3.3374942319238141E-2</v>
      </c>
      <c r="S71">
        <f t="shared" si="10"/>
        <v>2.0885573275520878E-2</v>
      </c>
      <c r="T71">
        <f t="shared" si="11"/>
        <v>276.11806869274835</v>
      </c>
      <c r="U71">
        <f t="shared" si="12"/>
        <v>26.607964656741725</v>
      </c>
      <c r="V71">
        <f t="shared" si="13"/>
        <v>26.607964656741725</v>
      </c>
      <c r="W71">
        <f t="shared" si="14"/>
        <v>3.4975723349365153</v>
      </c>
      <c r="X71">
        <f t="shared" si="15"/>
        <v>64.822791526407883</v>
      </c>
      <c r="Y71">
        <f t="shared" si="16"/>
        <v>2.0114284035955206</v>
      </c>
      <c r="Z71">
        <f t="shared" si="17"/>
        <v>3.1029648002371095</v>
      </c>
      <c r="AA71">
        <f t="shared" si="18"/>
        <v>1.4861439313409948</v>
      </c>
      <c r="AB71">
        <f t="shared" si="19"/>
        <v>-22.774896671591495</v>
      </c>
      <c r="AC71">
        <f t="shared" si="20"/>
        <v>-230.43690507457157</v>
      </c>
      <c r="AD71">
        <f t="shared" si="21"/>
        <v>-23.14019660670056</v>
      </c>
      <c r="AE71">
        <f t="shared" si="22"/>
        <v>-0.2339296601152796</v>
      </c>
      <c r="AF71">
        <v>0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53010.890101646044</v>
      </c>
      <c r="AK71">
        <f t="shared" si="26"/>
        <v>1800.01</v>
      </c>
      <c r="AL71">
        <f t="shared" si="27"/>
        <v>1499.1178785863899</v>
      </c>
      <c r="AM71">
        <f t="shared" si="28"/>
        <v>0.83283863899999999</v>
      </c>
      <c r="AN71">
        <f t="shared" si="29"/>
        <v>0.15339807483999998</v>
      </c>
      <c r="AO71">
        <v>32.700000000000003</v>
      </c>
      <c r="AP71">
        <v>0.5</v>
      </c>
      <c r="AQ71" t="s">
        <v>331</v>
      </c>
      <c r="AR71">
        <v>2</v>
      </c>
      <c r="AS71">
        <v>1690383065.5999999</v>
      </c>
      <c r="AT71">
        <v>682.54899999999998</v>
      </c>
      <c r="AU71">
        <v>799.97500000000002</v>
      </c>
      <c r="AV71">
        <v>20.359200000000001</v>
      </c>
      <c r="AW71">
        <v>14.847300000000001</v>
      </c>
      <c r="AX71">
        <v>682.73099999999999</v>
      </c>
      <c r="AY71">
        <v>20.183900000000001</v>
      </c>
      <c r="AZ71">
        <v>300.14499999999998</v>
      </c>
      <c r="BA71">
        <v>98.697100000000006</v>
      </c>
      <c r="BB71">
        <v>9.9925600000000003E-2</v>
      </c>
      <c r="BC71">
        <v>24.591000000000001</v>
      </c>
      <c r="BD71">
        <v>26.897099999999998</v>
      </c>
      <c r="BE71">
        <v>26.224</v>
      </c>
      <c r="BF71">
        <v>0</v>
      </c>
      <c r="BG71">
        <v>0</v>
      </c>
      <c r="BH71">
        <v>10079.4</v>
      </c>
      <c r="BI71">
        <v>1050.8699999999999</v>
      </c>
      <c r="BJ71">
        <v>2.4108399999999999</v>
      </c>
      <c r="BK71">
        <v>-117.42700000000001</v>
      </c>
      <c r="BL71">
        <v>696.73400000000004</v>
      </c>
      <c r="BM71">
        <v>812.03200000000004</v>
      </c>
      <c r="BN71">
        <v>5.5119300000000004</v>
      </c>
      <c r="BO71">
        <v>799.97500000000002</v>
      </c>
      <c r="BP71">
        <v>14.847300000000001</v>
      </c>
      <c r="BQ71">
        <v>2.0093899999999998</v>
      </c>
      <c r="BR71">
        <v>1.4653799999999999</v>
      </c>
      <c r="BS71">
        <v>17.5185</v>
      </c>
      <c r="BT71">
        <v>12.611599999999999</v>
      </c>
      <c r="BU71">
        <v>1800.01</v>
      </c>
      <c r="BV71">
        <v>0.90997700000000004</v>
      </c>
      <c r="BW71">
        <v>3.4006399999999999E-2</v>
      </c>
      <c r="BX71">
        <v>2.2006700000000001E-2</v>
      </c>
      <c r="BY71">
        <v>3.4010199999999997E-2</v>
      </c>
      <c r="BZ71">
        <v>25</v>
      </c>
      <c r="CA71">
        <v>33528.300000000003</v>
      </c>
      <c r="CB71">
        <v>1690381960.0999999</v>
      </c>
      <c r="CC71" t="s">
        <v>332</v>
      </c>
      <c r="CD71">
        <v>1690381960.0999999</v>
      </c>
      <c r="CE71">
        <v>1690381958.0999999</v>
      </c>
      <c r="CF71">
        <v>4</v>
      </c>
      <c r="CG71">
        <v>9.9000000000000005E-2</v>
      </c>
      <c r="CH71">
        <v>1.2E-2</v>
      </c>
      <c r="CI71">
        <v>-0.26300000000000001</v>
      </c>
      <c r="CJ71">
        <v>0.127</v>
      </c>
      <c r="CK71">
        <v>798</v>
      </c>
      <c r="CL71">
        <v>18</v>
      </c>
      <c r="CM71">
        <v>0.02</v>
      </c>
      <c r="CN71">
        <v>0.12</v>
      </c>
      <c r="CO71">
        <v>-113.71957500000001</v>
      </c>
      <c r="CP71">
        <v>-20.074435272044902</v>
      </c>
      <c r="CQ71">
        <v>1.9328420122645831</v>
      </c>
      <c r="CR71">
        <v>-1</v>
      </c>
      <c r="CS71">
        <v>5.7551555000000008</v>
      </c>
      <c r="CT71">
        <v>-1.8680449530956831</v>
      </c>
      <c r="CU71">
        <v>0.18126727171431151</v>
      </c>
      <c r="CV71">
        <v>-1</v>
      </c>
      <c r="CW71">
        <v>0</v>
      </c>
      <c r="CX71">
        <v>0</v>
      </c>
      <c r="CY71" t="s">
        <v>333</v>
      </c>
      <c r="CZ71">
        <v>2.3642799999999999</v>
      </c>
      <c r="DA71">
        <v>2.7137899999999999</v>
      </c>
      <c r="DB71">
        <v>0.13122500000000001</v>
      </c>
      <c r="DC71">
        <v>0.145677</v>
      </c>
      <c r="DD71">
        <v>0.100927</v>
      </c>
      <c r="DE71">
        <v>7.9282699999999998E-2</v>
      </c>
      <c r="DF71">
        <v>31716.799999999999</v>
      </c>
      <c r="DG71">
        <v>27523.9</v>
      </c>
      <c r="DH71">
        <v>31166.9</v>
      </c>
      <c r="DI71">
        <v>28072.9</v>
      </c>
      <c r="DJ71">
        <v>38046.9</v>
      </c>
      <c r="DK71">
        <v>36753.4</v>
      </c>
      <c r="DL71">
        <v>44353.1</v>
      </c>
      <c r="DM71">
        <v>42548.9</v>
      </c>
      <c r="DN71">
        <v>1.4638199999999999</v>
      </c>
      <c r="DO71">
        <v>2.0495299999999999</v>
      </c>
      <c r="DP71">
        <v>0.15876399999999999</v>
      </c>
      <c r="DQ71">
        <v>0.12762799999999999</v>
      </c>
      <c r="DR71">
        <v>24.294699999999999</v>
      </c>
      <c r="DS71">
        <v>24.130600000000001</v>
      </c>
      <c r="DT71">
        <v>57.7</v>
      </c>
      <c r="DU71">
        <v>28.7</v>
      </c>
      <c r="DV71">
        <v>23.106100000000001</v>
      </c>
      <c r="DW71">
        <v>60.192999999999998</v>
      </c>
      <c r="DX71">
        <v>36.878999999999998</v>
      </c>
      <c r="DY71">
        <v>1</v>
      </c>
      <c r="DZ71">
        <v>-7.3114799999999994E-2</v>
      </c>
      <c r="EA71">
        <v>2.64791</v>
      </c>
      <c r="EB71">
        <v>20.1188</v>
      </c>
      <c r="EC71">
        <v>5.2409499999999998</v>
      </c>
      <c r="ED71">
        <v>12.039899999999999</v>
      </c>
      <c r="EE71">
        <v>5.0173500000000004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</v>
      </c>
      <c r="EL71">
        <v>1.8646199999999999</v>
      </c>
      <c r="EM71">
        <v>1.8692</v>
      </c>
      <c r="EN71">
        <v>1.8672200000000001</v>
      </c>
      <c r="EO71">
        <v>1.8633999999999999</v>
      </c>
      <c r="EP71">
        <v>1.8644499999999999</v>
      </c>
      <c r="EQ71">
        <v>1.8701399999999999</v>
      </c>
      <c r="ER71">
        <v>1.8693599999999999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-0.182</v>
      </c>
      <c r="FG71">
        <v>0.17530000000000001</v>
      </c>
      <c r="FH71">
        <v>0.28746640474027818</v>
      </c>
      <c r="FI71">
        <v>-6.1462078757559423E-4</v>
      </c>
      <c r="FJ71">
        <v>-1.8861989874597051E-7</v>
      </c>
      <c r="FK71">
        <v>1.1980462299894961E-10</v>
      </c>
      <c r="FL71">
        <v>0.17524818673008091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18.399999999999999</v>
      </c>
      <c r="FU71">
        <v>18.5</v>
      </c>
      <c r="FV71">
        <v>1.78833</v>
      </c>
      <c r="FW71">
        <v>2.5817899999999998</v>
      </c>
      <c r="FX71">
        <v>1.5490699999999999</v>
      </c>
      <c r="FY71">
        <v>2.3315399999999999</v>
      </c>
      <c r="FZ71">
        <v>1.50146</v>
      </c>
      <c r="GA71">
        <v>2.2802699999999998</v>
      </c>
      <c r="GB71">
        <v>33.512999999999998</v>
      </c>
      <c r="GC71">
        <v>23.903600000000001</v>
      </c>
      <c r="GD71">
        <v>19</v>
      </c>
      <c r="GE71">
        <v>278.15199999999999</v>
      </c>
      <c r="GF71">
        <v>595.44100000000003</v>
      </c>
      <c r="GG71">
        <v>18.756499999999999</v>
      </c>
      <c r="GH71">
        <v>26.361899999999999</v>
      </c>
      <c r="GI71">
        <v>29.997800000000002</v>
      </c>
      <c r="GJ71">
        <v>26.470199999999998</v>
      </c>
      <c r="GK71">
        <v>26.454799999999999</v>
      </c>
      <c r="GL71">
        <v>35.764299999999999</v>
      </c>
      <c r="GM71">
        <v>41.535699999999999</v>
      </c>
      <c r="GN71">
        <v>91.268299999999996</v>
      </c>
      <c r="GO71">
        <v>21.776700000000002</v>
      </c>
      <c r="GP71">
        <v>800</v>
      </c>
      <c r="GQ71">
        <v>14.843</v>
      </c>
      <c r="GR71">
        <v>99.720299999999995</v>
      </c>
      <c r="GS71">
        <v>99.536600000000007</v>
      </c>
    </row>
    <row r="72" spans="1:201" x14ac:dyDescent="0.25">
      <c r="A72">
        <v>56</v>
      </c>
      <c r="B72">
        <v>1690383075.5999999</v>
      </c>
      <c r="C72">
        <v>600.5</v>
      </c>
      <c r="D72" t="s">
        <v>443</v>
      </c>
      <c r="E72" t="s">
        <v>444</v>
      </c>
      <c r="F72" t="s">
        <v>330</v>
      </c>
      <c r="H72">
        <v>1690383075.5999999</v>
      </c>
      <c r="I72">
        <f t="shared" si="0"/>
        <v>5.9976017327674079E-4</v>
      </c>
      <c r="J72">
        <f t="shared" si="1"/>
        <v>0.5997601732767408</v>
      </c>
      <c r="K72">
        <f t="shared" si="2"/>
        <v>10.717420347590831</v>
      </c>
      <c r="L72">
        <f t="shared" si="3"/>
        <v>679.04100000000005</v>
      </c>
      <c r="M72">
        <f t="shared" si="4"/>
        <v>245.94877624602717</v>
      </c>
      <c r="N72">
        <f t="shared" si="5"/>
        <v>24.298305506880499</v>
      </c>
      <c r="O72">
        <f t="shared" si="6"/>
        <v>67.085292805819208</v>
      </c>
      <c r="P72">
        <f t="shared" si="7"/>
        <v>4.099332915242955E-2</v>
      </c>
      <c r="Q72">
        <f t="shared" si="8"/>
        <v>2.1133651490195859</v>
      </c>
      <c r="R72">
        <f t="shared" si="9"/>
        <v>4.0556655573819787E-2</v>
      </c>
      <c r="S72">
        <f t="shared" si="10"/>
        <v>2.5386755427123361E-2</v>
      </c>
      <c r="T72">
        <f t="shared" si="11"/>
        <v>276.11481376629035</v>
      </c>
      <c r="U72">
        <f t="shared" si="12"/>
        <v>26.664112821275765</v>
      </c>
      <c r="V72">
        <f t="shared" si="13"/>
        <v>26.664112821275765</v>
      </c>
      <c r="W72">
        <f t="shared" si="14"/>
        <v>3.5091568897851775</v>
      </c>
      <c r="X72">
        <f t="shared" si="15"/>
        <v>67.017234996174807</v>
      </c>
      <c r="Y72">
        <f t="shared" si="16"/>
        <v>2.0895658767998397</v>
      </c>
      <c r="Z72">
        <f t="shared" si="17"/>
        <v>3.1179529816756952</v>
      </c>
      <c r="AA72">
        <f t="shared" si="18"/>
        <v>1.4195910129853377</v>
      </c>
      <c r="AB72">
        <f t="shared" si="19"/>
        <v>-26.449423641504268</v>
      </c>
      <c r="AC72">
        <f t="shared" si="20"/>
        <v>-227.01842656509967</v>
      </c>
      <c r="AD72">
        <f t="shared" si="21"/>
        <v>-22.875366607017813</v>
      </c>
      <c r="AE72">
        <f t="shared" si="22"/>
        <v>-0.2284030473313976</v>
      </c>
      <c r="AF72">
        <v>0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52740.182515836284</v>
      </c>
      <c r="AK72">
        <f t="shared" si="26"/>
        <v>1799.99</v>
      </c>
      <c r="AL72">
        <f t="shared" si="27"/>
        <v>1499.10108321438</v>
      </c>
      <c r="AM72">
        <f t="shared" si="28"/>
        <v>0.83283856199999995</v>
      </c>
      <c r="AN72">
        <f t="shared" si="29"/>
        <v>0.15339797097000002</v>
      </c>
      <c r="AO72">
        <v>32.700000000000003</v>
      </c>
      <c r="AP72">
        <v>0.5</v>
      </c>
      <c r="AQ72" t="s">
        <v>331</v>
      </c>
      <c r="AR72">
        <v>2</v>
      </c>
      <c r="AS72">
        <v>1690383075.5999999</v>
      </c>
      <c r="AT72">
        <v>679.04100000000005</v>
      </c>
      <c r="AU72">
        <v>800.27700000000004</v>
      </c>
      <c r="AV72">
        <v>21.150700000000001</v>
      </c>
      <c r="AW72">
        <v>14.752800000000001</v>
      </c>
      <c r="AX72">
        <v>679.22</v>
      </c>
      <c r="AY72">
        <v>20.9755</v>
      </c>
      <c r="AZ72">
        <v>300.05700000000002</v>
      </c>
      <c r="BA72">
        <v>98.694299999999998</v>
      </c>
      <c r="BB72">
        <v>9.9871199999999993E-2</v>
      </c>
      <c r="BC72">
        <v>24.671600000000002</v>
      </c>
      <c r="BD72">
        <v>26.890899999999998</v>
      </c>
      <c r="BE72">
        <v>26.2593</v>
      </c>
      <c r="BF72">
        <v>0</v>
      </c>
      <c r="BG72">
        <v>0</v>
      </c>
      <c r="BH72">
        <v>10028.799999999999</v>
      </c>
      <c r="BI72">
        <v>1050.43</v>
      </c>
      <c r="BJ72">
        <v>2.4108399999999999</v>
      </c>
      <c r="BK72">
        <v>-121.236</v>
      </c>
      <c r="BL72">
        <v>693.71299999999997</v>
      </c>
      <c r="BM72">
        <v>812.26</v>
      </c>
      <c r="BN72">
        <v>6.3979299999999997</v>
      </c>
      <c r="BO72">
        <v>800.27700000000004</v>
      </c>
      <c r="BP72">
        <v>14.752800000000001</v>
      </c>
      <c r="BQ72">
        <v>2.0874600000000001</v>
      </c>
      <c r="BR72">
        <v>1.4560200000000001</v>
      </c>
      <c r="BS72">
        <v>18.123799999999999</v>
      </c>
      <c r="BT72">
        <v>12.513999999999999</v>
      </c>
      <c r="BU72">
        <v>1799.99</v>
      </c>
      <c r="BV72">
        <v>0.90997899999999998</v>
      </c>
      <c r="BW72">
        <v>3.4005599999999997E-2</v>
      </c>
      <c r="BX72">
        <v>2.2006100000000001E-2</v>
      </c>
      <c r="BY72">
        <v>3.4009299999999999E-2</v>
      </c>
      <c r="BZ72">
        <v>25</v>
      </c>
      <c r="CA72">
        <v>33528.1</v>
      </c>
      <c r="CB72">
        <v>1690381960.0999999</v>
      </c>
      <c r="CC72" t="s">
        <v>332</v>
      </c>
      <c r="CD72">
        <v>1690381960.0999999</v>
      </c>
      <c r="CE72">
        <v>1690381958.0999999</v>
      </c>
      <c r="CF72">
        <v>4</v>
      </c>
      <c r="CG72">
        <v>9.9000000000000005E-2</v>
      </c>
      <c r="CH72">
        <v>1.2E-2</v>
      </c>
      <c r="CI72">
        <v>-0.26300000000000001</v>
      </c>
      <c r="CJ72">
        <v>0.127</v>
      </c>
      <c r="CK72">
        <v>798</v>
      </c>
      <c r="CL72">
        <v>18</v>
      </c>
      <c r="CM72">
        <v>0.02</v>
      </c>
      <c r="CN72">
        <v>0.12</v>
      </c>
      <c r="CO72">
        <v>-117.1555853658537</v>
      </c>
      <c r="CP72">
        <v>-20.900508710801031</v>
      </c>
      <c r="CQ72">
        <v>2.063586848605373</v>
      </c>
      <c r="CR72">
        <v>-1</v>
      </c>
      <c r="CS72">
        <v>5.6354017073170732</v>
      </c>
      <c r="CT72">
        <v>0.69375303135888489</v>
      </c>
      <c r="CU72">
        <v>0.1671068700095904</v>
      </c>
      <c r="CV72">
        <v>-1</v>
      </c>
      <c r="CW72">
        <v>0</v>
      </c>
      <c r="CX72">
        <v>0</v>
      </c>
      <c r="CY72" t="s">
        <v>333</v>
      </c>
      <c r="CZ72">
        <v>2.3639800000000002</v>
      </c>
      <c r="DA72">
        <v>2.7136900000000002</v>
      </c>
      <c r="DB72">
        <v>0.13076599999999999</v>
      </c>
      <c r="DC72">
        <v>0.145707</v>
      </c>
      <c r="DD72">
        <v>0.103724</v>
      </c>
      <c r="DE72">
        <v>7.8909300000000002E-2</v>
      </c>
      <c r="DF72">
        <v>31733.3</v>
      </c>
      <c r="DG72">
        <v>27522.6</v>
      </c>
      <c r="DH72">
        <v>31166.7</v>
      </c>
      <c r="DI72">
        <v>28072.6</v>
      </c>
      <c r="DJ72">
        <v>37927.300000000003</v>
      </c>
      <c r="DK72">
        <v>36768.199999999997</v>
      </c>
      <c r="DL72">
        <v>44352.9</v>
      </c>
      <c r="DM72">
        <v>42548.7</v>
      </c>
      <c r="DN72">
        <v>1.46913</v>
      </c>
      <c r="DO72">
        <v>2.0483500000000001</v>
      </c>
      <c r="DP72">
        <v>0.160243</v>
      </c>
      <c r="DQ72">
        <v>0.132434</v>
      </c>
      <c r="DR72">
        <v>24.264099999999999</v>
      </c>
      <c r="DS72">
        <v>24.087</v>
      </c>
      <c r="DT72">
        <v>57.7</v>
      </c>
      <c r="DU72">
        <v>28.7</v>
      </c>
      <c r="DV72">
        <v>23.107800000000001</v>
      </c>
      <c r="DW72">
        <v>61.113</v>
      </c>
      <c r="DX72">
        <v>36.770800000000001</v>
      </c>
      <c r="DY72">
        <v>1</v>
      </c>
      <c r="DZ72">
        <v>-7.4591000000000005E-2</v>
      </c>
      <c r="EA72">
        <v>-1.6426099999999999</v>
      </c>
      <c r="EB72">
        <v>20.170300000000001</v>
      </c>
      <c r="EC72">
        <v>5.24125</v>
      </c>
      <c r="ED72">
        <v>12.039899999999999</v>
      </c>
      <c r="EE72">
        <v>5.0172999999999996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</v>
      </c>
      <c r="EL72">
        <v>1.8646199999999999</v>
      </c>
      <c r="EM72">
        <v>1.86921</v>
      </c>
      <c r="EN72">
        <v>1.86724</v>
      </c>
      <c r="EO72">
        <v>1.8633999999999999</v>
      </c>
      <c r="EP72">
        <v>1.86446</v>
      </c>
      <c r="EQ72">
        <v>1.8702000000000001</v>
      </c>
      <c r="ER72">
        <v>1.8693900000000001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-0.17899999999999999</v>
      </c>
      <c r="FG72">
        <v>0.17519999999999999</v>
      </c>
      <c r="FH72">
        <v>0.28746640474027818</v>
      </c>
      <c r="FI72">
        <v>-6.1462078757559423E-4</v>
      </c>
      <c r="FJ72">
        <v>-1.8861989874597051E-7</v>
      </c>
      <c r="FK72">
        <v>1.1980462299894961E-10</v>
      </c>
      <c r="FL72">
        <v>0.17524818673008091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18.600000000000001</v>
      </c>
      <c r="FU72">
        <v>18.600000000000001</v>
      </c>
      <c r="FV72">
        <v>1.78833</v>
      </c>
      <c r="FW72">
        <v>2.5805699999999998</v>
      </c>
      <c r="FX72">
        <v>1.5490699999999999</v>
      </c>
      <c r="FY72">
        <v>2.3315399999999999</v>
      </c>
      <c r="FZ72">
        <v>1.50146</v>
      </c>
      <c r="GA72">
        <v>2.2814899999999998</v>
      </c>
      <c r="GB72">
        <v>33.535499999999999</v>
      </c>
      <c r="GC72">
        <v>23.973700000000001</v>
      </c>
      <c r="GD72">
        <v>19</v>
      </c>
      <c r="GE72">
        <v>280.435</v>
      </c>
      <c r="GF72">
        <v>594.44299999999998</v>
      </c>
      <c r="GG72">
        <v>22.232299999999999</v>
      </c>
      <c r="GH72">
        <v>26.3643</v>
      </c>
      <c r="GI72">
        <v>29.996300000000002</v>
      </c>
      <c r="GJ72">
        <v>26.4802</v>
      </c>
      <c r="GK72">
        <v>26.453700000000001</v>
      </c>
      <c r="GL72">
        <v>35.753799999999998</v>
      </c>
      <c r="GM72">
        <v>43.876399999999997</v>
      </c>
      <c r="GN72">
        <v>90.886600000000001</v>
      </c>
      <c r="GO72">
        <v>21.933</v>
      </c>
      <c r="GP72">
        <v>800</v>
      </c>
      <c r="GQ72">
        <v>14.1214</v>
      </c>
      <c r="GR72">
        <v>99.719899999999996</v>
      </c>
      <c r="GS72">
        <v>99.535899999999998</v>
      </c>
    </row>
    <row r="73" spans="1:201" x14ac:dyDescent="0.25">
      <c r="A73">
        <v>57</v>
      </c>
      <c r="B73">
        <v>1690383085.5999999</v>
      </c>
      <c r="C73">
        <v>610.5</v>
      </c>
      <c r="D73" t="s">
        <v>445</v>
      </c>
      <c r="E73" t="s">
        <v>446</v>
      </c>
      <c r="F73" t="s">
        <v>330</v>
      </c>
      <c r="H73">
        <v>1690383085.5999999</v>
      </c>
      <c r="I73">
        <f t="shared" si="0"/>
        <v>7.4486638403766978E-4</v>
      </c>
      <c r="J73">
        <f t="shared" si="1"/>
        <v>0.7448663840376698</v>
      </c>
      <c r="K73">
        <f t="shared" si="2"/>
        <v>10.909587782501966</v>
      </c>
      <c r="L73">
        <f t="shared" si="3"/>
        <v>675.78399999999999</v>
      </c>
      <c r="M73">
        <f t="shared" si="4"/>
        <v>329.15043102632416</v>
      </c>
      <c r="N73">
        <f t="shared" si="5"/>
        <v>32.52080034317693</v>
      </c>
      <c r="O73">
        <f t="shared" si="6"/>
        <v>66.768973902257599</v>
      </c>
      <c r="P73">
        <f t="shared" si="7"/>
        <v>5.2702456156965574E-2</v>
      </c>
      <c r="Q73">
        <f t="shared" si="8"/>
        <v>2.1104409866003824</v>
      </c>
      <c r="R73">
        <f t="shared" si="9"/>
        <v>5.1982075948291753E-2</v>
      </c>
      <c r="S73">
        <f t="shared" si="10"/>
        <v>3.2552700402988535E-2</v>
      </c>
      <c r="T73">
        <f t="shared" si="11"/>
        <v>276.11483138819239</v>
      </c>
      <c r="U73">
        <f t="shared" si="12"/>
        <v>26.800857902483642</v>
      </c>
      <c r="V73">
        <f t="shared" si="13"/>
        <v>26.800857902483642</v>
      </c>
      <c r="W73">
        <f t="shared" si="14"/>
        <v>3.5375105433438074</v>
      </c>
      <c r="X73">
        <f t="shared" si="15"/>
        <v>68.594073964775276</v>
      </c>
      <c r="Y73">
        <f t="shared" si="16"/>
        <v>2.1625834597632001</v>
      </c>
      <c r="Z73">
        <f t="shared" si="17"/>
        <v>3.1527263723594245</v>
      </c>
      <c r="AA73">
        <f t="shared" si="18"/>
        <v>1.3749270835806073</v>
      </c>
      <c r="AB73">
        <f t="shared" si="19"/>
        <v>-32.848607536061238</v>
      </c>
      <c r="AC73">
        <f t="shared" si="20"/>
        <v>-221.13431463592127</v>
      </c>
      <c r="AD73">
        <f t="shared" si="21"/>
        <v>-22.349473481549765</v>
      </c>
      <c r="AE73">
        <f t="shared" si="22"/>
        <v>-0.21756426533988815</v>
      </c>
      <c r="AF73">
        <v>0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52579.035342639916</v>
      </c>
      <c r="AK73">
        <f t="shared" si="26"/>
        <v>1799.99</v>
      </c>
      <c r="AL73">
        <f t="shared" si="27"/>
        <v>1499.1024854065897</v>
      </c>
      <c r="AM73">
        <f t="shared" si="28"/>
        <v>0.8328393409999999</v>
      </c>
      <c r="AN73">
        <f t="shared" si="29"/>
        <v>0.15339798076</v>
      </c>
      <c r="AO73">
        <v>32.700000000000003</v>
      </c>
      <c r="AP73">
        <v>0.5</v>
      </c>
      <c r="AQ73" t="s">
        <v>331</v>
      </c>
      <c r="AR73">
        <v>2</v>
      </c>
      <c r="AS73">
        <v>1690383085.5999999</v>
      </c>
      <c r="AT73">
        <v>675.78399999999999</v>
      </c>
      <c r="AU73">
        <v>800.13300000000004</v>
      </c>
      <c r="AV73">
        <v>21.888000000000002</v>
      </c>
      <c r="AW73">
        <v>13.95</v>
      </c>
      <c r="AX73">
        <v>675.96100000000001</v>
      </c>
      <c r="AY73">
        <v>21.712700000000002</v>
      </c>
      <c r="AZ73">
        <v>300.12599999999998</v>
      </c>
      <c r="BA73">
        <v>98.702299999999994</v>
      </c>
      <c r="BB73">
        <v>9.99414E-2</v>
      </c>
      <c r="BC73">
        <v>24.857299999999999</v>
      </c>
      <c r="BD73">
        <v>27.076599999999999</v>
      </c>
      <c r="BE73">
        <v>26.486799999999999</v>
      </c>
      <c r="BF73">
        <v>0</v>
      </c>
      <c r="BG73">
        <v>0</v>
      </c>
      <c r="BH73">
        <v>10002.5</v>
      </c>
      <c r="BI73">
        <v>1050.5899999999999</v>
      </c>
      <c r="BJ73">
        <v>2.4108399999999999</v>
      </c>
      <c r="BK73">
        <v>-124.349</v>
      </c>
      <c r="BL73">
        <v>690.90700000000004</v>
      </c>
      <c r="BM73">
        <v>811.45299999999997</v>
      </c>
      <c r="BN73">
        <v>7.9379999999999997</v>
      </c>
      <c r="BO73">
        <v>800.13300000000004</v>
      </c>
      <c r="BP73">
        <v>13.95</v>
      </c>
      <c r="BQ73">
        <v>2.1604000000000001</v>
      </c>
      <c r="BR73">
        <v>1.3769</v>
      </c>
      <c r="BS73">
        <v>18.671600000000002</v>
      </c>
      <c r="BT73">
        <v>11.6656</v>
      </c>
      <c r="BU73">
        <v>1799.99</v>
      </c>
      <c r="BV73">
        <v>0.90998299999999999</v>
      </c>
      <c r="BW73">
        <v>3.4004300000000001E-2</v>
      </c>
      <c r="BX73">
        <v>2.2005299999999998E-2</v>
      </c>
      <c r="BY73">
        <v>3.4007999999999997E-2</v>
      </c>
      <c r="BZ73">
        <v>25</v>
      </c>
      <c r="CA73">
        <v>33528.1</v>
      </c>
      <c r="CB73">
        <v>1690381960.0999999</v>
      </c>
      <c r="CC73" t="s">
        <v>332</v>
      </c>
      <c r="CD73">
        <v>1690381960.0999999</v>
      </c>
      <c r="CE73">
        <v>1690381958.0999999</v>
      </c>
      <c r="CF73">
        <v>4</v>
      </c>
      <c r="CG73">
        <v>9.9000000000000005E-2</v>
      </c>
      <c r="CH73">
        <v>1.2E-2</v>
      </c>
      <c r="CI73">
        <v>-0.26300000000000001</v>
      </c>
      <c r="CJ73">
        <v>0.127</v>
      </c>
      <c r="CK73">
        <v>798</v>
      </c>
      <c r="CL73">
        <v>18</v>
      </c>
      <c r="CM73">
        <v>0.02</v>
      </c>
      <c r="CN73">
        <v>0.12</v>
      </c>
      <c r="CO73">
        <v>-120.7287804878049</v>
      </c>
      <c r="CP73">
        <v>-21.994285714285709</v>
      </c>
      <c r="CQ73">
        <v>2.1734984669791562</v>
      </c>
      <c r="CR73">
        <v>-1</v>
      </c>
      <c r="CS73">
        <v>6.4269290243902439</v>
      </c>
      <c r="CT73">
        <v>8.489101463414638</v>
      </c>
      <c r="CU73">
        <v>0.86225737093443011</v>
      </c>
      <c r="CV73">
        <v>-1</v>
      </c>
      <c r="CW73">
        <v>0</v>
      </c>
      <c r="CX73">
        <v>0</v>
      </c>
      <c r="CY73" t="s">
        <v>333</v>
      </c>
      <c r="CZ73">
        <v>2.3642400000000001</v>
      </c>
      <c r="DA73">
        <v>2.71373</v>
      </c>
      <c r="DB73">
        <v>0.130354</v>
      </c>
      <c r="DC73">
        <v>0.14568500000000001</v>
      </c>
      <c r="DD73">
        <v>0.106304</v>
      </c>
      <c r="DE73">
        <v>7.5728199999999996E-2</v>
      </c>
      <c r="DF73">
        <v>31749.599999999999</v>
      </c>
      <c r="DG73">
        <v>27524.6</v>
      </c>
      <c r="DH73">
        <v>31167.9</v>
      </c>
      <c r="DI73">
        <v>28074</v>
      </c>
      <c r="DJ73">
        <v>37818.199999999997</v>
      </c>
      <c r="DK73">
        <v>36897</v>
      </c>
      <c r="DL73">
        <v>44354.400000000001</v>
      </c>
      <c r="DM73">
        <v>42550.6</v>
      </c>
      <c r="DN73">
        <v>1.4656499999999999</v>
      </c>
      <c r="DO73">
        <v>2.0480999999999998</v>
      </c>
      <c r="DP73">
        <v>0.17324800000000001</v>
      </c>
      <c r="DQ73">
        <v>0.148226</v>
      </c>
      <c r="DR73">
        <v>24.237100000000002</v>
      </c>
      <c r="DS73">
        <v>24.055800000000001</v>
      </c>
      <c r="DT73">
        <v>57.6</v>
      </c>
      <c r="DU73">
        <v>28.7</v>
      </c>
      <c r="DV73">
        <v>23.064699999999998</v>
      </c>
      <c r="DW73">
        <v>60.953000000000003</v>
      </c>
      <c r="DX73">
        <v>36.522399999999998</v>
      </c>
      <c r="DY73">
        <v>1</v>
      </c>
      <c r="DZ73">
        <v>-8.1102599999999997E-2</v>
      </c>
      <c r="EA73">
        <v>1.2355400000000001</v>
      </c>
      <c r="EB73">
        <v>20.1843</v>
      </c>
      <c r="EC73">
        <v>5.2408000000000001</v>
      </c>
      <c r="ED73">
        <v>12.039899999999999</v>
      </c>
      <c r="EE73">
        <v>5.0171999999999999</v>
      </c>
      <c r="EF73">
        <v>3.2879499999999999</v>
      </c>
      <c r="EG73">
        <v>9999</v>
      </c>
      <c r="EH73">
        <v>9999</v>
      </c>
      <c r="EI73">
        <v>9999</v>
      </c>
      <c r="EJ73">
        <v>999.9</v>
      </c>
      <c r="EK73">
        <v>1.8689</v>
      </c>
      <c r="EL73">
        <v>1.86463</v>
      </c>
      <c r="EM73">
        <v>1.8692</v>
      </c>
      <c r="EN73">
        <v>1.8672299999999999</v>
      </c>
      <c r="EO73">
        <v>1.8633999999999999</v>
      </c>
      <c r="EP73">
        <v>1.8644700000000001</v>
      </c>
      <c r="EQ73">
        <v>1.87016</v>
      </c>
      <c r="ER73">
        <v>1.86941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-0.17699999999999999</v>
      </c>
      <c r="FG73">
        <v>0.17530000000000001</v>
      </c>
      <c r="FH73">
        <v>0.28746640474027818</v>
      </c>
      <c r="FI73">
        <v>-6.1462078757559423E-4</v>
      </c>
      <c r="FJ73">
        <v>-1.8861989874597051E-7</v>
      </c>
      <c r="FK73">
        <v>1.1980462299894961E-10</v>
      </c>
      <c r="FL73">
        <v>0.17524818673008091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18.8</v>
      </c>
      <c r="FU73">
        <v>18.8</v>
      </c>
      <c r="FV73">
        <v>1.78711</v>
      </c>
      <c r="FW73">
        <v>2.5744600000000002</v>
      </c>
      <c r="FX73">
        <v>1.5490699999999999</v>
      </c>
      <c r="FY73">
        <v>2.3315399999999999</v>
      </c>
      <c r="FZ73">
        <v>1.50146</v>
      </c>
      <c r="GA73">
        <v>2.32178</v>
      </c>
      <c r="GB73">
        <v>33.535499999999999</v>
      </c>
      <c r="GC73">
        <v>23.982399999999998</v>
      </c>
      <c r="GD73">
        <v>19</v>
      </c>
      <c r="GE73">
        <v>278.99400000000003</v>
      </c>
      <c r="GF73">
        <v>594.18200000000002</v>
      </c>
      <c r="GG73">
        <v>22.2516</v>
      </c>
      <c r="GH73">
        <v>26.368600000000001</v>
      </c>
      <c r="GI73">
        <v>29.9983</v>
      </c>
      <c r="GJ73">
        <v>26.486699999999999</v>
      </c>
      <c r="GK73">
        <v>26.449300000000001</v>
      </c>
      <c r="GL73">
        <v>35.7378</v>
      </c>
      <c r="GM73">
        <v>45.637700000000002</v>
      </c>
      <c r="GN73">
        <v>90.143799999999999</v>
      </c>
      <c r="GO73">
        <v>22.018899999999999</v>
      </c>
      <c r="GP73">
        <v>800</v>
      </c>
      <c r="GQ73">
        <v>13.723599999999999</v>
      </c>
      <c r="GR73">
        <v>99.723299999999995</v>
      </c>
      <c r="GS73">
        <v>99.540400000000005</v>
      </c>
    </row>
    <row r="74" spans="1:201" x14ac:dyDescent="0.25">
      <c r="A74">
        <v>58</v>
      </c>
      <c r="B74">
        <v>1690383095.5999999</v>
      </c>
      <c r="C74">
        <v>620.5</v>
      </c>
      <c r="D74" t="s">
        <v>447</v>
      </c>
      <c r="E74" t="s">
        <v>448</v>
      </c>
      <c r="F74" t="s">
        <v>330</v>
      </c>
      <c r="H74">
        <v>1690383095.5999999</v>
      </c>
      <c r="I74">
        <f t="shared" si="0"/>
        <v>7.5025699826748303E-4</v>
      </c>
      <c r="J74">
        <f t="shared" si="1"/>
        <v>0.75025699826748304</v>
      </c>
      <c r="K74">
        <f t="shared" si="2"/>
        <v>11.15382174719903</v>
      </c>
      <c r="L74">
        <f t="shared" si="3"/>
        <v>672.95299999999997</v>
      </c>
      <c r="M74">
        <f t="shared" si="4"/>
        <v>314.53782638698374</v>
      </c>
      <c r="N74">
        <f t="shared" si="5"/>
        <v>31.076144435346418</v>
      </c>
      <c r="O74">
        <f t="shared" si="6"/>
        <v>66.487343879810993</v>
      </c>
      <c r="P74">
        <f t="shared" si="7"/>
        <v>5.204853885915111E-2</v>
      </c>
      <c r="Q74">
        <f t="shared" si="8"/>
        <v>2.1099028494743353</v>
      </c>
      <c r="R74">
        <f t="shared" si="9"/>
        <v>5.1345619139198821E-2</v>
      </c>
      <c r="S74">
        <f t="shared" si="10"/>
        <v>3.2153375602487058E-2</v>
      </c>
      <c r="T74">
        <f t="shared" si="11"/>
        <v>276.11450827198752</v>
      </c>
      <c r="U74">
        <f t="shared" si="12"/>
        <v>26.85460773760018</v>
      </c>
      <c r="V74">
        <f t="shared" si="13"/>
        <v>26.85460773760018</v>
      </c>
      <c r="W74">
        <f t="shared" si="14"/>
        <v>3.5487100351295711</v>
      </c>
      <c r="X74">
        <f t="shared" si="15"/>
        <v>67.865124048517927</v>
      </c>
      <c r="Y74">
        <f t="shared" si="16"/>
        <v>2.1466735609812</v>
      </c>
      <c r="Z74">
        <f t="shared" si="17"/>
        <v>3.1631468903622815</v>
      </c>
      <c r="AA74">
        <f t="shared" si="18"/>
        <v>1.4020364741483711</v>
      </c>
      <c r="AB74">
        <f t="shared" si="19"/>
        <v>-33.086333623596005</v>
      </c>
      <c r="AC74">
        <f t="shared" si="20"/>
        <v>-220.90159820623128</v>
      </c>
      <c r="AD74">
        <f t="shared" si="21"/>
        <v>-22.343873527287251</v>
      </c>
      <c r="AE74">
        <f t="shared" si="22"/>
        <v>-0.21729708512702928</v>
      </c>
      <c r="AF74">
        <v>0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52545.599481298028</v>
      </c>
      <c r="AK74">
        <f t="shared" si="26"/>
        <v>1799.99</v>
      </c>
      <c r="AL74">
        <f t="shared" si="27"/>
        <v>1499.1011066142498</v>
      </c>
      <c r="AM74">
        <f t="shared" si="28"/>
        <v>0.83283857499999991</v>
      </c>
      <c r="AN74">
        <f t="shared" si="29"/>
        <v>0.15339780125000002</v>
      </c>
      <c r="AO74">
        <v>32.700000000000003</v>
      </c>
      <c r="AP74">
        <v>0.5</v>
      </c>
      <c r="AQ74" t="s">
        <v>331</v>
      </c>
      <c r="AR74">
        <v>2</v>
      </c>
      <c r="AS74">
        <v>1690383095.5999999</v>
      </c>
      <c r="AT74">
        <v>672.95299999999997</v>
      </c>
      <c r="AU74">
        <v>799.95799999999997</v>
      </c>
      <c r="AV74">
        <v>21.727599999999999</v>
      </c>
      <c r="AW74">
        <v>13.732200000000001</v>
      </c>
      <c r="AX74">
        <v>673.12800000000004</v>
      </c>
      <c r="AY74">
        <v>21.552299999999999</v>
      </c>
      <c r="AZ74">
        <v>300.17700000000002</v>
      </c>
      <c r="BA74">
        <v>98.699299999999994</v>
      </c>
      <c r="BB74">
        <v>0.100087</v>
      </c>
      <c r="BC74">
        <v>24.912600000000001</v>
      </c>
      <c r="BD74">
        <v>27.1509</v>
      </c>
      <c r="BE74">
        <v>26.588000000000001</v>
      </c>
      <c r="BF74">
        <v>0</v>
      </c>
      <c r="BG74">
        <v>0</v>
      </c>
      <c r="BH74">
        <v>9998.1200000000008</v>
      </c>
      <c r="BI74">
        <v>1050.82</v>
      </c>
      <c r="BJ74">
        <v>2.4108399999999999</v>
      </c>
      <c r="BK74">
        <v>-127.005</v>
      </c>
      <c r="BL74">
        <v>687.899</v>
      </c>
      <c r="BM74">
        <v>811.096</v>
      </c>
      <c r="BN74">
        <v>7.9954099999999997</v>
      </c>
      <c r="BO74">
        <v>799.95799999999997</v>
      </c>
      <c r="BP74">
        <v>13.732200000000001</v>
      </c>
      <c r="BQ74">
        <v>2.1444999999999999</v>
      </c>
      <c r="BR74">
        <v>1.3553500000000001</v>
      </c>
      <c r="BS74">
        <v>18.553599999999999</v>
      </c>
      <c r="BT74">
        <v>11.427099999999999</v>
      </c>
      <c r="BU74">
        <v>1799.99</v>
      </c>
      <c r="BV74">
        <v>0.90998299999999999</v>
      </c>
      <c r="BW74">
        <v>3.4003899999999997E-2</v>
      </c>
      <c r="BX74">
        <v>2.2005E-2</v>
      </c>
      <c r="BY74">
        <v>3.4007700000000002E-2</v>
      </c>
      <c r="BZ74">
        <v>25</v>
      </c>
      <c r="CA74">
        <v>33528.1</v>
      </c>
      <c r="CB74">
        <v>1690381960.0999999</v>
      </c>
      <c r="CC74" t="s">
        <v>332</v>
      </c>
      <c r="CD74">
        <v>1690381960.0999999</v>
      </c>
      <c r="CE74">
        <v>1690381958.0999999</v>
      </c>
      <c r="CF74">
        <v>4</v>
      </c>
      <c r="CG74">
        <v>9.9000000000000005E-2</v>
      </c>
      <c r="CH74">
        <v>1.2E-2</v>
      </c>
      <c r="CI74">
        <v>-0.26300000000000001</v>
      </c>
      <c r="CJ74">
        <v>0.127</v>
      </c>
      <c r="CK74">
        <v>798</v>
      </c>
      <c r="CL74">
        <v>18</v>
      </c>
      <c r="CM74">
        <v>0.02</v>
      </c>
      <c r="CN74">
        <v>0.12</v>
      </c>
      <c r="CO74">
        <v>-124.25154999999999</v>
      </c>
      <c r="CP74">
        <v>-17.04303939962438</v>
      </c>
      <c r="CQ74">
        <v>1.641826192841374</v>
      </c>
      <c r="CR74">
        <v>-1</v>
      </c>
      <c r="CS74">
        <v>7.6529117499999986</v>
      </c>
      <c r="CT74">
        <v>4.4621730956848058</v>
      </c>
      <c r="CU74">
        <v>0.49057366426403021</v>
      </c>
      <c r="CV74">
        <v>-1</v>
      </c>
      <c r="CW74">
        <v>0</v>
      </c>
      <c r="CX74">
        <v>0</v>
      </c>
      <c r="CY74" t="s">
        <v>333</v>
      </c>
      <c r="CZ74">
        <v>2.3643999999999998</v>
      </c>
      <c r="DA74">
        <v>2.7138800000000001</v>
      </c>
      <c r="DB74">
        <v>0.12997400000000001</v>
      </c>
      <c r="DC74">
        <v>0.14565600000000001</v>
      </c>
      <c r="DD74">
        <v>0.10574600000000001</v>
      </c>
      <c r="DE74">
        <v>7.4849700000000005E-2</v>
      </c>
      <c r="DF74">
        <v>31763.5</v>
      </c>
      <c r="DG74">
        <v>27524.799999999999</v>
      </c>
      <c r="DH74">
        <v>31167.9</v>
      </c>
      <c r="DI74">
        <v>28073.3</v>
      </c>
      <c r="DJ74">
        <v>37842.1</v>
      </c>
      <c r="DK74">
        <v>36931.300000000003</v>
      </c>
      <c r="DL74">
        <v>44354.400000000001</v>
      </c>
      <c r="DM74">
        <v>42549.5</v>
      </c>
      <c r="DN74">
        <v>1.4654499999999999</v>
      </c>
      <c r="DO74">
        <v>2.0478999999999998</v>
      </c>
      <c r="DP74">
        <v>0.17896300000000001</v>
      </c>
      <c r="DQ74">
        <v>0.15504699999999999</v>
      </c>
      <c r="DR74">
        <v>24.2178</v>
      </c>
      <c r="DS74">
        <v>24.045300000000001</v>
      </c>
      <c r="DT74">
        <v>57.5</v>
      </c>
      <c r="DU74">
        <v>28.7</v>
      </c>
      <c r="DV74">
        <v>23.025200000000002</v>
      </c>
      <c r="DW74">
        <v>61.152999999999999</v>
      </c>
      <c r="DX74">
        <v>36.133800000000001</v>
      </c>
      <c r="DY74">
        <v>1</v>
      </c>
      <c r="DZ74">
        <v>-7.8905000000000003E-2</v>
      </c>
      <c r="EA74">
        <v>2.0244499999999999</v>
      </c>
      <c r="EB74">
        <v>20.174700000000001</v>
      </c>
      <c r="EC74">
        <v>5.2409499999999998</v>
      </c>
      <c r="ED74">
        <v>12.039899999999999</v>
      </c>
      <c r="EE74">
        <v>5.0174500000000002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</v>
      </c>
      <c r="EL74">
        <v>1.86463</v>
      </c>
      <c r="EM74">
        <v>1.8692</v>
      </c>
      <c r="EN74">
        <v>1.8672299999999999</v>
      </c>
      <c r="EO74">
        <v>1.8633999999999999</v>
      </c>
      <c r="EP74">
        <v>1.86446</v>
      </c>
      <c r="EQ74">
        <v>1.8701700000000001</v>
      </c>
      <c r="ER74">
        <v>1.86941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-0.17499999999999999</v>
      </c>
      <c r="FG74">
        <v>0.17530000000000001</v>
      </c>
      <c r="FH74">
        <v>0.28746640474027818</v>
      </c>
      <c r="FI74">
        <v>-6.1462078757559423E-4</v>
      </c>
      <c r="FJ74">
        <v>-1.8861989874597051E-7</v>
      </c>
      <c r="FK74">
        <v>1.1980462299894961E-10</v>
      </c>
      <c r="FL74">
        <v>0.17524818673008091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18.899999999999999</v>
      </c>
      <c r="FU74">
        <v>19</v>
      </c>
      <c r="FV74">
        <v>1.78711</v>
      </c>
      <c r="FW74">
        <v>2.5756800000000002</v>
      </c>
      <c r="FX74">
        <v>1.5490699999999999</v>
      </c>
      <c r="FY74">
        <v>2.3315399999999999</v>
      </c>
      <c r="FZ74">
        <v>1.50146</v>
      </c>
      <c r="GA74">
        <v>2.4023400000000001</v>
      </c>
      <c r="GB74">
        <v>33.535499999999999</v>
      </c>
      <c r="GC74">
        <v>23.982399999999998</v>
      </c>
      <c r="GD74">
        <v>19</v>
      </c>
      <c r="GE74">
        <v>278.87700000000001</v>
      </c>
      <c r="GF74">
        <v>594.01400000000001</v>
      </c>
      <c r="GG74">
        <v>22.0044</v>
      </c>
      <c r="GH74">
        <v>26.369900000000001</v>
      </c>
      <c r="GI74">
        <v>30.000900000000001</v>
      </c>
      <c r="GJ74">
        <v>26.479299999999999</v>
      </c>
      <c r="GK74">
        <v>26.449300000000001</v>
      </c>
      <c r="GL74">
        <v>35.731200000000001</v>
      </c>
      <c r="GM74">
        <v>45.950600000000001</v>
      </c>
      <c r="GN74">
        <v>89.772999999999996</v>
      </c>
      <c r="GO74">
        <v>21.783799999999999</v>
      </c>
      <c r="GP74">
        <v>800</v>
      </c>
      <c r="GQ74">
        <v>13.755699999999999</v>
      </c>
      <c r="GR74">
        <v>99.723399999999998</v>
      </c>
      <c r="GS74">
        <v>99.537999999999997</v>
      </c>
    </row>
    <row r="75" spans="1:201" x14ac:dyDescent="0.25">
      <c r="A75">
        <v>59</v>
      </c>
      <c r="B75">
        <v>1690383105.5999999</v>
      </c>
      <c r="C75">
        <v>630.5</v>
      </c>
      <c r="D75" t="s">
        <v>449</v>
      </c>
      <c r="E75" t="s">
        <v>450</v>
      </c>
      <c r="F75" t="s">
        <v>330</v>
      </c>
      <c r="H75">
        <v>1690383105.5999999</v>
      </c>
      <c r="I75">
        <f t="shared" si="0"/>
        <v>7.3279901732339881E-4</v>
      </c>
      <c r="J75">
        <f t="shared" si="1"/>
        <v>0.7327990173233988</v>
      </c>
      <c r="K75">
        <f t="shared" si="2"/>
        <v>11.462586653216103</v>
      </c>
      <c r="L75">
        <f t="shared" si="3"/>
        <v>669.88499999999999</v>
      </c>
      <c r="M75">
        <f t="shared" si="4"/>
        <v>287.44905849398089</v>
      </c>
      <c r="N75">
        <f t="shared" si="5"/>
        <v>28.400417613094309</v>
      </c>
      <c r="O75">
        <f t="shared" si="6"/>
        <v>66.1856881787145</v>
      </c>
      <c r="P75">
        <f t="shared" si="7"/>
        <v>4.9979573843227897E-2</v>
      </c>
      <c r="Q75">
        <f t="shared" si="8"/>
        <v>2.1116498229788494</v>
      </c>
      <c r="R75">
        <f t="shared" si="9"/>
        <v>4.9331580058032093E-2</v>
      </c>
      <c r="S75">
        <f t="shared" si="10"/>
        <v>3.0889757210979821E-2</v>
      </c>
      <c r="T75">
        <f t="shared" si="11"/>
        <v>276.11438076069589</v>
      </c>
      <c r="U75">
        <f t="shared" si="12"/>
        <v>26.852805373116432</v>
      </c>
      <c r="V75">
        <f t="shared" si="13"/>
        <v>26.852805373116432</v>
      </c>
      <c r="W75">
        <f t="shared" si="14"/>
        <v>3.548333987592371</v>
      </c>
      <c r="X75">
        <f t="shared" si="15"/>
        <v>67.136447141498891</v>
      </c>
      <c r="Y75">
        <f t="shared" si="16"/>
        <v>2.1228010828183494</v>
      </c>
      <c r="Z75">
        <f t="shared" si="17"/>
        <v>3.1619204965438028</v>
      </c>
      <c r="AA75">
        <f t="shared" si="18"/>
        <v>1.4255329047740215</v>
      </c>
      <c r="AB75">
        <f t="shared" si="19"/>
        <v>-32.316436663961888</v>
      </c>
      <c r="AC75">
        <f t="shared" si="20"/>
        <v>-221.61929616782282</v>
      </c>
      <c r="AD75">
        <f t="shared" si="21"/>
        <v>-22.396990336143237</v>
      </c>
      <c r="AE75">
        <f t="shared" si="22"/>
        <v>-0.21834240723205767</v>
      </c>
      <c r="AF75">
        <v>0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52623.471214153207</v>
      </c>
      <c r="AK75">
        <f t="shared" si="26"/>
        <v>1799.99</v>
      </c>
      <c r="AL75">
        <f t="shared" si="27"/>
        <v>1499.10154041184</v>
      </c>
      <c r="AM75">
        <f t="shared" si="28"/>
        <v>0.83283881599999998</v>
      </c>
      <c r="AN75">
        <f t="shared" si="29"/>
        <v>0.15339773040999999</v>
      </c>
      <c r="AO75">
        <v>32.700000000000003</v>
      </c>
      <c r="AP75">
        <v>0.5</v>
      </c>
      <c r="AQ75" t="s">
        <v>331</v>
      </c>
      <c r="AR75">
        <v>2</v>
      </c>
      <c r="AS75">
        <v>1690383105.5999999</v>
      </c>
      <c r="AT75">
        <v>669.88499999999999</v>
      </c>
      <c r="AU75">
        <v>800.11800000000005</v>
      </c>
      <c r="AV75">
        <v>21.485499999999998</v>
      </c>
      <c r="AW75">
        <v>13.6732</v>
      </c>
      <c r="AX75">
        <v>670.05700000000002</v>
      </c>
      <c r="AY75">
        <v>21.310199999999998</v>
      </c>
      <c r="AZ75">
        <v>300.13799999999998</v>
      </c>
      <c r="BA75">
        <v>98.701599999999999</v>
      </c>
      <c r="BB75">
        <v>9.9967700000000007E-2</v>
      </c>
      <c r="BC75">
        <v>24.906099999999999</v>
      </c>
      <c r="BD75">
        <v>27.178000000000001</v>
      </c>
      <c r="BE75">
        <v>26.591200000000001</v>
      </c>
      <c r="BF75">
        <v>0</v>
      </c>
      <c r="BG75">
        <v>0</v>
      </c>
      <c r="BH75">
        <v>10013.1</v>
      </c>
      <c r="BI75">
        <v>1050.78</v>
      </c>
      <c r="BJ75">
        <v>2.4108399999999999</v>
      </c>
      <c r="BK75">
        <v>-130.233</v>
      </c>
      <c r="BL75">
        <v>684.59299999999996</v>
      </c>
      <c r="BM75">
        <v>811.21</v>
      </c>
      <c r="BN75">
        <v>7.8122499999999997</v>
      </c>
      <c r="BO75">
        <v>800.11800000000005</v>
      </c>
      <c r="BP75">
        <v>13.6732</v>
      </c>
      <c r="BQ75">
        <v>2.1206499999999999</v>
      </c>
      <c r="BR75">
        <v>1.3495699999999999</v>
      </c>
      <c r="BS75">
        <v>18.3751</v>
      </c>
      <c r="BT75">
        <v>11.362500000000001</v>
      </c>
      <c r="BU75">
        <v>1799.99</v>
      </c>
      <c r="BV75">
        <v>0.90998599999999996</v>
      </c>
      <c r="BW75">
        <v>3.40028E-2</v>
      </c>
      <c r="BX75">
        <v>2.2004300000000001E-2</v>
      </c>
      <c r="BY75">
        <v>3.4006500000000002E-2</v>
      </c>
      <c r="BZ75">
        <v>25</v>
      </c>
      <c r="CA75">
        <v>33528.1</v>
      </c>
      <c r="CB75">
        <v>1690381960.0999999</v>
      </c>
      <c r="CC75" t="s">
        <v>332</v>
      </c>
      <c r="CD75">
        <v>1690381960.0999999</v>
      </c>
      <c r="CE75">
        <v>1690381958.0999999</v>
      </c>
      <c r="CF75">
        <v>4</v>
      </c>
      <c r="CG75">
        <v>9.9000000000000005E-2</v>
      </c>
      <c r="CH75">
        <v>1.2E-2</v>
      </c>
      <c r="CI75">
        <v>-0.26300000000000001</v>
      </c>
      <c r="CJ75">
        <v>0.127</v>
      </c>
      <c r="CK75">
        <v>798</v>
      </c>
      <c r="CL75">
        <v>18</v>
      </c>
      <c r="CM75">
        <v>0.02</v>
      </c>
      <c r="CN75">
        <v>0.12</v>
      </c>
      <c r="CO75">
        <v>-126.8862195121951</v>
      </c>
      <c r="CP75">
        <v>-17.201790940767061</v>
      </c>
      <c r="CQ75">
        <v>1.697876371037242</v>
      </c>
      <c r="CR75">
        <v>-1</v>
      </c>
      <c r="CS75">
        <v>7.9563634146341462</v>
      </c>
      <c r="CT75">
        <v>-0.41734808362367187</v>
      </c>
      <c r="CU75">
        <v>6.4066687116600407E-2</v>
      </c>
      <c r="CV75">
        <v>-1</v>
      </c>
      <c r="CW75">
        <v>0</v>
      </c>
      <c r="CX75">
        <v>0</v>
      </c>
      <c r="CY75" t="s">
        <v>333</v>
      </c>
      <c r="CZ75">
        <v>2.36429</v>
      </c>
      <c r="DA75">
        <v>2.7137699999999998</v>
      </c>
      <c r="DB75">
        <v>0.12956500000000001</v>
      </c>
      <c r="DC75">
        <v>0.145677</v>
      </c>
      <c r="DD75">
        <v>0.104906</v>
      </c>
      <c r="DE75">
        <v>7.4612800000000007E-2</v>
      </c>
      <c r="DF75">
        <v>31776.7</v>
      </c>
      <c r="DG75">
        <v>27523.4</v>
      </c>
      <c r="DH75">
        <v>31166.2</v>
      </c>
      <c r="DI75">
        <v>28072.5</v>
      </c>
      <c r="DJ75">
        <v>37875.800000000003</v>
      </c>
      <c r="DK75">
        <v>36939.599999999999</v>
      </c>
      <c r="DL75">
        <v>44352</v>
      </c>
      <c r="DM75">
        <v>42548.2</v>
      </c>
      <c r="DN75">
        <v>1.4650799999999999</v>
      </c>
      <c r="DO75">
        <v>2.04752</v>
      </c>
      <c r="DP75">
        <v>0.18151800000000001</v>
      </c>
      <c r="DQ75">
        <v>0.15545999999999999</v>
      </c>
      <c r="DR75">
        <v>24.203099999999999</v>
      </c>
      <c r="DS75">
        <v>24.041799999999999</v>
      </c>
      <c r="DT75">
        <v>57.5</v>
      </c>
      <c r="DU75">
        <v>28.7</v>
      </c>
      <c r="DV75">
        <v>23.022400000000001</v>
      </c>
      <c r="DW75">
        <v>60.843000000000004</v>
      </c>
      <c r="DX75">
        <v>36.041699999999999</v>
      </c>
      <c r="DY75">
        <v>1</v>
      </c>
      <c r="DZ75">
        <v>-7.7220499999999997E-2</v>
      </c>
      <c r="EA75">
        <v>2.55626</v>
      </c>
      <c r="EB75">
        <v>20.165900000000001</v>
      </c>
      <c r="EC75">
        <v>5.2406499999999996</v>
      </c>
      <c r="ED75">
        <v>12.039899999999999</v>
      </c>
      <c r="EE75">
        <v>5.0171000000000001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</v>
      </c>
      <c r="EL75">
        <v>1.8646199999999999</v>
      </c>
      <c r="EM75">
        <v>1.86921</v>
      </c>
      <c r="EN75">
        <v>1.8672299999999999</v>
      </c>
      <c r="EO75">
        <v>1.8633999999999999</v>
      </c>
      <c r="EP75">
        <v>1.8644499999999999</v>
      </c>
      <c r="EQ75">
        <v>1.87015</v>
      </c>
      <c r="ER75">
        <v>1.8694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-0.17199999999999999</v>
      </c>
      <c r="FG75">
        <v>0.17530000000000001</v>
      </c>
      <c r="FH75">
        <v>0.28746640474027818</v>
      </c>
      <c r="FI75">
        <v>-6.1462078757559423E-4</v>
      </c>
      <c r="FJ75">
        <v>-1.8861989874597051E-7</v>
      </c>
      <c r="FK75">
        <v>1.1980462299894961E-10</v>
      </c>
      <c r="FL75">
        <v>0.17524818673008091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19.100000000000001</v>
      </c>
      <c r="FU75">
        <v>19.100000000000001</v>
      </c>
      <c r="FV75">
        <v>1.78711</v>
      </c>
      <c r="FW75">
        <v>2.5695800000000002</v>
      </c>
      <c r="FX75">
        <v>1.5490699999999999</v>
      </c>
      <c r="FY75">
        <v>2.3315399999999999</v>
      </c>
      <c r="FZ75">
        <v>1.50146</v>
      </c>
      <c r="GA75">
        <v>2.3706100000000001</v>
      </c>
      <c r="GB75">
        <v>33.535499999999999</v>
      </c>
      <c r="GC75">
        <v>23.973700000000001</v>
      </c>
      <c r="GD75">
        <v>19</v>
      </c>
      <c r="GE75">
        <v>278.69799999999998</v>
      </c>
      <c r="GF75">
        <v>593.72500000000002</v>
      </c>
      <c r="GG75">
        <v>21.6221</v>
      </c>
      <c r="GH75">
        <v>26.370799999999999</v>
      </c>
      <c r="GI75">
        <v>30.001000000000001</v>
      </c>
      <c r="GJ75">
        <v>26.474699999999999</v>
      </c>
      <c r="GK75">
        <v>26.451599999999999</v>
      </c>
      <c r="GL75">
        <v>35.726100000000002</v>
      </c>
      <c r="GM75">
        <v>45.677</v>
      </c>
      <c r="GN75">
        <v>89.394999999999996</v>
      </c>
      <c r="GO75">
        <v>21.416799999999999</v>
      </c>
      <c r="GP75">
        <v>800</v>
      </c>
      <c r="GQ75">
        <v>13.7903</v>
      </c>
      <c r="GR75">
        <v>99.718000000000004</v>
      </c>
      <c r="GS75">
        <v>99.534999999999997</v>
      </c>
    </row>
    <row r="76" spans="1:201" x14ac:dyDescent="0.25">
      <c r="A76">
        <v>60</v>
      </c>
      <c r="B76">
        <v>1690383115.5999999</v>
      </c>
      <c r="C76">
        <v>640.5</v>
      </c>
      <c r="D76" t="s">
        <v>451</v>
      </c>
      <c r="E76" t="s">
        <v>452</v>
      </c>
      <c r="F76" t="s">
        <v>330</v>
      </c>
      <c r="H76">
        <v>1690383115.5999999</v>
      </c>
      <c r="I76">
        <f t="shared" si="0"/>
        <v>7.1355618188510025E-4</v>
      </c>
      <c r="J76">
        <f t="shared" si="1"/>
        <v>0.71355618188510028</v>
      </c>
      <c r="K76">
        <f t="shared" si="2"/>
        <v>11.764653380423152</v>
      </c>
      <c r="L76">
        <f t="shared" si="3"/>
        <v>666.58100000000002</v>
      </c>
      <c r="M76">
        <f t="shared" si="4"/>
        <v>260.99816679660574</v>
      </c>
      <c r="N76">
        <f t="shared" si="5"/>
        <v>25.787172456616425</v>
      </c>
      <c r="O76">
        <f t="shared" si="6"/>
        <v>65.859616618301004</v>
      </c>
      <c r="P76">
        <f t="shared" si="7"/>
        <v>4.8234296913680731E-2</v>
      </c>
      <c r="Q76">
        <f t="shared" si="8"/>
        <v>2.1121604568186965</v>
      </c>
      <c r="R76">
        <f t="shared" si="9"/>
        <v>4.7630617766400603E-2</v>
      </c>
      <c r="S76">
        <f t="shared" si="10"/>
        <v>2.9822744738027783E-2</v>
      </c>
      <c r="T76">
        <f t="shared" si="11"/>
        <v>276.11596070999997</v>
      </c>
      <c r="U76">
        <f t="shared" si="12"/>
        <v>26.82342877188842</v>
      </c>
      <c r="V76">
        <f t="shared" si="13"/>
        <v>26.82342877188842</v>
      </c>
      <c r="W76">
        <f t="shared" si="14"/>
        <v>3.5422097198482998</v>
      </c>
      <c r="X76">
        <f t="shared" si="15"/>
        <v>66.695126606796293</v>
      </c>
      <c r="Y76">
        <f t="shared" si="16"/>
        <v>2.1043468543305996</v>
      </c>
      <c r="Z76">
        <f t="shared" si="17"/>
        <v>3.1551733408302201</v>
      </c>
      <c r="AA76">
        <f t="shared" si="18"/>
        <v>1.4378628655177002</v>
      </c>
      <c r="AB76">
        <f t="shared" si="19"/>
        <v>-31.467827621132923</v>
      </c>
      <c r="AC76">
        <f t="shared" si="20"/>
        <v>-222.40432510951246</v>
      </c>
      <c r="AD76">
        <f t="shared" si="21"/>
        <v>-22.463544109559802</v>
      </c>
      <c r="AE76">
        <f t="shared" si="22"/>
        <v>-0.21973613020520588</v>
      </c>
      <c r="AF76">
        <v>0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52652.235415670686</v>
      </c>
      <c r="AK76">
        <f t="shared" si="26"/>
        <v>1800</v>
      </c>
      <c r="AL76">
        <f t="shared" si="27"/>
        <v>1499.1114059999998</v>
      </c>
      <c r="AM76">
        <f t="shared" si="28"/>
        <v>0.83283966999999992</v>
      </c>
      <c r="AN76">
        <f t="shared" si="29"/>
        <v>0.15339775594999999</v>
      </c>
      <c r="AO76">
        <v>32.700000000000003</v>
      </c>
      <c r="AP76">
        <v>0.5</v>
      </c>
      <c r="AQ76" t="s">
        <v>331</v>
      </c>
      <c r="AR76">
        <v>2</v>
      </c>
      <c r="AS76">
        <v>1690383115.5999999</v>
      </c>
      <c r="AT76">
        <v>666.58100000000002</v>
      </c>
      <c r="AU76">
        <v>799.93</v>
      </c>
      <c r="AV76">
        <v>21.2986</v>
      </c>
      <c r="AW76">
        <v>13.6905</v>
      </c>
      <c r="AX76">
        <v>666.75199999999995</v>
      </c>
      <c r="AY76">
        <v>21.1234</v>
      </c>
      <c r="AZ76">
        <v>300.15800000000002</v>
      </c>
      <c r="BA76">
        <v>98.702100000000002</v>
      </c>
      <c r="BB76">
        <v>0.100021</v>
      </c>
      <c r="BC76">
        <v>24.8703</v>
      </c>
      <c r="BD76">
        <v>27.188400000000001</v>
      </c>
      <c r="BE76">
        <v>26.5764</v>
      </c>
      <c r="BF76">
        <v>0</v>
      </c>
      <c r="BG76">
        <v>0</v>
      </c>
      <c r="BH76">
        <v>10017.5</v>
      </c>
      <c r="BI76">
        <v>1050.6600000000001</v>
      </c>
      <c r="BJ76">
        <v>2.4108399999999999</v>
      </c>
      <c r="BK76">
        <v>-133.34899999999999</v>
      </c>
      <c r="BL76">
        <v>681.08799999999997</v>
      </c>
      <c r="BM76">
        <v>811.03399999999999</v>
      </c>
      <c r="BN76">
        <v>7.6080800000000002</v>
      </c>
      <c r="BO76">
        <v>799.93</v>
      </c>
      <c r="BP76">
        <v>13.6905</v>
      </c>
      <c r="BQ76">
        <v>2.10222</v>
      </c>
      <c r="BR76">
        <v>1.35128</v>
      </c>
      <c r="BS76">
        <v>18.236000000000001</v>
      </c>
      <c r="BT76">
        <v>11.3817</v>
      </c>
      <c r="BU76">
        <v>1800</v>
      </c>
      <c r="BV76">
        <v>0.90998999999999997</v>
      </c>
      <c r="BW76">
        <v>3.4001499999999997E-2</v>
      </c>
      <c r="BX76">
        <v>2.2003499999999999E-2</v>
      </c>
      <c r="BY76">
        <v>3.4005300000000002E-2</v>
      </c>
      <c r="BZ76">
        <v>25</v>
      </c>
      <c r="CA76">
        <v>33528.400000000001</v>
      </c>
      <c r="CB76">
        <v>1690381960.0999999</v>
      </c>
      <c r="CC76" t="s">
        <v>332</v>
      </c>
      <c r="CD76">
        <v>1690381960.0999999</v>
      </c>
      <c r="CE76">
        <v>1690381958.0999999</v>
      </c>
      <c r="CF76">
        <v>4</v>
      </c>
      <c r="CG76">
        <v>9.9000000000000005E-2</v>
      </c>
      <c r="CH76">
        <v>1.2E-2</v>
      </c>
      <c r="CI76">
        <v>-0.26300000000000001</v>
      </c>
      <c r="CJ76">
        <v>0.127</v>
      </c>
      <c r="CK76">
        <v>798</v>
      </c>
      <c r="CL76">
        <v>18</v>
      </c>
      <c r="CM76">
        <v>0.02</v>
      </c>
      <c r="CN76">
        <v>0.12</v>
      </c>
      <c r="CO76">
        <v>-129.87956097560979</v>
      </c>
      <c r="CP76">
        <v>-18.833080139372861</v>
      </c>
      <c r="CQ76">
        <v>1.8582285827621341</v>
      </c>
      <c r="CR76">
        <v>-1</v>
      </c>
      <c r="CS76">
        <v>7.8222982926829268</v>
      </c>
      <c r="CT76">
        <v>-1.165206271776988</v>
      </c>
      <c r="CU76">
        <v>0.1150039084999105</v>
      </c>
      <c r="CV76">
        <v>-1</v>
      </c>
      <c r="CW76">
        <v>0</v>
      </c>
      <c r="CX76">
        <v>0</v>
      </c>
      <c r="CY76" t="s">
        <v>333</v>
      </c>
      <c r="CZ76">
        <v>2.3643200000000002</v>
      </c>
      <c r="DA76">
        <v>2.7138300000000002</v>
      </c>
      <c r="DB76">
        <v>0.12912100000000001</v>
      </c>
      <c r="DC76">
        <v>0.14565500000000001</v>
      </c>
      <c r="DD76">
        <v>0.104253</v>
      </c>
      <c r="DE76">
        <v>7.4683200000000005E-2</v>
      </c>
      <c r="DF76">
        <v>31792.5</v>
      </c>
      <c r="DG76">
        <v>27523.4</v>
      </c>
      <c r="DH76">
        <v>31165.9</v>
      </c>
      <c r="DI76">
        <v>28071.8</v>
      </c>
      <c r="DJ76">
        <v>37903.300000000003</v>
      </c>
      <c r="DK76">
        <v>36936.199999999997</v>
      </c>
      <c r="DL76">
        <v>44351.6</v>
      </c>
      <c r="DM76">
        <v>42547.5</v>
      </c>
      <c r="DN76">
        <v>1.4650799999999999</v>
      </c>
      <c r="DO76">
        <v>2.0479500000000002</v>
      </c>
      <c r="DP76">
        <v>0.182893</v>
      </c>
      <c r="DQ76">
        <v>0.15474099999999999</v>
      </c>
      <c r="DR76">
        <v>24.190899999999999</v>
      </c>
      <c r="DS76">
        <v>24.038799999999998</v>
      </c>
      <c r="DT76">
        <v>57.4</v>
      </c>
      <c r="DU76">
        <v>28.7</v>
      </c>
      <c r="DV76">
        <v>22.984999999999999</v>
      </c>
      <c r="DW76">
        <v>60.442999999999998</v>
      </c>
      <c r="DX76">
        <v>35.885399999999997</v>
      </c>
      <c r="DY76">
        <v>1</v>
      </c>
      <c r="DZ76">
        <v>-7.6028999999999999E-2</v>
      </c>
      <c r="EA76">
        <v>2.8696199999999998</v>
      </c>
      <c r="EB76">
        <v>20.159700000000001</v>
      </c>
      <c r="EC76">
        <v>5.2408000000000001</v>
      </c>
      <c r="ED76">
        <v>12.039899999999999</v>
      </c>
      <c r="EE76">
        <v>5.0172999999999996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</v>
      </c>
      <c r="EL76">
        <v>1.86463</v>
      </c>
      <c r="EM76">
        <v>1.8692</v>
      </c>
      <c r="EN76">
        <v>1.8672299999999999</v>
      </c>
      <c r="EO76">
        <v>1.8633999999999999</v>
      </c>
      <c r="EP76">
        <v>1.86446</v>
      </c>
      <c r="EQ76">
        <v>1.87015</v>
      </c>
      <c r="ER76">
        <v>1.8694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-0.17100000000000001</v>
      </c>
      <c r="FG76">
        <v>0.17519999999999999</v>
      </c>
      <c r="FH76">
        <v>0.28746640474027818</v>
      </c>
      <c r="FI76">
        <v>-6.1462078757559423E-4</v>
      </c>
      <c r="FJ76">
        <v>-1.8861989874597051E-7</v>
      </c>
      <c r="FK76">
        <v>1.1980462299894961E-10</v>
      </c>
      <c r="FL76">
        <v>0.17524818673008091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19.3</v>
      </c>
      <c r="FU76">
        <v>19.3</v>
      </c>
      <c r="FV76">
        <v>1.78711</v>
      </c>
      <c r="FW76">
        <v>2.5708000000000002</v>
      </c>
      <c r="FX76">
        <v>1.5490699999999999</v>
      </c>
      <c r="FY76">
        <v>2.3315399999999999</v>
      </c>
      <c r="FZ76">
        <v>1.50146</v>
      </c>
      <c r="GA76">
        <v>2.3828100000000001</v>
      </c>
      <c r="GB76">
        <v>33.535499999999999</v>
      </c>
      <c r="GC76">
        <v>23.9649</v>
      </c>
      <c r="GD76">
        <v>19</v>
      </c>
      <c r="GE76">
        <v>278.69799999999998</v>
      </c>
      <c r="GF76">
        <v>594.08199999999999</v>
      </c>
      <c r="GG76">
        <v>21.212900000000001</v>
      </c>
      <c r="GH76">
        <v>26.370799999999999</v>
      </c>
      <c r="GI76">
        <v>30.000800000000002</v>
      </c>
      <c r="GJ76">
        <v>26.474699999999999</v>
      </c>
      <c r="GK76">
        <v>26.451599999999999</v>
      </c>
      <c r="GL76">
        <v>35.728499999999997</v>
      </c>
      <c r="GM76">
        <v>45.112400000000001</v>
      </c>
      <c r="GN76">
        <v>88.643699999999995</v>
      </c>
      <c r="GO76">
        <v>21.005700000000001</v>
      </c>
      <c r="GP76">
        <v>800</v>
      </c>
      <c r="GQ76">
        <v>13.8165</v>
      </c>
      <c r="GR76">
        <v>99.716999999999999</v>
      </c>
      <c r="GS76">
        <v>99.533100000000005</v>
      </c>
    </row>
    <row r="77" spans="1:201" x14ac:dyDescent="0.25">
      <c r="A77">
        <v>61</v>
      </c>
      <c r="B77">
        <v>1690383125.5999999</v>
      </c>
      <c r="C77">
        <v>650.5</v>
      </c>
      <c r="D77" t="s">
        <v>453</v>
      </c>
      <c r="E77" t="s">
        <v>454</v>
      </c>
      <c r="F77" t="s">
        <v>330</v>
      </c>
      <c r="H77">
        <v>1690383125.5999999</v>
      </c>
      <c r="I77">
        <f t="shared" si="0"/>
        <v>6.9677676071986121E-4</v>
      </c>
      <c r="J77">
        <f t="shared" si="1"/>
        <v>0.69677676071986117</v>
      </c>
      <c r="K77">
        <f t="shared" si="2"/>
        <v>12.097321083556743</v>
      </c>
      <c r="L77">
        <f t="shared" si="3"/>
        <v>663.15599999999995</v>
      </c>
      <c r="M77">
        <f t="shared" si="4"/>
        <v>236.37651850281947</v>
      </c>
      <c r="N77">
        <f t="shared" si="5"/>
        <v>23.354880530609986</v>
      </c>
      <c r="O77">
        <f t="shared" si="6"/>
        <v>65.522283056099994</v>
      </c>
      <c r="P77">
        <f t="shared" si="7"/>
        <v>4.7020861687676822E-2</v>
      </c>
      <c r="Q77">
        <f t="shared" si="8"/>
        <v>2.1091643641658822</v>
      </c>
      <c r="R77">
        <f t="shared" si="9"/>
        <v>4.644617477419561E-2</v>
      </c>
      <c r="S77">
        <f t="shared" si="10"/>
        <v>2.9079907302996755E-2</v>
      </c>
      <c r="T77">
        <f t="shared" si="11"/>
        <v>276.11735804880038</v>
      </c>
      <c r="U77">
        <f t="shared" si="12"/>
        <v>26.774879624208598</v>
      </c>
      <c r="V77">
        <f t="shared" si="13"/>
        <v>26.774879624208598</v>
      </c>
      <c r="W77">
        <f t="shared" si="14"/>
        <v>3.5321086938316508</v>
      </c>
      <c r="X77">
        <f t="shared" si="15"/>
        <v>66.532089042263891</v>
      </c>
      <c r="Y77">
        <f t="shared" si="16"/>
        <v>2.0920601927775002</v>
      </c>
      <c r="Z77">
        <f t="shared" si="17"/>
        <v>3.1444378538129749</v>
      </c>
      <c r="AA77">
        <f t="shared" si="18"/>
        <v>1.4400485010541506</v>
      </c>
      <c r="AB77">
        <f t="shared" si="19"/>
        <v>-30.727855147745878</v>
      </c>
      <c r="AC77">
        <f t="shared" si="20"/>
        <v>-223.06115647507769</v>
      </c>
      <c r="AD77">
        <f t="shared" si="21"/>
        <v>-22.549930236575769</v>
      </c>
      <c r="AE77">
        <f t="shared" si="22"/>
        <v>-0.2215838105989576</v>
      </c>
      <c r="AF77">
        <v>0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52530.832594500222</v>
      </c>
      <c r="AK77">
        <f t="shared" si="26"/>
        <v>1800.01</v>
      </c>
      <c r="AL77">
        <f t="shared" si="27"/>
        <v>1499.1194715952399</v>
      </c>
      <c r="AM77">
        <f t="shared" si="28"/>
        <v>0.83283952399999994</v>
      </c>
      <c r="AN77">
        <f t="shared" si="29"/>
        <v>0.15339768003999998</v>
      </c>
      <c r="AO77">
        <v>32.700000000000003</v>
      </c>
      <c r="AP77">
        <v>0.5</v>
      </c>
      <c r="AQ77" t="s">
        <v>331</v>
      </c>
      <c r="AR77">
        <v>2</v>
      </c>
      <c r="AS77">
        <v>1690383125.5999999</v>
      </c>
      <c r="AT77">
        <v>663.15599999999995</v>
      </c>
      <c r="AU77">
        <v>799.96400000000006</v>
      </c>
      <c r="AV77">
        <v>21.1739</v>
      </c>
      <c r="AW77">
        <v>13.7447</v>
      </c>
      <c r="AX77">
        <v>663.32399999999996</v>
      </c>
      <c r="AY77">
        <v>20.998699999999999</v>
      </c>
      <c r="AZ77">
        <v>300.19600000000003</v>
      </c>
      <c r="BA77">
        <v>98.703699999999998</v>
      </c>
      <c r="BB77">
        <v>0.100025</v>
      </c>
      <c r="BC77">
        <v>24.813199999999998</v>
      </c>
      <c r="BD77">
        <v>27.1206</v>
      </c>
      <c r="BE77">
        <v>26.517600000000002</v>
      </c>
      <c r="BF77">
        <v>0</v>
      </c>
      <c r="BG77">
        <v>0</v>
      </c>
      <c r="BH77">
        <v>9991.25</v>
      </c>
      <c r="BI77">
        <v>1050.54</v>
      </c>
      <c r="BJ77">
        <v>2.4108399999999999</v>
      </c>
      <c r="BK77">
        <v>-136.80799999999999</v>
      </c>
      <c r="BL77">
        <v>677.50099999999998</v>
      </c>
      <c r="BM77">
        <v>811.11199999999997</v>
      </c>
      <c r="BN77">
        <v>7.4292100000000003</v>
      </c>
      <c r="BO77">
        <v>799.96400000000006</v>
      </c>
      <c r="BP77">
        <v>13.7447</v>
      </c>
      <c r="BQ77">
        <v>2.08995</v>
      </c>
      <c r="BR77">
        <v>1.35666</v>
      </c>
      <c r="BS77">
        <v>18.142800000000001</v>
      </c>
      <c r="BT77">
        <v>11.441700000000001</v>
      </c>
      <c r="BU77">
        <v>1800.01</v>
      </c>
      <c r="BV77">
        <v>0.90999099999999999</v>
      </c>
      <c r="BW77">
        <v>3.4001000000000003E-2</v>
      </c>
      <c r="BX77">
        <v>2.2003200000000001E-2</v>
      </c>
      <c r="BY77">
        <v>3.4004800000000002E-2</v>
      </c>
      <c r="BZ77">
        <v>25</v>
      </c>
      <c r="CA77">
        <v>33528.400000000001</v>
      </c>
      <c r="CB77">
        <v>1690381960.0999999</v>
      </c>
      <c r="CC77" t="s">
        <v>332</v>
      </c>
      <c r="CD77">
        <v>1690381960.0999999</v>
      </c>
      <c r="CE77">
        <v>1690381958.0999999</v>
      </c>
      <c r="CF77">
        <v>4</v>
      </c>
      <c r="CG77">
        <v>9.9000000000000005E-2</v>
      </c>
      <c r="CH77">
        <v>1.2E-2</v>
      </c>
      <c r="CI77">
        <v>-0.26300000000000001</v>
      </c>
      <c r="CJ77">
        <v>0.127</v>
      </c>
      <c r="CK77">
        <v>798</v>
      </c>
      <c r="CL77">
        <v>18</v>
      </c>
      <c r="CM77">
        <v>0.02</v>
      </c>
      <c r="CN77">
        <v>0.12</v>
      </c>
      <c r="CO77">
        <v>-133.34257500000001</v>
      </c>
      <c r="CP77">
        <v>-20.037174484052279</v>
      </c>
      <c r="CQ77">
        <v>1.9295052589653661</v>
      </c>
      <c r="CR77">
        <v>-1</v>
      </c>
      <c r="CS77">
        <v>7.6063762499999994</v>
      </c>
      <c r="CT77">
        <v>-1.2370947467167031</v>
      </c>
      <c r="CU77">
        <v>0.1195374600635194</v>
      </c>
      <c r="CV77">
        <v>-1</v>
      </c>
      <c r="CW77">
        <v>0</v>
      </c>
      <c r="CX77">
        <v>0</v>
      </c>
      <c r="CY77" t="s">
        <v>333</v>
      </c>
      <c r="CZ77">
        <v>2.3644599999999998</v>
      </c>
      <c r="DA77">
        <v>2.7138100000000001</v>
      </c>
      <c r="DB77">
        <v>0.128663</v>
      </c>
      <c r="DC77">
        <v>0.14566299999999999</v>
      </c>
      <c r="DD77">
        <v>0.10381799999999999</v>
      </c>
      <c r="DE77">
        <v>7.4903600000000001E-2</v>
      </c>
      <c r="DF77">
        <v>31809</v>
      </c>
      <c r="DG77">
        <v>27522.7</v>
      </c>
      <c r="DH77">
        <v>31165.599999999999</v>
      </c>
      <c r="DI77">
        <v>28071.3</v>
      </c>
      <c r="DJ77">
        <v>37921.5</v>
      </c>
      <c r="DK77">
        <v>36926.5</v>
      </c>
      <c r="DL77">
        <v>44351.1</v>
      </c>
      <c r="DM77">
        <v>42546.6</v>
      </c>
      <c r="DN77">
        <v>1.4650300000000001</v>
      </c>
      <c r="DO77">
        <v>2.0476000000000001</v>
      </c>
      <c r="DP77">
        <v>0.17942900000000001</v>
      </c>
      <c r="DQ77">
        <v>0.15151899999999999</v>
      </c>
      <c r="DR77">
        <v>24.1797</v>
      </c>
      <c r="DS77">
        <v>24.032599999999999</v>
      </c>
      <c r="DT77">
        <v>57.3</v>
      </c>
      <c r="DU77">
        <v>28.7</v>
      </c>
      <c r="DV77">
        <v>22.943200000000001</v>
      </c>
      <c r="DW77">
        <v>60.912999999999997</v>
      </c>
      <c r="DX77">
        <v>35.793300000000002</v>
      </c>
      <c r="DY77">
        <v>1</v>
      </c>
      <c r="DZ77">
        <v>-7.5233700000000001E-2</v>
      </c>
      <c r="EA77">
        <v>3.02779</v>
      </c>
      <c r="EB77">
        <v>20.156500000000001</v>
      </c>
      <c r="EC77">
        <v>5.2409499999999998</v>
      </c>
      <c r="ED77">
        <v>12.039899999999999</v>
      </c>
      <c r="EE77">
        <v>5.0174500000000002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</v>
      </c>
      <c r="EL77">
        <v>1.8646199999999999</v>
      </c>
      <c r="EM77">
        <v>1.8692</v>
      </c>
      <c r="EN77">
        <v>1.8672299999999999</v>
      </c>
      <c r="EO77">
        <v>1.8633900000000001</v>
      </c>
      <c r="EP77">
        <v>1.8644700000000001</v>
      </c>
      <c r="EQ77">
        <v>1.87018</v>
      </c>
      <c r="ER77">
        <v>1.86938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-0.16800000000000001</v>
      </c>
      <c r="FG77">
        <v>0.17519999999999999</v>
      </c>
      <c r="FH77">
        <v>0.28746640474027818</v>
      </c>
      <c r="FI77">
        <v>-6.1462078757559423E-4</v>
      </c>
      <c r="FJ77">
        <v>-1.8861989874597051E-7</v>
      </c>
      <c r="FK77">
        <v>1.1980462299894961E-10</v>
      </c>
      <c r="FL77">
        <v>0.17524818673008091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19.399999999999999</v>
      </c>
      <c r="FU77">
        <v>19.5</v>
      </c>
      <c r="FV77">
        <v>1.78711</v>
      </c>
      <c r="FW77">
        <v>2.5756800000000002</v>
      </c>
      <c r="FX77">
        <v>1.5490699999999999</v>
      </c>
      <c r="FY77">
        <v>2.3315399999999999</v>
      </c>
      <c r="FZ77">
        <v>1.50024</v>
      </c>
      <c r="GA77">
        <v>2.3950200000000001</v>
      </c>
      <c r="GB77">
        <v>33.558</v>
      </c>
      <c r="GC77">
        <v>23.9649</v>
      </c>
      <c r="GD77">
        <v>19</v>
      </c>
      <c r="GE77">
        <v>278.67700000000002</v>
      </c>
      <c r="GF77">
        <v>593.78800000000001</v>
      </c>
      <c r="GG77">
        <v>20.806100000000001</v>
      </c>
      <c r="GH77">
        <v>26.369</v>
      </c>
      <c r="GI77">
        <v>30.000499999999999</v>
      </c>
      <c r="GJ77">
        <v>26.474699999999999</v>
      </c>
      <c r="GK77">
        <v>26.451599999999999</v>
      </c>
      <c r="GL77">
        <v>35.726599999999998</v>
      </c>
      <c r="GM77">
        <v>44.819299999999998</v>
      </c>
      <c r="GN77">
        <v>88.250200000000007</v>
      </c>
      <c r="GO77">
        <v>20.684999999999999</v>
      </c>
      <c r="GP77">
        <v>800</v>
      </c>
      <c r="GQ77">
        <v>13.8309</v>
      </c>
      <c r="GR77">
        <v>99.715900000000005</v>
      </c>
      <c r="GS77">
        <v>99.531099999999995</v>
      </c>
    </row>
    <row r="78" spans="1:201" x14ac:dyDescent="0.25">
      <c r="A78">
        <v>62</v>
      </c>
      <c r="B78">
        <v>1690383135.5999999</v>
      </c>
      <c r="C78">
        <v>660.5</v>
      </c>
      <c r="D78" t="s">
        <v>455</v>
      </c>
      <c r="E78" t="s">
        <v>456</v>
      </c>
      <c r="F78" t="s">
        <v>330</v>
      </c>
      <c r="H78">
        <v>1690383135.5999999</v>
      </c>
      <c r="I78">
        <f t="shared" si="0"/>
        <v>6.8966197451701423E-4</v>
      </c>
      <c r="J78">
        <f t="shared" si="1"/>
        <v>0.68966197451701428</v>
      </c>
      <c r="K78">
        <f t="shared" si="2"/>
        <v>12.417901985165326</v>
      </c>
      <c r="L78">
        <f t="shared" si="3"/>
        <v>659.71799999999996</v>
      </c>
      <c r="M78">
        <f t="shared" si="4"/>
        <v>219.6084819768399</v>
      </c>
      <c r="N78">
        <f t="shared" si="5"/>
        <v>21.697770939845011</v>
      </c>
      <c r="O78">
        <f t="shared" si="6"/>
        <v>65.1814990024032</v>
      </c>
      <c r="P78">
        <f t="shared" si="7"/>
        <v>4.6733997443790282E-2</v>
      </c>
      <c r="Q78">
        <f t="shared" si="8"/>
        <v>2.1098641944860965</v>
      </c>
      <c r="R78">
        <f t="shared" si="9"/>
        <v>4.6166441415203055E-2</v>
      </c>
      <c r="S78">
        <f t="shared" si="10"/>
        <v>2.8904444196543193E-2</v>
      </c>
      <c r="T78">
        <f t="shared" si="11"/>
        <v>276.115726026</v>
      </c>
      <c r="U78">
        <f t="shared" si="12"/>
        <v>26.713097370644171</v>
      </c>
      <c r="V78">
        <f t="shared" si="13"/>
        <v>26.713097370644171</v>
      </c>
      <c r="W78">
        <f t="shared" si="14"/>
        <v>3.5192907865729981</v>
      </c>
      <c r="X78">
        <f t="shared" si="15"/>
        <v>66.566668568508263</v>
      </c>
      <c r="Y78">
        <f t="shared" si="16"/>
        <v>2.08518788633328</v>
      </c>
      <c r="Z78">
        <f t="shared" si="17"/>
        <v>3.1324804608289387</v>
      </c>
      <c r="AA78">
        <f t="shared" si="18"/>
        <v>1.4341029002397181</v>
      </c>
      <c r="AB78">
        <f t="shared" si="19"/>
        <v>-30.414093076200327</v>
      </c>
      <c r="AC78">
        <f t="shared" si="20"/>
        <v>-223.36468178108652</v>
      </c>
      <c r="AD78">
        <f t="shared" si="21"/>
        <v>-22.558897133512961</v>
      </c>
      <c r="AE78">
        <f t="shared" si="22"/>
        <v>-0.22194596479980078</v>
      </c>
      <c r="AF78">
        <v>0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52572.764598408998</v>
      </c>
      <c r="AK78">
        <f t="shared" si="26"/>
        <v>1800</v>
      </c>
      <c r="AL78">
        <f t="shared" si="27"/>
        <v>1499.1107256</v>
      </c>
      <c r="AM78">
        <f t="shared" si="28"/>
        <v>0.83283929199999995</v>
      </c>
      <c r="AN78">
        <f t="shared" si="29"/>
        <v>0.15339762557</v>
      </c>
      <c r="AO78">
        <v>32.700000000000003</v>
      </c>
      <c r="AP78">
        <v>0.5</v>
      </c>
      <c r="AQ78" t="s">
        <v>331</v>
      </c>
      <c r="AR78">
        <v>2</v>
      </c>
      <c r="AS78">
        <v>1690383135.5999999</v>
      </c>
      <c r="AT78">
        <v>659.71799999999996</v>
      </c>
      <c r="AU78">
        <v>799.97400000000005</v>
      </c>
      <c r="AV78">
        <v>21.104700000000001</v>
      </c>
      <c r="AW78">
        <v>13.7491</v>
      </c>
      <c r="AX78">
        <v>659.88400000000001</v>
      </c>
      <c r="AY78">
        <v>20.929500000000001</v>
      </c>
      <c r="AZ78">
        <v>300.125</v>
      </c>
      <c r="BA78">
        <v>98.702100000000002</v>
      </c>
      <c r="BB78">
        <v>9.9962400000000007E-2</v>
      </c>
      <c r="BC78">
        <v>24.749400000000001</v>
      </c>
      <c r="BD78">
        <v>27.052399999999999</v>
      </c>
      <c r="BE78">
        <v>26.417000000000002</v>
      </c>
      <c r="BF78">
        <v>0</v>
      </c>
      <c r="BG78">
        <v>0</v>
      </c>
      <c r="BH78">
        <v>9997.5</v>
      </c>
      <c r="BI78">
        <v>1050.3399999999999</v>
      </c>
      <c r="BJ78">
        <v>2.4108399999999999</v>
      </c>
      <c r="BK78">
        <v>-140.256</v>
      </c>
      <c r="BL78">
        <v>673.94100000000003</v>
      </c>
      <c r="BM78">
        <v>811.12599999999998</v>
      </c>
      <c r="BN78">
        <v>7.3555999999999999</v>
      </c>
      <c r="BO78">
        <v>799.97400000000005</v>
      </c>
      <c r="BP78">
        <v>13.7491</v>
      </c>
      <c r="BQ78">
        <v>2.0830799999999998</v>
      </c>
      <c r="BR78">
        <v>1.35707</v>
      </c>
      <c r="BS78">
        <v>18.090399999999999</v>
      </c>
      <c r="BT78">
        <v>11.446199999999999</v>
      </c>
      <c r="BU78">
        <v>1800</v>
      </c>
      <c r="BV78">
        <v>0.90999099999999999</v>
      </c>
      <c r="BW78">
        <v>3.4000900000000001E-2</v>
      </c>
      <c r="BX78">
        <v>2.2003100000000001E-2</v>
      </c>
      <c r="BY78">
        <v>3.4004699999999999E-2</v>
      </c>
      <c r="BZ78">
        <v>25</v>
      </c>
      <c r="CA78">
        <v>33528.199999999997</v>
      </c>
      <c r="CB78">
        <v>1690381960.0999999</v>
      </c>
      <c r="CC78" t="s">
        <v>332</v>
      </c>
      <c r="CD78">
        <v>1690381960.0999999</v>
      </c>
      <c r="CE78">
        <v>1690381958.0999999</v>
      </c>
      <c r="CF78">
        <v>4</v>
      </c>
      <c r="CG78">
        <v>9.9000000000000005E-2</v>
      </c>
      <c r="CH78">
        <v>1.2E-2</v>
      </c>
      <c r="CI78">
        <v>-0.26300000000000001</v>
      </c>
      <c r="CJ78">
        <v>0.127</v>
      </c>
      <c r="CK78">
        <v>798</v>
      </c>
      <c r="CL78">
        <v>18</v>
      </c>
      <c r="CM78">
        <v>0.02</v>
      </c>
      <c r="CN78">
        <v>0.12</v>
      </c>
      <c r="CO78">
        <v>-136.72537500000001</v>
      </c>
      <c r="CP78">
        <v>-20.92942964352692</v>
      </c>
      <c r="CQ78">
        <v>2.0142660535229719</v>
      </c>
      <c r="CR78">
        <v>-1</v>
      </c>
      <c r="CS78">
        <v>7.445246</v>
      </c>
      <c r="CT78">
        <v>-0.70598634146341355</v>
      </c>
      <c r="CU78">
        <v>7.0052904607874736E-2</v>
      </c>
      <c r="CV78">
        <v>-1</v>
      </c>
      <c r="CW78">
        <v>0</v>
      </c>
      <c r="CX78">
        <v>0</v>
      </c>
      <c r="CY78" t="s">
        <v>333</v>
      </c>
      <c r="CZ78">
        <v>2.36422</v>
      </c>
      <c r="DA78">
        <v>2.7137500000000001</v>
      </c>
      <c r="DB78">
        <v>0.12819800000000001</v>
      </c>
      <c r="DC78">
        <v>0.14566200000000001</v>
      </c>
      <c r="DD78">
        <v>0.103572</v>
      </c>
      <c r="DE78">
        <v>7.4919899999999998E-2</v>
      </c>
      <c r="DF78">
        <v>31825.8</v>
      </c>
      <c r="DG78">
        <v>27523</v>
      </c>
      <c r="DH78">
        <v>31165.5</v>
      </c>
      <c r="DI78">
        <v>28071.599999999999</v>
      </c>
      <c r="DJ78">
        <v>37931.800000000003</v>
      </c>
      <c r="DK78">
        <v>36926.300000000003</v>
      </c>
      <c r="DL78">
        <v>44350.9</v>
      </c>
      <c r="DM78">
        <v>42547</v>
      </c>
      <c r="DN78">
        <v>1.46485</v>
      </c>
      <c r="DO78">
        <v>2.0476000000000001</v>
      </c>
      <c r="DP78">
        <v>0.17603099999999999</v>
      </c>
      <c r="DQ78">
        <v>0.146143</v>
      </c>
      <c r="DR78">
        <v>24.167000000000002</v>
      </c>
      <c r="DS78">
        <v>24.02</v>
      </c>
      <c r="DT78">
        <v>57.2</v>
      </c>
      <c r="DU78">
        <v>28.7</v>
      </c>
      <c r="DV78">
        <v>22.908899999999999</v>
      </c>
      <c r="DW78">
        <v>60.902999999999999</v>
      </c>
      <c r="DX78">
        <v>35.745199999999997</v>
      </c>
      <c r="DY78">
        <v>1</v>
      </c>
      <c r="DZ78">
        <v>-7.5975600000000004E-2</v>
      </c>
      <c r="EA78">
        <v>2.8489200000000001</v>
      </c>
      <c r="EB78">
        <v>20.161000000000001</v>
      </c>
      <c r="EC78">
        <v>5.24125</v>
      </c>
      <c r="ED78">
        <v>12.039899999999999</v>
      </c>
      <c r="EE78">
        <v>5.0171999999999999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</v>
      </c>
      <c r="EL78">
        <v>1.86463</v>
      </c>
      <c r="EM78">
        <v>1.8692</v>
      </c>
      <c r="EN78">
        <v>1.8672200000000001</v>
      </c>
      <c r="EO78">
        <v>1.8633999999999999</v>
      </c>
      <c r="EP78">
        <v>1.8644700000000001</v>
      </c>
      <c r="EQ78">
        <v>1.8701700000000001</v>
      </c>
      <c r="ER78">
        <v>1.8694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-0.16600000000000001</v>
      </c>
      <c r="FG78">
        <v>0.17519999999999999</v>
      </c>
      <c r="FH78">
        <v>0.28746640474027818</v>
      </c>
      <c r="FI78">
        <v>-6.1462078757559423E-4</v>
      </c>
      <c r="FJ78">
        <v>-1.8861989874597051E-7</v>
      </c>
      <c r="FK78">
        <v>1.1980462299894961E-10</v>
      </c>
      <c r="FL78">
        <v>0.17524818673008091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19.600000000000001</v>
      </c>
      <c r="FU78">
        <v>19.600000000000001</v>
      </c>
      <c r="FV78">
        <v>1.78711</v>
      </c>
      <c r="FW78">
        <v>2.5744600000000002</v>
      </c>
      <c r="FX78">
        <v>1.5490699999999999</v>
      </c>
      <c r="FY78">
        <v>2.3315399999999999</v>
      </c>
      <c r="FZ78">
        <v>1.50146</v>
      </c>
      <c r="GA78">
        <v>2.3974600000000001</v>
      </c>
      <c r="GB78">
        <v>33.558</v>
      </c>
      <c r="GC78">
        <v>23.973700000000001</v>
      </c>
      <c r="GD78">
        <v>19</v>
      </c>
      <c r="GE78">
        <v>278.60399999999998</v>
      </c>
      <c r="GF78">
        <v>593.78899999999999</v>
      </c>
      <c r="GG78">
        <v>20.529199999999999</v>
      </c>
      <c r="GH78">
        <v>26.368600000000001</v>
      </c>
      <c r="GI78">
        <v>30.0001</v>
      </c>
      <c r="GJ78">
        <v>26.474699999999999</v>
      </c>
      <c r="GK78">
        <v>26.451599999999999</v>
      </c>
      <c r="GL78">
        <v>35.728000000000002</v>
      </c>
      <c r="GM78">
        <v>44.819299999999998</v>
      </c>
      <c r="GN78">
        <v>87.858199999999997</v>
      </c>
      <c r="GO78">
        <v>20.496700000000001</v>
      </c>
      <c r="GP78">
        <v>800</v>
      </c>
      <c r="GQ78">
        <v>13.7174</v>
      </c>
      <c r="GR78">
        <v>99.715599999999995</v>
      </c>
      <c r="GS78">
        <v>99.5321</v>
      </c>
    </row>
    <row r="79" spans="1:201" x14ac:dyDescent="0.25">
      <c r="A79">
        <v>63</v>
      </c>
      <c r="B79">
        <v>1690383145.5999999</v>
      </c>
      <c r="C79">
        <v>670.5</v>
      </c>
      <c r="D79" t="s">
        <v>457</v>
      </c>
      <c r="E79" t="s">
        <v>458</v>
      </c>
      <c r="F79" t="s">
        <v>330</v>
      </c>
      <c r="H79">
        <v>1690383145.5999999</v>
      </c>
      <c r="I79">
        <f t="shared" si="0"/>
        <v>6.9375333008352038E-4</v>
      </c>
      <c r="J79">
        <f t="shared" si="1"/>
        <v>0.69375333008352036</v>
      </c>
      <c r="K79">
        <f t="shared" si="2"/>
        <v>12.738215944096767</v>
      </c>
      <c r="L79">
        <f t="shared" si="3"/>
        <v>656.26400000000001</v>
      </c>
      <c r="M79">
        <f t="shared" si="4"/>
        <v>210.76079941275793</v>
      </c>
      <c r="N79">
        <f t="shared" si="5"/>
        <v>20.823473533563227</v>
      </c>
      <c r="O79">
        <f t="shared" si="6"/>
        <v>64.839837735987999</v>
      </c>
      <c r="P79">
        <f t="shared" si="7"/>
        <v>4.7328306227148009E-2</v>
      </c>
      <c r="Q79">
        <f t="shared" si="8"/>
        <v>2.1085636958408731</v>
      </c>
      <c r="R79">
        <f t="shared" si="9"/>
        <v>4.6745966132902848E-2</v>
      </c>
      <c r="S79">
        <f t="shared" si="10"/>
        <v>2.9267952728146945E-2</v>
      </c>
      <c r="T79">
        <f t="shared" si="11"/>
        <v>276.11563710600007</v>
      </c>
      <c r="U79">
        <f t="shared" si="12"/>
        <v>26.665839370904248</v>
      </c>
      <c r="V79">
        <f t="shared" si="13"/>
        <v>26.665839370904248</v>
      </c>
      <c r="W79">
        <f t="shared" si="14"/>
        <v>3.509513643780982</v>
      </c>
      <c r="X79">
        <f t="shared" si="15"/>
        <v>66.738882203354962</v>
      </c>
      <c r="Y79">
        <f t="shared" si="16"/>
        <v>2.0847205700954499</v>
      </c>
      <c r="Z79">
        <f t="shared" si="17"/>
        <v>3.1236971631368609</v>
      </c>
      <c r="AA79">
        <f t="shared" si="18"/>
        <v>1.4247930736855321</v>
      </c>
      <c r="AB79">
        <f t="shared" si="19"/>
        <v>-30.594521856683247</v>
      </c>
      <c r="AC79">
        <f t="shared" si="20"/>
        <v>-223.19767347563061</v>
      </c>
      <c r="AD79">
        <f t="shared" si="21"/>
        <v>-22.545259402722387</v>
      </c>
      <c r="AE79">
        <f t="shared" si="22"/>
        <v>-0.22181762903619529</v>
      </c>
      <c r="AF79">
        <v>0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52523.982279241929</v>
      </c>
      <c r="AK79">
        <f t="shared" si="26"/>
        <v>1800</v>
      </c>
      <c r="AL79">
        <f t="shared" si="27"/>
        <v>1499.1110046000001</v>
      </c>
      <c r="AM79">
        <f t="shared" si="28"/>
        <v>0.83283944700000001</v>
      </c>
      <c r="AN79">
        <f t="shared" si="29"/>
        <v>0.15339757617000002</v>
      </c>
      <c r="AO79">
        <v>32.700000000000003</v>
      </c>
      <c r="AP79">
        <v>0.5</v>
      </c>
      <c r="AQ79" t="s">
        <v>331</v>
      </c>
      <c r="AR79">
        <v>2</v>
      </c>
      <c r="AS79">
        <v>1690383145.5999999</v>
      </c>
      <c r="AT79">
        <v>656.26400000000001</v>
      </c>
      <c r="AU79">
        <v>800.00800000000004</v>
      </c>
      <c r="AV79">
        <v>21.100100000000001</v>
      </c>
      <c r="AW79">
        <v>13.7011</v>
      </c>
      <c r="AX79">
        <v>656.42700000000002</v>
      </c>
      <c r="AY79">
        <v>20.924800000000001</v>
      </c>
      <c r="AZ79">
        <v>300.13600000000002</v>
      </c>
      <c r="BA79">
        <v>98.701499999999996</v>
      </c>
      <c r="BB79">
        <v>9.9954500000000002E-2</v>
      </c>
      <c r="BC79">
        <v>24.702400000000001</v>
      </c>
      <c r="BD79">
        <v>26.907800000000002</v>
      </c>
      <c r="BE79">
        <v>26.3489</v>
      </c>
      <c r="BF79">
        <v>0</v>
      </c>
      <c r="BG79">
        <v>0</v>
      </c>
      <c r="BH79">
        <v>9986.25</v>
      </c>
      <c r="BI79">
        <v>1050.01</v>
      </c>
      <c r="BJ79">
        <v>2.4108399999999999</v>
      </c>
      <c r="BK79">
        <v>-143.744</v>
      </c>
      <c r="BL79">
        <v>670.41</v>
      </c>
      <c r="BM79">
        <v>811.12099999999998</v>
      </c>
      <c r="BN79">
        <v>7.399</v>
      </c>
      <c r="BO79">
        <v>800.00800000000004</v>
      </c>
      <c r="BP79">
        <v>13.7011</v>
      </c>
      <c r="BQ79">
        <v>2.0826099999999999</v>
      </c>
      <c r="BR79">
        <v>1.35232</v>
      </c>
      <c r="BS79">
        <v>18.0868</v>
      </c>
      <c r="BT79">
        <v>11.3933</v>
      </c>
      <c r="BU79">
        <v>1800</v>
      </c>
      <c r="BV79">
        <v>0.90999300000000005</v>
      </c>
      <c r="BW79">
        <v>3.4000200000000001E-2</v>
      </c>
      <c r="BX79">
        <v>2.2002600000000001E-2</v>
      </c>
      <c r="BY79">
        <v>3.4003899999999997E-2</v>
      </c>
      <c r="BZ79">
        <v>25</v>
      </c>
      <c r="CA79">
        <v>33528.199999999997</v>
      </c>
      <c r="CB79">
        <v>1690381960.0999999</v>
      </c>
      <c r="CC79" t="s">
        <v>332</v>
      </c>
      <c r="CD79">
        <v>1690381960.0999999</v>
      </c>
      <c r="CE79">
        <v>1690381958.0999999</v>
      </c>
      <c r="CF79">
        <v>4</v>
      </c>
      <c r="CG79">
        <v>9.9000000000000005E-2</v>
      </c>
      <c r="CH79">
        <v>1.2E-2</v>
      </c>
      <c r="CI79">
        <v>-0.26300000000000001</v>
      </c>
      <c r="CJ79">
        <v>0.127</v>
      </c>
      <c r="CK79">
        <v>798</v>
      </c>
      <c r="CL79">
        <v>18</v>
      </c>
      <c r="CM79">
        <v>0.02</v>
      </c>
      <c r="CN79">
        <v>0.12</v>
      </c>
      <c r="CO79">
        <v>-140.19065000000001</v>
      </c>
      <c r="CP79">
        <v>-20.921178236397509</v>
      </c>
      <c r="CQ79">
        <v>2.0129156781892279</v>
      </c>
      <c r="CR79">
        <v>-1</v>
      </c>
      <c r="CS79">
        <v>7.3802112499999986</v>
      </c>
      <c r="CT79">
        <v>-0.1228422889305868</v>
      </c>
      <c r="CU79">
        <v>2.1627372723877061E-2</v>
      </c>
      <c r="CV79">
        <v>-1</v>
      </c>
      <c r="CW79">
        <v>0</v>
      </c>
      <c r="CX79">
        <v>0</v>
      </c>
      <c r="CY79" t="s">
        <v>333</v>
      </c>
      <c r="CZ79">
        <v>2.3642500000000002</v>
      </c>
      <c r="DA79">
        <v>2.71373</v>
      </c>
      <c r="DB79">
        <v>0.12773200000000001</v>
      </c>
      <c r="DC79">
        <v>0.14566499999999999</v>
      </c>
      <c r="DD79">
        <v>0.103556</v>
      </c>
      <c r="DE79">
        <v>7.47255E-2</v>
      </c>
      <c r="DF79">
        <v>31842.799999999999</v>
      </c>
      <c r="DG79">
        <v>27523.5</v>
      </c>
      <c r="DH79">
        <v>31165.5</v>
      </c>
      <c r="DI79">
        <v>28072.3</v>
      </c>
      <c r="DJ79">
        <v>37932.800000000003</v>
      </c>
      <c r="DK79">
        <v>36934.699999999997</v>
      </c>
      <c r="DL79">
        <v>44351.3</v>
      </c>
      <c r="DM79">
        <v>42547.8</v>
      </c>
      <c r="DN79">
        <v>1.4651000000000001</v>
      </c>
      <c r="DO79">
        <v>2.0472800000000002</v>
      </c>
      <c r="DP79">
        <v>0.16812199999999999</v>
      </c>
      <c r="DQ79">
        <v>0.14300299999999999</v>
      </c>
      <c r="DR79">
        <v>24.151700000000002</v>
      </c>
      <c r="DS79">
        <v>24.0032</v>
      </c>
      <c r="DT79">
        <v>57.1</v>
      </c>
      <c r="DU79">
        <v>28.7</v>
      </c>
      <c r="DV79">
        <v>22.8658</v>
      </c>
      <c r="DW79">
        <v>61.313000000000002</v>
      </c>
      <c r="DX79">
        <v>35.853400000000001</v>
      </c>
      <c r="DY79">
        <v>1</v>
      </c>
      <c r="DZ79">
        <v>-7.7139200000000005E-2</v>
      </c>
      <c r="EA79">
        <v>1.93733</v>
      </c>
      <c r="EB79">
        <v>20.1709</v>
      </c>
      <c r="EC79">
        <v>5.2408000000000001</v>
      </c>
      <c r="ED79">
        <v>12.039899999999999</v>
      </c>
      <c r="EE79">
        <v>5.0171000000000001</v>
      </c>
      <c r="EF79">
        <v>3.2879499999999999</v>
      </c>
      <c r="EG79">
        <v>9999</v>
      </c>
      <c r="EH79">
        <v>9999</v>
      </c>
      <c r="EI79">
        <v>9999</v>
      </c>
      <c r="EJ79">
        <v>999.9</v>
      </c>
      <c r="EK79">
        <v>1.8689100000000001</v>
      </c>
      <c r="EL79">
        <v>1.86463</v>
      </c>
      <c r="EM79">
        <v>1.86921</v>
      </c>
      <c r="EN79">
        <v>1.8672500000000001</v>
      </c>
      <c r="EO79">
        <v>1.8633999999999999</v>
      </c>
      <c r="EP79">
        <v>1.8644700000000001</v>
      </c>
      <c r="EQ79">
        <v>1.8702000000000001</v>
      </c>
      <c r="ER79">
        <v>1.86941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-0.16300000000000001</v>
      </c>
      <c r="FG79">
        <v>0.17530000000000001</v>
      </c>
      <c r="FH79">
        <v>0.28746640474027818</v>
      </c>
      <c r="FI79">
        <v>-6.1462078757559423E-4</v>
      </c>
      <c r="FJ79">
        <v>-1.8861989874597051E-7</v>
      </c>
      <c r="FK79">
        <v>1.1980462299894961E-10</v>
      </c>
      <c r="FL79">
        <v>0.17524818673008091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19.8</v>
      </c>
      <c r="FU79">
        <v>19.8</v>
      </c>
      <c r="FV79">
        <v>1.78711</v>
      </c>
      <c r="FW79">
        <v>2.5732400000000002</v>
      </c>
      <c r="FX79">
        <v>1.5490699999999999</v>
      </c>
      <c r="FY79">
        <v>2.3315399999999999</v>
      </c>
      <c r="FZ79">
        <v>1.50146</v>
      </c>
      <c r="GA79">
        <v>2.3962400000000001</v>
      </c>
      <c r="GB79">
        <v>33.558</v>
      </c>
      <c r="GC79">
        <v>23.973700000000001</v>
      </c>
      <c r="GD79">
        <v>19</v>
      </c>
      <c r="GE79">
        <v>278.70800000000003</v>
      </c>
      <c r="GF79">
        <v>593.51599999999996</v>
      </c>
      <c r="GG79">
        <v>20.435400000000001</v>
      </c>
      <c r="GH79">
        <v>26.368600000000001</v>
      </c>
      <c r="GI79">
        <v>29.999400000000001</v>
      </c>
      <c r="GJ79">
        <v>26.474699999999999</v>
      </c>
      <c r="GK79">
        <v>26.451599999999999</v>
      </c>
      <c r="GL79">
        <v>35.724899999999998</v>
      </c>
      <c r="GM79">
        <v>44.819299999999998</v>
      </c>
      <c r="GN79">
        <v>87.474100000000007</v>
      </c>
      <c r="GO79">
        <v>21.227</v>
      </c>
      <c r="GP79">
        <v>800</v>
      </c>
      <c r="GQ79">
        <v>13.555099999999999</v>
      </c>
      <c r="GR79">
        <v>99.716099999999997</v>
      </c>
      <c r="GS79">
        <v>99.534099999999995</v>
      </c>
    </row>
    <row r="80" spans="1:201" x14ac:dyDescent="0.25">
      <c r="A80">
        <v>64</v>
      </c>
      <c r="B80">
        <v>1690383155.5999999</v>
      </c>
      <c r="C80">
        <v>680.5</v>
      </c>
      <c r="D80" t="s">
        <v>459</v>
      </c>
      <c r="E80" t="s">
        <v>460</v>
      </c>
      <c r="F80" t="s">
        <v>330</v>
      </c>
      <c r="H80">
        <v>1690383155.5999999</v>
      </c>
      <c r="I80">
        <f t="shared" si="0"/>
        <v>7.2809972472506258E-4</v>
      </c>
      <c r="J80">
        <f t="shared" si="1"/>
        <v>0.72809972472506257</v>
      </c>
      <c r="K80">
        <f t="shared" si="2"/>
        <v>13.051283995344336</v>
      </c>
      <c r="L80">
        <f t="shared" si="3"/>
        <v>652.83299999999997</v>
      </c>
      <c r="M80">
        <f t="shared" si="4"/>
        <v>224.53453812729214</v>
      </c>
      <c r="N80">
        <f t="shared" si="5"/>
        <v>22.185029216539281</v>
      </c>
      <c r="O80">
        <f t="shared" si="6"/>
        <v>64.502856884807102</v>
      </c>
      <c r="P80">
        <f t="shared" si="7"/>
        <v>5.0516757673413668E-2</v>
      </c>
      <c r="Q80">
        <f t="shared" si="8"/>
        <v>2.1124074854049177</v>
      </c>
      <c r="R80">
        <f t="shared" si="9"/>
        <v>4.9855093197067026E-2</v>
      </c>
      <c r="S80">
        <f t="shared" si="10"/>
        <v>3.1218159104234089E-2</v>
      </c>
      <c r="T80">
        <f t="shared" si="11"/>
        <v>276.11421991358958</v>
      </c>
      <c r="U80">
        <f t="shared" si="12"/>
        <v>26.65298231511634</v>
      </c>
      <c r="V80">
        <f t="shared" si="13"/>
        <v>26.65298231511634</v>
      </c>
      <c r="W80">
        <f t="shared" si="14"/>
        <v>3.5068577722484351</v>
      </c>
      <c r="X80">
        <f t="shared" si="15"/>
        <v>67.37362825402451</v>
      </c>
      <c r="Y80">
        <f t="shared" si="16"/>
        <v>2.1048625162547099</v>
      </c>
      <c r="Z80">
        <f t="shared" si="17"/>
        <v>3.1241638172113397</v>
      </c>
      <c r="AA80">
        <f t="shared" si="18"/>
        <v>1.4019952559937252</v>
      </c>
      <c r="AB80">
        <f t="shared" si="19"/>
        <v>-32.109197860375261</v>
      </c>
      <c r="AC80">
        <f t="shared" si="20"/>
        <v>-221.85562524789384</v>
      </c>
      <c r="AD80">
        <f t="shared" si="21"/>
        <v>-22.367754265991685</v>
      </c>
      <c r="AE80">
        <f t="shared" si="22"/>
        <v>-0.21835746067119999</v>
      </c>
      <c r="AF80">
        <v>0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52692.401864988919</v>
      </c>
      <c r="AK80">
        <f t="shared" si="26"/>
        <v>1799.99</v>
      </c>
      <c r="AL80">
        <f t="shared" si="27"/>
        <v>1499.1035096009</v>
      </c>
      <c r="AM80">
        <f t="shared" si="28"/>
        <v>0.83283991000000002</v>
      </c>
      <c r="AN80">
        <f t="shared" si="29"/>
        <v>0.15339764105000003</v>
      </c>
      <c r="AO80">
        <v>32.700000000000003</v>
      </c>
      <c r="AP80">
        <v>0.5</v>
      </c>
      <c r="AQ80" t="s">
        <v>331</v>
      </c>
      <c r="AR80">
        <v>2</v>
      </c>
      <c r="AS80">
        <v>1690383155.5999999</v>
      </c>
      <c r="AT80">
        <v>652.83299999999997</v>
      </c>
      <c r="AU80">
        <v>800.19299999999998</v>
      </c>
      <c r="AV80">
        <v>21.3033</v>
      </c>
      <c r="AW80">
        <v>13.5403</v>
      </c>
      <c r="AX80">
        <v>652.99400000000003</v>
      </c>
      <c r="AY80">
        <v>21.1281</v>
      </c>
      <c r="AZ80">
        <v>300.16300000000001</v>
      </c>
      <c r="BA80">
        <v>98.704599999999999</v>
      </c>
      <c r="BB80">
        <v>9.9928699999999995E-2</v>
      </c>
      <c r="BC80">
        <v>24.704899999999999</v>
      </c>
      <c r="BD80">
        <v>26.865200000000002</v>
      </c>
      <c r="BE80">
        <v>26.331800000000001</v>
      </c>
      <c r="BF80">
        <v>0</v>
      </c>
      <c r="BG80">
        <v>0</v>
      </c>
      <c r="BH80">
        <v>10019.4</v>
      </c>
      <c r="BI80">
        <v>1049.79</v>
      </c>
      <c r="BJ80">
        <v>2.4108399999999999</v>
      </c>
      <c r="BK80">
        <v>-147.36000000000001</v>
      </c>
      <c r="BL80">
        <v>667.04399999999998</v>
      </c>
      <c r="BM80">
        <v>811.17700000000002</v>
      </c>
      <c r="BN80">
        <v>7.7630699999999999</v>
      </c>
      <c r="BO80">
        <v>800.19299999999998</v>
      </c>
      <c r="BP80">
        <v>13.5403</v>
      </c>
      <c r="BQ80">
        <v>2.1027399999999998</v>
      </c>
      <c r="BR80">
        <v>1.33649</v>
      </c>
      <c r="BS80">
        <v>18.239899999999999</v>
      </c>
      <c r="BT80">
        <v>11.2156</v>
      </c>
      <c r="BU80">
        <v>1799.99</v>
      </c>
      <c r="BV80">
        <v>0.90999399999999997</v>
      </c>
      <c r="BW80">
        <v>3.4000000000000002E-2</v>
      </c>
      <c r="BX80">
        <v>2.2002500000000001E-2</v>
      </c>
      <c r="BY80">
        <v>3.4003699999999998E-2</v>
      </c>
      <c r="BZ80">
        <v>25</v>
      </c>
      <c r="CA80">
        <v>33528.199999999997</v>
      </c>
      <c r="CB80">
        <v>1690381960.0999999</v>
      </c>
      <c r="CC80" t="s">
        <v>332</v>
      </c>
      <c r="CD80">
        <v>1690381960.0999999</v>
      </c>
      <c r="CE80">
        <v>1690381958.0999999</v>
      </c>
      <c r="CF80">
        <v>4</v>
      </c>
      <c r="CG80">
        <v>9.9000000000000005E-2</v>
      </c>
      <c r="CH80">
        <v>1.2E-2</v>
      </c>
      <c r="CI80">
        <v>-0.26300000000000001</v>
      </c>
      <c r="CJ80">
        <v>0.127</v>
      </c>
      <c r="CK80">
        <v>798</v>
      </c>
      <c r="CL80">
        <v>18</v>
      </c>
      <c r="CM80">
        <v>0.02</v>
      </c>
      <c r="CN80">
        <v>0.12</v>
      </c>
      <c r="CO80">
        <v>-143.31565000000001</v>
      </c>
      <c r="CP80">
        <v>-20.798521575984829</v>
      </c>
      <c r="CQ80">
        <v>2.0014827072697878</v>
      </c>
      <c r="CR80">
        <v>-1</v>
      </c>
      <c r="CS80">
        <v>7.4213782499999992</v>
      </c>
      <c r="CT80">
        <v>0.71025602251405906</v>
      </c>
      <c r="CU80">
        <v>8.0499073034647442E-2</v>
      </c>
      <c r="CV80">
        <v>-1</v>
      </c>
      <c r="CW80">
        <v>0</v>
      </c>
      <c r="CX80">
        <v>0</v>
      </c>
      <c r="CY80" t="s">
        <v>333</v>
      </c>
      <c r="CZ80">
        <v>2.36436</v>
      </c>
      <c r="DA80">
        <v>2.71374</v>
      </c>
      <c r="DB80">
        <v>0.127275</v>
      </c>
      <c r="DC80">
        <v>0.14568900000000001</v>
      </c>
      <c r="DD80">
        <v>0.104272</v>
      </c>
      <c r="DE80">
        <v>7.4076600000000006E-2</v>
      </c>
      <c r="DF80">
        <v>31860.3</v>
      </c>
      <c r="DG80">
        <v>27523.200000000001</v>
      </c>
      <c r="DH80">
        <v>31166.2</v>
      </c>
      <c r="DI80">
        <v>28072.7</v>
      </c>
      <c r="DJ80">
        <v>37902.9</v>
      </c>
      <c r="DK80">
        <v>36961.4</v>
      </c>
      <c r="DL80">
        <v>44352.2</v>
      </c>
      <c r="DM80">
        <v>42548.6</v>
      </c>
      <c r="DN80">
        <v>1.4665999999999999</v>
      </c>
      <c r="DO80">
        <v>2.04697</v>
      </c>
      <c r="DP80">
        <v>0.16653899999999999</v>
      </c>
      <c r="DQ80">
        <v>0.143182</v>
      </c>
      <c r="DR80">
        <v>24.134899999999998</v>
      </c>
      <c r="DS80">
        <v>23.9831</v>
      </c>
      <c r="DT80">
        <v>57</v>
      </c>
      <c r="DU80">
        <v>28.7</v>
      </c>
      <c r="DV80">
        <v>22.826799999999999</v>
      </c>
      <c r="DW80">
        <v>60.823</v>
      </c>
      <c r="DX80">
        <v>35.793300000000002</v>
      </c>
      <c r="DY80">
        <v>1</v>
      </c>
      <c r="DZ80">
        <v>-8.1435499999999994E-2</v>
      </c>
      <c r="EA80">
        <v>0.52722999999999998</v>
      </c>
      <c r="EB80">
        <v>20.1892</v>
      </c>
      <c r="EC80">
        <v>5.2409499999999998</v>
      </c>
      <c r="ED80">
        <v>12.039899999999999</v>
      </c>
      <c r="EE80">
        <v>5.01715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</v>
      </c>
      <c r="EL80">
        <v>1.86463</v>
      </c>
      <c r="EM80">
        <v>1.86921</v>
      </c>
      <c r="EN80">
        <v>1.86727</v>
      </c>
      <c r="EO80">
        <v>1.8633999999999999</v>
      </c>
      <c r="EP80">
        <v>1.86446</v>
      </c>
      <c r="EQ80">
        <v>1.87016</v>
      </c>
      <c r="ER80">
        <v>1.86941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-0.161</v>
      </c>
      <c r="FG80">
        <v>0.17519999999999999</v>
      </c>
      <c r="FH80">
        <v>0.28746640474027818</v>
      </c>
      <c r="FI80">
        <v>-6.1462078757559423E-4</v>
      </c>
      <c r="FJ80">
        <v>-1.8861989874597051E-7</v>
      </c>
      <c r="FK80">
        <v>1.1980462299894961E-10</v>
      </c>
      <c r="FL80">
        <v>0.17524818673008091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19.899999999999999</v>
      </c>
      <c r="FU80">
        <v>20</v>
      </c>
      <c r="FV80">
        <v>1.78589</v>
      </c>
      <c r="FW80">
        <v>2.5744600000000002</v>
      </c>
      <c r="FX80">
        <v>1.5490699999999999</v>
      </c>
      <c r="FY80">
        <v>2.3315399999999999</v>
      </c>
      <c r="FZ80">
        <v>1.50146</v>
      </c>
      <c r="GA80">
        <v>2.4023400000000001</v>
      </c>
      <c r="GB80">
        <v>33.558</v>
      </c>
      <c r="GC80">
        <v>23.982399999999998</v>
      </c>
      <c r="GD80">
        <v>19</v>
      </c>
      <c r="GE80">
        <v>279.35199999999998</v>
      </c>
      <c r="GF80">
        <v>593.23900000000003</v>
      </c>
      <c r="GG80">
        <v>21.330200000000001</v>
      </c>
      <c r="GH80">
        <v>26.366399999999999</v>
      </c>
      <c r="GI80">
        <v>29.998699999999999</v>
      </c>
      <c r="GJ80">
        <v>26.476900000000001</v>
      </c>
      <c r="GK80">
        <v>26.449300000000001</v>
      </c>
      <c r="GL80">
        <v>35.719299999999997</v>
      </c>
      <c r="GM80">
        <v>46.323099999999997</v>
      </c>
      <c r="GN80">
        <v>86.694500000000005</v>
      </c>
      <c r="GO80">
        <v>21.4038</v>
      </c>
      <c r="GP80">
        <v>800</v>
      </c>
      <c r="GQ80">
        <v>13.268700000000001</v>
      </c>
      <c r="GR80">
        <v>99.718199999999996</v>
      </c>
      <c r="GS80">
        <v>99.536000000000001</v>
      </c>
    </row>
    <row r="81" spans="1:201" x14ac:dyDescent="0.25">
      <c r="A81">
        <v>65</v>
      </c>
      <c r="B81">
        <v>1690383165.5999999</v>
      </c>
      <c r="C81">
        <v>690.5</v>
      </c>
      <c r="D81" t="s">
        <v>461</v>
      </c>
      <c r="E81" t="s">
        <v>462</v>
      </c>
      <c r="F81" t="s">
        <v>330</v>
      </c>
      <c r="H81">
        <v>1690383165.5999999</v>
      </c>
      <c r="I81">
        <f t="shared" ref="I81:I144" si="30">(J81)/1000</f>
        <v>7.8015413802056321E-4</v>
      </c>
      <c r="J81">
        <f t="shared" ref="J81:J144" si="31">1000*AZ81*AH81*(AV81-AW81)/(100*AO81*(1000-AH81*AV81))</f>
        <v>0.78015413802056321</v>
      </c>
      <c r="K81">
        <f t="shared" ref="K81:K144" si="32">AZ81*AH81*(AU81-AT81*(1000-AH81*AW81)/(1000-AH81*AV81))/(100*AO81)</f>
        <v>13.328568552376344</v>
      </c>
      <c r="L81">
        <f t="shared" ref="L81:L144" si="33">AT81 - IF(AH81&gt;1, K81*AO81*100/(AJ81*BH81), 0)</f>
        <v>649.44600000000003</v>
      </c>
      <c r="M81">
        <f t="shared" ref="M81:M144" si="34">((S81-I81/2)*L81-K81)/(S81+I81/2)</f>
        <v>244.55473547673841</v>
      </c>
      <c r="N81">
        <f t="shared" ref="N81:N144" si="35">M81*(BA81+BB81)/1000</f>
        <v>24.163065075223223</v>
      </c>
      <c r="O81">
        <f t="shared" ref="O81:O144" si="36">(AT81 - IF(AH81&gt;1, K81*AO81*100/(AJ81*BH81), 0))*(BA81+BB81)/1000</f>
        <v>64.168072355058001</v>
      </c>
      <c r="P81">
        <f t="shared" ref="P81:P144" si="37">2/((1/R81-1/Q81)+SIGN(R81)*SQRT((1/R81-1/Q81)*(1/R81-1/Q81) + 4*AP81/((AP81+1)*(AP81+1))*(2*1/R81*1/Q81-1/Q81*1/Q81)))</f>
        <v>5.4713742009581623E-2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2.1118292615831784</v>
      </c>
      <c r="R81">
        <f t="shared" ref="R81:R144" si="39">I81*(1000-(1000*0.61365*EXP(17.502*V81/(240.97+V81))/(BA81+BB81)+AV81)/2)/(1000*0.61365*EXP(17.502*V81/(240.97+V81))/(BA81+BB81)-AV81)</f>
        <v>5.393826766336314E-2</v>
      </c>
      <c r="S81">
        <f t="shared" ref="S81:S144" si="40">1/((AP81+1)/(P81/1.6)+1/(Q81/1.37)) + AP81/((AP81+1)/(P81/1.6) + AP81/(Q81/1.37))</f>
        <v>3.3780174919477338E-2</v>
      </c>
      <c r="T81">
        <f t="shared" ref="T81:T144" si="41">(AK81*AN81)</f>
        <v>276.11416895587263</v>
      </c>
      <c r="U81">
        <f t="shared" ref="U81:U144" si="42">(BC81+(T81+2*0.95*0.0000000567*(((BC81+$B$7)+273)^4-(BC81+273)^4)-44100*I81)/(1.84*29.3*Q81+8*0.95*0.0000000567*(BC81+273)^3))</f>
        <v>26.682451020521093</v>
      </c>
      <c r="V81">
        <f t="shared" ref="V81:V144" si="43">($C$7*BD81+$D$7*BE81+$E$7*U81)</f>
        <v>26.682451020521093</v>
      </c>
      <c r="W81">
        <f t="shared" ref="W81:W144" si="44">0.61365*EXP(17.502*V81/(240.97+V81))</f>
        <v>3.5129476988209376</v>
      </c>
      <c r="X81">
        <f t="shared" ref="X81:X144" si="45">(Y81/Z81*100)</f>
        <v>67.814018633698467</v>
      </c>
      <c r="Y81">
        <f t="shared" ref="Y81:Y144" si="46">AV81*(BA81+BB81)/1000</f>
        <v>2.1246288791981995</v>
      </c>
      <c r="Z81">
        <f t="shared" ref="Z81:Z144" si="47">0.61365*EXP(17.502*BC81/(240.97+BC81))</f>
        <v>3.1330231152861052</v>
      </c>
      <c r="AA81">
        <f t="shared" ref="AA81:AA144" si="48">(W81-AV81*(BA81+BB81)/1000)</f>
        <v>1.3883188196227381</v>
      </c>
      <c r="AB81">
        <f t="shared" ref="AB81:AB144" si="49">(-I81*44100)</f>
        <v>-34.40479748670684</v>
      </c>
      <c r="AC81">
        <f t="shared" ref="AC81:AC144" si="50">2*29.3*Q81*0.92*(BC81-V81)</f>
        <v>-219.75336669060982</v>
      </c>
      <c r="AD81">
        <f t="shared" ref="AD81:AD144" si="51">2*0.95*0.0000000567*(((BC81+$B$7)+273)^4-(V81+273)^4)</f>
        <v>-22.170420474873502</v>
      </c>
      <c r="AE81">
        <f t="shared" ref="AE81:AE144" si="52">T81+AD81+AB81+AC81</f>
        <v>-0.21441569631753055</v>
      </c>
      <c r="AF81">
        <v>0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52658.594228194554</v>
      </c>
      <c r="AK81">
        <f t="shared" ref="AK81:AK144" si="56">$B$11*BI81+$C$11*BJ81+$D$11*BU81</f>
        <v>1799.99</v>
      </c>
      <c r="AL81">
        <f t="shared" ref="AL81:AL144" si="57">AK81*AM81</f>
        <v>1499.1036428001598</v>
      </c>
      <c r="AM81">
        <f t="shared" ref="AM81:AM144" si="58">($B$11*$D$9+$C$11*$D$9+$D$11*(BV81*$E$9+BW81*$F$9+BX81*$G$9+BY81*$H$9))/($B$11+$C$11+$D$11)</f>
        <v>0.83283998399999992</v>
      </c>
      <c r="AN81">
        <f t="shared" ref="AN81:AN144" si="59">($B$11*$K$9+$C$11*$K$9+$D$11*(BV81*$L$9+BW81*$M$9+BX81*$N$9+BY81*$O$9))/($B$11+$C$11+$D$11)</f>
        <v>0.15339761274000002</v>
      </c>
      <c r="AO81">
        <v>32.700000000000003</v>
      </c>
      <c r="AP81">
        <v>0.5</v>
      </c>
      <c r="AQ81" t="s">
        <v>331</v>
      </c>
      <c r="AR81">
        <v>2</v>
      </c>
      <c r="AS81">
        <v>1690383165.5999999</v>
      </c>
      <c r="AT81">
        <v>649.44600000000003</v>
      </c>
      <c r="AU81">
        <v>800.12099999999998</v>
      </c>
      <c r="AV81">
        <v>21.503399999999999</v>
      </c>
      <c r="AW81">
        <v>13.1897</v>
      </c>
      <c r="AX81">
        <v>649.60400000000004</v>
      </c>
      <c r="AY81">
        <v>21.328199999999999</v>
      </c>
      <c r="AZ81">
        <v>300.25700000000001</v>
      </c>
      <c r="BA81">
        <v>98.7042</v>
      </c>
      <c r="BB81">
        <v>0.100123</v>
      </c>
      <c r="BC81">
        <v>24.752300000000002</v>
      </c>
      <c r="BD81">
        <v>26.943300000000001</v>
      </c>
      <c r="BE81">
        <v>26.381499999999999</v>
      </c>
      <c r="BF81">
        <v>0</v>
      </c>
      <c r="BG81">
        <v>0</v>
      </c>
      <c r="BH81">
        <v>10014.4</v>
      </c>
      <c r="BI81">
        <v>1049.8800000000001</v>
      </c>
      <c r="BJ81">
        <v>2.4108399999999999</v>
      </c>
      <c r="BK81">
        <v>-150.67599999999999</v>
      </c>
      <c r="BL81">
        <v>663.71799999999996</v>
      </c>
      <c r="BM81">
        <v>810.81600000000003</v>
      </c>
      <c r="BN81">
        <v>8.3137399999999992</v>
      </c>
      <c r="BO81">
        <v>800.12099999999998</v>
      </c>
      <c r="BP81">
        <v>13.1897</v>
      </c>
      <c r="BQ81">
        <v>2.1224799999999999</v>
      </c>
      <c r="BR81">
        <v>1.3018799999999999</v>
      </c>
      <c r="BS81">
        <v>18.3889</v>
      </c>
      <c r="BT81">
        <v>10.820600000000001</v>
      </c>
      <c r="BU81">
        <v>1799.99</v>
      </c>
      <c r="BV81">
        <v>0.909995</v>
      </c>
      <c r="BW81">
        <v>3.3999599999999998E-2</v>
      </c>
      <c r="BX81">
        <v>2.20022E-2</v>
      </c>
      <c r="BY81">
        <v>3.4003400000000003E-2</v>
      </c>
      <c r="BZ81">
        <v>25</v>
      </c>
      <c r="CA81">
        <v>33528.199999999997</v>
      </c>
      <c r="CB81">
        <v>1690381960.0999999</v>
      </c>
      <c r="CC81" t="s">
        <v>332</v>
      </c>
      <c r="CD81">
        <v>1690381960.0999999</v>
      </c>
      <c r="CE81">
        <v>1690381958.0999999</v>
      </c>
      <c r="CF81">
        <v>4</v>
      </c>
      <c r="CG81">
        <v>9.9000000000000005E-2</v>
      </c>
      <c r="CH81">
        <v>1.2E-2</v>
      </c>
      <c r="CI81">
        <v>-0.26300000000000001</v>
      </c>
      <c r="CJ81">
        <v>0.127</v>
      </c>
      <c r="CK81">
        <v>798</v>
      </c>
      <c r="CL81">
        <v>18</v>
      </c>
      <c r="CM81">
        <v>0.02</v>
      </c>
      <c r="CN81">
        <v>0.12</v>
      </c>
      <c r="CO81">
        <v>-146.81450000000001</v>
      </c>
      <c r="CP81">
        <v>-20.927999999999859</v>
      </c>
      <c r="CQ81">
        <v>2.0143922532615139</v>
      </c>
      <c r="CR81">
        <v>-1</v>
      </c>
      <c r="CS81">
        <v>7.7346644999999992</v>
      </c>
      <c r="CT81">
        <v>2.9770201125703291</v>
      </c>
      <c r="CU81">
        <v>0.29178069549706331</v>
      </c>
      <c r="CV81">
        <v>-1</v>
      </c>
      <c r="CW81">
        <v>0</v>
      </c>
      <c r="CX81">
        <v>0</v>
      </c>
      <c r="CY81" t="s">
        <v>333</v>
      </c>
      <c r="CZ81">
        <v>2.3646699999999998</v>
      </c>
      <c r="DA81">
        <v>2.71393</v>
      </c>
      <c r="DB81">
        <v>0.12681899999999999</v>
      </c>
      <c r="DC81">
        <v>0.145673</v>
      </c>
      <c r="DD81">
        <v>0.10497099999999999</v>
      </c>
      <c r="DE81">
        <v>7.2646699999999995E-2</v>
      </c>
      <c r="DF81">
        <v>31877.1</v>
      </c>
      <c r="DG81">
        <v>27524.1</v>
      </c>
      <c r="DH81">
        <v>31166.400000000001</v>
      </c>
      <c r="DI81">
        <v>28073.200000000001</v>
      </c>
      <c r="DJ81">
        <v>37873.300000000003</v>
      </c>
      <c r="DK81">
        <v>37019.1</v>
      </c>
      <c r="DL81">
        <v>44352.7</v>
      </c>
      <c r="DM81">
        <v>42549.2</v>
      </c>
      <c r="DN81">
        <v>1.4664999999999999</v>
      </c>
      <c r="DO81">
        <v>2.0463200000000001</v>
      </c>
      <c r="DP81">
        <v>0.17232800000000001</v>
      </c>
      <c r="DQ81">
        <v>0.14707400000000001</v>
      </c>
      <c r="DR81">
        <v>24.118200000000002</v>
      </c>
      <c r="DS81">
        <v>23.969000000000001</v>
      </c>
      <c r="DT81">
        <v>56.8</v>
      </c>
      <c r="DU81">
        <v>28.7</v>
      </c>
      <c r="DV81">
        <v>22.745200000000001</v>
      </c>
      <c r="DW81">
        <v>61.232999999999997</v>
      </c>
      <c r="DX81">
        <v>35.8093</v>
      </c>
      <c r="DY81">
        <v>1</v>
      </c>
      <c r="DZ81">
        <v>-8.0701200000000001E-2</v>
      </c>
      <c r="EA81">
        <v>1.0948899999999999</v>
      </c>
      <c r="EB81">
        <v>20.1861</v>
      </c>
      <c r="EC81">
        <v>5.2401999999999997</v>
      </c>
      <c r="ED81">
        <v>12.039899999999999</v>
      </c>
      <c r="EE81">
        <v>5.0171999999999999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1.8689100000000001</v>
      </c>
      <c r="EL81">
        <v>1.8646199999999999</v>
      </c>
      <c r="EM81">
        <v>1.8692</v>
      </c>
      <c r="EN81">
        <v>1.8672500000000001</v>
      </c>
      <c r="EO81">
        <v>1.86337</v>
      </c>
      <c r="EP81">
        <v>1.8644700000000001</v>
      </c>
      <c r="EQ81">
        <v>1.87016</v>
      </c>
      <c r="ER81">
        <v>1.8694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-0.158</v>
      </c>
      <c r="FG81">
        <v>0.17519999999999999</v>
      </c>
      <c r="FH81">
        <v>0.28746640474027818</v>
      </c>
      <c r="FI81">
        <v>-6.1462078757559423E-4</v>
      </c>
      <c r="FJ81">
        <v>-1.8861989874597051E-7</v>
      </c>
      <c r="FK81">
        <v>1.1980462299894961E-10</v>
      </c>
      <c r="FL81">
        <v>0.17524818673008091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20.100000000000001</v>
      </c>
      <c r="FU81">
        <v>20.100000000000001</v>
      </c>
      <c r="FV81">
        <v>1.78589</v>
      </c>
      <c r="FW81">
        <v>2.5756800000000002</v>
      </c>
      <c r="FX81">
        <v>1.5490699999999999</v>
      </c>
      <c r="FY81">
        <v>2.3315399999999999</v>
      </c>
      <c r="FZ81">
        <v>1.50146</v>
      </c>
      <c r="GA81">
        <v>2.3950200000000001</v>
      </c>
      <c r="GB81">
        <v>33.558</v>
      </c>
      <c r="GC81">
        <v>23.982399999999998</v>
      </c>
      <c r="GD81">
        <v>19</v>
      </c>
      <c r="GE81">
        <v>279.31</v>
      </c>
      <c r="GF81">
        <v>592.66999999999996</v>
      </c>
      <c r="GG81">
        <v>21.5411</v>
      </c>
      <c r="GH81">
        <v>26.366299999999999</v>
      </c>
      <c r="GI81">
        <v>30.0002</v>
      </c>
      <c r="GJ81">
        <v>26.476900000000001</v>
      </c>
      <c r="GK81">
        <v>26.447099999999999</v>
      </c>
      <c r="GL81">
        <v>35.71</v>
      </c>
      <c r="GM81">
        <v>47.198599999999999</v>
      </c>
      <c r="GN81">
        <v>86.299599999999998</v>
      </c>
      <c r="GO81">
        <v>21.5458</v>
      </c>
      <c r="GP81">
        <v>800</v>
      </c>
      <c r="GQ81">
        <v>12.9985</v>
      </c>
      <c r="GR81">
        <v>99.719200000000001</v>
      </c>
      <c r="GS81">
        <v>99.537400000000005</v>
      </c>
    </row>
    <row r="82" spans="1:201" x14ac:dyDescent="0.25">
      <c r="A82">
        <v>66</v>
      </c>
      <c r="B82">
        <v>1690383175.5999999</v>
      </c>
      <c r="C82">
        <v>700.5</v>
      </c>
      <c r="D82" t="s">
        <v>463</v>
      </c>
      <c r="E82" t="s">
        <v>464</v>
      </c>
      <c r="F82" t="s">
        <v>330</v>
      </c>
      <c r="H82">
        <v>1690383175.5999999</v>
      </c>
      <c r="I82">
        <f t="shared" si="30"/>
        <v>8.0484390108559456E-4</v>
      </c>
      <c r="J82">
        <f t="shared" si="31"/>
        <v>0.80484390108559456</v>
      </c>
      <c r="K82">
        <f t="shared" si="32"/>
        <v>13.617394776840026</v>
      </c>
      <c r="L82">
        <f t="shared" si="33"/>
        <v>646.08600000000001</v>
      </c>
      <c r="M82">
        <f t="shared" si="34"/>
        <v>244.32217018475907</v>
      </c>
      <c r="N82">
        <f t="shared" si="35"/>
        <v>24.139933575588501</v>
      </c>
      <c r="O82">
        <f t="shared" si="36"/>
        <v>63.835685121507595</v>
      </c>
      <c r="P82">
        <f t="shared" si="37"/>
        <v>5.6363520330753397E-2</v>
      </c>
      <c r="Q82">
        <f t="shared" si="38"/>
        <v>2.1113184822871611</v>
      </c>
      <c r="R82">
        <f t="shared" si="39"/>
        <v>5.5540758525873958E-2</v>
      </c>
      <c r="S82">
        <f t="shared" si="40"/>
        <v>3.478589542491177E-2</v>
      </c>
      <c r="T82">
        <f t="shared" si="41"/>
        <v>276.11567346599998</v>
      </c>
      <c r="U82">
        <f t="shared" si="42"/>
        <v>26.705935024405953</v>
      </c>
      <c r="V82">
        <f t="shared" si="43"/>
        <v>26.705935024405953</v>
      </c>
      <c r="W82">
        <f t="shared" si="44"/>
        <v>3.5178074513715236</v>
      </c>
      <c r="X82">
        <f t="shared" si="45"/>
        <v>67.758889121905554</v>
      </c>
      <c r="Y82">
        <f t="shared" si="46"/>
        <v>2.1269372963385398</v>
      </c>
      <c r="Z82">
        <f t="shared" si="47"/>
        <v>3.1389789943455981</v>
      </c>
      <c r="AA82">
        <f t="shared" si="48"/>
        <v>1.3908701550329838</v>
      </c>
      <c r="AB82">
        <f t="shared" si="49"/>
        <v>-35.493616037874723</v>
      </c>
      <c r="AC82">
        <f t="shared" si="50"/>
        <v>-218.75364426348449</v>
      </c>
      <c r="AD82">
        <f t="shared" si="51"/>
        <v>-22.081026590100379</v>
      </c>
      <c r="AE82">
        <f t="shared" si="52"/>
        <v>-0.21261342545960815</v>
      </c>
      <c r="AF82">
        <v>0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52630.522417431268</v>
      </c>
      <c r="AK82">
        <f t="shared" si="56"/>
        <v>1800</v>
      </c>
      <c r="AL82">
        <f t="shared" si="57"/>
        <v>1499.1128226000001</v>
      </c>
      <c r="AM82">
        <f t="shared" si="58"/>
        <v>0.83284045699999998</v>
      </c>
      <c r="AN82">
        <f t="shared" si="59"/>
        <v>0.15339759637</v>
      </c>
      <c r="AO82">
        <v>32.700000000000003</v>
      </c>
      <c r="AP82">
        <v>0.5</v>
      </c>
      <c r="AQ82" t="s">
        <v>331</v>
      </c>
      <c r="AR82">
        <v>2</v>
      </c>
      <c r="AS82">
        <v>1690383175.5999999</v>
      </c>
      <c r="AT82">
        <v>646.08600000000001</v>
      </c>
      <c r="AU82">
        <v>800.08399999999995</v>
      </c>
      <c r="AV82">
        <v>21.526900000000001</v>
      </c>
      <c r="AW82">
        <v>12.948499999999999</v>
      </c>
      <c r="AX82">
        <v>646.24199999999996</v>
      </c>
      <c r="AY82">
        <v>21.351700000000001</v>
      </c>
      <c r="AZ82">
        <v>300.19400000000002</v>
      </c>
      <c r="BA82">
        <v>98.703699999999998</v>
      </c>
      <c r="BB82">
        <v>9.9996600000000005E-2</v>
      </c>
      <c r="BC82">
        <v>24.784099999999999</v>
      </c>
      <c r="BD82">
        <v>26.9587</v>
      </c>
      <c r="BE82">
        <v>26.441299999999998</v>
      </c>
      <c r="BF82">
        <v>0</v>
      </c>
      <c r="BG82">
        <v>0</v>
      </c>
      <c r="BH82">
        <v>10010</v>
      </c>
      <c r="BI82">
        <v>1049.8</v>
      </c>
      <c r="BJ82">
        <v>2.3253400000000002</v>
      </c>
      <c r="BK82">
        <v>-153.999</v>
      </c>
      <c r="BL82">
        <v>660.3</v>
      </c>
      <c r="BM82">
        <v>810.58</v>
      </c>
      <c r="BN82">
        <v>8.5784300000000009</v>
      </c>
      <c r="BO82">
        <v>800.08399999999995</v>
      </c>
      <c r="BP82">
        <v>12.948499999999999</v>
      </c>
      <c r="BQ82">
        <v>2.12479</v>
      </c>
      <c r="BR82">
        <v>1.27806</v>
      </c>
      <c r="BS82">
        <v>18.406199999999998</v>
      </c>
      <c r="BT82">
        <v>10.5433</v>
      </c>
      <c r="BU82">
        <v>1800</v>
      </c>
      <c r="BV82">
        <v>0.90999799999999997</v>
      </c>
      <c r="BW82">
        <v>3.3998599999999997E-2</v>
      </c>
      <c r="BX82">
        <v>2.20016E-2</v>
      </c>
      <c r="BY82">
        <v>3.4002299999999999E-2</v>
      </c>
      <c r="BZ82">
        <v>25</v>
      </c>
      <c r="CA82">
        <v>33528.400000000001</v>
      </c>
      <c r="CB82">
        <v>1690381960.0999999</v>
      </c>
      <c r="CC82" t="s">
        <v>332</v>
      </c>
      <c r="CD82">
        <v>1690381960.0999999</v>
      </c>
      <c r="CE82">
        <v>1690381958.0999999</v>
      </c>
      <c r="CF82">
        <v>4</v>
      </c>
      <c r="CG82">
        <v>9.9000000000000005E-2</v>
      </c>
      <c r="CH82">
        <v>1.2E-2</v>
      </c>
      <c r="CI82">
        <v>-0.26300000000000001</v>
      </c>
      <c r="CJ82">
        <v>0.127</v>
      </c>
      <c r="CK82">
        <v>798</v>
      </c>
      <c r="CL82">
        <v>18</v>
      </c>
      <c r="CM82">
        <v>0.02</v>
      </c>
      <c r="CN82">
        <v>0.12</v>
      </c>
      <c r="CO82">
        <v>-150.598275</v>
      </c>
      <c r="CP82">
        <v>-20.292393996247679</v>
      </c>
      <c r="CQ82">
        <v>1.952692346319562</v>
      </c>
      <c r="CR82">
        <v>-1</v>
      </c>
      <c r="CS82">
        <v>8.2508417500000011</v>
      </c>
      <c r="CT82">
        <v>2.4183844277673221</v>
      </c>
      <c r="CU82">
        <v>0.23657298179301359</v>
      </c>
      <c r="CV82">
        <v>-1</v>
      </c>
      <c r="CW82">
        <v>0</v>
      </c>
      <c r="CX82">
        <v>0</v>
      </c>
      <c r="CY82" t="s">
        <v>333</v>
      </c>
      <c r="CZ82">
        <v>2.3645100000000001</v>
      </c>
      <c r="DA82">
        <v>2.7138</v>
      </c>
      <c r="DB82">
        <v>0.126364</v>
      </c>
      <c r="DC82">
        <v>0.14566299999999999</v>
      </c>
      <c r="DD82">
        <v>0.10505299999999999</v>
      </c>
      <c r="DE82">
        <v>7.1654200000000001E-2</v>
      </c>
      <c r="DF82">
        <v>31893.7</v>
      </c>
      <c r="DG82">
        <v>27523.9</v>
      </c>
      <c r="DH82">
        <v>31166.3</v>
      </c>
      <c r="DI82">
        <v>28072.6</v>
      </c>
      <c r="DJ82">
        <v>37869.599999999999</v>
      </c>
      <c r="DK82">
        <v>37058.1</v>
      </c>
      <c r="DL82">
        <v>44352.4</v>
      </c>
      <c r="DM82">
        <v>42548.4</v>
      </c>
      <c r="DN82">
        <v>1.4659</v>
      </c>
      <c r="DO82">
        <v>2.0466500000000001</v>
      </c>
      <c r="DP82">
        <v>0.17404600000000001</v>
      </c>
      <c r="DQ82">
        <v>0.15131</v>
      </c>
      <c r="DR82">
        <v>24.105499999999999</v>
      </c>
      <c r="DS82">
        <v>23.959499999999998</v>
      </c>
      <c r="DT82">
        <v>56.7</v>
      </c>
      <c r="DU82">
        <v>28.7</v>
      </c>
      <c r="DV82">
        <v>22.7059</v>
      </c>
      <c r="DW82">
        <v>60.472999999999999</v>
      </c>
      <c r="DX82">
        <v>35.7973</v>
      </c>
      <c r="DY82">
        <v>1</v>
      </c>
      <c r="DZ82">
        <v>-8.0246399999999996E-2</v>
      </c>
      <c r="EA82">
        <v>1.3218300000000001</v>
      </c>
      <c r="EB82">
        <v>20.184000000000001</v>
      </c>
      <c r="EC82">
        <v>5.2411000000000003</v>
      </c>
      <c r="ED82">
        <v>12.039899999999999</v>
      </c>
      <c r="EE82">
        <v>5.0174000000000003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</v>
      </c>
      <c r="EL82">
        <v>1.8646199999999999</v>
      </c>
      <c r="EM82">
        <v>1.8692</v>
      </c>
      <c r="EN82">
        <v>1.86724</v>
      </c>
      <c r="EO82">
        <v>1.8633900000000001</v>
      </c>
      <c r="EP82">
        <v>1.8644700000000001</v>
      </c>
      <c r="EQ82">
        <v>1.87018</v>
      </c>
      <c r="ER82">
        <v>1.8693900000000001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-0.156</v>
      </c>
      <c r="FG82">
        <v>0.17519999999999999</v>
      </c>
      <c r="FH82">
        <v>0.28746640474027818</v>
      </c>
      <c r="FI82">
        <v>-6.1462078757559423E-4</v>
      </c>
      <c r="FJ82">
        <v>-1.8861989874597051E-7</v>
      </c>
      <c r="FK82">
        <v>1.1980462299894961E-10</v>
      </c>
      <c r="FL82">
        <v>0.17524818673008091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20.3</v>
      </c>
      <c r="FU82">
        <v>20.3</v>
      </c>
      <c r="FV82">
        <v>1.78589</v>
      </c>
      <c r="FW82">
        <v>2.5720200000000002</v>
      </c>
      <c r="FX82">
        <v>1.5490699999999999</v>
      </c>
      <c r="FY82">
        <v>2.3303199999999999</v>
      </c>
      <c r="FZ82">
        <v>1.50146</v>
      </c>
      <c r="GA82">
        <v>2.4072300000000002</v>
      </c>
      <c r="GB82">
        <v>33.558</v>
      </c>
      <c r="GC82">
        <v>23.982399999999998</v>
      </c>
      <c r="GD82">
        <v>19</v>
      </c>
      <c r="GE82">
        <v>279.04599999999999</v>
      </c>
      <c r="GF82">
        <v>592.94200000000001</v>
      </c>
      <c r="GG82">
        <v>21.6006</v>
      </c>
      <c r="GH82">
        <v>26.364000000000001</v>
      </c>
      <c r="GI82">
        <v>30.0002</v>
      </c>
      <c r="GJ82">
        <v>26.474699999999999</v>
      </c>
      <c r="GK82">
        <v>26.447099999999999</v>
      </c>
      <c r="GL82">
        <v>35.698399999999999</v>
      </c>
      <c r="GM82">
        <v>47.7956</v>
      </c>
      <c r="GN82">
        <v>85.521100000000004</v>
      </c>
      <c r="GO82">
        <v>21.574400000000001</v>
      </c>
      <c r="GP82">
        <v>800</v>
      </c>
      <c r="GQ82">
        <v>12.819599999999999</v>
      </c>
      <c r="GR82">
        <v>99.718699999999998</v>
      </c>
      <c r="GS82">
        <v>99.535399999999996</v>
      </c>
    </row>
    <row r="83" spans="1:201" x14ac:dyDescent="0.25">
      <c r="A83">
        <v>67</v>
      </c>
      <c r="B83">
        <v>1690383185.5999999</v>
      </c>
      <c r="C83">
        <v>710.5</v>
      </c>
      <c r="D83" t="s">
        <v>465</v>
      </c>
      <c r="E83" t="s">
        <v>466</v>
      </c>
      <c r="F83" t="s">
        <v>330</v>
      </c>
      <c r="H83">
        <v>1690383185.5999999</v>
      </c>
      <c r="I83">
        <f t="shared" si="30"/>
        <v>8.1749005790318499E-4</v>
      </c>
      <c r="J83">
        <f t="shared" si="31"/>
        <v>0.81749005790318496</v>
      </c>
      <c r="K83">
        <f t="shared" si="32"/>
        <v>13.91380636540479</v>
      </c>
      <c r="L83">
        <f t="shared" si="33"/>
        <v>642.66999999999996</v>
      </c>
      <c r="M83">
        <f t="shared" si="34"/>
        <v>237.8527983754025</v>
      </c>
      <c r="N83">
        <f t="shared" si="35"/>
        <v>23.50125124829944</v>
      </c>
      <c r="O83">
        <f t="shared" si="36"/>
        <v>63.499564616879994</v>
      </c>
      <c r="P83">
        <f t="shared" si="37"/>
        <v>5.7141759312594173E-2</v>
      </c>
      <c r="Q83">
        <f t="shared" si="38"/>
        <v>2.1091888066892741</v>
      </c>
      <c r="R83">
        <f t="shared" si="39"/>
        <v>5.6295463807211281E-2</v>
      </c>
      <c r="S83">
        <f t="shared" si="40"/>
        <v>3.5259657012687538E-2</v>
      </c>
      <c r="T83">
        <f t="shared" si="41"/>
        <v>276.11402159069132</v>
      </c>
      <c r="U83">
        <f t="shared" si="42"/>
        <v>26.70622215284677</v>
      </c>
      <c r="V83">
        <f t="shared" si="43"/>
        <v>26.70622215284677</v>
      </c>
      <c r="W83">
        <f t="shared" si="44"/>
        <v>3.5178669057004623</v>
      </c>
      <c r="X83">
        <f t="shared" si="45"/>
        <v>67.654138015716967</v>
      </c>
      <c r="Y83">
        <f t="shared" si="46"/>
        <v>2.1240296584080003</v>
      </c>
      <c r="Z83">
        <f t="shared" si="47"/>
        <v>3.1395413801807059</v>
      </c>
      <c r="AA83">
        <f t="shared" si="48"/>
        <v>1.3938372472924621</v>
      </c>
      <c r="AB83">
        <f t="shared" si="49"/>
        <v>-36.051311553530461</v>
      </c>
      <c r="AC83">
        <f t="shared" si="50"/>
        <v>-218.22450642172305</v>
      </c>
      <c r="AD83">
        <f t="shared" si="51"/>
        <v>-22.050220188677375</v>
      </c>
      <c r="AE83">
        <f t="shared" si="52"/>
        <v>-0.21201657323956624</v>
      </c>
      <c r="AF83">
        <v>0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52536.554471986732</v>
      </c>
      <c r="AK83">
        <f t="shared" si="56"/>
        <v>1799.99</v>
      </c>
      <c r="AL83">
        <f t="shared" si="57"/>
        <v>1499.1046471945799</v>
      </c>
      <c r="AM83">
        <f t="shared" si="58"/>
        <v>0.83284054199999991</v>
      </c>
      <c r="AN83">
        <f t="shared" si="59"/>
        <v>0.15339753087000002</v>
      </c>
      <c r="AO83">
        <v>32.700000000000003</v>
      </c>
      <c r="AP83">
        <v>0.5</v>
      </c>
      <c r="AQ83" t="s">
        <v>331</v>
      </c>
      <c r="AR83">
        <v>2</v>
      </c>
      <c r="AS83">
        <v>1690383185.5999999</v>
      </c>
      <c r="AT83">
        <v>642.66999999999996</v>
      </c>
      <c r="AU83">
        <v>799.95799999999997</v>
      </c>
      <c r="AV83">
        <v>21.497</v>
      </c>
      <c r="AW83">
        <v>12.7834</v>
      </c>
      <c r="AX83">
        <v>642.82399999999996</v>
      </c>
      <c r="AY83">
        <v>21.3218</v>
      </c>
      <c r="AZ83">
        <v>300.18900000000002</v>
      </c>
      <c r="BA83">
        <v>98.705799999999996</v>
      </c>
      <c r="BB83">
        <v>0.100064</v>
      </c>
      <c r="BC83">
        <v>24.787099999999999</v>
      </c>
      <c r="BD83">
        <v>26.985700000000001</v>
      </c>
      <c r="BE83">
        <v>26.450700000000001</v>
      </c>
      <c r="BF83">
        <v>0</v>
      </c>
      <c r="BG83">
        <v>0</v>
      </c>
      <c r="BH83">
        <v>9991.25</v>
      </c>
      <c r="BI83">
        <v>1049.81</v>
      </c>
      <c r="BJ83">
        <v>1.9328799999999999</v>
      </c>
      <c r="BK83">
        <v>-157.28800000000001</v>
      </c>
      <c r="BL83">
        <v>656.78899999999999</v>
      </c>
      <c r="BM83">
        <v>810.31700000000001</v>
      </c>
      <c r="BN83">
        <v>8.7136499999999995</v>
      </c>
      <c r="BO83">
        <v>799.95799999999997</v>
      </c>
      <c r="BP83">
        <v>12.7834</v>
      </c>
      <c r="BQ83">
        <v>2.12188</v>
      </c>
      <c r="BR83">
        <v>1.26179</v>
      </c>
      <c r="BS83">
        <v>18.384399999999999</v>
      </c>
      <c r="BT83">
        <v>10.3513</v>
      </c>
      <c r="BU83">
        <v>1799.99</v>
      </c>
      <c r="BV83">
        <v>0.91</v>
      </c>
      <c r="BW83">
        <v>3.3997800000000002E-2</v>
      </c>
      <c r="BX83">
        <v>2.2001099999999999E-2</v>
      </c>
      <c r="BY83">
        <v>3.4001499999999997E-2</v>
      </c>
      <c r="BZ83">
        <v>25</v>
      </c>
      <c r="CA83">
        <v>33528.199999999997</v>
      </c>
      <c r="CB83">
        <v>1690381960.0999999</v>
      </c>
      <c r="CC83" t="s">
        <v>332</v>
      </c>
      <c r="CD83">
        <v>1690381960.0999999</v>
      </c>
      <c r="CE83">
        <v>1690381958.0999999</v>
      </c>
      <c r="CF83">
        <v>4</v>
      </c>
      <c r="CG83">
        <v>9.9000000000000005E-2</v>
      </c>
      <c r="CH83">
        <v>1.2E-2</v>
      </c>
      <c r="CI83">
        <v>-0.26300000000000001</v>
      </c>
      <c r="CJ83">
        <v>0.127</v>
      </c>
      <c r="CK83">
        <v>798</v>
      </c>
      <c r="CL83">
        <v>18</v>
      </c>
      <c r="CM83">
        <v>0.02</v>
      </c>
      <c r="CN83">
        <v>0.12</v>
      </c>
      <c r="CO83">
        <v>-153.92522500000001</v>
      </c>
      <c r="CP83">
        <v>-19.955088180112149</v>
      </c>
      <c r="CQ83">
        <v>1.9208786334318491</v>
      </c>
      <c r="CR83">
        <v>-1</v>
      </c>
      <c r="CS83">
        <v>8.54877675</v>
      </c>
      <c r="CT83">
        <v>1.2000131707317081</v>
      </c>
      <c r="CU83">
        <v>0.1166909032955763</v>
      </c>
      <c r="CV83">
        <v>-1</v>
      </c>
      <c r="CW83">
        <v>0</v>
      </c>
      <c r="CX83">
        <v>0</v>
      </c>
      <c r="CY83" t="s">
        <v>333</v>
      </c>
      <c r="CZ83">
        <v>2.3644799999999999</v>
      </c>
      <c r="DA83">
        <v>2.7138499999999999</v>
      </c>
      <c r="DB83">
        <v>0.12590199999999999</v>
      </c>
      <c r="DC83">
        <v>0.145648</v>
      </c>
      <c r="DD83">
        <v>0.104952</v>
      </c>
      <c r="DE83">
        <v>7.09727E-2</v>
      </c>
      <c r="DF83">
        <v>31910.5</v>
      </c>
      <c r="DG83">
        <v>27524.6</v>
      </c>
      <c r="DH83">
        <v>31166.3</v>
      </c>
      <c r="DI83">
        <v>28072.799999999999</v>
      </c>
      <c r="DJ83">
        <v>37873.9</v>
      </c>
      <c r="DK83">
        <v>37085.5</v>
      </c>
      <c r="DL83">
        <v>44352.5</v>
      </c>
      <c r="DM83">
        <v>42548.5</v>
      </c>
      <c r="DN83">
        <v>1.4661999999999999</v>
      </c>
      <c r="DO83">
        <v>2.04643</v>
      </c>
      <c r="DP83">
        <v>0.17637</v>
      </c>
      <c r="DQ83">
        <v>0.152282</v>
      </c>
      <c r="DR83">
        <v>24.0944</v>
      </c>
      <c r="DS83">
        <v>23.952999999999999</v>
      </c>
      <c r="DT83">
        <v>56.6</v>
      </c>
      <c r="DU83">
        <v>28.7</v>
      </c>
      <c r="DV83">
        <v>22.663699999999999</v>
      </c>
      <c r="DW83">
        <v>60.972999999999999</v>
      </c>
      <c r="DX83">
        <v>35.749200000000002</v>
      </c>
      <c r="DY83">
        <v>1</v>
      </c>
      <c r="DZ83">
        <v>-8.0259200000000003E-2</v>
      </c>
      <c r="EA83">
        <v>1.3465400000000001</v>
      </c>
      <c r="EB83">
        <v>20.183599999999998</v>
      </c>
      <c r="EC83">
        <v>5.2409499999999998</v>
      </c>
      <c r="ED83">
        <v>12.039899999999999</v>
      </c>
      <c r="EE83">
        <v>5.0171999999999999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1.8689199999999999</v>
      </c>
      <c r="EL83">
        <v>1.8646199999999999</v>
      </c>
      <c r="EM83">
        <v>1.8692</v>
      </c>
      <c r="EN83">
        <v>1.8672500000000001</v>
      </c>
      <c r="EO83">
        <v>1.86338</v>
      </c>
      <c r="EP83">
        <v>1.86446</v>
      </c>
      <c r="EQ83">
        <v>1.87019</v>
      </c>
      <c r="ER83">
        <v>1.8694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-0.154</v>
      </c>
      <c r="FG83">
        <v>0.17519999999999999</v>
      </c>
      <c r="FH83">
        <v>0.28746640474027818</v>
      </c>
      <c r="FI83">
        <v>-6.1462078757559423E-4</v>
      </c>
      <c r="FJ83">
        <v>-1.8861989874597051E-7</v>
      </c>
      <c r="FK83">
        <v>1.1980462299894961E-10</v>
      </c>
      <c r="FL83">
        <v>0.17524818673008091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20.399999999999999</v>
      </c>
      <c r="FU83">
        <v>20.5</v>
      </c>
      <c r="FV83">
        <v>1.78589</v>
      </c>
      <c r="FW83">
        <v>2.5756800000000002</v>
      </c>
      <c r="FX83">
        <v>1.5490699999999999</v>
      </c>
      <c r="FY83">
        <v>2.3303199999999999</v>
      </c>
      <c r="FZ83">
        <v>1.50146</v>
      </c>
      <c r="GA83">
        <v>2.4011200000000001</v>
      </c>
      <c r="GB83">
        <v>33.558</v>
      </c>
      <c r="GC83">
        <v>23.982399999999998</v>
      </c>
      <c r="GD83">
        <v>19</v>
      </c>
      <c r="GE83">
        <v>279.16399999999999</v>
      </c>
      <c r="GF83">
        <v>592.75400000000002</v>
      </c>
      <c r="GG83">
        <v>21.599599999999999</v>
      </c>
      <c r="GH83">
        <v>26.360700000000001</v>
      </c>
      <c r="GI83">
        <v>30.0001</v>
      </c>
      <c r="GJ83">
        <v>26.4724</v>
      </c>
      <c r="GK83">
        <v>26.447099999999999</v>
      </c>
      <c r="GL83">
        <v>35.697899999999997</v>
      </c>
      <c r="GM83">
        <v>48.0946</v>
      </c>
      <c r="GN83">
        <v>85.132599999999996</v>
      </c>
      <c r="GO83">
        <v>21.608799999999999</v>
      </c>
      <c r="GP83">
        <v>800</v>
      </c>
      <c r="GQ83">
        <v>12.677099999999999</v>
      </c>
      <c r="GR83">
        <v>99.718699999999998</v>
      </c>
      <c r="GS83">
        <v>99.535899999999998</v>
      </c>
    </row>
    <row r="84" spans="1:201" x14ac:dyDescent="0.25">
      <c r="A84">
        <v>68</v>
      </c>
      <c r="B84">
        <v>1690383195.5999999</v>
      </c>
      <c r="C84">
        <v>720.5</v>
      </c>
      <c r="D84" t="s">
        <v>467</v>
      </c>
      <c r="E84" t="s">
        <v>468</v>
      </c>
      <c r="F84" t="s">
        <v>330</v>
      </c>
      <c r="H84">
        <v>1690383195.5999999</v>
      </c>
      <c r="I84">
        <f t="shared" si="30"/>
        <v>8.267156581131587E-4</v>
      </c>
      <c r="J84">
        <f t="shared" si="31"/>
        <v>0.82671565811315872</v>
      </c>
      <c r="K84">
        <f t="shared" si="32"/>
        <v>14.250408632294496</v>
      </c>
      <c r="L84">
        <f t="shared" si="33"/>
        <v>639.09799999999996</v>
      </c>
      <c r="M84">
        <f t="shared" si="34"/>
        <v>228.27772425925767</v>
      </c>
      <c r="N84">
        <f t="shared" si="35"/>
        <v>22.555781663281472</v>
      </c>
      <c r="O84">
        <f t="shared" si="36"/>
        <v>63.1483207405212</v>
      </c>
      <c r="P84">
        <f t="shared" si="37"/>
        <v>5.7635654126475915E-2</v>
      </c>
      <c r="Q84">
        <f t="shared" si="38"/>
        <v>2.1087901224646632</v>
      </c>
      <c r="R84">
        <f t="shared" si="39"/>
        <v>5.6774624477935208E-2</v>
      </c>
      <c r="S84">
        <f t="shared" si="40"/>
        <v>3.5560428833045214E-2</v>
      </c>
      <c r="T84">
        <f t="shared" si="41"/>
        <v>276.11546601600003</v>
      </c>
      <c r="U84">
        <f t="shared" si="42"/>
        <v>26.713392763466686</v>
      </c>
      <c r="V84">
        <f t="shared" si="43"/>
        <v>26.713392763466686</v>
      </c>
      <c r="W84">
        <f t="shared" si="44"/>
        <v>3.5193519746981989</v>
      </c>
      <c r="X84">
        <f t="shared" si="45"/>
        <v>67.537154517101357</v>
      </c>
      <c r="Y84">
        <f t="shared" si="46"/>
        <v>2.1216360755386803</v>
      </c>
      <c r="Z84">
        <f t="shared" si="47"/>
        <v>3.1414353931678485</v>
      </c>
      <c r="AA84">
        <f t="shared" si="48"/>
        <v>1.3977158991595187</v>
      </c>
      <c r="AB84">
        <f t="shared" si="49"/>
        <v>-36.458160522790301</v>
      </c>
      <c r="AC84">
        <f t="shared" si="50"/>
        <v>-217.85021744942236</v>
      </c>
      <c r="AD84">
        <f t="shared" si="51"/>
        <v>-22.018470780420746</v>
      </c>
      <c r="AE84">
        <f t="shared" si="52"/>
        <v>-0.21138273663339646</v>
      </c>
      <c r="AF84">
        <v>0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52517.345317081606</v>
      </c>
      <c r="AK84">
        <f t="shared" si="56"/>
        <v>1800</v>
      </c>
      <c r="AL84">
        <f t="shared" si="57"/>
        <v>1499.1132636</v>
      </c>
      <c r="AM84">
        <f t="shared" si="58"/>
        <v>0.83284070200000004</v>
      </c>
      <c r="AN84">
        <f t="shared" si="59"/>
        <v>0.15339748112000001</v>
      </c>
      <c r="AO84">
        <v>32.700000000000003</v>
      </c>
      <c r="AP84">
        <v>0.5</v>
      </c>
      <c r="AQ84" t="s">
        <v>331</v>
      </c>
      <c r="AR84">
        <v>2</v>
      </c>
      <c r="AS84">
        <v>1690383195.5999999</v>
      </c>
      <c r="AT84">
        <v>639.09799999999996</v>
      </c>
      <c r="AU84">
        <v>800.08399999999995</v>
      </c>
      <c r="AV84">
        <v>21.472200000000001</v>
      </c>
      <c r="AW84">
        <v>12.6601</v>
      </c>
      <c r="AX84">
        <v>639.24900000000002</v>
      </c>
      <c r="AY84">
        <v>21.297000000000001</v>
      </c>
      <c r="AZ84">
        <v>300.19099999999997</v>
      </c>
      <c r="BA84">
        <v>98.708600000000004</v>
      </c>
      <c r="BB84">
        <v>9.9909399999999995E-2</v>
      </c>
      <c r="BC84">
        <v>24.7972</v>
      </c>
      <c r="BD84">
        <v>27.004799999999999</v>
      </c>
      <c r="BE84">
        <v>26.442599999999999</v>
      </c>
      <c r="BF84">
        <v>0</v>
      </c>
      <c r="BG84">
        <v>0</v>
      </c>
      <c r="BH84">
        <v>9987.5</v>
      </c>
      <c r="BI84">
        <v>1049.73</v>
      </c>
      <c r="BJ84">
        <v>1.93849</v>
      </c>
      <c r="BK84">
        <v>-160.98599999999999</v>
      </c>
      <c r="BL84">
        <v>653.12199999999996</v>
      </c>
      <c r="BM84">
        <v>810.34299999999996</v>
      </c>
      <c r="BN84">
        <v>8.8120999999999992</v>
      </c>
      <c r="BO84">
        <v>800.08399999999995</v>
      </c>
      <c r="BP84">
        <v>12.6601</v>
      </c>
      <c r="BQ84">
        <v>2.1194899999999999</v>
      </c>
      <c r="BR84">
        <v>1.24966</v>
      </c>
      <c r="BS84">
        <v>18.366399999999999</v>
      </c>
      <c r="BT84">
        <v>10.2067</v>
      </c>
      <c r="BU84">
        <v>1800</v>
      </c>
      <c r="BV84">
        <v>0.91000199999999998</v>
      </c>
      <c r="BW84">
        <v>3.3996999999999999E-2</v>
      </c>
      <c r="BX84">
        <v>2.2000599999999999E-2</v>
      </c>
      <c r="BY84">
        <v>3.4000799999999998E-2</v>
      </c>
      <c r="BZ84">
        <v>25</v>
      </c>
      <c r="CA84">
        <v>33528.400000000001</v>
      </c>
      <c r="CB84">
        <v>1690381960.0999999</v>
      </c>
      <c r="CC84" t="s">
        <v>332</v>
      </c>
      <c r="CD84">
        <v>1690381960.0999999</v>
      </c>
      <c r="CE84">
        <v>1690381958.0999999</v>
      </c>
      <c r="CF84">
        <v>4</v>
      </c>
      <c r="CG84">
        <v>9.9000000000000005E-2</v>
      </c>
      <c r="CH84">
        <v>1.2E-2</v>
      </c>
      <c r="CI84">
        <v>-0.26300000000000001</v>
      </c>
      <c r="CJ84">
        <v>0.127</v>
      </c>
      <c r="CK84">
        <v>798</v>
      </c>
      <c r="CL84">
        <v>18</v>
      </c>
      <c r="CM84">
        <v>0.02</v>
      </c>
      <c r="CN84">
        <v>0.12</v>
      </c>
      <c r="CO84">
        <v>-156.9616</v>
      </c>
      <c r="CP84">
        <v>-20.84487804878011</v>
      </c>
      <c r="CQ84">
        <v>2.0059498224033412</v>
      </c>
      <c r="CR84">
        <v>-1</v>
      </c>
      <c r="CS84">
        <v>8.690835250000001</v>
      </c>
      <c r="CT84">
        <v>0.73746450281423859</v>
      </c>
      <c r="CU84">
        <v>7.1988957659751412E-2</v>
      </c>
      <c r="CV84">
        <v>-1</v>
      </c>
      <c r="CW84">
        <v>0</v>
      </c>
      <c r="CX84">
        <v>0</v>
      </c>
      <c r="CY84" t="s">
        <v>333</v>
      </c>
      <c r="CZ84">
        <v>2.3645100000000001</v>
      </c>
      <c r="DA84">
        <v>2.7136900000000002</v>
      </c>
      <c r="DB84">
        <v>0.125418</v>
      </c>
      <c r="DC84">
        <v>0.14566499999999999</v>
      </c>
      <c r="DD84">
        <v>0.104868</v>
      </c>
      <c r="DE84">
        <v>7.0462899999999995E-2</v>
      </c>
      <c r="DF84">
        <v>31928.3</v>
      </c>
      <c r="DG84">
        <v>27524.1</v>
      </c>
      <c r="DH84">
        <v>31166.5</v>
      </c>
      <c r="DI84">
        <v>28072.799999999999</v>
      </c>
      <c r="DJ84">
        <v>37877.5</v>
      </c>
      <c r="DK84">
        <v>37106.199999999997</v>
      </c>
      <c r="DL84">
        <v>44352.5</v>
      </c>
      <c r="DM84">
        <v>42548.800000000003</v>
      </c>
      <c r="DN84">
        <v>1.4658500000000001</v>
      </c>
      <c r="DO84">
        <v>2.0460799999999999</v>
      </c>
      <c r="DP84">
        <v>0.17815500000000001</v>
      </c>
      <c r="DQ84">
        <v>0.15209600000000001</v>
      </c>
      <c r="DR84">
        <v>24.084299999999999</v>
      </c>
      <c r="DS84">
        <v>23.947900000000001</v>
      </c>
      <c r="DT84">
        <v>56.5</v>
      </c>
      <c r="DU84">
        <v>28.7</v>
      </c>
      <c r="DV84">
        <v>22.625699999999998</v>
      </c>
      <c r="DW84">
        <v>60.753</v>
      </c>
      <c r="DX84">
        <v>35.885399999999997</v>
      </c>
      <c r="DY84">
        <v>1</v>
      </c>
      <c r="DZ84">
        <v>-7.8742400000000004E-2</v>
      </c>
      <c r="EA84">
        <v>2.0598200000000002</v>
      </c>
      <c r="EB84">
        <v>20.174600000000002</v>
      </c>
      <c r="EC84">
        <v>5.2403500000000003</v>
      </c>
      <c r="ED84">
        <v>12.039899999999999</v>
      </c>
      <c r="EE84">
        <v>5.0167999999999999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</v>
      </c>
      <c r="EL84">
        <v>1.8646199999999999</v>
      </c>
      <c r="EM84">
        <v>1.8692</v>
      </c>
      <c r="EN84">
        <v>1.8672299999999999</v>
      </c>
      <c r="EO84">
        <v>1.86337</v>
      </c>
      <c r="EP84">
        <v>1.8644700000000001</v>
      </c>
      <c r="EQ84">
        <v>1.87016</v>
      </c>
      <c r="ER84">
        <v>1.86937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-0.151</v>
      </c>
      <c r="FG84">
        <v>0.17519999999999999</v>
      </c>
      <c r="FH84">
        <v>0.28746640474027818</v>
      </c>
      <c r="FI84">
        <v>-6.1462078757559423E-4</v>
      </c>
      <c r="FJ84">
        <v>-1.8861989874597051E-7</v>
      </c>
      <c r="FK84">
        <v>1.1980462299894961E-10</v>
      </c>
      <c r="FL84">
        <v>0.17524818673008091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20.6</v>
      </c>
      <c r="FU84">
        <v>20.6</v>
      </c>
      <c r="FV84">
        <v>1.78467</v>
      </c>
      <c r="FW84">
        <v>2.5769000000000002</v>
      </c>
      <c r="FX84">
        <v>1.5490699999999999</v>
      </c>
      <c r="FY84">
        <v>2.3303199999999999</v>
      </c>
      <c r="FZ84">
        <v>1.50146</v>
      </c>
      <c r="GA84">
        <v>2.4047900000000002</v>
      </c>
      <c r="GB84">
        <v>33.558</v>
      </c>
      <c r="GC84">
        <v>23.982399999999998</v>
      </c>
      <c r="GD84">
        <v>19</v>
      </c>
      <c r="GE84">
        <v>279.00799999999998</v>
      </c>
      <c r="GF84">
        <v>592.43499999999995</v>
      </c>
      <c r="GG84">
        <v>21.478400000000001</v>
      </c>
      <c r="GH84">
        <v>26.357500000000002</v>
      </c>
      <c r="GI84">
        <v>30.001000000000001</v>
      </c>
      <c r="GJ84">
        <v>26.470600000000001</v>
      </c>
      <c r="GK84">
        <v>26.444900000000001</v>
      </c>
      <c r="GL84">
        <v>35.691600000000001</v>
      </c>
      <c r="GM84">
        <v>48.376199999999997</v>
      </c>
      <c r="GN84">
        <v>84.760099999999994</v>
      </c>
      <c r="GO84">
        <v>21.388300000000001</v>
      </c>
      <c r="GP84">
        <v>800</v>
      </c>
      <c r="GQ84">
        <v>12.616199999999999</v>
      </c>
      <c r="GR84">
        <v>99.718999999999994</v>
      </c>
      <c r="GS84">
        <v>99.5364</v>
      </c>
    </row>
    <row r="85" spans="1:201" x14ac:dyDescent="0.25">
      <c r="A85">
        <v>69</v>
      </c>
      <c r="B85">
        <v>1690383205.5999999</v>
      </c>
      <c r="C85">
        <v>730.5</v>
      </c>
      <c r="D85" t="s">
        <v>469</v>
      </c>
      <c r="E85" t="s">
        <v>470</v>
      </c>
      <c r="F85" t="s">
        <v>330</v>
      </c>
      <c r="H85">
        <v>1690383205.5999999</v>
      </c>
      <c r="I85">
        <f t="shared" si="30"/>
        <v>8.2635038886076835E-4</v>
      </c>
      <c r="J85">
        <f t="shared" si="31"/>
        <v>0.82635038886076839</v>
      </c>
      <c r="K85">
        <f t="shared" si="32"/>
        <v>14.576223162396371</v>
      </c>
      <c r="L85">
        <f t="shared" si="33"/>
        <v>635.54300000000001</v>
      </c>
      <c r="M85">
        <f t="shared" si="34"/>
        <v>215.76116710400768</v>
      </c>
      <c r="N85">
        <f t="shared" si="35"/>
        <v>21.318709754344681</v>
      </c>
      <c r="O85">
        <f t="shared" si="36"/>
        <v>62.796085761226003</v>
      </c>
      <c r="P85">
        <f t="shared" si="37"/>
        <v>5.7638779326560613E-2</v>
      </c>
      <c r="Q85">
        <f t="shared" si="38"/>
        <v>2.103727778632547</v>
      </c>
      <c r="R85">
        <f t="shared" si="39"/>
        <v>5.6775618335068383E-2</v>
      </c>
      <c r="S85">
        <f t="shared" si="40"/>
        <v>3.5561236235913063E-2</v>
      </c>
      <c r="T85">
        <f t="shared" si="41"/>
        <v>276.11517076200005</v>
      </c>
      <c r="U85">
        <f t="shared" si="42"/>
        <v>26.686764738046431</v>
      </c>
      <c r="V85">
        <f t="shared" si="43"/>
        <v>26.686764738046431</v>
      </c>
      <c r="W85">
        <f t="shared" si="44"/>
        <v>3.5138399348192006</v>
      </c>
      <c r="X85">
        <f t="shared" si="45"/>
        <v>67.50527123313698</v>
      </c>
      <c r="Y85">
        <f t="shared" si="46"/>
        <v>2.1167123332914004</v>
      </c>
      <c r="Z85">
        <f t="shared" si="47"/>
        <v>3.1356252550724499</v>
      </c>
      <c r="AA85">
        <f t="shared" si="48"/>
        <v>1.3971276015278002</v>
      </c>
      <c r="AB85">
        <f t="shared" si="49"/>
        <v>-36.442052148759885</v>
      </c>
      <c r="AC85">
        <f t="shared" si="50"/>
        <v>-217.82310067055448</v>
      </c>
      <c r="AD85">
        <f t="shared" si="51"/>
        <v>-22.062324321967019</v>
      </c>
      <c r="AE85">
        <f t="shared" si="52"/>
        <v>-0.2123063792813582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52301.030571502546</v>
      </c>
      <c r="AK85">
        <f t="shared" si="56"/>
        <v>1800</v>
      </c>
      <c r="AL85">
        <f t="shared" si="57"/>
        <v>1499.1129972000001</v>
      </c>
      <c r="AM85">
        <f t="shared" si="58"/>
        <v>0.83284055400000001</v>
      </c>
      <c r="AN85">
        <f t="shared" si="59"/>
        <v>0.15339731709000001</v>
      </c>
      <c r="AO85">
        <v>32.700000000000003</v>
      </c>
      <c r="AP85">
        <v>0.5</v>
      </c>
      <c r="AQ85" t="s">
        <v>331</v>
      </c>
      <c r="AR85">
        <v>2</v>
      </c>
      <c r="AS85">
        <v>1690383205.5999999</v>
      </c>
      <c r="AT85">
        <v>635.54300000000001</v>
      </c>
      <c r="AU85">
        <v>800.03700000000003</v>
      </c>
      <c r="AV85">
        <v>21.422699999999999</v>
      </c>
      <c r="AW85">
        <v>12.6144</v>
      </c>
      <c r="AX85">
        <v>635.69200000000001</v>
      </c>
      <c r="AY85">
        <v>21.247399999999999</v>
      </c>
      <c r="AZ85">
        <v>300.20299999999997</v>
      </c>
      <c r="BA85">
        <v>98.706900000000005</v>
      </c>
      <c r="BB85">
        <v>0.100082</v>
      </c>
      <c r="BC85">
        <v>24.766200000000001</v>
      </c>
      <c r="BD85">
        <v>26.9389</v>
      </c>
      <c r="BE85">
        <v>26.409099999999999</v>
      </c>
      <c r="BF85">
        <v>0</v>
      </c>
      <c r="BG85">
        <v>0</v>
      </c>
      <c r="BH85">
        <v>9943.75</v>
      </c>
      <c r="BI85">
        <v>1049.46</v>
      </c>
      <c r="BJ85">
        <v>2.2720799999999999</v>
      </c>
      <c r="BK85">
        <v>-164.494</v>
      </c>
      <c r="BL85">
        <v>649.45600000000002</v>
      </c>
      <c r="BM85">
        <v>810.25800000000004</v>
      </c>
      <c r="BN85">
        <v>8.8082999999999991</v>
      </c>
      <c r="BO85">
        <v>800.03700000000003</v>
      </c>
      <c r="BP85">
        <v>12.6144</v>
      </c>
      <c r="BQ85">
        <v>2.11456</v>
      </c>
      <c r="BR85">
        <v>1.24512</v>
      </c>
      <c r="BS85">
        <v>18.3293</v>
      </c>
      <c r="BT85">
        <v>10.1523</v>
      </c>
      <c r="BU85">
        <v>1800</v>
      </c>
      <c r="BV85">
        <v>0.91000499999999995</v>
      </c>
      <c r="BW85">
        <v>3.3995699999999997E-2</v>
      </c>
      <c r="BX85">
        <v>2.1999700000000001E-2</v>
      </c>
      <c r="BY85">
        <v>3.3999500000000002E-2</v>
      </c>
      <c r="BZ85">
        <v>25</v>
      </c>
      <c r="CA85">
        <v>33528.400000000001</v>
      </c>
      <c r="CB85">
        <v>1690381960.0999999</v>
      </c>
      <c r="CC85" t="s">
        <v>332</v>
      </c>
      <c r="CD85">
        <v>1690381960.0999999</v>
      </c>
      <c r="CE85">
        <v>1690381958.0999999</v>
      </c>
      <c r="CF85">
        <v>4</v>
      </c>
      <c r="CG85">
        <v>9.9000000000000005E-2</v>
      </c>
      <c r="CH85">
        <v>1.2E-2</v>
      </c>
      <c r="CI85">
        <v>-0.26300000000000001</v>
      </c>
      <c r="CJ85">
        <v>0.127</v>
      </c>
      <c r="CK85">
        <v>798</v>
      </c>
      <c r="CL85">
        <v>18</v>
      </c>
      <c r="CM85">
        <v>0.02</v>
      </c>
      <c r="CN85">
        <v>0.12</v>
      </c>
      <c r="CO85">
        <v>-160.5700975609756</v>
      </c>
      <c r="CP85">
        <v>-21.54604181184688</v>
      </c>
      <c r="CQ85">
        <v>2.1251054700354368</v>
      </c>
      <c r="CR85">
        <v>-1</v>
      </c>
      <c r="CS85">
        <v>8.7797570731707317</v>
      </c>
      <c r="CT85">
        <v>0.33006668989546079</v>
      </c>
      <c r="CU85">
        <v>3.6690662349278869E-2</v>
      </c>
      <c r="CV85">
        <v>-1</v>
      </c>
      <c r="CW85">
        <v>0</v>
      </c>
      <c r="CX85">
        <v>0</v>
      </c>
      <c r="CY85" t="s">
        <v>333</v>
      </c>
      <c r="CZ85">
        <v>2.3645499999999999</v>
      </c>
      <c r="DA85">
        <v>2.7138200000000001</v>
      </c>
      <c r="DB85">
        <v>0.12493</v>
      </c>
      <c r="DC85">
        <v>0.14565600000000001</v>
      </c>
      <c r="DD85">
        <v>0.104694</v>
      </c>
      <c r="DE85">
        <v>7.0271E-2</v>
      </c>
      <c r="DF85">
        <v>31946.5</v>
      </c>
      <c r="DG85">
        <v>27524.5</v>
      </c>
      <c r="DH85">
        <v>31166.799999999999</v>
      </c>
      <c r="DI85">
        <v>28072.9</v>
      </c>
      <c r="DJ85">
        <v>37885.300000000003</v>
      </c>
      <c r="DK85">
        <v>37113.9</v>
      </c>
      <c r="DL85">
        <v>44353.1</v>
      </c>
      <c r="DM85">
        <v>42548.9</v>
      </c>
      <c r="DN85">
        <v>1.4663999999999999</v>
      </c>
      <c r="DO85">
        <v>2.0461499999999999</v>
      </c>
      <c r="DP85">
        <v>0.17455999999999999</v>
      </c>
      <c r="DQ85">
        <v>0.15028900000000001</v>
      </c>
      <c r="DR85">
        <v>24.077200000000001</v>
      </c>
      <c r="DS85">
        <v>23.943899999999999</v>
      </c>
      <c r="DT85">
        <v>56.3</v>
      </c>
      <c r="DU85">
        <v>28.7</v>
      </c>
      <c r="DV85">
        <v>22.5443</v>
      </c>
      <c r="DW85">
        <v>61.313000000000002</v>
      </c>
      <c r="DX85">
        <v>35.769199999999998</v>
      </c>
      <c r="DY85">
        <v>1</v>
      </c>
      <c r="DZ85">
        <v>-7.9938999999999996E-2</v>
      </c>
      <c r="EA85">
        <v>1.6468400000000001</v>
      </c>
      <c r="EB85">
        <v>20.180099999999999</v>
      </c>
      <c r="EC85">
        <v>5.2411000000000003</v>
      </c>
      <c r="ED85">
        <v>12.039899999999999</v>
      </c>
      <c r="EE85">
        <v>5.0168999999999997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</v>
      </c>
      <c r="EL85">
        <v>1.8646199999999999</v>
      </c>
      <c r="EM85">
        <v>1.8692</v>
      </c>
      <c r="EN85">
        <v>1.8672299999999999</v>
      </c>
      <c r="EO85">
        <v>1.86337</v>
      </c>
      <c r="EP85">
        <v>1.8644700000000001</v>
      </c>
      <c r="EQ85">
        <v>1.87015</v>
      </c>
      <c r="ER85">
        <v>1.8693900000000001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-0.14899999999999999</v>
      </c>
      <c r="FG85">
        <v>0.17530000000000001</v>
      </c>
      <c r="FH85">
        <v>0.28746640474027818</v>
      </c>
      <c r="FI85">
        <v>-6.1462078757559423E-4</v>
      </c>
      <c r="FJ85">
        <v>-1.8861989874597051E-7</v>
      </c>
      <c r="FK85">
        <v>1.1980462299894961E-10</v>
      </c>
      <c r="FL85">
        <v>0.17524818673008091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20.8</v>
      </c>
      <c r="FU85">
        <v>20.8</v>
      </c>
      <c r="FV85">
        <v>1.78467</v>
      </c>
      <c r="FW85">
        <v>2.5720200000000002</v>
      </c>
      <c r="FX85">
        <v>1.5490699999999999</v>
      </c>
      <c r="FY85">
        <v>2.3315399999999999</v>
      </c>
      <c r="FZ85">
        <v>1.50146</v>
      </c>
      <c r="GA85">
        <v>2.3950200000000001</v>
      </c>
      <c r="GB85">
        <v>33.558</v>
      </c>
      <c r="GC85">
        <v>23.982399999999998</v>
      </c>
      <c r="GD85">
        <v>19</v>
      </c>
      <c r="GE85">
        <v>279.23099999999999</v>
      </c>
      <c r="GF85">
        <v>592.49800000000005</v>
      </c>
      <c r="GG85">
        <v>21.354800000000001</v>
      </c>
      <c r="GH85">
        <v>26.353100000000001</v>
      </c>
      <c r="GI85">
        <v>29.9998</v>
      </c>
      <c r="GJ85">
        <v>26.468399999999999</v>
      </c>
      <c r="GK85">
        <v>26.444900000000001</v>
      </c>
      <c r="GL85">
        <v>35.691800000000001</v>
      </c>
      <c r="GM85">
        <v>48.6524</v>
      </c>
      <c r="GN85">
        <v>83.9983</v>
      </c>
      <c r="GO85">
        <v>21.386900000000001</v>
      </c>
      <c r="GP85">
        <v>800</v>
      </c>
      <c r="GQ85">
        <v>12.514799999999999</v>
      </c>
      <c r="GR85">
        <v>99.720100000000002</v>
      </c>
      <c r="GS85">
        <v>99.536600000000007</v>
      </c>
    </row>
    <row r="86" spans="1:201" x14ac:dyDescent="0.25">
      <c r="A86">
        <v>70</v>
      </c>
      <c r="B86">
        <v>1690383215.5999999</v>
      </c>
      <c r="C86">
        <v>740.5</v>
      </c>
      <c r="D86" t="s">
        <v>471</v>
      </c>
      <c r="E86" t="s">
        <v>472</v>
      </c>
      <c r="F86" t="s">
        <v>330</v>
      </c>
      <c r="H86">
        <v>1690383215.5999999</v>
      </c>
      <c r="I86">
        <f t="shared" si="30"/>
        <v>8.4064097337014309E-4</v>
      </c>
      <c r="J86">
        <f t="shared" si="31"/>
        <v>0.8406409733701431</v>
      </c>
      <c r="K86">
        <f t="shared" si="32"/>
        <v>14.898585244000582</v>
      </c>
      <c r="L86">
        <f t="shared" si="33"/>
        <v>631.97199999999998</v>
      </c>
      <c r="M86">
        <f t="shared" si="34"/>
        <v>211.75317974609678</v>
      </c>
      <c r="N86">
        <f t="shared" si="35"/>
        <v>20.922857067134739</v>
      </c>
      <c r="O86">
        <f t="shared" si="36"/>
        <v>62.443736817959199</v>
      </c>
      <c r="P86">
        <f t="shared" si="37"/>
        <v>5.8846176929401937E-2</v>
      </c>
      <c r="Q86">
        <f t="shared" si="38"/>
        <v>2.1120776851131993</v>
      </c>
      <c r="R86">
        <f t="shared" si="39"/>
        <v>5.7950276309620671E-2</v>
      </c>
      <c r="S86">
        <f t="shared" si="40"/>
        <v>3.629827957958584E-2</v>
      </c>
      <c r="T86">
        <f t="shared" si="41"/>
        <v>276.11516964600003</v>
      </c>
      <c r="U86">
        <f t="shared" si="42"/>
        <v>26.668440917330074</v>
      </c>
      <c r="V86">
        <f t="shared" si="43"/>
        <v>26.668440917330074</v>
      </c>
      <c r="W86">
        <f t="shared" si="44"/>
        <v>3.5100512566719857</v>
      </c>
      <c r="X86">
        <f t="shared" si="45"/>
        <v>67.557459546793822</v>
      </c>
      <c r="Y86">
        <f t="shared" si="46"/>
        <v>2.1175391937807402</v>
      </c>
      <c r="Z86">
        <f t="shared" si="47"/>
        <v>3.1344269130102829</v>
      </c>
      <c r="AA86">
        <f t="shared" si="48"/>
        <v>1.3925120628912455</v>
      </c>
      <c r="AB86">
        <f t="shared" si="49"/>
        <v>-37.07226692562331</v>
      </c>
      <c r="AC86">
        <f t="shared" si="50"/>
        <v>-217.32994066653524</v>
      </c>
      <c r="AD86">
        <f t="shared" si="51"/>
        <v>-21.922625824124406</v>
      </c>
      <c r="AE86">
        <f t="shared" si="52"/>
        <v>-0.2096637702829014</v>
      </c>
      <c r="AF86">
        <v>0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52668.263052791466</v>
      </c>
      <c r="AK86">
        <f t="shared" si="56"/>
        <v>1800</v>
      </c>
      <c r="AL86">
        <f t="shared" si="57"/>
        <v>1499.1139836000002</v>
      </c>
      <c r="AM86">
        <f t="shared" si="58"/>
        <v>0.83284110200000006</v>
      </c>
      <c r="AN86">
        <f t="shared" si="59"/>
        <v>0.15339731647000002</v>
      </c>
      <c r="AO86">
        <v>32.700000000000003</v>
      </c>
      <c r="AP86">
        <v>0.5</v>
      </c>
      <c r="AQ86" t="s">
        <v>331</v>
      </c>
      <c r="AR86">
        <v>2</v>
      </c>
      <c r="AS86">
        <v>1690383215.5999999</v>
      </c>
      <c r="AT86">
        <v>631.97199999999998</v>
      </c>
      <c r="AU86">
        <v>800.05200000000002</v>
      </c>
      <c r="AV86">
        <v>21.430900000000001</v>
      </c>
      <c r="AW86">
        <v>12.469900000000001</v>
      </c>
      <c r="AX86">
        <v>632.11900000000003</v>
      </c>
      <c r="AY86">
        <v>21.255600000000001</v>
      </c>
      <c r="AZ86">
        <v>300.18799999999999</v>
      </c>
      <c r="BA86">
        <v>98.707800000000006</v>
      </c>
      <c r="BB86">
        <v>9.9958599999999995E-2</v>
      </c>
      <c r="BC86">
        <v>24.759799999999998</v>
      </c>
      <c r="BD86">
        <v>26.9207</v>
      </c>
      <c r="BE86">
        <v>26.406600000000001</v>
      </c>
      <c r="BF86">
        <v>0</v>
      </c>
      <c r="BG86">
        <v>0</v>
      </c>
      <c r="BH86">
        <v>10016.200000000001</v>
      </c>
      <c r="BI86">
        <v>1049.3499999999999</v>
      </c>
      <c r="BJ86">
        <v>2.2987099999999998</v>
      </c>
      <c r="BK86">
        <v>-168.07900000000001</v>
      </c>
      <c r="BL86">
        <v>645.81299999999999</v>
      </c>
      <c r="BM86">
        <v>810.154</v>
      </c>
      <c r="BN86">
        <v>8.9610299999999992</v>
      </c>
      <c r="BO86">
        <v>800.05200000000002</v>
      </c>
      <c r="BP86">
        <v>12.469900000000001</v>
      </c>
      <c r="BQ86">
        <v>2.1154000000000002</v>
      </c>
      <c r="BR86">
        <v>1.2308699999999999</v>
      </c>
      <c r="BS86">
        <v>18.335599999999999</v>
      </c>
      <c r="BT86">
        <v>9.9802700000000009</v>
      </c>
      <c r="BU86">
        <v>1800</v>
      </c>
      <c r="BV86">
        <v>0.91000800000000004</v>
      </c>
      <c r="BW86">
        <v>3.3994700000000003E-2</v>
      </c>
      <c r="BX86">
        <v>2.1999100000000001E-2</v>
      </c>
      <c r="BY86">
        <v>3.3998500000000001E-2</v>
      </c>
      <c r="BZ86">
        <v>25</v>
      </c>
      <c r="CA86">
        <v>33528.400000000001</v>
      </c>
      <c r="CB86">
        <v>1690381960.0999999</v>
      </c>
      <c r="CC86" t="s">
        <v>332</v>
      </c>
      <c r="CD86">
        <v>1690381960.0999999</v>
      </c>
      <c r="CE86">
        <v>1690381958.0999999</v>
      </c>
      <c r="CF86">
        <v>4</v>
      </c>
      <c r="CG86">
        <v>9.9000000000000005E-2</v>
      </c>
      <c r="CH86">
        <v>1.2E-2</v>
      </c>
      <c r="CI86">
        <v>-0.26300000000000001</v>
      </c>
      <c r="CJ86">
        <v>0.127</v>
      </c>
      <c r="CK86">
        <v>798</v>
      </c>
      <c r="CL86">
        <v>18</v>
      </c>
      <c r="CM86">
        <v>0.02</v>
      </c>
      <c r="CN86">
        <v>0.12</v>
      </c>
      <c r="CO86">
        <v>-164.04332500000001</v>
      </c>
      <c r="CP86">
        <v>-21.350555347091721</v>
      </c>
      <c r="CQ86">
        <v>2.0549464395392389</v>
      </c>
      <c r="CR86">
        <v>-1</v>
      </c>
      <c r="CS86">
        <v>8.838474999999999</v>
      </c>
      <c r="CT86">
        <v>0.403930581613478</v>
      </c>
      <c r="CU86">
        <v>4.7760705501489489E-2</v>
      </c>
      <c r="CV86">
        <v>-1</v>
      </c>
      <c r="CW86">
        <v>0</v>
      </c>
      <c r="CX86">
        <v>0</v>
      </c>
      <c r="CY86" t="s">
        <v>333</v>
      </c>
      <c r="CZ86">
        <v>2.3645</v>
      </c>
      <c r="DA86">
        <v>2.7137699999999998</v>
      </c>
      <c r="DB86">
        <v>0.124441</v>
      </c>
      <c r="DC86">
        <v>0.14565700000000001</v>
      </c>
      <c r="DD86">
        <v>0.104724</v>
      </c>
      <c r="DE86">
        <v>6.9668400000000005E-2</v>
      </c>
      <c r="DF86">
        <v>31964.1</v>
      </c>
      <c r="DG86">
        <v>27525.200000000001</v>
      </c>
      <c r="DH86">
        <v>31166.6</v>
      </c>
      <c r="DI86">
        <v>28073.7</v>
      </c>
      <c r="DJ86">
        <v>37883.699999999997</v>
      </c>
      <c r="DK86">
        <v>37138.800000000003</v>
      </c>
      <c r="DL86">
        <v>44352.7</v>
      </c>
      <c r="DM86">
        <v>42549.8</v>
      </c>
      <c r="DN86">
        <v>1.4659</v>
      </c>
      <c r="DO86">
        <v>2.0455700000000001</v>
      </c>
      <c r="DP86">
        <v>0.173874</v>
      </c>
      <c r="DQ86">
        <v>0.15038299999999999</v>
      </c>
      <c r="DR86">
        <v>24.0701</v>
      </c>
      <c r="DS86">
        <v>23.939900000000002</v>
      </c>
      <c r="DT86">
        <v>56.2</v>
      </c>
      <c r="DU86">
        <v>28.7</v>
      </c>
      <c r="DV86">
        <v>22.5031</v>
      </c>
      <c r="DW86">
        <v>60.582999999999998</v>
      </c>
      <c r="DX86">
        <v>35.861400000000003</v>
      </c>
      <c r="DY86">
        <v>1</v>
      </c>
      <c r="DZ86">
        <v>-8.0602099999999996E-2</v>
      </c>
      <c r="EA86">
        <v>1.29538</v>
      </c>
      <c r="EB86">
        <v>20.183800000000002</v>
      </c>
      <c r="EC86">
        <v>5.2409499999999998</v>
      </c>
      <c r="ED86">
        <v>12.039899999999999</v>
      </c>
      <c r="EE86">
        <v>5.0160499999999999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</v>
      </c>
      <c r="EL86">
        <v>1.8646199999999999</v>
      </c>
      <c r="EM86">
        <v>1.8692</v>
      </c>
      <c r="EN86">
        <v>1.8672599999999999</v>
      </c>
      <c r="EO86">
        <v>1.8633599999999999</v>
      </c>
      <c r="EP86">
        <v>1.86446</v>
      </c>
      <c r="EQ86">
        <v>1.8701399999999999</v>
      </c>
      <c r="ER86">
        <v>1.8693599999999999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-0.14699999999999999</v>
      </c>
      <c r="FG86">
        <v>0.17530000000000001</v>
      </c>
      <c r="FH86">
        <v>0.28746640474027818</v>
      </c>
      <c r="FI86">
        <v>-6.1462078757559423E-4</v>
      </c>
      <c r="FJ86">
        <v>-1.8861989874597051E-7</v>
      </c>
      <c r="FK86">
        <v>1.1980462299894961E-10</v>
      </c>
      <c r="FL86">
        <v>0.17524818673008091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20.9</v>
      </c>
      <c r="FU86">
        <v>21</v>
      </c>
      <c r="FV86">
        <v>1.78467</v>
      </c>
      <c r="FW86">
        <v>2.5744600000000002</v>
      </c>
      <c r="FX86">
        <v>1.5490699999999999</v>
      </c>
      <c r="FY86">
        <v>2.3303199999999999</v>
      </c>
      <c r="FZ86">
        <v>1.50146</v>
      </c>
      <c r="GA86">
        <v>2.4011200000000001</v>
      </c>
      <c r="GB86">
        <v>33.558</v>
      </c>
      <c r="GC86">
        <v>23.982399999999998</v>
      </c>
      <c r="GD86">
        <v>19</v>
      </c>
      <c r="GE86">
        <v>279.01799999999997</v>
      </c>
      <c r="GF86">
        <v>591.99199999999996</v>
      </c>
      <c r="GG86">
        <v>21.4025</v>
      </c>
      <c r="GH86">
        <v>26.349</v>
      </c>
      <c r="GI86">
        <v>29.9998</v>
      </c>
      <c r="GJ86">
        <v>26.468</v>
      </c>
      <c r="GK86">
        <v>26.442699999999999</v>
      </c>
      <c r="GL86">
        <v>35.683199999999999</v>
      </c>
      <c r="GM86">
        <v>48.6524</v>
      </c>
      <c r="GN86">
        <v>83.603999999999999</v>
      </c>
      <c r="GO86">
        <v>21.477</v>
      </c>
      <c r="GP86">
        <v>800</v>
      </c>
      <c r="GQ86">
        <v>12.3683</v>
      </c>
      <c r="GR86">
        <v>99.719399999999993</v>
      </c>
      <c r="GS86">
        <v>99.539000000000001</v>
      </c>
    </row>
    <row r="87" spans="1:201" x14ac:dyDescent="0.25">
      <c r="A87">
        <v>71</v>
      </c>
      <c r="B87">
        <v>1690383225.5999999</v>
      </c>
      <c r="C87">
        <v>750.5</v>
      </c>
      <c r="D87" t="s">
        <v>473</v>
      </c>
      <c r="E87" t="s">
        <v>474</v>
      </c>
      <c r="F87" t="s">
        <v>330</v>
      </c>
      <c r="H87">
        <v>1690383225.5999999</v>
      </c>
      <c r="I87">
        <f t="shared" si="30"/>
        <v>8.5801990630073694E-4</v>
      </c>
      <c r="J87">
        <f t="shared" si="31"/>
        <v>0.85801990630073699</v>
      </c>
      <c r="K87">
        <f t="shared" si="32"/>
        <v>15.234479505480028</v>
      </c>
      <c r="L87">
        <f t="shared" si="33"/>
        <v>628.23900000000003</v>
      </c>
      <c r="M87">
        <f t="shared" si="34"/>
        <v>208.80772275247762</v>
      </c>
      <c r="N87">
        <f t="shared" si="35"/>
        <v>20.631251222713008</v>
      </c>
      <c r="O87">
        <f t="shared" si="36"/>
        <v>62.073166959779996</v>
      </c>
      <c r="P87">
        <f t="shared" si="37"/>
        <v>6.0294720073162014E-2</v>
      </c>
      <c r="Q87">
        <f t="shared" si="38"/>
        <v>2.1039216218090289</v>
      </c>
      <c r="R87">
        <f t="shared" si="39"/>
        <v>5.9350966798959549E-2</v>
      </c>
      <c r="S87">
        <f t="shared" si="40"/>
        <v>3.7177916208643559E-2</v>
      </c>
      <c r="T87">
        <f t="shared" si="41"/>
        <v>276.11487439199999</v>
      </c>
      <c r="U87">
        <f t="shared" si="42"/>
        <v>26.669820765369277</v>
      </c>
      <c r="V87">
        <f t="shared" si="43"/>
        <v>26.669820765369277</v>
      </c>
      <c r="W87">
        <f t="shared" si="44"/>
        <v>3.510336433212573</v>
      </c>
      <c r="X87">
        <f t="shared" si="45"/>
        <v>67.717529358433794</v>
      </c>
      <c r="Y87">
        <f t="shared" si="46"/>
        <v>2.1226578861659999</v>
      </c>
      <c r="Z87">
        <f t="shared" si="47"/>
        <v>3.1345766838754821</v>
      </c>
      <c r="AA87">
        <f t="shared" si="48"/>
        <v>1.3876785470465731</v>
      </c>
      <c r="AB87">
        <f t="shared" si="49"/>
        <v>-37.838677867862501</v>
      </c>
      <c r="AC87">
        <f t="shared" si="50"/>
        <v>-216.55646297491114</v>
      </c>
      <c r="AD87">
        <f t="shared" si="51"/>
        <v>-21.929526128178892</v>
      </c>
      <c r="AE87">
        <f t="shared" si="52"/>
        <v>-0.20979257895254477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52310.454157643435</v>
      </c>
      <c r="AK87">
        <f t="shared" si="56"/>
        <v>1800</v>
      </c>
      <c r="AL87">
        <f t="shared" si="57"/>
        <v>1499.1137172000001</v>
      </c>
      <c r="AM87">
        <f t="shared" si="58"/>
        <v>0.83284095400000002</v>
      </c>
      <c r="AN87">
        <f t="shared" si="59"/>
        <v>0.15339715243999999</v>
      </c>
      <c r="AO87">
        <v>32.700000000000003</v>
      </c>
      <c r="AP87">
        <v>0.5</v>
      </c>
      <c r="AQ87" t="s">
        <v>331</v>
      </c>
      <c r="AR87">
        <v>2</v>
      </c>
      <c r="AS87">
        <v>1690383225.5999999</v>
      </c>
      <c r="AT87">
        <v>628.23900000000003</v>
      </c>
      <c r="AU87">
        <v>800.06899999999996</v>
      </c>
      <c r="AV87">
        <v>21.4833</v>
      </c>
      <c r="AW87">
        <v>12.337199999999999</v>
      </c>
      <c r="AX87">
        <v>628.38199999999995</v>
      </c>
      <c r="AY87">
        <v>21.3081</v>
      </c>
      <c r="AZ87">
        <v>300.17700000000002</v>
      </c>
      <c r="BA87">
        <v>98.704999999999998</v>
      </c>
      <c r="BB87">
        <v>0.10002</v>
      </c>
      <c r="BC87">
        <v>24.7606</v>
      </c>
      <c r="BD87">
        <v>26.901199999999999</v>
      </c>
      <c r="BE87">
        <v>26.3992</v>
      </c>
      <c r="BF87">
        <v>0</v>
      </c>
      <c r="BG87">
        <v>0</v>
      </c>
      <c r="BH87">
        <v>9945.6200000000008</v>
      </c>
      <c r="BI87">
        <v>1049.24</v>
      </c>
      <c r="BJ87">
        <v>2.3547799999999999</v>
      </c>
      <c r="BK87">
        <v>-171.83</v>
      </c>
      <c r="BL87">
        <v>642.03200000000004</v>
      </c>
      <c r="BM87">
        <v>810.06299999999999</v>
      </c>
      <c r="BN87">
        <v>9.1461199999999998</v>
      </c>
      <c r="BO87">
        <v>800.06899999999996</v>
      </c>
      <c r="BP87">
        <v>12.337199999999999</v>
      </c>
      <c r="BQ87">
        <v>2.1205099999999999</v>
      </c>
      <c r="BR87">
        <v>1.2177500000000001</v>
      </c>
      <c r="BS87">
        <v>18.374099999999999</v>
      </c>
      <c r="BT87">
        <v>9.8202800000000003</v>
      </c>
      <c r="BU87">
        <v>1800</v>
      </c>
      <c r="BV87">
        <v>0.91001100000000001</v>
      </c>
      <c r="BW87">
        <v>3.39934E-2</v>
      </c>
      <c r="BX87">
        <v>2.1998199999999999E-2</v>
      </c>
      <c r="BY87">
        <v>3.3997199999999998E-2</v>
      </c>
      <c r="BZ87">
        <v>25</v>
      </c>
      <c r="CA87">
        <v>33528.400000000001</v>
      </c>
      <c r="CB87">
        <v>1690381960.0999999</v>
      </c>
      <c r="CC87" t="s">
        <v>332</v>
      </c>
      <c r="CD87">
        <v>1690381960.0999999</v>
      </c>
      <c r="CE87">
        <v>1690381958.0999999</v>
      </c>
      <c r="CF87">
        <v>4</v>
      </c>
      <c r="CG87">
        <v>9.9000000000000005E-2</v>
      </c>
      <c r="CH87">
        <v>1.2E-2</v>
      </c>
      <c r="CI87">
        <v>-0.26300000000000001</v>
      </c>
      <c r="CJ87">
        <v>0.127</v>
      </c>
      <c r="CK87">
        <v>798</v>
      </c>
      <c r="CL87">
        <v>18</v>
      </c>
      <c r="CM87">
        <v>0.02</v>
      </c>
      <c r="CN87">
        <v>0.12</v>
      </c>
      <c r="CO87">
        <v>-167.75741463414639</v>
      </c>
      <c r="CP87">
        <v>-22.1265993031361</v>
      </c>
      <c r="CQ87">
        <v>2.1829787545261801</v>
      </c>
      <c r="CR87">
        <v>-1</v>
      </c>
      <c r="CS87">
        <v>8.9435046341463416</v>
      </c>
      <c r="CT87">
        <v>0.89519602787457864</v>
      </c>
      <c r="CU87">
        <v>8.9240188395510261E-2</v>
      </c>
      <c r="CV87">
        <v>-1</v>
      </c>
      <c r="CW87">
        <v>0</v>
      </c>
      <c r="CX87">
        <v>0</v>
      </c>
      <c r="CY87" t="s">
        <v>333</v>
      </c>
      <c r="CZ87">
        <v>2.3644699999999998</v>
      </c>
      <c r="DA87">
        <v>2.7137600000000002</v>
      </c>
      <c r="DB87">
        <v>0.12392499999999999</v>
      </c>
      <c r="DC87">
        <v>0.145652</v>
      </c>
      <c r="DD87">
        <v>0.104905</v>
      </c>
      <c r="DE87">
        <v>6.9110199999999997E-2</v>
      </c>
      <c r="DF87">
        <v>31983.1</v>
      </c>
      <c r="DG87">
        <v>27525.9</v>
      </c>
      <c r="DH87">
        <v>31166.7</v>
      </c>
      <c r="DI87">
        <v>28074.2</v>
      </c>
      <c r="DJ87">
        <v>37876.1</v>
      </c>
      <c r="DK87">
        <v>37162.1</v>
      </c>
      <c r="DL87">
        <v>44352.9</v>
      </c>
      <c r="DM87">
        <v>42550.9</v>
      </c>
      <c r="DN87">
        <v>1.4665999999999999</v>
      </c>
      <c r="DO87">
        <v>2.04555</v>
      </c>
      <c r="DP87">
        <v>0.17308799999999999</v>
      </c>
      <c r="DQ87">
        <v>0.150174</v>
      </c>
      <c r="DR87">
        <v>24.063500000000001</v>
      </c>
      <c r="DS87">
        <v>23.9359</v>
      </c>
      <c r="DT87">
        <v>56.1</v>
      </c>
      <c r="DU87">
        <v>28.7</v>
      </c>
      <c r="DV87">
        <v>22.463100000000001</v>
      </c>
      <c r="DW87">
        <v>61.173000000000002</v>
      </c>
      <c r="DX87">
        <v>35.945500000000003</v>
      </c>
      <c r="DY87">
        <v>1</v>
      </c>
      <c r="DZ87">
        <v>-8.14888E-2</v>
      </c>
      <c r="EA87">
        <v>1.13202</v>
      </c>
      <c r="EB87">
        <v>20.185300000000002</v>
      </c>
      <c r="EC87">
        <v>5.24125</v>
      </c>
      <c r="ED87">
        <v>12.039899999999999</v>
      </c>
      <c r="EE87">
        <v>5.0170000000000003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</v>
      </c>
      <c r="EL87">
        <v>1.8646199999999999</v>
      </c>
      <c r="EM87">
        <v>1.8692</v>
      </c>
      <c r="EN87">
        <v>1.8672500000000001</v>
      </c>
      <c r="EO87">
        <v>1.86337</v>
      </c>
      <c r="EP87">
        <v>1.8644700000000001</v>
      </c>
      <c r="EQ87">
        <v>1.87016</v>
      </c>
      <c r="ER87">
        <v>1.86937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-0.14299999999999999</v>
      </c>
      <c r="FG87">
        <v>0.17519999999999999</v>
      </c>
      <c r="FH87">
        <v>0.28746640474027818</v>
      </c>
      <c r="FI87">
        <v>-6.1462078757559423E-4</v>
      </c>
      <c r="FJ87">
        <v>-1.8861989874597051E-7</v>
      </c>
      <c r="FK87">
        <v>1.1980462299894961E-10</v>
      </c>
      <c r="FL87">
        <v>0.17524818673008091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21.1</v>
      </c>
      <c r="FU87">
        <v>21.1</v>
      </c>
      <c r="FV87">
        <v>1.78467</v>
      </c>
      <c r="FW87">
        <v>2.5744600000000002</v>
      </c>
      <c r="FX87">
        <v>1.5490699999999999</v>
      </c>
      <c r="FY87">
        <v>2.3303199999999999</v>
      </c>
      <c r="FZ87">
        <v>1.50024</v>
      </c>
      <c r="GA87">
        <v>2.3913600000000002</v>
      </c>
      <c r="GB87">
        <v>33.580399999999997</v>
      </c>
      <c r="GC87">
        <v>23.982399999999998</v>
      </c>
      <c r="GD87">
        <v>19</v>
      </c>
      <c r="GE87">
        <v>279.30399999999997</v>
      </c>
      <c r="GF87">
        <v>591.971</v>
      </c>
      <c r="GG87">
        <v>21.520600000000002</v>
      </c>
      <c r="GH87">
        <v>26.3445</v>
      </c>
      <c r="GI87">
        <v>29.999700000000001</v>
      </c>
      <c r="GJ87">
        <v>26.465800000000002</v>
      </c>
      <c r="GK87">
        <v>26.442699999999999</v>
      </c>
      <c r="GL87">
        <v>35.680799999999998</v>
      </c>
      <c r="GM87">
        <v>49.256799999999998</v>
      </c>
      <c r="GN87">
        <v>82.853999999999999</v>
      </c>
      <c r="GO87">
        <v>21.5793</v>
      </c>
      <c r="GP87">
        <v>800</v>
      </c>
      <c r="GQ87">
        <v>12.187099999999999</v>
      </c>
      <c r="GR87">
        <v>99.719800000000006</v>
      </c>
      <c r="GS87">
        <v>99.541300000000007</v>
      </c>
    </row>
    <row r="88" spans="1:201" x14ac:dyDescent="0.25">
      <c r="A88">
        <v>72</v>
      </c>
      <c r="B88">
        <v>1690383235.5999999</v>
      </c>
      <c r="C88">
        <v>760.5</v>
      </c>
      <c r="D88" t="s">
        <v>475</v>
      </c>
      <c r="E88" t="s">
        <v>476</v>
      </c>
      <c r="F88" t="s">
        <v>330</v>
      </c>
      <c r="H88">
        <v>1690383235.5999999</v>
      </c>
      <c r="I88">
        <f t="shared" si="30"/>
        <v>8.8259314122835419E-4</v>
      </c>
      <c r="J88">
        <f t="shared" si="31"/>
        <v>0.88259314122835419</v>
      </c>
      <c r="K88">
        <f t="shared" si="32"/>
        <v>15.561581914352121</v>
      </c>
      <c r="L88">
        <f t="shared" si="33"/>
        <v>624.61900000000003</v>
      </c>
      <c r="M88">
        <f t="shared" si="34"/>
        <v>209.99808794880323</v>
      </c>
      <c r="N88">
        <f t="shared" si="35"/>
        <v>20.747758190823404</v>
      </c>
      <c r="O88">
        <f t="shared" si="36"/>
        <v>61.712199858473902</v>
      </c>
      <c r="P88">
        <f t="shared" si="37"/>
        <v>6.2336907581036875E-2</v>
      </c>
      <c r="Q88">
        <f t="shared" si="38"/>
        <v>2.1067445568006256</v>
      </c>
      <c r="R88">
        <f t="shared" si="39"/>
        <v>6.1330045302288125E-2</v>
      </c>
      <c r="S88">
        <f t="shared" si="40"/>
        <v>3.8420386213112466E-2</v>
      </c>
      <c r="T88">
        <f t="shared" si="41"/>
        <v>276.11479396799996</v>
      </c>
      <c r="U88">
        <f t="shared" si="42"/>
        <v>26.665510547209323</v>
      </c>
      <c r="V88">
        <f t="shared" si="43"/>
        <v>26.665510547209323</v>
      </c>
      <c r="W88">
        <f t="shared" si="44"/>
        <v>3.5094456970624752</v>
      </c>
      <c r="X88">
        <f t="shared" si="45"/>
        <v>67.867043766046294</v>
      </c>
      <c r="Y88">
        <f t="shared" si="46"/>
        <v>2.1281959739480505</v>
      </c>
      <c r="Z88">
        <f t="shared" si="47"/>
        <v>3.1358312604339216</v>
      </c>
      <c r="AA88">
        <f t="shared" si="48"/>
        <v>1.3812497231144247</v>
      </c>
      <c r="AB88">
        <f t="shared" si="49"/>
        <v>-38.922357528170423</v>
      </c>
      <c r="AC88">
        <f t="shared" si="50"/>
        <v>-215.5964999147746</v>
      </c>
      <c r="AD88">
        <f t="shared" si="51"/>
        <v>-21.803320596180598</v>
      </c>
      <c r="AE88">
        <f t="shared" si="52"/>
        <v>-0.20738407112565937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52432.75529234633</v>
      </c>
      <c r="AK88">
        <f t="shared" si="56"/>
        <v>1800</v>
      </c>
      <c r="AL88">
        <f t="shared" si="57"/>
        <v>1499.1147017999999</v>
      </c>
      <c r="AM88">
        <f t="shared" si="58"/>
        <v>0.83284150099999998</v>
      </c>
      <c r="AN88">
        <f t="shared" si="59"/>
        <v>0.15339710775999998</v>
      </c>
      <c r="AO88">
        <v>32.700000000000003</v>
      </c>
      <c r="AP88">
        <v>0.5</v>
      </c>
      <c r="AQ88" t="s">
        <v>331</v>
      </c>
      <c r="AR88">
        <v>2</v>
      </c>
      <c r="AS88">
        <v>1690383235.5999999</v>
      </c>
      <c r="AT88">
        <v>624.61900000000003</v>
      </c>
      <c r="AU88">
        <v>800.17200000000003</v>
      </c>
      <c r="AV88">
        <v>21.540500000000002</v>
      </c>
      <c r="AW88">
        <v>12.131600000000001</v>
      </c>
      <c r="AX88">
        <v>624.76</v>
      </c>
      <c r="AY88">
        <v>21.365300000000001</v>
      </c>
      <c r="AZ88">
        <v>300.13200000000001</v>
      </c>
      <c r="BA88">
        <v>98.699799999999996</v>
      </c>
      <c r="BB88">
        <v>9.9948099999999998E-2</v>
      </c>
      <c r="BC88">
        <v>24.767299999999999</v>
      </c>
      <c r="BD88">
        <v>26.919499999999999</v>
      </c>
      <c r="BE88">
        <v>26.4069</v>
      </c>
      <c r="BF88">
        <v>0</v>
      </c>
      <c r="BG88">
        <v>0</v>
      </c>
      <c r="BH88">
        <v>9970.6200000000008</v>
      </c>
      <c r="BI88">
        <v>1049.05</v>
      </c>
      <c r="BJ88">
        <v>2.2987099999999998</v>
      </c>
      <c r="BK88">
        <v>-175.553</v>
      </c>
      <c r="BL88">
        <v>638.37</v>
      </c>
      <c r="BM88">
        <v>809.99900000000002</v>
      </c>
      <c r="BN88">
        <v>9.4089299999999998</v>
      </c>
      <c r="BO88">
        <v>800.17200000000003</v>
      </c>
      <c r="BP88">
        <v>12.131600000000001</v>
      </c>
      <c r="BQ88">
        <v>2.1260400000000002</v>
      </c>
      <c r="BR88">
        <v>1.1973800000000001</v>
      </c>
      <c r="BS88">
        <v>18.415700000000001</v>
      </c>
      <c r="BT88">
        <v>9.56907</v>
      </c>
      <c r="BU88">
        <v>1800</v>
      </c>
      <c r="BV88">
        <v>0.91001500000000002</v>
      </c>
      <c r="BW88">
        <v>3.3992000000000001E-2</v>
      </c>
      <c r="BX88">
        <v>2.1997300000000001E-2</v>
      </c>
      <c r="BY88">
        <v>3.39958E-2</v>
      </c>
      <c r="BZ88">
        <v>25.333300000000001</v>
      </c>
      <c r="CA88">
        <v>33528.5</v>
      </c>
      <c r="CB88">
        <v>1690381960.0999999</v>
      </c>
      <c r="CC88" t="s">
        <v>332</v>
      </c>
      <c r="CD88">
        <v>1690381960.0999999</v>
      </c>
      <c r="CE88">
        <v>1690381958.0999999</v>
      </c>
      <c r="CF88">
        <v>4</v>
      </c>
      <c r="CG88">
        <v>9.9000000000000005E-2</v>
      </c>
      <c r="CH88">
        <v>1.2E-2</v>
      </c>
      <c r="CI88">
        <v>-0.26300000000000001</v>
      </c>
      <c r="CJ88">
        <v>0.127</v>
      </c>
      <c r="CK88">
        <v>798</v>
      </c>
      <c r="CL88">
        <v>18</v>
      </c>
      <c r="CM88">
        <v>0.02</v>
      </c>
      <c r="CN88">
        <v>0.12</v>
      </c>
      <c r="CO88">
        <v>-171.42090243902439</v>
      </c>
      <c r="CP88">
        <v>-21.892578397212631</v>
      </c>
      <c r="CQ88">
        <v>2.1594420214815662</v>
      </c>
      <c r="CR88">
        <v>-1</v>
      </c>
      <c r="CS88">
        <v>9.1326004878048774</v>
      </c>
      <c r="CT88">
        <v>1.357249965156814</v>
      </c>
      <c r="CU88">
        <v>0.1349739032581399</v>
      </c>
      <c r="CV88">
        <v>-1</v>
      </c>
      <c r="CW88">
        <v>0</v>
      </c>
      <c r="CX88">
        <v>0</v>
      </c>
      <c r="CY88" t="s">
        <v>333</v>
      </c>
      <c r="CZ88">
        <v>2.36435</v>
      </c>
      <c r="DA88">
        <v>2.7137099999999998</v>
      </c>
      <c r="DB88">
        <v>0.123421</v>
      </c>
      <c r="DC88">
        <v>0.14565400000000001</v>
      </c>
      <c r="DD88">
        <v>0.105099</v>
      </c>
      <c r="DE88">
        <v>6.8239999999999995E-2</v>
      </c>
      <c r="DF88">
        <v>32001.8</v>
      </c>
      <c r="DG88">
        <v>27526.400000000001</v>
      </c>
      <c r="DH88">
        <v>31166.9</v>
      </c>
      <c r="DI88">
        <v>28074.799999999999</v>
      </c>
      <c r="DJ88">
        <v>37868.1</v>
      </c>
      <c r="DK88">
        <v>37197.5</v>
      </c>
      <c r="DL88">
        <v>44353.4</v>
      </c>
      <c r="DM88">
        <v>42551.6</v>
      </c>
      <c r="DN88">
        <v>1.46668</v>
      </c>
      <c r="DO88">
        <v>2.04555</v>
      </c>
      <c r="DP88">
        <v>0.17463400000000001</v>
      </c>
      <c r="DQ88">
        <v>0.150893</v>
      </c>
      <c r="DR88">
        <v>24.0565</v>
      </c>
      <c r="DS88">
        <v>23.931799999999999</v>
      </c>
      <c r="DT88">
        <v>55.9</v>
      </c>
      <c r="DU88">
        <v>28.7</v>
      </c>
      <c r="DV88">
        <v>22.387699999999999</v>
      </c>
      <c r="DW88">
        <v>60.652999999999999</v>
      </c>
      <c r="DX88">
        <v>35.933500000000002</v>
      </c>
      <c r="DY88">
        <v>1</v>
      </c>
      <c r="DZ88">
        <v>-8.2164600000000004E-2</v>
      </c>
      <c r="EA88">
        <v>0.93285399999999996</v>
      </c>
      <c r="EB88">
        <v>20.187200000000001</v>
      </c>
      <c r="EC88">
        <v>5.2409499999999998</v>
      </c>
      <c r="ED88">
        <v>12.039899999999999</v>
      </c>
      <c r="EE88">
        <v>5.0170000000000003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1.8689100000000001</v>
      </c>
      <c r="EL88">
        <v>1.8646199999999999</v>
      </c>
      <c r="EM88">
        <v>1.8692</v>
      </c>
      <c r="EN88">
        <v>1.8672200000000001</v>
      </c>
      <c r="EO88">
        <v>1.86338</v>
      </c>
      <c r="EP88">
        <v>1.8644700000000001</v>
      </c>
      <c r="EQ88">
        <v>1.87015</v>
      </c>
      <c r="ER88">
        <v>1.86938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-0.14099999999999999</v>
      </c>
      <c r="FG88">
        <v>0.17519999999999999</v>
      </c>
      <c r="FH88">
        <v>0.28746640474027818</v>
      </c>
      <c r="FI88">
        <v>-6.1462078757559423E-4</v>
      </c>
      <c r="FJ88">
        <v>-1.8861989874597051E-7</v>
      </c>
      <c r="FK88">
        <v>1.1980462299894961E-10</v>
      </c>
      <c r="FL88">
        <v>0.17524818673008091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21.3</v>
      </c>
      <c r="FU88">
        <v>21.3</v>
      </c>
      <c r="FV88">
        <v>1.78467</v>
      </c>
      <c r="FW88">
        <v>2.5720200000000002</v>
      </c>
      <c r="FX88">
        <v>1.5490699999999999</v>
      </c>
      <c r="FY88">
        <v>2.3315399999999999</v>
      </c>
      <c r="FZ88">
        <v>1.50146</v>
      </c>
      <c r="GA88">
        <v>2.36938</v>
      </c>
      <c r="GB88">
        <v>33.558</v>
      </c>
      <c r="GC88">
        <v>23.982399999999998</v>
      </c>
      <c r="GD88">
        <v>19</v>
      </c>
      <c r="GE88">
        <v>279.32600000000002</v>
      </c>
      <c r="GF88">
        <v>591.94600000000003</v>
      </c>
      <c r="GG88">
        <v>21.654800000000002</v>
      </c>
      <c r="GH88">
        <v>26.339700000000001</v>
      </c>
      <c r="GI88">
        <v>29.9999</v>
      </c>
      <c r="GJ88">
        <v>26.4636</v>
      </c>
      <c r="GK88">
        <v>26.4405</v>
      </c>
      <c r="GL88">
        <v>35.671799999999998</v>
      </c>
      <c r="GM88">
        <v>49.8491</v>
      </c>
      <c r="GN88">
        <v>82.470600000000005</v>
      </c>
      <c r="GO88">
        <v>21.736499999999999</v>
      </c>
      <c r="GP88">
        <v>800</v>
      </c>
      <c r="GQ88">
        <v>11.999000000000001</v>
      </c>
      <c r="GR88">
        <v>99.720799999999997</v>
      </c>
      <c r="GS88">
        <v>99.543099999999995</v>
      </c>
    </row>
    <row r="89" spans="1:201" x14ac:dyDescent="0.25">
      <c r="A89">
        <v>73</v>
      </c>
      <c r="B89">
        <v>1690383245.5999999</v>
      </c>
      <c r="C89">
        <v>770.5</v>
      </c>
      <c r="D89" t="s">
        <v>477</v>
      </c>
      <c r="E89" t="s">
        <v>478</v>
      </c>
      <c r="F89" t="s">
        <v>330</v>
      </c>
      <c r="H89">
        <v>1690383245.5999999</v>
      </c>
      <c r="I89">
        <f t="shared" si="30"/>
        <v>9.0340320534223106E-4</v>
      </c>
      <c r="J89">
        <f t="shared" si="31"/>
        <v>0.90340320534223106</v>
      </c>
      <c r="K89">
        <f t="shared" si="32"/>
        <v>15.875098831543406</v>
      </c>
      <c r="L89">
        <f t="shared" si="33"/>
        <v>620.96</v>
      </c>
      <c r="M89">
        <f t="shared" si="34"/>
        <v>209.00224480072191</v>
      </c>
      <c r="N89">
        <f t="shared" si="35"/>
        <v>20.649860900027651</v>
      </c>
      <c r="O89">
        <f t="shared" si="36"/>
        <v>61.352152636960014</v>
      </c>
      <c r="P89">
        <f t="shared" si="37"/>
        <v>6.4023389230127931E-2</v>
      </c>
      <c r="Q89">
        <f t="shared" si="38"/>
        <v>2.1095055943673566</v>
      </c>
      <c r="R89">
        <f t="shared" si="39"/>
        <v>6.2963174849236025E-2</v>
      </c>
      <c r="S89">
        <f t="shared" si="40"/>
        <v>3.944577788034534E-2</v>
      </c>
      <c r="T89">
        <f t="shared" si="41"/>
        <v>276.11481270600001</v>
      </c>
      <c r="U89">
        <f t="shared" si="42"/>
        <v>26.670091931792616</v>
      </c>
      <c r="V89">
        <f t="shared" si="43"/>
        <v>26.670091931792616</v>
      </c>
      <c r="W89">
        <f t="shared" si="44"/>
        <v>3.5103924782131153</v>
      </c>
      <c r="X89">
        <f t="shared" si="45"/>
        <v>67.970737256848039</v>
      </c>
      <c r="Y89">
        <f t="shared" si="46"/>
        <v>2.1332559231112005</v>
      </c>
      <c r="Z89">
        <f t="shared" si="47"/>
        <v>3.1384916645085754</v>
      </c>
      <c r="AA89">
        <f t="shared" si="48"/>
        <v>1.3771365551019148</v>
      </c>
      <c r="AB89">
        <f t="shared" si="49"/>
        <v>-39.840081355592389</v>
      </c>
      <c r="AC89">
        <f t="shared" si="50"/>
        <v>-214.78515168044072</v>
      </c>
      <c r="AD89">
        <f t="shared" si="51"/>
        <v>-21.694882474415373</v>
      </c>
      <c r="AE89">
        <f t="shared" si="52"/>
        <v>-0.20530280444847904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52551.361182174987</v>
      </c>
      <c r="AK89">
        <f t="shared" si="56"/>
        <v>1800</v>
      </c>
      <c r="AL89">
        <f t="shared" si="57"/>
        <v>1499.1151176000003</v>
      </c>
      <c r="AM89">
        <f t="shared" si="58"/>
        <v>0.83284173200000011</v>
      </c>
      <c r="AN89">
        <f t="shared" si="59"/>
        <v>0.15339711817000001</v>
      </c>
      <c r="AO89">
        <v>32.700000000000003</v>
      </c>
      <c r="AP89">
        <v>0.5</v>
      </c>
      <c r="AQ89" t="s">
        <v>331</v>
      </c>
      <c r="AR89">
        <v>2</v>
      </c>
      <c r="AS89">
        <v>1690383245.5999999</v>
      </c>
      <c r="AT89">
        <v>620.96</v>
      </c>
      <c r="AU89">
        <v>800.04100000000005</v>
      </c>
      <c r="AV89">
        <v>21.591200000000001</v>
      </c>
      <c r="AW89">
        <v>11.960599999999999</v>
      </c>
      <c r="AX89">
        <v>621.09799999999996</v>
      </c>
      <c r="AY89">
        <v>21.416</v>
      </c>
      <c r="AZ89">
        <v>300.12099999999998</v>
      </c>
      <c r="BA89">
        <v>98.702100000000002</v>
      </c>
      <c r="BB89">
        <v>0.10000100000000001</v>
      </c>
      <c r="BC89">
        <v>24.781500000000001</v>
      </c>
      <c r="BD89">
        <v>26.944400000000002</v>
      </c>
      <c r="BE89">
        <v>26.4116</v>
      </c>
      <c r="BF89">
        <v>0</v>
      </c>
      <c r="BG89">
        <v>0</v>
      </c>
      <c r="BH89">
        <v>9994.3799999999992</v>
      </c>
      <c r="BI89">
        <v>1049.04</v>
      </c>
      <c r="BJ89">
        <v>2.1305100000000001</v>
      </c>
      <c r="BK89">
        <v>-179.08199999999999</v>
      </c>
      <c r="BL89">
        <v>634.66300000000001</v>
      </c>
      <c r="BM89">
        <v>809.726</v>
      </c>
      <c r="BN89">
        <v>9.6306200000000004</v>
      </c>
      <c r="BO89">
        <v>800.04100000000005</v>
      </c>
      <c r="BP89">
        <v>11.960599999999999</v>
      </c>
      <c r="BQ89">
        <v>2.1311</v>
      </c>
      <c r="BR89">
        <v>1.1805300000000001</v>
      </c>
      <c r="BS89">
        <v>18.453499999999998</v>
      </c>
      <c r="BT89">
        <v>9.3583200000000009</v>
      </c>
      <c r="BU89">
        <v>1800</v>
      </c>
      <c r="BV89">
        <v>0.91001600000000005</v>
      </c>
      <c r="BW89">
        <v>3.39917E-2</v>
      </c>
      <c r="BX89">
        <v>2.1997099999999999E-2</v>
      </c>
      <c r="BY89">
        <v>3.3995499999999998E-2</v>
      </c>
      <c r="BZ89">
        <v>25.583300000000001</v>
      </c>
      <c r="CA89">
        <v>33528.6</v>
      </c>
      <c r="CB89">
        <v>1690381960.0999999</v>
      </c>
      <c r="CC89" t="s">
        <v>332</v>
      </c>
      <c r="CD89">
        <v>1690381960.0999999</v>
      </c>
      <c r="CE89">
        <v>1690381958.0999999</v>
      </c>
      <c r="CF89">
        <v>4</v>
      </c>
      <c r="CG89">
        <v>9.9000000000000005E-2</v>
      </c>
      <c r="CH89">
        <v>1.2E-2</v>
      </c>
      <c r="CI89">
        <v>-0.26300000000000001</v>
      </c>
      <c r="CJ89">
        <v>0.127</v>
      </c>
      <c r="CK89">
        <v>798</v>
      </c>
      <c r="CL89">
        <v>18</v>
      </c>
      <c r="CM89">
        <v>0.02</v>
      </c>
      <c r="CN89">
        <v>0.12</v>
      </c>
      <c r="CO89">
        <v>-174.98712499999999</v>
      </c>
      <c r="CP89">
        <v>-21.748243902438841</v>
      </c>
      <c r="CQ89">
        <v>2.093161247819908</v>
      </c>
      <c r="CR89">
        <v>-1</v>
      </c>
      <c r="CS89">
        <v>9.3708722499999997</v>
      </c>
      <c r="CT89">
        <v>1.498196510318925</v>
      </c>
      <c r="CU89">
        <v>0.14440274849336321</v>
      </c>
      <c r="CV89">
        <v>-1</v>
      </c>
      <c r="CW89">
        <v>0</v>
      </c>
      <c r="CX89">
        <v>0</v>
      </c>
      <c r="CY89" t="s">
        <v>333</v>
      </c>
      <c r="CZ89">
        <v>2.3643399999999999</v>
      </c>
      <c r="DA89">
        <v>2.7137899999999999</v>
      </c>
      <c r="DB89">
        <v>0.122919</v>
      </c>
      <c r="DC89">
        <v>0.14563899999999999</v>
      </c>
      <c r="DD89">
        <v>0.105279</v>
      </c>
      <c r="DE89">
        <v>6.7517199999999999E-2</v>
      </c>
      <c r="DF89">
        <v>32020.799999999999</v>
      </c>
      <c r="DG89">
        <v>27527.3</v>
      </c>
      <c r="DH89">
        <v>31167.599999999999</v>
      </c>
      <c r="DI89">
        <v>28075.200000000001</v>
      </c>
      <c r="DJ89">
        <v>37861.199999999997</v>
      </c>
      <c r="DK89">
        <v>37226.800000000003</v>
      </c>
      <c r="DL89">
        <v>44354.400000000001</v>
      </c>
      <c r="DM89">
        <v>42552</v>
      </c>
      <c r="DN89">
        <v>1.4668300000000001</v>
      </c>
      <c r="DO89">
        <v>2.0451999999999999</v>
      </c>
      <c r="DP89">
        <v>0.17652300000000001</v>
      </c>
      <c r="DQ89">
        <v>0.151418</v>
      </c>
      <c r="DR89">
        <v>24.0504</v>
      </c>
      <c r="DS89">
        <v>23.927900000000001</v>
      </c>
      <c r="DT89">
        <v>55.8</v>
      </c>
      <c r="DU89">
        <v>28.7</v>
      </c>
      <c r="DV89">
        <v>22.348600000000001</v>
      </c>
      <c r="DW89">
        <v>60.792999999999999</v>
      </c>
      <c r="DX89">
        <v>36.009599999999999</v>
      </c>
      <c r="DY89">
        <v>1</v>
      </c>
      <c r="DZ89">
        <v>-8.2090999999999997E-2</v>
      </c>
      <c r="EA89">
        <v>0.91545500000000002</v>
      </c>
      <c r="EB89">
        <v>20.1873</v>
      </c>
      <c r="EC89">
        <v>5.2409499999999998</v>
      </c>
      <c r="ED89">
        <v>12.039899999999999</v>
      </c>
      <c r="EE89">
        <v>5.0170000000000003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1.8689100000000001</v>
      </c>
      <c r="EL89">
        <v>1.8646199999999999</v>
      </c>
      <c r="EM89">
        <v>1.8692</v>
      </c>
      <c r="EN89">
        <v>1.86724</v>
      </c>
      <c r="EO89">
        <v>1.8633999999999999</v>
      </c>
      <c r="EP89">
        <v>1.8644700000000001</v>
      </c>
      <c r="EQ89">
        <v>1.87016</v>
      </c>
      <c r="ER89">
        <v>1.8693900000000001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-0.13800000000000001</v>
      </c>
      <c r="FG89">
        <v>0.17519999999999999</v>
      </c>
      <c r="FH89">
        <v>0.28746640474027818</v>
      </c>
      <c r="FI89">
        <v>-6.1462078757559423E-4</v>
      </c>
      <c r="FJ89">
        <v>-1.8861989874597051E-7</v>
      </c>
      <c r="FK89">
        <v>1.1980462299894961E-10</v>
      </c>
      <c r="FL89">
        <v>0.17524818673008091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21.4</v>
      </c>
      <c r="FU89">
        <v>21.5</v>
      </c>
      <c r="FV89">
        <v>1.78345</v>
      </c>
      <c r="FW89">
        <v>2.5781200000000002</v>
      </c>
      <c r="FX89">
        <v>1.5490699999999999</v>
      </c>
      <c r="FY89">
        <v>2.3303199999999999</v>
      </c>
      <c r="FZ89">
        <v>1.50146</v>
      </c>
      <c r="GA89">
        <v>2.3803700000000001</v>
      </c>
      <c r="GB89">
        <v>33.558</v>
      </c>
      <c r="GC89">
        <v>23.991199999999999</v>
      </c>
      <c r="GD89">
        <v>19</v>
      </c>
      <c r="GE89">
        <v>279.38</v>
      </c>
      <c r="GF89">
        <v>591.62800000000004</v>
      </c>
      <c r="GG89">
        <v>21.798999999999999</v>
      </c>
      <c r="GH89">
        <v>26.335100000000001</v>
      </c>
      <c r="GI89">
        <v>30</v>
      </c>
      <c r="GJ89">
        <v>26.461300000000001</v>
      </c>
      <c r="GK89">
        <v>26.438300000000002</v>
      </c>
      <c r="GL89">
        <v>35.671199999999999</v>
      </c>
      <c r="GM89">
        <v>50.4467</v>
      </c>
      <c r="GN89">
        <v>81.686499999999995</v>
      </c>
      <c r="GO89">
        <v>21.829899999999999</v>
      </c>
      <c r="GP89">
        <v>800</v>
      </c>
      <c r="GQ89">
        <v>11.805300000000001</v>
      </c>
      <c r="GR89">
        <v>99.722999999999999</v>
      </c>
      <c r="GS89">
        <v>99.544200000000004</v>
      </c>
    </row>
    <row r="90" spans="1:201" x14ac:dyDescent="0.25">
      <c r="A90">
        <v>74</v>
      </c>
      <c r="B90">
        <v>1690383255.5999999</v>
      </c>
      <c r="C90">
        <v>780.5</v>
      </c>
      <c r="D90" t="s">
        <v>479</v>
      </c>
      <c r="E90" t="s">
        <v>480</v>
      </c>
      <c r="F90" t="s">
        <v>330</v>
      </c>
      <c r="H90">
        <v>1690383255.5999999</v>
      </c>
      <c r="I90">
        <f t="shared" si="30"/>
        <v>9.2995611584354007E-4</v>
      </c>
      <c r="J90">
        <f t="shared" si="31"/>
        <v>0.9299561158435401</v>
      </c>
      <c r="K90">
        <f t="shared" si="32"/>
        <v>16.204653185421421</v>
      </c>
      <c r="L90">
        <f t="shared" si="33"/>
        <v>617.255</v>
      </c>
      <c r="M90">
        <f t="shared" si="34"/>
        <v>209.3044088098228</v>
      </c>
      <c r="N90">
        <f t="shared" si="35"/>
        <v>20.679012787794793</v>
      </c>
      <c r="O90">
        <f t="shared" si="36"/>
        <v>60.984018974621996</v>
      </c>
      <c r="P90">
        <f t="shared" si="37"/>
        <v>6.6029809131256667E-2</v>
      </c>
      <c r="Q90">
        <f t="shared" si="38"/>
        <v>2.1106873756627547</v>
      </c>
      <c r="R90">
        <f t="shared" si="39"/>
        <v>6.4903351694902175E-2</v>
      </c>
      <c r="S90">
        <f t="shared" si="40"/>
        <v>4.0664201823287408E-2</v>
      </c>
      <c r="T90">
        <f t="shared" si="41"/>
        <v>276.114872214</v>
      </c>
      <c r="U90">
        <f t="shared" si="42"/>
        <v>26.678244135661114</v>
      </c>
      <c r="V90">
        <f t="shared" si="43"/>
        <v>26.678244135661114</v>
      </c>
      <c r="W90">
        <f t="shared" si="44"/>
        <v>3.5120777502810161</v>
      </c>
      <c r="X90">
        <f t="shared" si="45"/>
        <v>68.012561754177042</v>
      </c>
      <c r="Y90">
        <f t="shared" si="46"/>
        <v>2.1369279225020401</v>
      </c>
      <c r="Z90">
        <f t="shared" si="47"/>
        <v>3.1419606428378635</v>
      </c>
      <c r="AA90">
        <f t="shared" si="48"/>
        <v>1.375149827778976</v>
      </c>
      <c r="AB90">
        <f t="shared" si="49"/>
        <v>-41.011064708700118</v>
      </c>
      <c r="AC90">
        <f t="shared" si="50"/>
        <v>-213.72798803550711</v>
      </c>
      <c r="AD90">
        <f t="shared" si="51"/>
        <v>-21.578899164363346</v>
      </c>
      <c r="AE90">
        <f t="shared" si="52"/>
        <v>-0.20307969457059016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52599.892380972247</v>
      </c>
      <c r="AK90">
        <f t="shared" si="56"/>
        <v>1800</v>
      </c>
      <c r="AL90">
        <f t="shared" si="57"/>
        <v>1499.1124284</v>
      </c>
      <c r="AM90">
        <f t="shared" si="58"/>
        <v>0.83284023799999995</v>
      </c>
      <c r="AN90">
        <f t="shared" si="59"/>
        <v>0.15339715123</v>
      </c>
      <c r="AO90">
        <v>32.700000000000003</v>
      </c>
      <c r="AP90">
        <v>0.5</v>
      </c>
      <c r="AQ90" t="s">
        <v>331</v>
      </c>
      <c r="AR90">
        <v>2</v>
      </c>
      <c r="AS90">
        <v>1690383255.5999999</v>
      </c>
      <c r="AT90">
        <v>617.255</v>
      </c>
      <c r="AU90">
        <v>800.09500000000003</v>
      </c>
      <c r="AV90">
        <v>21.629100000000001</v>
      </c>
      <c r="AW90">
        <v>11.714399999999999</v>
      </c>
      <c r="AX90">
        <v>617.39099999999996</v>
      </c>
      <c r="AY90">
        <v>21.453900000000001</v>
      </c>
      <c r="AZ90">
        <v>300.07799999999997</v>
      </c>
      <c r="BA90">
        <v>98.698800000000006</v>
      </c>
      <c r="BB90">
        <v>9.9944400000000003E-2</v>
      </c>
      <c r="BC90">
        <v>24.8</v>
      </c>
      <c r="BD90">
        <v>26.886199999999999</v>
      </c>
      <c r="BE90">
        <v>26.430199999999999</v>
      </c>
      <c r="BF90">
        <v>0</v>
      </c>
      <c r="BG90">
        <v>0</v>
      </c>
      <c r="BH90">
        <v>10005</v>
      </c>
      <c r="BI90">
        <v>1048.8599999999999</v>
      </c>
      <c r="BJ90">
        <v>2.3547799999999999</v>
      </c>
      <c r="BK90">
        <v>-182.84</v>
      </c>
      <c r="BL90">
        <v>630.90099999999995</v>
      </c>
      <c r="BM90">
        <v>809.57899999999995</v>
      </c>
      <c r="BN90">
        <v>9.91479</v>
      </c>
      <c r="BO90">
        <v>800.09500000000003</v>
      </c>
      <c r="BP90">
        <v>11.714399999999999</v>
      </c>
      <c r="BQ90">
        <v>2.1347700000000001</v>
      </c>
      <c r="BR90">
        <v>1.1561900000000001</v>
      </c>
      <c r="BS90">
        <v>18.481000000000002</v>
      </c>
      <c r="BT90">
        <v>9.0491399999999995</v>
      </c>
      <c r="BU90">
        <v>1800</v>
      </c>
      <c r="BV90">
        <v>0.91000700000000001</v>
      </c>
      <c r="BW90">
        <v>3.4004E-2</v>
      </c>
      <c r="BX90">
        <v>2.1995899999999999E-2</v>
      </c>
      <c r="BY90">
        <v>3.3993500000000003E-2</v>
      </c>
      <c r="BZ90">
        <v>25.666699999999999</v>
      </c>
      <c r="CA90">
        <v>33528.5</v>
      </c>
      <c r="CB90">
        <v>1690381960.0999999</v>
      </c>
      <c r="CC90" t="s">
        <v>332</v>
      </c>
      <c r="CD90">
        <v>1690381960.0999999</v>
      </c>
      <c r="CE90">
        <v>1690381958.0999999</v>
      </c>
      <c r="CF90">
        <v>4</v>
      </c>
      <c r="CG90">
        <v>9.9000000000000005E-2</v>
      </c>
      <c r="CH90">
        <v>1.2E-2</v>
      </c>
      <c r="CI90">
        <v>-0.26300000000000001</v>
      </c>
      <c r="CJ90">
        <v>0.127</v>
      </c>
      <c r="CK90">
        <v>798</v>
      </c>
      <c r="CL90">
        <v>18</v>
      </c>
      <c r="CM90">
        <v>0.02</v>
      </c>
      <c r="CN90">
        <v>0.12</v>
      </c>
      <c r="CO90">
        <v>-178.7448292682927</v>
      </c>
      <c r="CP90">
        <v>-21.788843205575269</v>
      </c>
      <c r="CQ90">
        <v>2.149252109313208</v>
      </c>
      <c r="CR90">
        <v>-1</v>
      </c>
      <c r="CS90">
        <v>9.6257309756097555</v>
      </c>
      <c r="CT90">
        <v>1.460049407665523</v>
      </c>
      <c r="CU90">
        <v>0.14434197365986001</v>
      </c>
      <c r="CV90">
        <v>-1</v>
      </c>
      <c r="CW90">
        <v>0</v>
      </c>
      <c r="CX90">
        <v>0</v>
      </c>
      <c r="CY90" t="s">
        <v>333</v>
      </c>
      <c r="CZ90">
        <v>2.3641999999999999</v>
      </c>
      <c r="DA90">
        <v>2.71374</v>
      </c>
      <c r="DB90">
        <v>0.122402</v>
      </c>
      <c r="DC90">
        <v>0.14563599999999999</v>
      </c>
      <c r="DD90">
        <v>0.105408</v>
      </c>
      <c r="DE90">
        <v>6.6464899999999993E-2</v>
      </c>
      <c r="DF90">
        <v>32039.3</v>
      </c>
      <c r="DG90">
        <v>27526.799999999999</v>
      </c>
      <c r="DH90">
        <v>31167.3</v>
      </c>
      <c r="DI90">
        <v>28074.6</v>
      </c>
      <c r="DJ90">
        <v>37855.300000000003</v>
      </c>
      <c r="DK90">
        <v>37268.300000000003</v>
      </c>
      <c r="DL90">
        <v>44354</v>
      </c>
      <c r="DM90">
        <v>42551.3</v>
      </c>
      <c r="DN90">
        <v>1.4664299999999999</v>
      </c>
      <c r="DO90">
        <v>2.0451999999999999</v>
      </c>
      <c r="DP90">
        <v>0.17333799999999999</v>
      </c>
      <c r="DQ90">
        <v>0.15267700000000001</v>
      </c>
      <c r="DR90">
        <v>24.0443</v>
      </c>
      <c r="DS90">
        <v>23.925799999999999</v>
      </c>
      <c r="DT90">
        <v>55.6</v>
      </c>
      <c r="DU90">
        <v>28.7</v>
      </c>
      <c r="DV90">
        <v>22.264099999999999</v>
      </c>
      <c r="DW90">
        <v>60.843000000000004</v>
      </c>
      <c r="DX90">
        <v>36.057699999999997</v>
      </c>
      <c r="DY90">
        <v>1</v>
      </c>
      <c r="DZ90">
        <v>-8.2339899999999994E-2</v>
      </c>
      <c r="EA90">
        <v>0.89762299999999995</v>
      </c>
      <c r="EB90">
        <v>20.1874</v>
      </c>
      <c r="EC90">
        <v>5.2409499999999998</v>
      </c>
      <c r="ED90">
        <v>12.039899999999999</v>
      </c>
      <c r="EE90">
        <v>5.0173500000000004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</v>
      </c>
      <c r="EL90">
        <v>1.86463</v>
      </c>
      <c r="EM90">
        <v>1.8692</v>
      </c>
      <c r="EN90">
        <v>1.8672299999999999</v>
      </c>
      <c r="EO90">
        <v>1.86338</v>
      </c>
      <c r="EP90">
        <v>1.8644700000000001</v>
      </c>
      <c r="EQ90">
        <v>1.8701700000000001</v>
      </c>
      <c r="ER90">
        <v>1.8694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-0.13600000000000001</v>
      </c>
      <c r="FG90">
        <v>0.17519999999999999</v>
      </c>
      <c r="FH90">
        <v>0.28746640474027818</v>
      </c>
      <c r="FI90">
        <v>-6.1462078757559423E-4</v>
      </c>
      <c r="FJ90">
        <v>-1.8861989874597051E-7</v>
      </c>
      <c r="FK90">
        <v>1.1980462299894961E-10</v>
      </c>
      <c r="FL90">
        <v>0.17524818673008091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21.6</v>
      </c>
      <c r="FU90">
        <v>21.6</v>
      </c>
      <c r="FV90">
        <v>1.78345</v>
      </c>
      <c r="FW90">
        <v>2.5744600000000002</v>
      </c>
      <c r="FX90">
        <v>1.5490699999999999</v>
      </c>
      <c r="FY90">
        <v>2.3315399999999999</v>
      </c>
      <c r="FZ90">
        <v>1.50146</v>
      </c>
      <c r="GA90">
        <v>2.3901400000000002</v>
      </c>
      <c r="GB90">
        <v>33.558</v>
      </c>
      <c r="GC90">
        <v>23.982399999999998</v>
      </c>
      <c r="GD90">
        <v>19</v>
      </c>
      <c r="GE90">
        <v>279.20100000000002</v>
      </c>
      <c r="GF90">
        <v>591.60299999999995</v>
      </c>
      <c r="GG90">
        <v>21.886900000000001</v>
      </c>
      <c r="GH90">
        <v>26.330100000000002</v>
      </c>
      <c r="GI90">
        <v>29.9999</v>
      </c>
      <c r="GJ90">
        <v>26.459099999999999</v>
      </c>
      <c r="GK90">
        <v>26.4361</v>
      </c>
      <c r="GL90">
        <v>35.6629</v>
      </c>
      <c r="GM90">
        <v>50.749899999999997</v>
      </c>
      <c r="GN90">
        <v>80.907399999999996</v>
      </c>
      <c r="GO90">
        <v>21.9499</v>
      </c>
      <c r="GP90">
        <v>800</v>
      </c>
      <c r="GQ90">
        <v>11.61</v>
      </c>
      <c r="GR90">
        <v>99.721999999999994</v>
      </c>
      <c r="GS90">
        <v>99.542400000000001</v>
      </c>
    </row>
    <row r="91" spans="1:201" x14ac:dyDescent="0.25">
      <c r="A91">
        <v>75</v>
      </c>
      <c r="B91">
        <v>1690383265.5999999</v>
      </c>
      <c r="C91">
        <v>790.5</v>
      </c>
      <c r="D91" t="s">
        <v>481</v>
      </c>
      <c r="E91" t="s">
        <v>482</v>
      </c>
      <c r="F91" t="s">
        <v>330</v>
      </c>
      <c r="H91">
        <v>1690383265.5999999</v>
      </c>
      <c r="I91">
        <f t="shared" si="30"/>
        <v>9.4684491996862858E-4</v>
      </c>
      <c r="J91">
        <f t="shared" si="31"/>
        <v>0.94684491996862863</v>
      </c>
      <c r="K91">
        <f t="shared" si="32"/>
        <v>16.546043773083323</v>
      </c>
      <c r="L91">
        <f t="shared" si="33"/>
        <v>613.54399999999998</v>
      </c>
      <c r="M91">
        <f t="shared" si="34"/>
        <v>204.20146684810459</v>
      </c>
      <c r="N91">
        <f t="shared" si="35"/>
        <v>20.175166797637186</v>
      </c>
      <c r="O91">
        <f t="shared" si="36"/>
        <v>60.618333103831993</v>
      </c>
      <c r="P91">
        <f t="shared" si="37"/>
        <v>6.7188215865333675E-2</v>
      </c>
      <c r="Q91">
        <f t="shared" si="38"/>
        <v>2.109985718714519</v>
      </c>
      <c r="R91">
        <f t="shared" si="39"/>
        <v>6.6021882993029787E-2</v>
      </c>
      <c r="S91">
        <f t="shared" si="40"/>
        <v>4.1366780806420991E-2</v>
      </c>
      <c r="T91">
        <f t="shared" si="41"/>
        <v>276.11334429045411</v>
      </c>
      <c r="U91">
        <f t="shared" si="42"/>
        <v>26.695309127587173</v>
      </c>
      <c r="V91">
        <f t="shared" si="43"/>
        <v>26.695309127587173</v>
      </c>
      <c r="W91">
        <f t="shared" si="44"/>
        <v>3.5156078140228644</v>
      </c>
      <c r="X91">
        <f t="shared" si="45"/>
        <v>67.994244260853804</v>
      </c>
      <c r="Y91">
        <f t="shared" si="46"/>
        <v>2.1392241605560001</v>
      </c>
      <c r="Z91">
        <f t="shared" si="47"/>
        <v>3.1461841863394477</v>
      </c>
      <c r="AA91">
        <f t="shared" si="48"/>
        <v>1.3763836534668643</v>
      </c>
      <c r="AB91">
        <f t="shared" si="49"/>
        <v>-41.755860970616517</v>
      </c>
      <c r="AC91">
        <f t="shared" si="50"/>
        <v>-213.03868686155332</v>
      </c>
      <c r="AD91">
        <f t="shared" si="51"/>
        <v>-21.520730556906258</v>
      </c>
      <c r="AE91">
        <f t="shared" si="52"/>
        <v>-0.20193409862196177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52565.152122844651</v>
      </c>
      <c r="AK91">
        <f t="shared" si="56"/>
        <v>1799.99</v>
      </c>
      <c r="AL91">
        <f t="shared" si="57"/>
        <v>1499.1031658028101</v>
      </c>
      <c r="AM91">
        <f t="shared" si="58"/>
        <v>0.83283971899999998</v>
      </c>
      <c r="AN91">
        <f t="shared" si="59"/>
        <v>0.15339715459</v>
      </c>
      <c r="AO91">
        <v>32.700000000000003</v>
      </c>
      <c r="AP91">
        <v>0.5</v>
      </c>
      <c r="AQ91" t="s">
        <v>331</v>
      </c>
      <c r="AR91">
        <v>2</v>
      </c>
      <c r="AS91">
        <v>1690383265.5999999</v>
      </c>
      <c r="AT91">
        <v>613.54399999999998</v>
      </c>
      <c r="AU91">
        <v>800.13099999999997</v>
      </c>
      <c r="AV91">
        <v>21.652000000000001</v>
      </c>
      <c r="AW91">
        <v>11.5601</v>
      </c>
      <c r="AX91">
        <v>613.67700000000002</v>
      </c>
      <c r="AY91">
        <v>21.476800000000001</v>
      </c>
      <c r="AZ91">
        <v>300.15600000000001</v>
      </c>
      <c r="BA91">
        <v>98.700199999999995</v>
      </c>
      <c r="BB91">
        <v>0.100103</v>
      </c>
      <c r="BC91">
        <v>24.822500000000002</v>
      </c>
      <c r="BD91">
        <v>26.9345</v>
      </c>
      <c r="BE91">
        <v>26.452500000000001</v>
      </c>
      <c r="BF91">
        <v>0</v>
      </c>
      <c r="BG91">
        <v>0</v>
      </c>
      <c r="BH91">
        <v>9998.75</v>
      </c>
      <c r="BI91">
        <v>1048.77</v>
      </c>
      <c r="BJ91">
        <v>2.3547799999999999</v>
      </c>
      <c r="BK91">
        <v>-186.58699999999999</v>
      </c>
      <c r="BL91">
        <v>627.12199999999996</v>
      </c>
      <c r="BM91">
        <v>809.48800000000006</v>
      </c>
      <c r="BN91">
        <v>10.091900000000001</v>
      </c>
      <c r="BO91">
        <v>800.13099999999997</v>
      </c>
      <c r="BP91">
        <v>11.5601</v>
      </c>
      <c r="BQ91">
        <v>2.13706</v>
      </c>
      <c r="BR91">
        <v>1.1409899999999999</v>
      </c>
      <c r="BS91">
        <v>18.498100000000001</v>
      </c>
      <c r="BT91">
        <v>8.85304</v>
      </c>
      <c r="BU91">
        <v>1799.99</v>
      </c>
      <c r="BV91">
        <v>0.91000400000000004</v>
      </c>
      <c r="BW91">
        <v>3.4008799999999999E-2</v>
      </c>
      <c r="BX91">
        <v>2.1995199999999999E-2</v>
      </c>
      <c r="BY91">
        <v>3.3992500000000002E-2</v>
      </c>
      <c r="BZ91">
        <v>25.75</v>
      </c>
      <c r="CA91">
        <v>33528.300000000003</v>
      </c>
      <c r="CB91">
        <v>1690381960.0999999</v>
      </c>
      <c r="CC91" t="s">
        <v>332</v>
      </c>
      <c r="CD91">
        <v>1690381960.0999999</v>
      </c>
      <c r="CE91">
        <v>1690381958.0999999</v>
      </c>
      <c r="CF91">
        <v>4</v>
      </c>
      <c r="CG91">
        <v>9.9000000000000005E-2</v>
      </c>
      <c r="CH91">
        <v>1.2E-2</v>
      </c>
      <c r="CI91">
        <v>-0.26300000000000001</v>
      </c>
      <c r="CJ91">
        <v>0.127</v>
      </c>
      <c r="CK91">
        <v>798</v>
      </c>
      <c r="CL91">
        <v>18</v>
      </c>
      <c r="CM91">
        <v>0.02</v>
      </c>
      <c r="CN91">
        <v>0.12</v>
      </c>
      <c r="CO91">
        <v>-182.4283414634146</v>
      </c>
      <c r="CP91">
        <v>-22.325059233449188</v>
      </c>
      <c r="CQ91">
        <v>2.20181270785594</v>
      </c>
      <c r="CR91">
        <v>-1</v>
      </c>
      <c r="CS91">
        <v>9.8642807317073178</v>
      </c>
      <c r="CT91">
        <v>1.399506689895468</v>
      </c>
      <c r="CU91">
        <v>0.13868188918265251</v>
      </c>
      <c r="CV91">
        <v>-1</v>
      </c>
      <c r="CW91">
        <v>0</v>
      </c>
      <c r="CX91">
        <v>0</v>
      </c>
      <c r="CY91" t="s">
        <v>333</v>
      </c>
      <c r="CZ91">
        <v>2.3644599999999998</v>
      </c>
      <c r="DA91">
        <v>2.7138900000000001</v>
      </c>
      <c r="DB91">
        <v>0.121888</v>
      </c>
      <c r="DC91">
        <v>0.14563999999999999</v>
      </c>
      <c r="DD91">
        <v>0.10549</v>
      </c>
      <c r="DE91">
        <v>6.5804000000000001E-2</v>
      </c>
      <c r="DF91">
        <v>32058.400000000001</v>
      </c>
      <c r="DG91">
        <v>27527.599999999999</v>
      </c>
      <c r="DH91">
        <v>31167.5</v>
      </c>
      <c r="DI91">
        <v>28075.5</v>
      </c>
      <c r="DJ91">
        <v>37852.1</v>
      </c>
      <c r="DK91">
        <v>37295.9</v>
      </c>
      <c r="DL91">
        <v>44354.5</v>
      </c>
      <c r="DM91">
        <v>42552.6</v>
      </c>
      <c r="DN91">
        <v>1.4672799999999999</v>
      </c>
      <c r="DO91">
        <v>2.04487</v>
      </c>
      <c r="DP91">
        <v>0.176597</v>
      </c>
      <c r="DQ91">
        <v>0.153948</v>
      </c>
      <c r="DR91">
        <v>24.039300000000001</v>
      </c>
      <c r="DS91">
        <v>23.927399999999999</v>
      </c>
      <c r="DT91">
        <v>55.5</v>
      </c>
      <c r="DU91">
        <v>28.7</v>
      </c>
      <c r="DV91">
        <v>22.223099999999999</v>
      </c>
      <c r="DW91">
        <v>61.253</v>
      </c>
      <c r="DX91">
        <v>36.069699999999997</v>
      </c>
      <c r="DY91">
        <v>1</v>
      </c>
      <c r="DZ91">
        <v>-8.3102099999999998E-2</v>
      </c>
      <c r="EA91">
        <v>0.71729299999999996</v>
      </c>
      <c r="EB91">
        <v>20.188099999999999</v>
      </c>
      <c r="EC91">
        <v>5.2408000000000001</v>
      </c>
      <c r="ED91">
        <v>12.039899999999999</v>
      </c>
      <c r="EE91">
        <v>5.0170500000000002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</v>
      </c>
      <c r="EL91">
        <v>1.8646199999999999</v>
      </c>
      <c r="EM91">
        <v>1.8692</v>
      </c>
      <c r="EN91">
        <v>1.86724</v>
      </c>
      <c r="EO91">
        <v>1.8633900000000001</v>
      </c>
      <c r="EP91">
        <v>1.8644700000000001</v>
      </c>
      <c r="EQ91">
        <v>1.87015</v>
      </c>
      <c r="ER91">
        <v>1.86937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-0.13300000000000001</v>
      </c>
      <c r="FG91">
        <v>0.17519999999999999</v>
      </c>
      <c r="FH91">
        <v>0.28746640474027818</v>
      </c>
      <c r="FI91">
        <v>-6.1462078757559423E-4</v>
      </c>
      <c r="FJ91">
        <v>-1.8861989874597051E-7</v>
      </c>
      <c r="FK91">
        <v>1.1980462299894961E-10</v>
      </c>
      <c r="FL91">
        <v>0.17524818673008091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21.8</v>
      </c>
      <c r="FU91">
        <v>21.8</v>
      </c>
      <c r="FV91">
        <v>1.78345</v>
      </c>
      <c r="FW91">
        <v>2.5708000000000002</v>
      </c>
      <c r="FX91">
        <v>1.5490699999999999</v>
      </c>
      <c r="FY91">
        <v>2.3315399999999999</v>
      </c>
      <c r="FZ91">
        <v>1.50146</v>
      </c>
      <c r="GA91">
        <v>2.3815900000000001</v>
      </c>
      <c r="GB91">
        <v>33.558</v>
      </c>
      <c r="GC91">
        <v>23.982399999999998</v>
      </c>
      <c r="GD91">
        <v>19</v>
      </c>
      <c r="GE91">
        <v>279.548</v>
      </c>
      <c r="GF91">
        <v>591.30600000000004</v>
      </c>
      <c r="GG91">
        <v>22.0214</v>
      </c>
      <c r="GH91">
        <v>26.3245</v>
      </c>
      <c r="GI91">
        <v>29.9998</v>
      </c>
      <c r="GJ91">
        <v>26.456099999999999</v>
      </c>
      <c r="GK91">
        <v>26.433900000000001</v>
      </c>
      <c r="GL91">
        <v>35.657899999999998</v>
      </c>
      <c r="GM91">
        <v>51.314700000000002</v>
      </c>
      <c r="GN91">
        <v>80.531599999999997</v>
      </c>
      <c r="GO91">
        <v>22.074400000000001</v>
      </c>
      <c r="GP91">
        <v>800</v>
      </c>
      <c r="GQ91">
        <v>11.423299999999999</v>
      </c>
      <c r="GR91">
        <v>99.722999999999999</v>
      </c>
      <c r="GS91">
        <v>99.545400000000001</v>
      </c>
    </row>
    <row r="92" spans="1:201" x14ac:dyDescent="0.25">
      <c r="A92">
        <v>76</v>
      </c>
      <c r="B92">
        <v>1690383275.5999999</v>
      </c>
      <c r="C92">
        <v>800.5</v>
      </c>
      <c r="D92" t="s">
        <v>483</v>
      </c>
      <c r="E92" t="s">
        <v>484</v>
      </c>
      <c r="F92" t="s">
        <v>330</v>
      </c>
      <c r="H92">
        <v>1690383275.5999999</v>
      </c>
      <c r="I92">
        <f t="shared" si="30"/>
        <v>9.6714475269375267E-4</v>
      </c>
      <c r="J92">
        <f t="shared" si="31"/>
        <v>0.96714475269375266</v>
      </c>
      <c r="K92">
        <f t="shared" si="32"/>
        <v>16.853706465273973</v>
      </c>
      <c r="L92">
        <f t="shared" si="33"/>
        <v>609.90300000000002</v>
      </c>
      <c r="M92">
        <f t="shared" si="34"/>
        <v>202.29315226531563</v>
      </c>
      <c r="N92">
        <f t="shared" si="35"/>
        <v>19.986108931558675</v>
      </c>
      <c r="O92">
        <f t="shared" si="36"/>
        <v>60.257046069939605</v>
      </c>
      <c r="P92">
        <f t="shared" si="37"/>
        <v>6.8745952080468964E-2</v>
      </c>
      <c r="Q92">
        <f t="shared" si="38"/>
        <v>2.1098141408740778</v>
      </c>
      <c r="R92">
        <f t="shared" si="39"/>
        <v>6.752534236200862E-2</v>
      </c>
      <c r="S92">
        <f t="shared" si="40"/>
        <v>4.2311200734066967E-2</v>
      </c>
      <c r="T92">
        <f t="shared" si="41"/>
        <v>276.11465270399998</v>
      </c>
      <c r="U92">
        <f t="shared" si="42"/>
        <v>26.699584234795896</v>
      </c>
      <c r="V92">
        <f t="shared" si="43"/>
        <v>26.699584234795896</v>
      </c>
      <c r="W92">
        <f t="shared" si="44"/>
        <v>3.5164926476591281</v>
      </c>
      <c r="X92">
        <f t="shared" si="45"/>
        <v>68.035448338759906</v>
      </c>
      <c r="Y92">
        <f t="shared" si="46"/>
        <v>2.14196492870196</v>
      </c>
      <c r="Z92">
        <f t="shared" si="47"/>
        <v>3.1483072148459392</v>
      </c>
      <c r="AA92">
        <f t="shared" si="48"/>
        <v>1.3745277189571681</v>
      </c>
      <c r="AB92">
        <f t="shared" si="49"/>
        <v>-42.651083593794496</v>
      </c>
      <c r="AC92">
        <f t="shared" si="50"/>
        <v>-212.22232166849381</v>
      </c>
      <c r="AD92">
        <f t="shared" si="51"/>
        <v>-21.44168150386195</v>
      </c>
      <c r="AE92">
        <f t="shared" si="52"/>
        <v>-0.20043406215029336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52555.576847124939</v>
      </c>
      <c r="AK92">
        <f t="shared" si="56"/>
        <v>1800</v>
      </c>
      <c r="AL92">
        <f t="shared" si="57"/>
        <v>1499.1115103999998</v>
      </c>
      <c r="AM92">
        <f t="shared" si="58"/>
        <v>0.83283972799999995</v>
      </c>
      <c r="AN92">
        <f t="shared" si="59"/>
        <v>0.15339702927999999</v>
      </c>
      <c r="AO92">
        <v>32.700000000000003</v>
      </c>
      <c r="AP92">
        <v>0.5</v>
      </c>
      <c r="AQ92" t="s">
        <v>331</v>
      </c>
      <c r="AR92">
        <v>2</v>
      </c>
      <c r="AS92">
        <v>1690383275.5999999</v>
      </c>
      <c r="AT92">
        <v>609.90300000000002</v>
      </c>
      <c r="AU92">
        <v>799.96</v>
      </c>
      <c r="AV92">
        <v>21.680299999999999</v>
      </c>
      <c r="AW92">
        <v>11.3712</v>
      </c>
      <c r="AX92">
        <v>610.03300000000002</v>
      </c>
      <c r="AY92">
        <v>21.505099999999999</v>
      </c>
      <c r="AZ92">
        <v>300.12299999999999</v>
      </c>
      <c r="BA92">
        <v>98.697800000000001</v>
      </c>
      <c r="BB92">
        <v>9.9953200000000006E-2</v>
      </c>
      <c r="BC92">
        <v>24.8338</v>
      </c>
      <c r="BD92">
        <v>27.004300000000001</v>
      </c>
      <c r="BE92">
        <v>26.4697</v>
      </c>
      <c r="BF92">
        <v>0</v>
      </c>
      <c r="BG92">
        <v>0</v>
      </c>
      <c r="BH92">
        <v>9997.5</v>
      </c>
      <c r="BI92">
        <v>1048.79</v>
      </c>
      <c r="BJ92">
        <v>2.3547799999999999</v>
      </c>
      <c r="BK92">
        <v>-190.05799999999999</v>
      </c>
      <c r="BL92">
        <v>623.41899999999998</v>
      </c>
      <c r="BM92">
        <v>809.16200000000003</v>
      </c>
      <c r="BN92">
        <v>10.309200000000001</v>
      </c>
      <c r="BO92">
        <v>799.96</v>
      </c>
      <c r="BP92">
        <v>11.3712</v>
      </c>
      <c r="BQ92">
        <v>2.1398000000000001</v>
      </c>
      <c r="BR92">
        <v>1.1223099999999999</v>
      </c>
      <c r="BS92">
        <v>18.518599999999999</v>
      </c>
      <c r="BT92">
        <v>8.6090800000000005</v>
      </c>
      <c r="BU92">
        <v>1800</v>
      </c>
      <c r="BV92">
        <v>0.91000700000000001</v>
      </c>
      <c r="BW92">
        <v>3.4007599999999999E-2</v>
      </c>
      <c r="BX92">
        <v>2.1994400000000001E-2</v>
      </c>
      <c r="BY92">
        <v>3.3991199999999999E-2</v>
      </c>
      <c r="BZ92">
        <v>26</v>
      </c>
      <c r="CA92">
        <v>33528.5</v>
      </c>
      <c r="CB92">
        <v>1690381960.0999999</v>
      </c>
      <c r="CC92" t="s">
        <v>332</v>
      </c>
      <c r="CD92">
        <v>1690381960.0999999</v>
      </c>
      <c r="CE92">
        <v>1690381958.0999999</v>
      </c>
      <c r="CF92">
        <v>4</v>
      </c>
      <c r="CG92">
        <v>9.9000000000000005E-2</v>
      </c>
      <c r="CH92">
        <v>1.2E-2</v>
      </c>
      <c r="CI92">
        <v>-0.26300000000000001</v>
      </c>
      <c r="CJ92">
        <v>0.127</v>
      </c>
      <c r="CK92">
        <v>798</v>
      </c>
      <c r="CL92">
        <v>18</v>
      </c>
      <c r="CM92">
        <v>0.02</v>
      </c>
      <c r="CN92">
        <v>0.12</v>
      </c>
      <c r="CO92">
        <v>-186.38232500000001</v>
      </c>
      <c r="CP92">
        <v>-21.81796998123782</v>
      </c>
      <c r="CQ92">
        <v>2.1002059587990431</v>
      </c>
      <c r="CR92">
        <v>-1</v>
      </c>
      <c r="CS92">
        <v>10.1053455</v>
      </c>
      <c r="CT92">
        <v>1.2847843902438909</v>
      </c>
      <c r="CU92">
        <v>0.1240763230626617</v>
      </c>
      <c r="CV92">
        <v>-1</v>
      </c>
      <c r="CW92">
        <v>0</v>
      </c>
      <c r="CX92">
        <v>0</v>
      </c>
      <c r="CY92" t="s">
        <v>333</v>
      </c>
      <c r="CZ92">
        <v>2.36435</v>
      </c>
      <c r="DA92">
        <v>2.71374</v>
      </c>
      <c r="DB92">
        <v>0.121378</v>
      </c>
      <c r="DC92">
        <v>0.14561299999999999</v>
      </c>
      <c r="DD92">
        <v>0.105587</v>
      </c>
      <c r="DE92">
        <v>6.4987299999999998E-2</v>
      </c>
      <c r="DF92">
        <v>32077.5</v>
      </c>
      <c r="DG92">
        <v>27528.6</v>
      </c>
      <c r="DH92">
        <v>31168</v>
      </c>
      <c r="DI92">
        <v>28075.599999999999</v>
      </c>
      <c r="DJ92">
        <v>37848.5</v>
      </c>
      <c r="DK92">
        <v>37328.699999999997</v>
      </c>
      <c r="DL92">
        <v>44355.199999999997</v>
      </c>
      <c r="DM92">
        <v>42552.800000000003</v>
      </c>
      <c r="DN92">
        <v>1.46685</v>
      </c>
      <c r="DO92">
        <v>2.04487</v>
      </c>
      <c r="DP92">
        <v>0.18110899999999999</v>
      </c>
      <c r="DQ92">
        <v>0.15490100000000001</v>
      </c>
      <c r="DR92">
        <v>24.0352</v>
      </c>
      <c r="DS92">
        <v>23.928899999999999</v>
      </c>
      <c r="DT92">
        <v>55.3</v>
      </c>
      <c r="DU92">
        <v>28.7</v>
      </c>
      <c r="DV92">
        <v>22.147300000000001</v>
      </c>
      <c r="DW92">
        <v>61.093000000000004</v>
      </c>
      <c r="DX92">
        <v>36.0657</v>
      </c>
      <c r="DY92">
        <v>1</v>
      </c>
      <c r="DZ92">
        <v>-8.3541699999999997E-2</v>
      </c>
      <c r="EA92">
        <v>0.75054500000000002</v>
      </c>
      <c r="EB92">
        <v>20.187799999999999</v>
      </c>
      <c r="EC92">
        <v>5.2413999999999996</v>
      </c>
      <c r="ED92">
        <v>12.039899999999999</v>
      </c>
      <c r="EE92">
        <v>5.0173500000000004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</v>
      </c>
      <c r="EL92">
        <v>1.86463</v>
      </c>
      <c r="EM92">
        <v>1.8692</v>
      </c>
      <c r="EN92">
        <v>1.86724</v>
      </c>
      <c r="EO92">
        <v>1.86338</v>
      </c>
      <c r="EP92">
        <v>1.8644700000000001</v>
      </c>
      <c r="EQ92">
        <v>1.8701700000000001</v>
      </c>
      <c r="ER92">
        <v>1.8694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-0.13</v>
      </c>
      <c r="FG92">
        <v>0.17519999999999999</v>
      </c>
      <c r="FH92">
        <v>0.28746640474027818</v>
      </c>
      <c r="FI92">
        <v>-6.1462078757559423E-4</v>
      </c>
      <c r="FJ92">
        <v>-1.8861989874597051E-7</v>
      </c>
      <c r="FK92">
        <v>1.1980462299894961E-10</v>
      </c>
      <c r="FL92">
        <v>0.17524818673008091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21.9</v>
      </c>
      <c r="FU92">
        <v>22</v>
      </c>
      <c r="FV92">
        <v>1.78345</v>
      </c>
      <c r="FW92">
        <v>2.5720200000000002</v>
      </c>
      <c r="FX92">
        <v>1.5490699999999999</v>
      </c>
      <c r="FY92">
        <v>2.3303199999999999</v>
      </c>
      <c r="FZ92">
        <v>1.50146</v>
      </c>
      <c r="GA92">
        <v>2.3938000000000001</v>
      </c>
      <c r="GB92">
        <v>33.558</v>
      </c>
      <c r="GC92">
        <v>23.982399999999998</v>
      </c>
      <c r="GD92">
        <v>19</v>
      </c>
      <c r="GE92">
        <v>279.35399999999998</v>
      </c>
      <c r="GF92">
        <v>591.28700000000003</v>
      </c>
      <c r="GG92">
        <v>22.132200000000001</v>
      </c>
      <c r="GH92">
        <v>26.319500000000001</v>
      </c>
      <c r="GI92">
        <v>29.9999</v>
      </c>
      <c r="GJ92">
        <v>26.4528</v>
      </c>
      <c r="GK92">
        <v>26.432200000000002</v>
      </c>
      <c r="GL92">
        <v>35.657699999999998</v>
      </c>
      <c r="GM92">
        <v>51.6051</v>
      </c>
      <c r="GN92">
        <v>79.778999999999996</v>
      </c>
      <c r="GO92">
        <v>22.1372</v>
      </c>
      <c r="GP92">
        <v>800</v>
      </c>
      <c r="GQ92">
        <v>11.2263</v>
      </c>
      <c r="GR92">
        <v>99.724599999999995</v>
      </c>
      <c r="GS92">
        <v>99.545900000000003</v>
      </c>
    </row>
    <row r="93" spans="1:201" x14ac:dyDescent="0.25">
      <c r="A93">
        <v>77</v>
      </c>
      <c r="B93">
        <v>1690383285.5999999</v>
      </c>
      <c r="C93">
        <v>810.5</v>
      </c>
      <c r="D93" t="s">
        <v>485</v>
      </c>
      <c r="E93" t="s">
        <v>486</v>
      </c>
      <c r="F93" t="s">
        <v>330</v>
      </c>
      <c r="H93">
        <v>1690383285.5999999</v>
      </c>
      <c r="I93">
        <f t="shared" si="30"/>
        <v>9.8936488484620104E-4</v>
      </c>
      <c r="J93">
        <f t="shared" si="31"/>
        <v>0.98936488484620111</v>
      </c>
      <c r="K93">
        <f t="shared" si="32"/>
        <v>17.209317308411382</v>
      </c>
      <c r="L93">
        <f t="shared" si="33"/>
        <v>606.17200000000003</v>
      </c>
      <c r="M93">
        <f t="shared" si="34"/>
        <v>199.37493834401914</v>
      </c>
      <c r="N93">
        <f t="shared" si="35"/>
        <v>19.698628901395033</v>
      </c>
      <c r="O93">
        <f t="shared" si="36"/>
        <v>59.890964118131997</v>
      </c>
      <c r="P93">
        <f t="shared" si="37"/>
        <v>7.0351256199555443E-2</v>
      </c>
      <c r="Q93">
        <f t="shared" si="38"/>
        <v>2.1103685727778707</v>
      </c>
      <c r="R93">
        <f t="shared" si="39"/>
        <v>6.9073875516323532E-2</v>
      </c>
      <c r="S93">
        <f t="shared" si="40"/>
        <v>4.3284007912152471E-2</v>
      </c>
      <c r="T93">
        <f t="shared" si="41"/>
        <v>276.11277464761883</v>
      </c>
      <c r="U93">
        <f t="shared" si="42"/>
        <v>26.70706743481615</v>
      </c>
      <c r="V93">
        <f t="shared" si="43"/>
        <v>26.70706743481615</v>
      </c>
      <c r="W93">
        <f t="shared" si="44"/>
        <v>3.518041939334994</v>
      </c>
      <c r="X93">
        <f t="shared" si="45"/>
        <v>68.01745545233365</v>
      </c>
      <c r="Y93">
        <f t="shared" si="46"/>
        <v>2.1434189713070997</v>
      </c>
      <c r="Z93">
        <f t="shared" si="47"/>
        <v>3.1512777963433205</v>
      </c>
      <c r="AA93">
        <f t="shared" si="48"/>
        <v>1.3746229680278943</v>
      </c>
      <c r="AB93">
        <f t="shared" si="49"/>
        <v>-43.630991421717468</v>
      </c>
      <c r="AC93">
        <f t="shared" si="50"/>
        <v>-211.33185376814728</v>
      </c>
      <c r="AD93">
        <f t="shared" si="51"/>
        <v>-21.348597957386456</v>
      </c>
      <c r="AE93">
        <f t="shared" si="52"/>
        <v>-0.19866849963236177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52577.209850725339</v>
      </c>
      <c r="AK93">
        <f t="shared" si="56"/>
        <v>1799.99</v>
      </c>
      <c r="AL93">
        <f t="shared" si="57"/>
        <v>1499.1033602017299</v>
      </c>
      <c r="AM93">
        <f t="shared" si="58"/>
        <v>0.83283982699999992</v>
      </c>
      <c r="AN93">
        <f t="shared" si="59"/>
        <v>0.15339683812000002</v>
      </c>
      <c r="AO93">
        <v>32.700000000000003</v>
      </c>
      <c r="AP93">
        <v>0.5</v>
      </c>
      <c r="AQ93" t="s">
        <v>331</v>
      </c>
      <c r="AR93">
        <v>2</v>
      </c>
      <c r="AS93">
        <v>1690383285.5999999</v>
      </c>
      <c r="AT93">
        <v>606.17200000000003</v>
      </c>
      <c r="AU93">
        <v>800.22199999999998</v>
      </c>
      <c r="AV93">
        <v>21.694099999999999</v>
      </c>
      <c r="AW93">
        <v>11.1477</v>
      </c>
      <c r="AX93">
        <v>606.29999999999995</v>
      </c>
      <c r="AY93">
        <v>21.518799999999999</v>
      </c>
      <c r="AZ93">
        <v>300.10599999999999</v>
      </c>
      <c r="BA93">
        <v>98.701999999999998</v>
      </c>
      <c r="BB93">
        <v>9.9931000000000006E-2</v>
      </c>
      <c r="BC93">
        <v>24.849599999999999</v>
      </c>
      <c r="BD93">
        <v>26.974499999999999</v>
      </c>
      <c r="BE93">
        <v>26.484000000000002</v>
      </c>
      <c r="BF93">
        <v>0</v>
      </c>
      <c r="BG93">
        <v>0</v>
      </c>
      <c r="BH93">
        <v>10001.9</v>
      </c>
      <c r="BI93">
        <v>1048.75</v>
      </c>
      <c r="BJ93">
        <v>2.35337</v>
      </c>
      <c r="BK93">
        <v>-194.04900000000001</v>
      </c>
      <c r="BL93">
        <v>619.61400000000003</v>
      </c>
      <c r="BM93">
        <v>809.24300000000005</v>
      </c>
      <c r="BN93">
        <v>10.5464</v>
      </c>
      <c r="BO93">
        <v>800.22199999999998</v>
      </c>
      <c r="BP93">
        <v>11.1477</v>
      </c>
      <c r="BQ93">
        <v>2.1412499999999999</v>
      </c>
      <c r="BR93">
        <v>1.1003000000000001</v>
      </c>
      <c r="BS93">
        <v>18.529399999999999</v>
      </c>
      <c r="BT93">
        <v>8.3168399999999991</v>
      </c>
      <c r="BU93">
        <v>1799.99</v>
      </c>
      <c r="BV93">
        <v>0.91001200000000004</v>
      </c>
      <c r="BW93">
        <v>3.4005500000000001E-2</v>
      </c>
      <c r="BX93">
        <v>2.1993100000000002E-2</v>
      </c>
      <c r="BY93">
        <v>3.3989199999999997E-2</v>
      </c>
      <c r="BZ93">
        <v>26</v>
      </c>
      <c r="CA93">
        <v>33528.300000000003</v>
      </c>
      <c r="CB93">
        <v>1690381960.0999999</v>
      </c>
      <c r="CC93" t="s">
        <v>332</v>
      </c>
      <c r="CD93">
        <v>1690381960.0999999</v>
      </c>
      <c r="CE93">
        <v>1690381958.0999999</v>
      </c>
      <c r="CF93">
        <v>4</v>
      </c>
      <c r="CG93">
        <v>9.9000000000000005E-2</v>
      </c>
      <c r="CH93">
        <v>1.2E-2</v>
      </c>
      <c r="CI93">
        <v>-0.26300000000000001</v>
      </c>
      <c r="CJ93">
        <v>0.127</v>
      </c>
      <c r="CK93">
        <v>798</v>
      </c>
      <c r="CL93">
        <v>18</v>
      </c>
      <c r="CM93">
        <v>0.02</v>
      </c>
      <c r="CN93">
        <v>0.12</v>
      </c>
      <c r="CO93">
        <v>-189.78704878048779</v>
      </c>
      <c r="CP93">
        <v>-22.034383275261799</v>
      </c>
      <c r="CQ93">
        <v>2.1742288675188188</v>
      </c>
      <c r="CR93">
        <v>-1</v>
      </c>
      <c r="CS93">
        <v>10.297743902439031</v>
      </c>
      <c r="CT93">
        <v>1.241855749128943</v>
      </c>
      <c r="CU93">
        <v>0.1229175433484566</v>
      </c>
      <c r="CV93">
        <v>-1</v>
      </c>
      <c r="CW93">
        <v>0</v>
      </c>
      <c r="CX93">
        <v>0</v>
      </c>
      <c r="CY93" t="s">
        <v>333</v>
      </c>
      <c r="CZ93">
        <v>2.3643200000000002</v>
      </c>
      <c r="DA93">
        <v>2.7137199999999999</v>
      </c>
      <c r="DB93">
        <v>0.120862</v>
      </c>
      <c r="DC93">
        <v>0.145647</v>
      </c>
      <c r="DD93">
        <v>0.10564</v>
      </c>
      <c r="DE93">
        <v>6.4018900000000004E-2</v>
      </c>
      <c r="DF93">
        <v>32096.6</v>
      </c>
      <c r="DG93">
        <v>27527.1</v>
      </c>
      <c r="DH93">
        <v>31168.2</v>
      </c>
      <c r="DI93">
        <v>28075.200000000001</v>
      </c>
      <c r="DJ93">
        <v>37846.5</v>
      </c>
      <c r="DK93">
        <v>37367.199999999997</v>
      </c>
      <c r="DL93">
        <v>44355.5</v>
      </c>
      <c r="DM93">
        <v>42552.5</v>
      </c>
      <c r="DN93">
        <v>1.46665</v>
      </c>
      <c r="DO93">
        <v>2.0445199999999999</v>
      </c>
      <c r="DP93">
        <v>0.17943600000000001</v>
      </c>
      <c r="DQ93">
        <v>0.15559799999999999</v>
      </c>
      <c r="DR93">
        <v>24.032699999999998</v>
      </c>
      <c r="DS93">
        <v>23.931899999999999</v>
      </c>
      <c r="DT93">
        <v>55</v>
      </c>
      <c r="DU93">
        <v>28.7</v>
      </c>
      <c r="DV93">
        <v>22.026700000000002</v>
      </c>
      <c r="DW93">
        <v>61.173000000000002</v>
      </c>
      <c r="DX93">
        <v>36.165900000000001</v>
      </c>
      <c r="DY93">
        <v>1</v>
      </c>
      <c r="DZ93">
        <v>-8.1056900000000001E-2</v>
      </c>
      <c r="EA93">
        <v>2.2005599999999998</v>
      </c>
      <c r="EB93">
        <v>20.171099999999999</v>
      </c>
      <c r="EC93">
        <v>5.2409499999999998</v>
      </c>
      <c r="ED93">
        <v>12.039899999999999</v>
      </c>
      <c r="EE93">
        <v>5.0172999999999996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</v>
      </c>
      <c r="EL93">
        <v>1.8646199999999999</v>
      </c>
      <c r="EM93">
        <v>1.8692</v>
      </c>
      <c r="EN93">
        <v>1.86724</v>
      </c>
      <c r="EO93">
        <v>1.8633900000000001</v>
      </c>
      <c r="EP93">
        <v>1.8644700000000001</v>
      </c>
      <c r="EQ93">
        <v>1.8701399999999999</v>
      </c>
      <c r="ER93">
        <v>1.86938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-0.128</v>
      </c>
      <c r="FG93">
        <v>0.17530000000000001</v>
      </c>
      <c r="FH93">
        <v>0.28746640474027818</v>
      </c>
      <c r="FI93">
        <v>-6.1462078757559423E-4</v>
      </c>
      <c r="FJ93">
        <v>-1.8861989874597051E-7</v>
      </c>
      <c r="FK93">
        <v>1.1980462299894961E-10</v>
      </c>
      <c r="FL93">
        <v>0.17524818673008091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22.1</v>
      </c>
      <c r="FU93">
        <v>22.1</v>
      </c>
      <c r="FV93">
        <v>1.78223</v>
      </c>
      <c r="FW93">
        <v>2.5781200000000002</v>
      </c>
      <c r="FX93">
        <v>1.5490699999999999</v>
      </c>
      <c r="FY93">
        <v>2.3303199999999999</v>
      </c>
      <c r="FZ93">
        <v>1.50146</v>
      </c>
      <c r="GA93">
        <v>2.3742700000000001</v>
      </c>
      <c r="GB93">
        <v>33.580399999999997</v>
      </c>
      <c r="GC93">
        <v>23.982399999999998</v>
      </c>
      <c r="GD93">
        <v>19</v>
      </c>
      <c r="GE93">
        <v>279.25799999999998</v>
      </c>
      <c r="GF93">
        <v>590.96900000000005</v>
      </c>
      <c r="GG93">
        <v>21.8977</v>
      </c>
      <c r="GH93">
        <v>26.314</v>
      </c>
      <c r="GI93">
        <v>30.0015</v>
      </c>
      <c r="GJ93">
        <v>26.450199999999999</v>
      </c>
      <c r="GK93">
        <v>26.4299</v>
      </c>
      <c r="GL93">
        <v>35.643000000000001</v>
      </c>
      <c r="GM93">
        <v>52.191400000000002</v>
      </c>
      <c r="GN93">
        <v>79.005499999999998</v>
      </c>
      <c r="GO93">
        <v>21.852699999999999</v>
      </c>
      <c r="GP93">
        <v>800</v>
      </c>
      <c r="GQ93">
        <v>11.0397</v>
      </c>
      <c r="GR93">
        <v>99.725300000000004</v>
      </c>
      <c r="GS93">
        <v>99.544899999999998</v>
      </c>
    </row>
    <row r="94" spans="1:201" x14ac:dyDescent="0.25">
      <c r="A94">
        <v>78</v>
      </c>
      <c r="B94">
        <v>1690383295.5999999</v>
      </c>
      <c r="C94">
        <v>820.5</v>
      </c>
      <c r="D94" t="s">
        <v>487</v>
      </c>
      <c r="E94" t="s">
        <v>488</v>
      </c>
      <c r="F94" t="s">
        <v>330</v>
      </c>
      <c r="H94">
        <v>1690383295.5999999</v>
      </c>
      <c r="I94">
        <f t="shared" si="30"/>
        <v>9.9548377700044979E-4</v>
      </c>
      <c r="J94">
        <f t="shared" si="31"/>
        <v>0.99548377700044988</v>
      </c>
      <c r="K94">
        <f t="shared" si="32"/>
        <v>17.527064243500206</v>
      </c>
      <c r="L94">
        <f t="shared" si="33"/>
        <v>602.45000000000005</v>
      </c>
      <c r="M94">
        <f t="shared" si="34"/>
        <v>190.91049846626146</v>
      </c>
      <c r="N94">
        <f t="shared" si="35"/>
        <v>18.861669756346995</v>
      </c>
      <c r="O94">
        <f t="shared" si="36"/>
        <v>59.521152770545008</v>
      </c>
      <c r="P94">
        <f t="shared" si="37"/>
        <v>7.0789995168373546E-2</v>
      </c>
      <c r="Q94">
        <f t="shared" si="38"/>
        <v>2.1068031679927373</v>
      </c>
      <c r="R94">
        <f t="shared" si="39"/>
        <v>6.9494644758053462E-2</v>
      </c>
      <c r="S94">
        <f t="shared" si="40"/>
        <v>4.3548560780863506E-2</v>
      </c>
      <c r="T94">
        <f t="shared" si="41"/>
        <v>276.11434609200001</v>
      </c>
      <c r="U94">
        <f t="shared" si="42"/>
        <v>26.678328054202808</v>
      </c>
      <c r="V94">
        <f t="shared" si="43"/>
        <v>26.678328054202808</v>
      </c>
      <c r="W94">
        <f t="shared" si="44"/>
        <v>3.5120951020935345</v>
      </c>
      <c r="X94">
        <f t="shared" si="45"/>
        <v>67.943068428301203</v>
      </c>
      <c r="Y94">
        <f t="shared" si="46"/>
        <v>2.1373078228652997</v>
      </c>
      <c r="Z94">
        <f t="shared" si="47"/>
        <v>3.1457334387550553</v>
      </c>
      <c r="AA94">
        <f t="shared" si="48"/>
        <v>1.3747872792282347</v>
      </c>
      <c r="AB94">
        <f t="shared" si="49"/>
        <v>-43.900834565719833</v>
      </c>
      <c r="AC94">
        <f t="shared" si="50"/>
        <v>-211.06120755203526</v>
      </c>
      <c r="AD94">
        <f t="shared" si="51"/>
        <v>-21.351096249851533</v>
      </c>
      <c r="AE94">
        <f t="shared" si="52"/>
        <v>-0.19879227560662116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52426.001515246215</v>
      </c>
      <c r="AK94">
        <f t="shared" si="56"/>
        <v>1800</v>
      </c>
      <c r="AL94">
        <f t="shared" si="57"/>
        <v>1499.1125201999998</v>
      </c>
      <c r="AM94">
        <f t="shared" si="58"/>
        <v>0.83284028899999996</v>
      </c>
      <c r="AN94">
        <f t="shared" si="59"/>
        <v>0.15339685893999999</v>
      </c>
      <c r="AO94">
        <v>32.700000000000003</v>
      </c>
      <c r="AP94">
        <v>0.5</v>
      </c>
      <c r="AQ94" t="s">
        <v>331</v>
      </c>
      <c r="AR94">
        <v>2</v>
      </c>
      <c r="AS94">
        <v>1690383295.5999999</v>
      </c>
      <c r="AT94">
        <v>602.45000000000005</v>
      </c>
      <c r="AU94">
        <v>800.00900000000001</v>
      </c>
      <c r="AV94">
        <v>21.632999999999999</v>
      </c>
      <c r="AW94">
        <v>11.0182</v>
      </c>
      <c r="AX94">
        <v>602.57500000000005</v>
      </c>
      <c r="AY94">
        <v>21.457799999999999</v>
      </c>
      <c r="AZ94">
        <v>300.03500000000003</v>
      </c>
      <c r="BA94">
        <v>98.698599999999999</v>
      </c>
      <c r="BB94">
        <v>9.98941E-2</v>
      </c>
      <c r="BC94">
        <v>24.8201</v>
      </c>
      <c r="BD94">
        <v>26.910499999999999</v>
      </c>
      <c r="BE94">
        <v>26.468599999999999</v>
      </c>
      <c r="BF94">
        <v>0</v>
      </c>
      <c r="BG94">
        <v>0</v>
      </c>
      <c r="BH94">
        <v>9971.25</v>
      </c>
      <c r="BI94">
        <v>1048.77</v>
      </c>
      <c r="BJ94">
        <v>2.2987099999999998</v>
      </c>
      <c r="BK94">
        <v>-197.559</v>
      </c>
      <c r="BL94">
        <v>615.77099999999996</v>
      </c>
      <c r="BM94">
        <v>808.92200000000003</v>
      </c>
      <c r="BN94">
        <v>10.614800000000001</v>
      </c>
      <c r="BO94">
        <v>800.00900000000001</v>
      </c>
      <c r="BP94">
        <v>11.0182</v>
      </c>
      <c r="BQ94">
        <v>2.1351499999999999</v>
      </c>
      <c r="BR94">
        <v>1.0874900000000001</v>
      </c>
      <c r="BS94">
        <v>18.483899999999998</v>
      </c>
      <c r="BT94">
        <v>8.14438</v>
      </c>
      <c r="BU94">
        <v>1800</v>
      </c>
      <c r="BV94">
        <v>0.91001399999999999</v>
      </c>
      <c r="BW94">
        <v>3.4004899999999998E-2</v>
      </c>
      <c r="BX94">
        <v>2.19927E-2</v>
      </c>
      <c r="BY94">
        <v>3.3988600000000001E-2</v>
      </c>
      <c r="BZ94">
        <v>26</v>
      </c>
      <c r="CA94">
        <v>33528.5</v>
      </c>
      <c r="CB94">
        <v>1690381960.0999999</v>
      </c>
      <c r="CC94" t="s">
        <v>332</v>
      </c>
      <c r="CD94">
        <v>1690381960.0999999</v>
      </c>
      <c r="CE94">
        <v>1690381958.0999999</v>
      </c>
      <c r="CF94">
        <v>4</v>
      </c>
      <c r="CG94">
        <v>9.9000000000000005E-2</v>
      </c>
      <c r="CH94">
        <v>1.2E-2</v>
      </c>
      <c r="CI94">
        <v>-0.26300000000000001</v>
      </c>
      <c r="CJ94">
        <v>0.127</v>
      </c>
      <c r="CK94">
        <v>798</v>
      </c>
      <c r="CL94">
        <v>18</v>
      </c>
      <c r="CM94">
        <v>0.02</v>
      </c>
      <c r="CN94">
        <v>0.12</v>
      </c>
      <c r="CO94">
        <v>-193.53656097560969</v>
      </c>
      <c r="CP94">
        <v>-22.599909407665809</v>
      </c>
      <c r="CQ94">
        <v>2.2297746911092271</v>
      </c>
      <c r="CR94">
        <v>-1</v>
      </c>
      <c r="CS94">
        <v>10.4894</v>
      </c>
      <c r="CT94">
        <v>1.0393609756097679</v>
      </c>
      <c r="CU94">
        <v>0.10585054581238811</v>
      </c>
      <c r="CV94">
        <v>-1</v>
      </c>
      <c r="CW94">
        <v>0</v>
      </c>
      <c r="CX94">
        <v>0</v>
      </c>
      <c r="CY94" t="s">
        <v>333</v>
      </c>
      <c r="CZ94">
        <v>2.36409</v>
      </c>
      <c r="DA94">
        <v>2.71366</v>
      </c>
      <c r="DB94">
        <v>0.120336</v>
      </c>
      <c r="DC94">
        <v>0.14561499999999999</v>
      </c>
      <c r="DD94">
        <v>0.105425</v>
      </c>
      <c r="DE94">
        <v>6.3452099999999997E-2</v>
      </c>
      <c r="DF94">
        <v>32115.8</v>
      </c>
      <c r="DG94">
        <v>27528.799999999999</v>
      </c>
      <c r="DH94">
        <v>31168.2</v>
      </c>
      <c r="DI94">
        <v>28075.9</v>
      </c>
      <c r="DJ94">
        <v>37855.4</v>
      </c>
      <c r="DK94">
        <v>37390.800000000003</v>
      </c>
      <c r="DL94">
        <v>44355.3</v>
      </c>
      <c r="DM94">
        <v>42553.4</v>
      </c>
      <c r="DN94">
        <v>1.4666999999999999</v>
      </c>
      <c r="DO94">
        <v>2.04413</v>
      </c>
      <c r="DP94">
        <v>0.17552499999999999</v>
      </c>
      <c r="DQ94">
        <v>0.15441299999999999</v>
      </c>
      <c r="DR94">
        <v>24.032699999999998</v>
      </c>
      <c r="DS94">
        <v>23.9359</v>
      </c>
      <c r="DT94">
        <v>54.8</v>
      </c>
      <c r="DU94">
        <v>28.7</v>
      </c>
      <c r="DV94">
        <v>21.946200000000001</v>
      </c>
      <c r="DW94">
        <v>61.103000000000002</v>
      </c>
      <c r="DX94">
        <v>36.418300000000002</v>
      </c>
      <c r="DY94">
        <v>1</v>
      </c>
      <c r="DZ94">
        <v>-8.3785600000000002E-2</v>
      </c>
      <c r="EA94">
        <v>1.06185</v>
      </c>
      <c r="EB94">
        <v>20.185600000000001</v>
      </c>
      <c r="EC94">
        <v>5.2408000000000001</v>
      </c>
      <c r="ED94">
        <v>12.039899999999999</v>
      </c>
      <c r="EE94">
        <v>5.0172499999999998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</v>
      </c>
      <c r="EL94">
        <v>1.8646199999999999</v>
      </c>
      <c r="EM94">
        <v>1.8692</v>
      </c>
      <c r="EN94">
        <v>1.86724</v>
      </c>
      <c r="EO94">
        <v>1.8633900000000001</v>
      </c>
      <c r="EP94">
        <v>1.8644700000000001</v>
      </c>
      <c r="EQ94">
        <v>1.87015</v>
      </c>
      <c r="ER94">
        <v>1.8693599999999999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-0.125</v>
      </c>
      <c r="FG94">
        <v>0.17519999999999999</v>
      </c>
      <c r="FH94">
        <v>0.28746640474027818</v>
      </c>
      <c r="FI94">
        <v>-6.1462078757559423E-4</v>
      </c>
      <c r="FJ94">
        <v>-1.8861989874597051E-7</v>
      </c>
      <c r="FK94">
        <v>1.1980462299894961E-10</v>
      </c>
      <c r="FL94">
        <v>0.17524818673008091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22.3</v>
      </c>
      <c r="FU94">
        <v>22.3</v>
      </c>
      <c r="FV94">
        <v>1.78223</v>
      </c>
      <c r="FW94">
        <v>2.5769000000000002</v>
      </c>
      <c r="FX94">
        <v>1.5490699999999999</v>
      </c>
      <c r="FY94">
        <v>2.3303199999999999</v>
      </c>
      <c r="FZ94">
        <v>1.50146</v>
      </c>
      <c r="GA94">
        <v>2.36084</v>
      </c>
      <c r="GB94">
        <v>33.580399999999997</v>
      </c>
      <c r="GC94">
        <v>23.982399999999998</v>
      </c>
      <c r="GD94">
        <v>19</v>
      </c>
      <c r="GE94">
        <v>279.26</v>
      </c>
      <c r="GF94">
        <v>590.60400000000004</v>
      </c>
      <c r="GG94">
        <v>21.8384</v>
      </c>
      <c r="GH94">
        <v>26.308399999999999</v>
      </c>
      <c r="GI94">
        <v>29.999199999999998</v>
      </c>
      <c r="GJ94">
        <v>26.445799999999998</v>
      </c>
      <c r="GK94">
        <v>26.427299999999999</v>
      </c>
      <c r="GL94">
        <v>35.639800000000001</v>
      </c>
      <c r="GM94">
        <v>52.477699999999999</v>
      </c>
      <c r="GN94">
        <v>78.632599999999996</v>
      </c>
      <c r="GO94">
        <v>21.941299999999998</v>
      </c>
      <c r="GP94">
        <v>800</v>
      </c>
      <c r="GQ94">
        <v>10.9087</v>
      </c>
      <c r="GR94">
        <v>99.724999999999994</v>
      </c>
      <c r="GS94">
        <v>99.547200000000004</v>
      </c>
    </row>
    <row r="95" spans="1:201" x14ac:dyDescent="0.25">
      <c r="A95">
        <v>79</v>
      </c>
      <c r="B95">
        <v>1690383305.5999999</v>
      </c>
      <c r="C95">
        <v>830.5</v>
      </c>
      <c r="D95" t="s">
        <v>489</v>
      </c>
      <c r="E95" t="s">
        <v>490</v>
      </c>
      <c r="F95" t="s">
        <v>330</v>
      </c>
      <c r="H95">
        <v>1690383305.5999999</v>
      </c>
      <c r="I95">
        <f t="shared" si="30"/>
        <v>1.0155743256781812E-3</v>
      </c>
      <c r="J95">
        <f t="shared" si="31"/>
        <v>1.0155743256781813</v>
      </c>
      <c r="K95">
        <f t="shared" si="32"/>
        <v>17.873656222597816</v>
      </c>
      <c r="L95">
        <f t="shared" si="33"/>
        <v>598.678</v>
      </c>
      <c r="M95">
        <f t="shared" si="34"/>
        <v>188.43491338186232</v>
      </c>
      <c r="N95">
        <f t="shared" si="35"/>
        <v>18.617600274896891</v>
      </c>
      <c r="O95">
        <f t="shared" si="36"/>
        <v>59.15011978055</v>
      </c>
      <c r="P95">
        <f t="shared" si="37"/>
        <v>7.2430813293118124E-2</v>
      </c>
      <c r="Q95">
        <f t="shared" si="38"/>
        <v>2.1096376512901442</v>
      </c>
      <c r="R95">
        <f t="shared" si="39"/>
        <v>7.1077122133296491E-2</v>
      </c>
      <c r="S95">
        <f t="shared" si="40"/>
        <v>4.4542717846522029E-2</v>
      </c>
      <c r="T95">
        <f t="shared" si="41"/>
        <v>276.11428552200005</v>
      </c>
      <c r="U95">
        <f t="shared" si="42"/>
        <v>26.675365908878597</v>
      </c>
      <c r="V95">
        <f t="shared" si="43"/>
        <v>26.675365908878597</v>
      </c>
      <c r="W95">
        <f t="shared" si="44"/>
        <v>3.5114826654690221</v>
      </c>
      <c r="X95">
        <f t="shared" si="45"/>
        <v>68.007528457307586</v>
      </c>
      <c r="Y95">
        <f t="shared" si="46"/>
        <v>2.1401530949700001</v>
      </c>
      <c r="Z95">
        <f t="shared" si="47"/>
        <v>3.1469355577500555</v>
      </c>
      <c r="AA95">
        <f t="shared" si="48"/>
        <v>1.371329570499022</v>
      </c>
      <c r="AB95">
        <f t="shared" si="49"/>
        <v>-44.786827762407796</v>
      </c>
      <c r="AC95">
        <f t="shared" si="50"/>
        <v>-210.28036674432835</v>
      </c>
      <c r="AD95">
        <f t="shared" si="51"/>
        <v>-21.243889542550324</v>
      </c>
      <c r="AE95">
        <f t="shared" si="52"/>
        <v>-0.19679852728643255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52549.195150807158</v>
      </c>
      <c r="AK95">
        <f t="shared" si="56"/>
        <v>1800</v>
      </c>
      <c r="AL95">
        <f t="shared" si="57"/>
        <v>1499.1129342000002</v>
      </c>
      <c r="AM95">
        <f t="shared" si="58"/>
        <v>0.83284051900000011</v>
      </c>
      <c r="AN95">
        <f t="shared" si="59"/>
        <v>0.15339682529000001</v>
      </c>
      <c r="AO95">
        <v>32.700000000000003</v>
      </c>
      <c r="AP95">
        <v>0.5</v>
      </c>
      <c r="AQ95" t="s">
        <v>331</v>
      </c>
      <c r="AR95">
        <v>2</v>
      </c>
      <c r="AS95">
        <v>1690383305.5999999</v>
      </c>
      <c r="AT95">
        <v>598.678</v>
      </c>
      <c r="AU95">
        <v>800.06899999999996</v>
      </c>
      <c r="AV95">
        <v>21.661200000000001</v>
      </c>
      <c r="AW95">
        <v>10.8344</v>
      </c>
      <c r="AX95">
        <v>598.80100000000004</v>
      </c>
      <c r="AY95">
        <v>21.485900000000001</v>
      </c>
      <c r="AZ95">
        <v>300.08800000000002</v>
      </c>
      <c r="BA95">
        <v>98.7012</v>
      </c>
      <c r="BB95">
        <v>0.100025</v>
      </c>
      <c r="BC95">
        <v>24.826499999999999</v>
      </c>
      <c r="BD95">
        <v>26.914100000000001</v>
      </c>
      <c r="BE95">
        <v>26.454999999999998</v>
      </c>
      <c r="BF95">
        <v>0</v>
      </c>
      <c r="BG95">
        <v>0</v>
      </c>
      <c r="BH95">
        <v>9995.6200000000008</v>
      </c>
      <c r="BI95">
        <v>1048.8</v>
      </c>
      <c r="BJ95">
        <v>2.2987099999999998</v>
      </c>
      <c r="BK95">
        <v>-201.39099999999999</v>
      </c>
      <c r="BL95">
        <v>611.93299999999999</v>
      </c>
      <c r="BM95">
        <v>808.83199999999999</v>
      </c>
      <c r="BN95">
        <v>10.826700000000001</v>
      </c>
      <c r="BO95">
        <v>800.06899999999996</v>
      </c>
      <c r="BP95">
        <v>10.8344</v>
      </c>
      <c r="BQ95">
        <v>2.1379899999999998</v>
      </c>
      <c r="BR95">
        <v>1.0693699999999999</v>
      </c>
      <c r="BS95">
        <v>18.504999999999999</v>
      </c>
      <c r="BT95">
        <v>7.8974799999999998</v>
      </c>
      <c r="BU95">
        <v>1800</v>
      </c>
      <c r="BV95">
        <v>0.91001600000000005</v>
      </c>
      <c r="BW95">
        <v>3.4004199999999998E-2</v>
      </c>
      <c r="BX95">
        <v>2.19922E-2</v>
      </c>
      <c r="BY95">
        <v>3.3987900000000001E-2</v>
      </c>
      <c r="BZ95">
        <v>26</v>
      </c>
      <c r="CA95">
        <v>33528.5</v>
      </c>
      <c r="CB95">
        <v>1690381960.0999999</v>
      </c>
      <c r="CC95" t="s">
        <v>332</v>
      </c>
      <c r="CD95">
        <v>1690381960.0999999</v>
      </c>
      <c r="CE95">
        <v>1690381958.0999999</v>
      </c>
      <c r="CF95">
        <v>4</v>
      </c>
      <c r="CG95">
        <v>9.9000000000000005E-2</v>
      </c>
      <c r="CH95">
        <v>1.2E-2</v>
      </c>
      <c r="CI95">
        <v>-0.26300000000000001</v>
      </c>
      <c r="CJ95">
        <v>0.127</v>
      </c>
      <c r="CK95">
        <v>798</v>
      </c>
      <c r="CL95">
        <v>18</v>
      </c>
      <c r="CM95">
        <v>0.02</v>
      </c>
      <c r="CN95">
        <v>0.12</v>
      </c>
      <c r="CO95">
        <v>-197.20779999999999</v>
      </c>
      <c r="CP95">
        <v>-22.32947842401455</v>
      </c>
      <c r="CQ95">
        <v>2.149122532569979</v>
      </c>
      <c r="CR95">
        <v>-1</v>
      </c>
      <c r="CS95">
        <v>10.639144999999999</v>
      </c>
      <c r="CT95">
        <v>0.76204502814255726</v>
      </c>
      <c r="CU95">
        <v>7.9228801423472259E-2</v>
      </c>
      <c r="CV95">
        <v>-1</v>
      </c>
      <c r="CW95">
        <v>0</v>
      </c>
      <c r="CX95">
        <v>0</v>
      </c>
      <c r="CY95" t="s">
        <v>333</v>
      </c>
      <c r="CZ95">
        <v>2.36429</v>
      </c>
      <c r="DA95">
        <v>2.7138100000000001</v>
      </c>
      <c r="DB95">
        <v>0.119809</v>
      </c>
      <c r="DC95">
        <v>0.145623</v>
      </c>
      <c r="DD95">
        <v>0.105527</v>
      </c>
      <c r="DE95">
        <v>6.2646900000000005E-2</v>
      </c>
      <c r="DF95">
        <v>32135.200000000001</v>
      </c>
      <c r="DG95">
        <v>27528.9</v>
      </c>
      <c r="DH95">
        <v>31168.3</v>
      </c>
      <c r="DI95">
        <v>28076.3</v>
      </c>
      <c r="DJ95">
        <v>37851.1</v>
      </c>
      <c r="DK95">
        <v>37423.5</v>
      </c>
      <c r="DL95">
        <v>44355.4</v>
      </c>
      <c r="DM95">
        <v>42554</v>
      </c>
      <c r="DN95">
        <v>1.46773</v>
      </c>
      <c r="DO95">
        <v>2.0435699999999999</v>
      </c>
      <c r="DP95">
        <v>0.17574400000000001</v>
      </c>
      <c r="DQ95">
        <v>0.15348899999999999</v>
      </c>
      <c r="DR95">
        <v>24.032699999999998</v>
      </c>
      <c r="DS95">
        <v>23.9374</v>
      </c>
      <c r="DT95">
        <v>54.6</v>
      </c>
      <c r="DU95">
        <v>28.7</v>
      </c>
      <c r="DV95">
        <v>21.865600000000001</v>
      </c>
      <c r="DW95">
        <v>60.883000000000003</v>
      </c>
      <c r="DX95">
        <v>36.726799999999997</v>
      </c>
      <c r="DY95">
        <v>1</v>
      </c>
      <c r="DZ95">
        <v>-8.4801799999999997E-2</v>
      </c>
      <c r="EA95">
        <v>0.73805799999999999</v>
      </c>
      <c r="EB95">
        <v>20.188199999999998</v>
      </c>
      <c r="EC95">
        <v>5.2409499999999998</v>
      </c>
      <c r="ED95">
        <v>12.039899999999999</v>
      </c>
      <c r="EE95">
        <v>5.0173500000000004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</v>
      </c>
      <c r="EL95">
        <v>1.8646199999999999</v>
      </c>
      <c r="EM95">
        <v>1.86921</v>
      </c>
      <c r="EN95">
        <v>1.8672299999999999</v>
      </c>
      <c r="EO95">
        <v>1.8633900000000001</v>
      </c>
      <c r="EP95">
        <v>1.8644700000000001</v>
      </c>
      <c r="EQ95">
        <v>1.87015</v>
      </c>
      <c r="ER95">
        <v>1.86937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-0.123</v>
      </c>
      <c r="FG95">
        <v>0.17530000000000001</v>
      </c>
      <c r="FH95">
        <v>0.28746640474027818</v>
      </c>
      <c r="FI95">
        <v>-6.1462078757559423E-4</v>
      </c>
      <c r="FJ95">
        <v>-1.8861989874597051E-7</v>
      </c>
      <c r="FK95">
        <v>1.1980462299894961E-10</v>
      </c>
      <c r="FL95">
        <v>0.17524818673008091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22.4</v>
      </c>
      <c r="FU95">
        <v>22.5</v>
      </c>
      <c r="FV95">
        <v>1.78223</v>
      </c>
      <c r="FW95">
        <v>2.5732400000000002</v>
      </c>
      <c r="FX95">
        <v>1.5490699999999999</v>
      </c>
      <c r="FY95">
        <v>2.3303199999999999</v>
      </c>
      <c r="FZ95">
        <v>1.50146</v>
      </c>
      <c r="GA95">
        <v>2.3730500000000001</v>
      </c>
      <c r="GB95">
        <v>33.580399999999997</v>
      </c>
      <c r="GC95">
        <v>23.982399999999998</v>
      </c>
      <c r="GD95">
        <v>19</v>
      </c>
      <c r="GE95">
        <v>279.68400000000003</v>
      </c>
      <c r="GF95">
        <v>590.12</v>
      </c>
      <c r="GG95">
        <v>21.982900000000001</v>
      </c>
      <c r="GH95">
        <v>26.302900000000001</v>
      </c>
      <c r="GI95">
        <v>29.999500000000001</v>
      </c>
      <c r="GJ95">
        <v>26.4435</v>
      </c>
      <c r="GK95">
        <v>26.425000000000001</v>
      </c>
      <c r="GL95">
        <v>35.633000000000003</v>
      </c>
      <c r="GM95">
        <v>52.757599999999996</v>
      </c>
      <c r="GN95">
        <v>77.850200000000001</v>
      </c>
      <c r="GO95">
        <v>22.0534</v>
      </c>
      <c r="GP95">
        <v>800</v>
      </c>
      <c r="GQ95">
        <v>10.705500000000001</v>
      </c>
      <c r="GR95">
        <v>99.725300000000004</v>
      </c>
      <c r="GS95">
        <v>99.548599999999993</v>
      </c>
    </row>
    <row r="96" spans="1:201" x14ac:dyDescent="0.25">
      <c r="A96">
        <v>80</v>
      </c>
      <c r="B96">
        <v>1690383315.5999999</v>
      </c>
      <c r="C96">
        <v>840.5</v>
      </c>
      <c r="D96" t="s">
        <v>491</v>
      </c>
      <c r="E96" t="s">
        <v>492</v>
      </c>
      <c r="F96" t="s">
        <v>330</v>
      </c>
      <c r="H96">
        <v>1690383315.5999999</v>
      </c>
      <c r="I96">
        <f t="shared" si="30"/>
        <v>1.0387119972700373E-3</v>
      </c>
      <c r="J96">
        <f t="shared" si="31"/>
        <v>1.0387119972700374</v>
      </c>
      <c r="K96">
        <f t="shared" si="32"/>
        <v>18.221339227517294</v>
      </c>
      <c r="L96">
        <f t="shared" si="33"/>
        <v>594.87</v>
      </c>
      <c r="M96">
        <f t="shared" si="34"/>
        <v>187.75124313179887</v>
      </c>
      <c r="N96">
        <f t="shared" si="35"/>
        <v>18.549909656371678</v>
      </c>
      <c r="O96">
        <f t="shared" si="36"/>
        <v>58.773431127374998</v>
      </c>
      <c r="P96">
        <f t="shared" si="37"/>
        <v>7.4432807203195325E-2</v>
      </c>
      <c r="Q96">
        <f t="shared" si="38"/>
        <v>2.1140800207331898</v>
      </c>
      <c r="R96">
        <f t="shared" si="39"/>
        <v>7.3006985387724668E-2</v>
      </c>
      <c r="S96">
        <f t="shared" si="40"/>
        <v>4.5755195383511825E-2</v>
      </c>
      <c r="T96">
        <f t="shared" si="41"/>
        <v>276.11248852120843</v>
      </c>
      <c r="U96">
        <f t="shared" si="42"/>
        <v>26.675160328428269</v>
      </c>
      <c r="V96">
        <f t="shared" si="43"/>
        <v>26.675160328428269</v>
      </c>
      <c r="W96">
        <f t="shared" si="44"/>
        <v>3.5114401642635884</v>
      </c>
      <c r="X96">
        <f t="shared" si="45"/>
        <v>68.146382973731448</v>
      </c>
      <c r="Y96">
        <f t="shared" si="46"/>
        <v>2.1459954457312502</v>
      </c>
      <c r="Z96">
        <f t="shared" si="47"/>
        <v>3.1490966241868956</v>
      </c>
      <c r="AA96">
        <f t="shared" si="48"/>
        <v>1.3654447185323382</v>
      </c>
      <c r="AB96">
        <f t="shared" si="49"/>
        <v>-45.807199079608644</v>
      </c>
      <c r="AC96">
        <f t="shared" si="50"/>
        <v>-209.38902949436789</v>
      </c>
      <c r="AD96">
        <f t="shared" si="51"/>
        <v>-21.110584301836912</v>
      </c>
      <c r="AE96">
        <f t="shared" si="52"/>
        <v>-0.19432435460501551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52742.290993117407</v>
      </c>
      <c r="AK96">
        <f t="shared" si="56"/>
        <v>1799.99</v>
      </c>
      <c r="AL96">
        <f t="shared" si="57"/>
        <v>1499.1037903993399</v>
      </c>
      <c r="AM96">
        <f t="shared" si="58"/>
        <v>0.83284006599999993</v>
      </c>
      <c r="AN96">
        <f t="shared" si="59"/>
        <v>0.15339667916000002</v>
      </c>
      <c r="AO96">
        <v>32.700000000000003</v>
      </c>
      <c r="AP96">
        <v>0.5</v>
      </c>
      <c r="AQ96" t="s">
        <v>331</v>
      </c>
      <c r="AR96">
        <v>2</v>
      </c>
      <c r="AS96">
        <v>1690383315.5999999</v>
      </c>
      <c r="AT96">
        <v>594.87</v>
      </c>
      <c r="AU96">
        <v>800.16499999999996</v>
      </c>
      <c r="AV96">
        <v>21.720500000000001</v>
      </c>
      <c r="AW96">
        <v>10.6473</v>
      </c>
      <c r="AX96">
        <v>594.99</v>
      </c>
      <c r="AY96">
        <v>21.545200000000001</v>
      </c>
      <c r="AZ96">
        <v>300.077</v>
      </c>
      <c r="BA96">
        <v>98.700599999999994</v>
      </c>
      <c r="BB96">
        <v>9.9862500000000007E-2</v>
      </c>
      <c r="BC96">
        <v>24.838000000000001</v>
      </c>
      <c r="BD96">
        <v>26.9224</v>
      </c>
      <c r="BE96">
        <v>26.468800000000002</v>
      </c>
      <c r="BF96">
        <v>0</v>
      </c>
      <c r="BG96">
        <v>0</v>
      </c>
      <c r="BH96">
        <v>10034.4</v>
      </c>
      <c r="BI96">
        <v>1048.8599999999999</v>
      </c>
      <c r="BJ96">
        <v>2.2846899999999999</v>
      </c>
      <c r="BK96">
        <v>-205.29400000000001</v>
      </c>
      <c r="BL96">
        <v>608.07799999999997</v>
      </c>
      <c r="BM96">
        <v>808.77599999999995</v>
      </c>
      <c r="BN96">
        <v>11.0732</v>
      </c>
      <c r="BO96">
        <v>800.16499999999996</v>
      </c>
      <c r="BP96">
        <v>10.6473</v>
      </c>
      <c r="BQ96">
        <v>2.1438299999999999</v>
      </c>
      <c r="BR96">
        <v>1.0508999999999999</v>
      </c>
      <c r="BS96">
        <v>18.5486</v>
      </c>
      <c r="BT96">
        <v>7.6418100000000004</v>
      </c>
      <c r="BU96">
        <v>1799.99</v>
      </c>
      <c r="BV96">
        <v>0.91001699999999996</v>
      </c>
      <c r="BW96">
        <v>3.4003600000000002E-2</v>
      </c>
      <c r="BX96">
        <v>2.1991799999999999E-2</v>
      </c>
      <c r="BY96">
        <v>3.3987200000000002E-2</v>
      </c>
      <c r="BZ96">
        <v>26</v>
      </c>
      <c r="CA96">
        <v>33528.400000000001</v>
      </c>
      <c r="CB96">
        <v>1690381960.0999999</v>
      </c>
      <c r="CC96" t="s">
        <v>332</v>
      </c>
      <c r="CD96">
        <v>1690381960.0999999</v>
      </c>
      <c r="CE96">
        <v>1690381958.0999999</v>
      </c>
      <c r="CF96">
        <v>4</v>
      </c>
      <c r="CG96">
        <v>9.9000000000000005E-2</v>
      </c>
      <c r="CH96">
        <v>1.2E-2</v>
      </c>
      <c r="CI96">
        <v>-0.26300000000000001</v>
      </c>
      <c r="CJ96">
        <v>0.127</v>
      </c>
      <c r="CK96">
        <v>798</v>
      </c>
      <c r="CL96">
        <v>18</v>
      </c>
      <c r="CM96">
        <v>0.02</v>
      </c>
      <c r="CN96">
        <v>0.12</v>
      </c>
      <c r="CO96">
        <v>-201.3484</v>
      </c>
      <c r="CP96">
        <v>-22.864210131331699</v>
      </c>
      <c r="CQ96">
        <v>2.1999148483520909</v>
      </c>
      <c r="CR96">
        <v>-1</v>
      </c>
      <c r="CS96">
        <v>10.8291775</v>
      </c>
      <c r="CT96">
        <v>1.370209756097559</v>
      </c>
      <c r="CU96">
        <v>0.13223827828488241</v>
      </c>
      <c r="CV96">
        <v>-1</v>
      </c>
      <c r="CW96">
        <v>0</v>
      </c>
      <c r="CX96">
        <v>0</v>
      </c>
      <c r="CY96" t="s">
        <v>333</v>
      </c>
      <c r="CZ96">
        <v>2.3642500000000002</v>
      </c>
      <c r="DA96">
        <v>2.7136800000000001</v>
      </c>
      <c r="DB96">
        <v>0.119271</v>
      </c>
      <c r="DC96">
        <v>0.14563000000000001</v>
      </c>
      <c r="DD96">
        <v>0.10573299999999999</v>
      </c>
      <c r="DE96">
        <v>6.1819699999999998E-2</v>
      </c>
      <c r="DF96">
        <v>32155.1</v>
      </c>
      <c r="DG96">
        <v>27528.9</v>
      </c>
      <c r="DH96">
        <v>31168.6</v>
      </c>
      <c r="DI96">
        <v>28076.6</v>
      </c>
      <c r="DJ96">
        <v>37842.699999999997</v>
      </c>
      <c r="DK96">
        <v>37456.9</v>
      </c>
      <c r="DL96">
        <v>44356</v>
      </c>
      <c r="DM96">
        <v>42554.400000000001</v>
      </c>
      <c r="DN96">
        <v>1.4675499999999999</v>
      </c>
      <c r="DO96">
        <v>2.0436700000000001</v>
      </c>
      <c r="DP96">
        <v>0.17625099999999999</v>
      </c>
      <c r="DQ96">
        <v>0.15430199999999999</v>
      </c>
      <c r="DR96">
        <v>24.032699999999998</v>
      </c>
      <c r="DS96">
        <v>23.937899999999999</v>
      </c>
      <c r="DT96">
        <v>54.3</v>
      </c>
      <c r="DU96">
        <v>28.7</v>
      </c>
      <c r="DV96">
        <v>21.747399999999999</v>
      </c>
      <c r="DW96">
        <v>60.902999999999999</v>
      </c>
      <c r="DX96">
        <v>37.007199999999997</v>
      </c>
      <c r="DY96">
        <v>1</v>
      </c>
      <c r="DZ96">
        <v>-8.5299799999999995E-2</v>
      </c>
      <c r="EA96">
        <v>0.65324099999999996</v>
      </c>
      <c r="EB96">
        <v>20.188500000000001</v>
      </c>
      <c r="EC96">
        <v>5.2409499999999998</v>
      </c>
      <c r="ED96">
        <v>12.039899999999999</v>
      </c>
      <c r="EE96">
        <v>5.0170000000000003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1.8689100000000001</v>
      </c>
      <c r="EL96">
        <v>1.8646199999999999</v>
      </c>
      <c r="EM96">
        <v>1.8692</v>
      </c>
      <c r="EN96">
        <v>1.86724</v>
      </c>
      <c r="EO96">
        <v>1.8633999999999999</v>
      </c>
      <c r="EP96">
        <v>1.8644700000000001</v>
      </c>
      <c r="EQ96">
        <v>1.8701700000000001</v>
      </c>
      <c r="ER96">
        <v>1.8693900000000001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-0.12</v>
      </c>
      <c r="FG96">
        <v>0.17530000000000001</v>
      </c>
      <c r="FH96">
        <v>0.28746640474027818</v>
      </c>
      <c r="FI96">
        <v>-6.1462078757559423E-4</v>
      </c>
      <c r="FJ96">
        <v>-1.8861989874597051E-7</v>
      </c>
      <c r="FK96">
        <v>1.1980462299894961E-10</v>
      </c>
      <c r="FL96">
        <v>0.17524818673008091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22.6</v>
      </c>
      <c r="FU96">
        <v>22.6</v>
      </c>
      <c r="FV96">
        <v>1.78101</v>
      </c>
      <c r="FW96">
        <v>2.5732400000000002</v>
      </c>
      <c r="FX96">
        <v>1.5490699999999999</v>
      </c>
      <c r="FY96">
        <v>2.3303199999999999</v>
      </c>
      <c r="FZ96">
        <v>1.50146</v>
      </c>
      <c r="GA96">
        <v>2.34985</v>
      </c>
      <c r="GB96">
        <v>33.580399999999997</v>
      </c>
      <c r="GC96">
        <v>23.982399999999998</v>
      </c>
      <c r="GD96">
        <v>19</v>
      </c>
      <c r="GE96">
        <v>279.59699999999998</v>
      </c>
      <c r="GF96">
        <v>590.178</v>
      </c>
      <c r="GG96">
        <v>22.120100000000001</v>
      </c>
      <c r="GH96">
        <v>26.296800000000001</v>
      </c>
      <c r="GI96">
        <v>29.9998</v>
      </c>
      <c r="GJ96">
        <v>26.4406</v>
      </c>
      <c r="GK96">
        <v>26.422799999999999</v>
      </c>
      <c r="GL96">
        <v>35.622500000000002</v>
      </c>
      <c r="GM96">
        <v>53.3521</v>
      </c>
      <c r="GN96">
        <v>77.052899999999994</v>
      </c>
      <c r="GO96">
        <v>22.189900000000002</v>
      </c>
      <c r="GP96">
        <v>800</v>
      </c>
      <c r="GQ96">
        <v>10.482100000000001</v>
      </c>
      <c r="GR96">
        <v>99.726399999999998</v>
      </c>
      <c r="GS96">
        <v>99.549499999999995</v>
      </c>
    </row>
    <row r="97" spans="1:201" x14ac:dyDescent="0.25">
      <c r="A97">
        <v>81</v>
      </c>
      <c r="B97">
        <v>1690383325.5999999</v>
      </c>
      <c r="C97">
        <v>850.5</v>
      </c>
      <c r="D97" t="s">
        <v>493</v>
      </c>
      <c r="E97" t="s">
        <v>494</v>
      </c>
      <c r="F97" t="s">
        <v>330</v>
      </c>
      <c r="H97">
        <v>1690383325.5999999</v>
      </c>
      <c r="I97">
        <f t="shared" si="30"/>
        <v>1.06676826261179E-3</v>
      </c>
      <c r="J97">
        <f t="shared" si="31"/>
        <v>1.06676826261179</v>
      </c>
      <c r="K97">
        <f t="shared" si="32"/>
        <v>18.534634376931482</v>
      </c>
      <c r="L97">
        <f t="shared" si="33"/>
        <v>591.15700000000004</v>
      </c>
      <c r="M97">
        <f t="shared" si="34"/>
        <v>188.43424036084215</v>
      </c>
      <c r="N97">
        <f t="shared" si="35"/>
        <v>18.616581885187038</v>
      </c>
      <c r="O97">
        <f t="shared" si="36"/>
        <v>58.404049478623804</v>
      </c>
      <c r="P97">
        <f t="shared" si="37"/>
        <v>7.6587359375492117E-2</v>
      </c>
      <c r="Q97">
        <f t="shared" si="38"/>
        <v>2.1103010558268007</v>
      </c>
      <c r="R97">
        <f t="shared" si="39"/>
        <v>7.5076055885269166E-2</v>
      </c>
      <c r="S97">
        <f t="shared" si="40"/>
        <v>4.7055835608657337E-2</v>
      </c>
      <c r="T97">
        <f t="shared" si="41"/>
        <v>276.113852442</v>
      </c>
      <c r="U97">
        <f t="shared" si="42"/>
        <v>26.687044332528213</v>
      </c>
      <c r="V97">
        <f t="shared" si="43"/>
        <v>26.687044332528213</v>
      </c>
      <c r="W97">
        <f t="shared" si="44"/>
        <v>3.5138977721043618</v>
      </c>
      <c r="X97">
        <f t="shared" si="45"/>
        <v>68.207394780070032</v>
      </c>
      <c r="Y97">
        <f t="shared" si="46"/>
        <v>2.1503283529030202</v>
      </c>
      <c r="Z97">
        <f t="shared" si="47"/>
        <v>3.1526322913176839</v>
      </c>
      <c r="AA97">
        <f t="shared" si="48"/>
        <v>1.3635694192013417</v>
      </c>
      <c r="AB97">
        <f t="shared" si="49"/>
        <v>-47.044480381179937</v>
      </c>
      <c r="AC97">
        <f t="shared" si="50"/>
        <v>-208.22790530101932</v>
      </c>
      <c r="AD97">
        <f t="shared" si="51"/>
        <v>-21.034352114766595</v>
      </c>
      <c r="AE97">
        <f t="shared" si="52"/>
        <v>-0.19288535496585268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52572.84941189822</v>
      </c>
      <c r="AK97">
        <f t="shared" si="56"/>
        <v>1800</v>
      </c>
      <c r="AL97">
        <f t="shared" si="57"/>
        <v>1499.1123672000001</v>
      </c>
      <c r="AM97">
        <f t="shared" si="58"/>
        <v>0.83284020400000003</v>
      </c>
      <c r="AN97">
        <f t="shared" si="59"/>
        <v>0.15339658469</v>
      </c>
      <c r="AO97">
        <v>32.700000000000003</v>
      </c>
      <c r="AP97">
        <v>0.5</v>
      </c>
      <c r="AQ97" t="s">
        <v>331</v>
      </c>
      <c r="AR97">
        <v>2</v>
      </c>
      <c r="AS97">
        <v>1690383325.5999999</v>
      </c>
      <c r="AT97">
        <v>591.15700000000004</v>
      </c>
      <c r="AU97">
        <v>799.96299999999997</v>
      </c>
      <c r="AV97">
        <v>21.7653</v>
      </c>
      <c r="AW97">
        <v>10.395799999999999</v>
      </c>
      <c r="AX97">
        <v>591.274</v>
      </c>
      <c r="AY97">
        <v>21.59</v>
      </c>
      <c r="AZ97">
        <v>300.137</v>
      </c>
      <c r="BA97">
        <v>98.696200000000005</v>
      </c>
      <c r="BB97">
        <v>9.9973400000000004E-2</v>
      </c>
      <c r="BC97">
        <v>24.8568</v>
      </c>
      <c r="BD97">
        <v>26.943000000000001</v>
      </c>
      <c r="BE97">
        <v>26.468800000000002</v>
      </c>
      <c r="BF97">
        <v>0</v>
      </c>
      <c r="BG97">
        <v>0</v>
      </c>
      <c r="BH97">
        <v>10001.9</v>
      </c>
      <c r="BI97">
        <v>1048.8599999999999</v>
      </c>
      <c r="BJ97">
        <v>2.2987099999999998</v>
      </c>
      <c r="BK97">
        <v>-208.80699999999999</v>
      </c>
      <c r="BL97">
        <v>604.30999999999995</v>
      </c>
      <c r="BM97">
        <v>808.36699999999996</v>
      </c>
      <c r="BN97">
        <v>11.3695</v>
      </c>
      <c r="BO97">
        <v>799.96299999999997</v>
      </c>
      <c r="BP97">
        <v>10.395799999999999</v>
      </c>
      <c r="BQ97">
        <v>2.1481499999999998</v>
      </c>
      <c r="BR97">
        <v>1.02603</v>
      </c>
      <c r="BS97">
        <v>18.5808</v>
      </c>
      <c r="BT97">
        <v>7.2912999999999997</v>
      </c>
      <c r="BU97">
        <v>1800</v>
      </c>
      <c r="BV97">
        <v>0.91001900000000002</v>
      </c>
      <c r="BW97">
        <v>3.4001799999999999E-2</v>
      </c>
      <c r="BX97">
        <v>2.1990699999999998E-2</v>
      </c>
      <c r="BY97">
        <v>3.39881E-2</v>
      </c>
      <c r="BZ97">
        <v>26</v>
      </c>
      <c r="CA97">
        <v>33528.5</v>
      </c>
      <c r="CB97">
        <v>1690381960.0999999</v>
      </c>
      <c r="CC97" t="s">
        <v>332</v>
      </c>
      <c r="CD97">
        <v>1690381960.0999999</v>
      </c>
      <c r="CE97">
        <v>1690381958.0999999</v>
      </c>
      <c r="CF97">
        <v>4</v>
      </c>
      <c r="CG97">
        <v>9.9000000000000005E-2</v>
      </c>
      <c r="CH97">
        <v>1.2E-2</v>
      </c>
      <c r="CI97">
        <v>-0.26300000000000001</v>
      </c>
      <c r="CJ97">
        <v>0.127</v>
      </c>
      <c r="CK97">
        <v>798</v>
      </c>
      <c r="CL97">
        <v>18</v>
      </c>
      <c r="CM97">
        <v>0.02</v>
      </c>
      <c r="CN97">
        <v>0.12</v>
      </c>
      <c r="CO97">
        <v>-204.806512195122</v>
      </c>
      <c r="CP97">
        <v>-22.25023693379784</v>
      </c>
      <c r="CQ97">
        <v>2.19489192046766</v>
      </c>
      <c r="CR97">
        <v>-1</v>
      </c>
      <c r="CS97">
        <v>11.05901463414634</v>
      </c>
      <c r="CT97">
        <v>1.627534494773516</v>
      </c>
      <c r="CU97">
        <v>0.16081392756237531</v>
      </c>
      <c r="CV97">
        <v>-1</v>
      </c>
      <c r="CW97">
        <v>0</v>
      </c>
      <c r="CX97">
        <v>0</v>
      </c>
      <c r="CY97" t="s">
        <v>333</v>
      </c>
      <c r="CZ97">
        <v>2.3644500000000002</v>
      </c>
      <c r="DA97">
        <v>2.7137699999999998</v>
      </c>
      <c r="DB97">
        <v>0.118741</v>
      </c>
      <c r="DC97">
        <v>0.145595</v>
      </c>
      <c r="DD97">
        <v>0.10588500000000001</v>
      </c>
      <c r="DE97">
        <v>6.0697800000000003E-2</v>
      </c>
      <c r="DF97">
        <v>32175.7</v>
      </c>
      <c r="DG97">
        <v>27530.799999999999</v>
      </c>
      <c r="DH97">
        <v>31169.7</v>
      </c>
      <c r="DI97">
        <v>28077.3</v>
      </c>
      <c r="DJ97">
        <v>37837.5</v>
      </c>
      <c r="DK97">
        <v>37502.800000000003</v>
      </c>
      <c r="DL97">
        <v>44357.5</v>
      </c>
      <c r="DM97">
        <v>42555.5</v>
      </c>
      <c r="DN97">
        <v>1.4682500000000001</v>
      </c>
      <c r="DO97">
        <v>2.04312</v>
      </c>
      <c r="DP97">
        <v>0.17760699999999999</v>
      </c>
      <c r="DQ97">
        <v>0.15426799999999999</v>
      </c>
      <c r="DR97">
        <v>24.031199999999998</v>
      </c>
      <c r="DS97">
        <v>23.938400000000001</v>
      </c>
      <c r="DT97">
        <v>54.1</v>
      </c>
      <c r="DU97">
        <v>28.7</v>
      </c>
      <c r="DV97">
        <v>21.665500000000002</v>
      </c>
      <c r="DW97">
        <v>60.923000000000002</v>
      </c>
      <c r="DX97">
        <v>37.083300000000001</v>
      </c>
      <c r="DY97">
        <v>1</v>
      </c>
      <c r="DZ97">
        <v>-8.5968000000000003E-2</v>
      </c>
      <c r="EA97">
        <v>0.65768199999999999</v>
      </c>
      <c r="EB97">
        <v>20.188400000000001</v>
      </c>
      <c r="EC97">
        <v>5.2409499999999998</v>
      </c>
      <c r="ED97">
        <v>12.039899999999999</v>
      </c>
      <c r="EE97">
        <v>5.01715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</v>
      </c>
      <c r="EL97">
        <v>1.8646199999999999</v>
      </c>
      <c r="EM97">
        <v>1.8692</v>
      </c>
      <c r="EN97">
        <v>1.86724</v>
      </c>
      <c r="EO97">
        <v>1.8633999999999999</v>
      </c>
      <c r="EP97">
        <v>1.8644700000000001</v>
      </c>
      <c r="EQ97">
        <v>1.8702000000000001</v>
      </c>
      <c r="ER97">
        <v>1.8693900000000001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-0.11700000000000001</v>
      </c>
      <c r="FG97">
        <v>0.17530000000000001</v>
      </c>
      <c r="FH97">
        <v>0.28746640474027818</v>
      </c>
      <c r="FI97">
        <v>-6.1462078757559423E-4</v>
      </c>
      <c r="FJ97">
        <v>-1.8861989874597051E-7</v>
      </c>
      <c r="FK97">
        <v>1.1980462299894961E-10</v>
      </c>
      <c r="FL97">
        <v>0.17524818673008091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22.8</v>
      </c>
      <c r="FU97">
        <v>22.8</v>
      </c>
      <c r="FV97">
        <v>1.78101</v>
      </c>
      <c r="FW97">
        <v>2.5817899999999998</v>
      </c>
      <c r="FX97">
        <v>1.5490699999999999</v>
      </c>
      <c r="FY97">
        <v>2.3303199999999999</v>
      </c>
      <c r="FZ97">
        <v>1.50146</v>
      </c>
      <c r="GA97">
        <v>2.2924799999999999</v>
      </c>
      <c r="GB97">
        <v>33.580399999999997</v>
      </c>
      <c r="GC97">
        <v>23.973700000000001</v>
      </c>
      <c r="GD97">
        <v>19</v>
      </c>
      <c r="GE97">
        <v>279.87700000000001</v>
      </c>
      <c r="GF97">
        <v>589.68200000000002</v>
      </c>
      <c r="GG97">
        <v>22.246700000000001</v>
      </c>
      <c r="GH97">
        <v>26.2912</v>
      </c>
      <c r="GI97">
        <v>29.999700000000001</v>
      </c>
      <c r="GJ97">
        <v>26.436900000000001</v>
      </c>
      <c r="GK97">
        <v>26.419499999999999</v>
      </c>
      <c r="GL97">
        <v>35.6218</v>
      </c>
      <c r="GM97">
        <v>53.943300000000001</v>
      </c>
      <c r="GN97">
        <v>76.652699999999996</v>
      </c>
      <c r="GO97">
        <v>22.274100000000001</v>
      </c>
      <c r="GP97">
        <v>800</v>
      </c>
      <c r="GQ97">
        <v>10.260400000000001</v>
      </c>
      <c r="GR97">
        <v>99.729900000000001</v>
      </c>
      <c r="GS97">
        <v>99.552000000000007</v>
      </c>
    </row>
    <row r="98" spans="1:201" x14ac:dyDescent="0.25">
      <c r="A98">
        <v>82</v>
      </c>
      <c r="B98">
        <v>1690383336</v>
      </c>
      <c r="C98">
        <v>860.90000009536743</v>
      </c>
      <c r="D98" t="s">
        <v>495</v>
      </c>
      <c r="E98" t="s">
        <v>496</v>
      </c>
      <c r="F98" t="s">
        <v>330</v>
      </c>
      <c r="H98">
        <v>1690383336</v>
      </c>
      <c r="I98">
        <f t="shared" si="30"/>
        <v>1.0895489609486231E-3</v>
      </c>
      <c r="J98">
        <f t="shared" si="31"/>
        <v>1.0895489609486231</v>
      </c>
      <c r="K98">
        <f t="shared" si="32"/>
        <v>18.890979931307886</v>
      </c>
      <c r="L98">
        <f t="shared" si="33"/>
        <v>587.21400000000006</v>
      </c>
      <c r="M98">
        <f t="shared" si="34"/>
        <v>185.59637806015385</v>
      </c>
      <c r="N98">
        <f t="shared" si="35"/>
        <v>18.335608501179291</v>
      </c>
      <c r="O98">
        <f t="shared" si="36"/>
        <v>58.012586899307998</v>
      </c>
      <c r="P98">
        <f t="shared" si="37"/>
        <v>7.8292900733594351E-2</v>
      </c>
      <c r="Q98">
        <f t="shared" si="38"/>
        <v>2.1100443637583273</v>
      </c>
      <c r="R98">
        <f t="shared" si="39"/>
        <v>7.6714096377292942E-2</v>
      </c>
      <c r="S98">
        <f t="shared" si="40"/>
        <v>4.8085507827675171E-2</v>
      </c>
      <c r="T98">
        <f t="shared" si="41"/>
        <v>276.11481250800006</v>
      </c>
      <c r="U98">
        <f t="shared" si="42"/>
        <v>26.696697383655863</v>
      </c>
      <c r="V98">
        <f t="shared" si="43"/>
        <v>26.696697383655863</v>
      </c>
      <c r="W98">
        <f t="shared" si="44"/>
        <v>3.5158951248392651</v>
      </c>
      <c r="X98">
        <f t="shared" si="45"/>
        <v>68.221605508078042</v>
      </c>
      <c r="Y98">
        <f t="shared" si="46"/>
        <v>2.1530237870225997</v>
      </c>
      <c r="Z98">
        <f t="shared" si="47"/>
        <v>3.1559265880479206</v>
      </c>
      <c r="AA98">
        <f t="shared" si="48"/>
        <v>1.3628713378166655</v>
      </c>
      <c r="AB98">
        <f t="shared" si="49"/>
        <v>-48.049109177834275</v>
      </c>
      <c r="AC98">
        <f t="shared" si="50"/>
        <v>-207.30993384633635</v>
      </c>
      <c r="AD98">
        <f t="shared" si="51"/>
        <v>-20.947023510116217</v>
      </c>
      <c r="AE98">
        <f t="shared" si="52"/>
        <v>-0.19125402628679922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52558.425381935762</v>
      </c>
      <c r="AK98">
        <f t="shared" si="56"/>
        <v>1800</v>
      </c>
      <c r="AL98">
        <f t="shared" si="57"/>
        <v>1499.1120918000001</v>
      </c>
      <c r="AM98">
        <f t="shared" si="58"/>
        <v>0.83284005100000003</v>
      </c>
      <c r="AN98">
        <f t="shared" si="59"/>
        <v>0.15339711806000003</v>
      </c>
      <c r="AO98">
        <v>32.700000000000003</v>
      </c>
      <c r="AP98">
        <v>0.5</v>
      </c>
      <c r="AQ98" t="s">
        <v>331</v>
      </c>
      <c r="AR98">
        <v>2</v>
      </c>
      <c r="AS98">
        <v>1690383336</v>
      </c>
      <c r="AT98">
        <v>587.21400000000006</v>
      </c>
      <c r="AU98">
        <v>800.02499999999998</v>
      </c>
      <c r="AV98">
        <v>21.793299999999999</v>
      </c>
      <c r="AW98">
        <v>10.180099999999999</v>
      </c>
      <c r="AX98">
        <v>587.32799999999997</v>
      </c>
      <c r="AY98">
        <v>21.617999999999999</v>
      </c>
      <c r="AZ98">
        <v>300.10500000000002</v>
      </c>
      <c r="BA98">
        <v>98.692899999999995</v>
      </c>
      <c r="BB98">
        <v>0.100022</v>
      </c>
      <c r="BC98">
        <v>24.874300000000002</v>
      </c>
      <c r="BD98">
        <v>26.9787</v>
      </c>
      <c r="BE98">
        <v>26.5078</v>
      </c>
      <c r="BF98">
        <v>0</v>
      </c>
      <c r="BG98">
        <v>0</v>
      </c>
      <c r="BH98">
        <v>10000</v>
      </c>
      <c r="BI98">
        <v>1049.07</v>
      </c>
      <c r="BJ98">
        <v>2.2987099999999998</v>
      </c>
      <c r="BK98">
        <v>-212.81100000000001</v>
      </c>
      <c r="BL98">
        <v>600.29600000000005</v>
      </c>
      <c r="BM98">
        <v>808.25300000000004</v>
      </c>
      <c r="BN98">
        <v>11.613200000000001</v>
      </c>
      <c r="BO98">
        <v>800.02499999999998</v>
      </c>
      <c r="BP98">
        <v>10.180099999999999</v>
      </c>
      <c r="BQ98">
        <v>2.1508400000000001</v>
      </c>
      <c r="BR98">
        <v>1.0046999999999999</v>
      </c>
      <c r="BS98">
        <v>18.6008</v>
      </c>
      <c r="BT98">
        <v>6.9847599999999996</v>
      </c>
      <c r="BU98">
        <v>1800</v>
      </c>
      <c r="BV98">
        <v>0.91000400000000004</v>
      </c>
      <c r="BW98">
        <v>3.4000900000000001E-2</v>
      </c>
      <c r="BX98">
        <v>2.1995299999999999E-2</v>
      </c>
      <c r="BY98">
        <v>3.4000200000000001E-2</v>
      </c>
      <c r="BZ98">
        <v>26</v>
      </c>
      <c r="CA98">
        <v>33528.400000000001</v>
      </c>
      <c r="CB98">
        <v>1690381960.0999999</v>
      </c>
      <c r="CC98" t="s">
        <v>332</v>
      </c>
      <c r="CD98">
        <v>1690381960.0999999</v>
      </c>
      <c r="CE98">
        <v>1690381958.0999999</v>
      </c>
      <c r="CF98">
        <v>4</v>
      </c>
      <c r="CG98">
        <v>9.9000000000000005E-2</v>
      </c>
      <c r="CH98">
        <v>1.2E-2</v>
      </c>
      <c r="CI98">
        <v>-0.26300000000000001</v>
      </c>
      <c r="CJ98">
        <v>0.127</v>
      </c>
      <c r="CK98">
        <v>798</v>
      </c>
      <c r="CL98">
        <v>18</v>
      </c>
      <c r="CM98">
        <v>0.02</v>
      </c>
      <c r="CN98">
        <v>0.12</v>
      </c>
      <c r="CO98">
        <v>-208.91170731707311</v>
      </c>
      <c r="CP98">
        <v>-22.834395316196119</v>
      </c>
      <c r="CQ98">
        <v>2.2362771899821041</v>
      </c>
      <c r="CR98">
        <v>-1</v>
      </c>
      <c r="CS98">
        <v>11.351448780487811</v>
      </c>
      <c r="CT98">
        <v>1.570465054994806</v>
      </c>
      <c r="CU98">
        <v>0.1540653854255318</v>
      </c>
      <c r="CV98">
        <v>-1</v>
      </c>
      <c r="CW98">
        <v>0</v>
      </c>
      <c r="CX98">
        <v>0</v>
      </c>
      <c r="CY98" t="s">
        <v>333</v>
      </c>
      <c r="CZ98">
        <v>2.3643700000000001</v>
      </c>
      <c r="DA98">
        <v>2.7138100000000001</v>
      </c>
      <c r="DB98">
        <v>0.11817800000000001</v>
      </c>
      <c r="DC98">
        <v>0.145595</v>
      </c>
      <c r="DD98">
        <v>0.105979</v>
      </c>
      <c r="DE98">
        <v>5.9728499999999997E-2</v>
      </c>
      <c r="DF98">
        <v>32195.9</v>
      </c>
      <c r="DG98">
        <v>27531.4</v>
      </c>
      <c r="DH98">
        <v>31169.4</v>
      </c>
      <c r="DI98">
        <v>28077.8</v>
      </c>
      <c r="DJ98">
        <v>37833</v>
      </c>
      <c r="DK98">
        <v>37542.400000000001</v>
      </c>
      <c r="DL98">
        <v>44357.2</v>
      </c>
      <c r="DM98">
        <v>42556.4</v>
      </c>
      <c r="DN98">
        <v>1.4681500000000001</v>
      </c>
      <c r="DO98">
        <v>2.04297</v>
      </c>
      <c r="DP98">
        <v>0.17982000000000001</v>
      </c>
      <c r="DQ98">
        <v>0.15645500000000001</v>
      </c>
      <c r="DR98">
        <v>24.0307</v>
      </c>
      <c r="DS98">
        <v>23.941700000000001</v>
      </c>
      <c r="DT98">
        <v>53.8</v>
      </c>
      <c r="DU98">
        <v>28.7</v>
      </c>
      <c r="DV98">
        <v>21.5487</v>
      </c>
      <c r="DW98">
        <v>61.082999999999998</v>
      </c>
      <c r="DX98">
        <v>36.482399999999998</v>
      </c>
      <c r="DY98">
        <v>1</v>
      </c>
      <c r="DZ98">
        <v>-8.6643800000000007E-2</v>
      </c>
      <c r="EA98">
        <v>0.69949099999999997</v>
      </c>
      <c r="EB98">
        <v>20.188099999999999</v>
      </c>
      <c r="EC98">
        <v>5.24125</v>
      </c>
      <c r="ED98">
        <v>12.039899999999999</v>
      </c>
      <c r="EE98">
        <v>5.0175000000000001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</v>
      </c>
      <c r="EL98">
        <v>1.8646199999999999</v>
      </c>
      <c r="EM98">
        <v>1.8692</v>
      </c>
      <c r="EN98">
        <v>1.8672299999999999</v>
      </c>
      <c r="EO98">
        <v>1.86338</v>
      </c>
      <c r="EP98">
        <v>1.8644700000000001</v>
      </c>
      <c r="EQ98">
        <v>1.87018</v>
      </c>
      <c r="ER98">
        <v>1.8694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-0.114</v>
      </c>
      <c r="FG98">
        <v>0.17530000000000001</v>
      </c>
      <c r="FH98">
        <v>0.28746640474027818</v>
      </c>
      <c r="FI98">
        <v>-6.1462078757559423E-4</v>
      </c>
      <c r="FJ98">
        <v>-1.8861989874597051E-7</v>
      </c>
      <c r="FK98">
        <v>1.1980462299894961E-10</v>
      </c>
      <c r="FL98">
        <v>0.17524818673008091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22.9</v>
      </c>
      <c r="FU98">
        <v>23</v>
      </c>
      <c r="FV98">
        <v>1.78101</v>
      </c>
      <c r="FW98">
        <v>2.5744600000000002</v>
      </c>
      <c r="FX98">
        <v>1.5490699999999999</v>
      </c>
      <c r="FY98">
        <v>2.3303199999999999</v>
      </c>
      <c r="FZ98">
        <v>1.50146</v>
      </c>
      <c r="GA98">
        <v>2.3779300000000001</v>
      </c>
      <c r="GB98">
        <v>33.558</v>
      </c>
      <c r="GC98">
        <v>23.982399999999998</v>
      </c>
      <c r="GD98">
        <v>19</v>
      </c>
      <c r="GE98">
        <v>279.81599999999997</v>
      </c>
      <c r="GF98">
        <v>589.51900000000001</v>
      </c>
      <c r="GG98">
        <v>22.3218</v>
      </c>
      <c r="GH98">
        <v>26.285399999999999</v>
      </c>
      <c r="GI98">
        <v>29.9998</v>
      </c>
      <c r="GJ98">
        <v>26.432600000000001</v>
      </c>
      <c r="GK98">
        <v>26.4162</v>
      </c>
      <c r="GL98">
        <v>35.611199999999997</v>
      </c>
      <c r="GM98">
        <v>54.535800000000002</v>
      </c>
      <c r="GN98">
        <v>75.906099999999995</v>
      </c>
      <c r="GO98">
        <v>22.327300000000001</v>
      </c>
      <c r="GP98">
        <v>800</v>
      </c>
      <c r="GQ98">
        <v>10.032400000000001</v>
      </c>
      <c r="GR98">
        <v>99.728999999999999</v>
      </c>
      <c r="GS98">
        <v>99.554199999999994</v>
      </c>
    </row>
    <row r="99" spans="1:201" x14ac:dyDescent="0.25">
      <c r="A99">
        <v>83</v>
      </c>
      <c r="B99">
        <v>1690383346</v>
      </c>
      <c r="C99">
        <v>870.90000009536743</v>
      </c>
      <c r="D99" t="s">
        <v>497</v>
      </c>
      <c r="E99" t="s">
        <v>498</v>
      </c>
      <c r="F99" t="s">
        <v>330</v>
      </c>
      <c r="H99">
        <v>1690383346</v>
      </c>
      <c r="I99">
        <f t="shared" si="30"/>
        <v>1.1106259297634176E-3</v>
      </c>
      <c r="J99">
        <f t="shared" si="31"/>
        <v>1.1106259297634176</v>
      </c>
      <c r="K99">
        <f t="shared" si="32"/>
        <v>19.233427339276371</v>
      </c>
      <c r="L99">
        <f t="shared" si="33"/>
        <v>583.37199999999996</v>
      </c>
      <c r="M99">
        <f t="shared" si="34"/>
        <v>182.36864842584515</v>
      </c>
      <c r="N99">
        <f t="shared" si="35"/>
        <v>18.017662176971672</v>
      </c>
      <c r="O99">
        <f t="shared" si="36"/>
        <v>57.6360010902768</v>
      </c>
      <c r="P99">
        <f t="shared" si="37"/>
        <v>7.9847635991743604E-2</v>
      </c>
      <c r="Q99">
        <f t="shared" si="38"/>
        <v>2.1103231738529136</v>
      </c>
      <c r="R99">
        <f t="shared" si="39"/>
        <v>7.8206425861742673E-2</v>
      </c>
      <c r="S99">
        <f t="shared" si="40"/>
        <v>4.9023662699858583E-2</v>
      </c>
      <c r="T99">
        <f t="shared" si="41"/>
        <v>276.11546805</v>
      </c>
      <c r="U99">
        <f t="shared" si="42"/>
        <v>26.704831092699447</v>
      </c>
      <c r="V99">
        <f t="shared" si="43"/>
        <v>26.704831092699447</v>
      </c>
      <c r="W99">
        <f t="shared" si="44"/>
        <v>3.5175788736217468</v>
      </c>
      <c r="X99">
        <f t="shared" si="45"/>
        <v>68.213692032024056</v>
      </c>
      <c r="Y99">
        <f t="shared" si="46"/>
        <v>2.15480467176888</v>
      </c>
      <c r="Z99">
        <f t="shared" si="47"/>
        <v>3.1589034511682361</v>
      </c>
      <c r="AA99">
        <f t="shared" si="48"/>
        <v>1.3627742018528668</v>
      </c>
      <c r="AB99">
        <f t="shared" si="49"/>
        <v>-48.978603502566713</v>
      </c>
      <c r="AC99">
        <f t="shared" si="50"/>
        <v>-206.46511939972063</v>
      </c>
      <c r="AD99">
        <f t="shared" si="51"/>
        <v>-20.861410287002808</v>
      </c>
      <c r="AE99">
        <f t="shared" si="52"/>
        <v>-0.18966513929015605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52567.98445974115</v>
      </c>
      <c r="AK99">
        <f t="shared" si="56"/>
        <v>1800</v>
      </c>
      <c r="AL99">
        <f t="shared" si="57"/>
        <v>1499.1120450000001</v>
      </c>
      <c r="AM99">
        <f t="shared" si="58"/>
        <v>0.83284002499999998</v>
      </c>
      <c r="AN99">
        <f t="shared" si="59"/>
        <v>0.15339748224999999</v>
      </c>
      <c r="AO99">
        <v>32.700000000000003</v>
      </c>
      <c r="AP99">
        <v>0.5</v>
      </c>
      <c r="AQ99" t="s">
        <v>331</v>
      </c>
      <c r="AR99">
        <v>2</v>
      </c>
      <c r="AS99">
        <v>1690383346</v>
      </c>
      <c r="AT99">
        <v>583.37199999999996</v>
      </c>
      <c r="AU99">
        <v>800.04100000000005</v>
      </c>
      <c r="AV99">
        <v>21.810199999999998</v>
      </c>
      <c r="AW99">
        <v>9.9704599999999992</v>
      </c>
      <c r="AX99">
        <v>583.48299999999995</v>
      </c>
      <c r="AY99">
        <v>21.635000000000002</v>
      </c>
      <c r="AZ99">
        <v>300.05200000000002</v>
      </c>
      <c r="BA99">
        <v>98.698099999999997</v>
      </c>
      <c r="BB99">
        <v>9.9924399999999997E-2</v>
      </c>
      <c r="BC99">
        <v>24.8901</v>
      </c>
      <c r="BD99">
        <v>26.969000000000001</v>
      </c>
      <c r="BE99">
        <v>26.5199</v>
      </c>
      <c r="BF99">
        <v>0</v>
      </c>
      <c r="BG99">
        <v>0</v>
      </c>
      <c r="BH99">
        <v>10001.9</v>
      </c>
      <c r="BI99">
        <v>1049.0999999999999</v>
      </c>
      <c r="BJ99">
        <v>2.2987099999999998</v>
      </c>
      <c r="BK99">
        <v>-216.66900000000001</v>
      </c>
      <c r="BL99">
        <v>596.37900000000002</v>
      </c>
      <c r="BM99">
        <v>808.09799999999996</v>
      </c>
      <c r="BN99">
        <v>11.8398</v>
      </c>
      <c r="BO99">
        <v>800.04100000000005</v>
      </c>
      <c r="BP99">
        <v>9.9704599999999992</v>
      </c>
      <c r="BQ99">
        <v>2.1526299999999998</v>
      </c>
      <c r="BR99">
        <v>0.984066</v>
      </c>
      <c r="BS99">
        <v>18.614100000000001</v>
      </c>
      <c r="BT99">
        <v>6.6825700000000001</v>
      </c>
      <c r="BU99">
        <v>1800</v>
      </c>
      <c r="BV99">
        <v>0.90999699999999994</v>
      </c>
      <c r="BW99">
        <v>3.4000099999999998E-2</v>
      </c>
      <c r="BX99">
        <v>2.1999999999999999E-2</v>
      </c>
      <c r="BY99">
        <v>3.40033E-2</v>
      </c>
      <c r="BZ99">
        <v>26</v>
      </c>
      <c r="CA99">
        <v>33528.300000000003</v>
      </c>
      <c r="CB99">
        <v>1690381960.0999999</v>
      </c>
      <c r="CC99" t="s">
        <v>332</v>
      </c>
      <c r="CD99">
        <v>1690381960.0999999</v>
      </c>
      <c r="CE99">
        <v>1690381958.0999999</v>
      </c>
      <c r="CF99">
        <v>4</v>
      </c>
      <c r="CG99">
        <v>9.9000000000000005E-2</v>
      </c>
      <c r="CH99">
        <v>1.2E-2</v>
      </c>
      <c r="CI99">
        <v>-0.26300000000000001</v>
      </c>
      <c r="CJ99">
        <v>0.127</v>
      </c>
      <c r="CK99">
        <v>798</v>
      </c>
      <c r="CL99">
        <v>18</v>
      </c>
      <c r="CM99">
        <v>0.02</v>
      </c>
      <c r="CN99">
        <v>0.12</v>
      </c>
      <c r="CO99">
        <v>-212.68758536585361</v>
      </c>
      <c r="CP99">
        <v>-22.65399759408708</v>
      </c>
      <c r="CQ99">
        <v>2.231422896976655</v>
      </c>
      <c r="CR99">
        <v>-1</v>
      </c>
      <c r="CS99">
        <v>11.59794390243902</v>
      </c>
      <c r="CT99">
        <v>1.43230816970854</v>
      </c>
      <c r="CU99">
        <v>0.14117008431931391</v>
      </c>
      <c r="CV99">
        <v>-1</v>
      </c>
      <c r="CW99">
        <v>0</v>
      </c>
      <c r="CX99">
        <v>0</v>
      </c>
      <c r="CY99" t="s">
        <v>333</v>
      </c>
      <c r="CZ99">
        <v>2.3642099999999999</v>
      </c>
      <c r="DA99">
        <v>2.7137199999999999</v>
      </c>
      <c r="DB99">
        <v>0.11763700000000001</v>
      </c>
      <c r="DC99">
        <v>0.14560100000000001</v>
      </c>
      <c r="DD99">
        <v>0.106045</v>
      </c>
      <c r="DE99">
        <v>5.8784500000000003E-2</v>
      </c>
      <c r="DF99">
        <v>32215.599999999999</v>
      </c>
      <c r="DG99">
        <v>27530.5</v>
      </c>
      <c r="DH99">
        <v>31169.3</v>
      </c>
      <c r="DI99">
        <v>28077.200000000001</v>
      </c>
      <c r="DJ99">
        <v>37830</v>
      </c>
      <c r="DK99">
        <v>37579.4</v>
      </c>
      <c r="DL99">
        <v>44357</v>
      </c>
      <c r="DM99">
        <v>42555.5</v>
      </c>
      <c r="DN99">
        <v>1.4678500000000001</v>
      </c>
      <c r="DO99">
        <v>2.0427300000000002</v>
      </c>
      <c r="DP99">
        <v>0.17922399999999999</v>
      </c>
      <c r="DQ99">
        <v>0.157058</v>
      </c>
      <c r="DR99">
        <v>24.0307</v>
      </c>
      <c r="DS99">
        <v>23.943899999999999</v>
      </c>
      <c r="DT99">
        <v>53.6</v>
      </c>
      <c r="DU99">
        <v>28.7</v>
      </c>
      <c r="DV99">
        <v>21.462800000000001</v>
      </c>
      <c r="DW99">
        <v>61.042999999999999</v>
      </c>
      <c r="DX99">
        <v>36.9071</v>
      </c>
      <c r="DY99">
        <v>1</v>
      </c>
      <c r="DZ99">
        <v>-8.6610800000000002E-2</v>
      </c>
      <c r="EA99">
        <v>0.72396199999999999</v>
      </c>
      <c r="EB99">
        <v>20.187999999999999</v>
      </c>
      <c r="EC99">
        <v>5.24125</v>
      </c>
      <c r="ED99">
        <v>12.039899999999999</v>
      </c>
      <c r="EE99">
        <v>5.0171999999999999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</v>
      </c>
      <c r="EL99">
        <v>1.8646199999999999</v>
      </c>
      <c r="EM99">
        <v>1.86921</v>
      </c>
      <c r="EN99">
        <v>1.8672599999999999</v>
      </c>
      <c r="EO99">
        <v>1.86338</v>
      </c>
      <c r="EP99">
        <v>1.8644700000000001</v>
      </c>
      <c r="EQ99">
        <v>1.8701700000000001</v>
      </c>
      <c r="ER99">
        <v>1.8693900000000001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-0.111</v>
      </c>
      <c r="FG99">
        <v>0.17519999999999999</v>
      </c>
      <c r="FH99">
        <v>0.28746640474027818</v>
      </c>
      <c r="FI99">
        <v>-6.1462078757559423E-4</v>
      </c>
      <c r="FJ99">
        <v>-1.8861989874597051E-7</v>
      </c>
      <c r="FK99">
        <v>1.1980462299894961E-10</v>
      </c>
      <c r="FL99">
        <v>0.17524818673008091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23.1</v>
      </c>
      <c r="FU99">
        <v>23.1</v>
      </c>
      <c r="FV99">
        <v>1.78101</v>
      </c>
      <c r="FW99">
        <v>2.5732400000000002</v>
      </c>
      <c r="FX99">
        <v>1.5490699999999999</v>
      </c>
      <c r="FY99">
        <v>2.3303199999999999</v>
      </c>
      <c r="FZ99">
        <v>1.50146</v>
      </c>
      <c r="GA99">
        <v>2.34009</v>
      </c>
      <c r="GB99">
        <v>33.580399999999997</v>
      </c>
      <c r="GC99">
        <v>23.982399999999998</v>
      </c>
      <c r="GD99">
        <v>19</v>
      </c>
      <c r="GE99">
        <v>279.67500000000001</v>
      </c>
      <c r="GF99">
        <v>589.28599999999994</v>
      </c>
      <c r="GG99">
        <v>22.357299999999999</v>
      </c>
      <c r="GH99">
        <v>26.279900000000001</v>
      </c>
      <c r="GI99">
        <v>29.9999</v>
      </c>
      <c r="GJ99">
        <v>26.429200000000002</v>
      </c>
      <c r="GK99">
        <v>26.414000000000001</v>
      </c>
      <c r="GL99">
        <v>35.6051</v>
      </c>
      <c r="GM99">
        <v>54.813499999999998</v>
      </c>
      <c r="GN99">
        <v>75.125900000000001</v>
      </c>
      <c r="GO99">
        <v>22.372599999999998</v>
      </c>
      <c r="GP99">
        <v>800</v>
      </c>
      <c r="GQ99">
        <v>9.9099799999999991</v>
      </c>
      <c r="GR99">
        <v>99.728700000000003</v>
      </c>
      <c r="GS99">
        <v>99.551900000000003</v>
      </c>
    </row>
    <row r="100" spans="1:201" x14ac:dyDescent="0.25">
      <c r="A100">
        <v>84</v>
      </c>
      <c r="B100">
        <v>1690383356</v>
      </c>
      <c r="C100">
        <v>880.90000009536743</v>
      </c>
      <c r="D100" t="s">
        <v>499</v>
      </c>
      <c r="E100" t="s">
        <v>500</v>
      </c>
      <c r="F100" t="s">
        <v>330</v>
      </c>
      <c r="H100">
        <v>1690383356</v>
      </c>
      <c r="I100">
        <f t="shared" si="30"/>
        <v>1.1196001263347308E-3</v>
      </c>
      <c r="J100">
        <f t="shared" si="31"/>
        <v>1.1196001263347308</v>
      </c>
      <c r="K100">
        <f t="shared" si="32"/>
        <v>19.569437543600213</v>
      </c>
      <c r="L100">
        <f t="shared" si="33"/>
        <v>579.76</v>
      </c>
      <c r="M100">
        <f t="shared" si="34"/>
        <v>175.24198226034994</v>
      </c>
      <c r="N100">
        <f t="shared" si="35"/>
        <v>17.313344619591589</v>
      </c>
      <c r="O100">
        <f t="shared" si="36"/>
        <v>57.278424651359998</v>
      </c>
      <c r="P100">
        <f t="shared" si="37"/>
        <v>8.0507682938166666E-2</v>
      </c>
      <c r="Q100">
        <f t="shared" si="38"/>
        <v>2.1110200436658864</v>
      </c>
      <c r="R100">
        <f t="shared" si="39"/>
        <v>7.8840070905773302E-2</v>
      </c>
      <c r="S100">
        <f t="shared" si="40"/>
        <v>4.9421995620051853E-2</v>
      </c>
      <c r="T100">
        <f t="shared" si="41"/>
        <v>276.11682449400007</v>
      </c>
      <c r="U100">
        <f t="shared" si="42"/>
        <v>26.710920077923966</v>
      </c>
      <c r="V100">
        <f t="shared" si="43"/>
        <v>26.710920077923966</v>
      </c>
      <c r="W100">
        <f t="shared" si="44"/>
        <v>3.5188398074505973</v>
      </c>
      <c r="X100">
        <f t="shared" si="45"/>
        <v>68.215785258482782</v>
      </c>
      <c r="Y100">
        <f t="shared" si="46"/>
        <v>2.1561311779854</v>
      </c>
      <c r="Z100">
        <f t="shared" si="47"/>
        <v>3.1607510927498712</v>
      </c>
      <c r="AA100">
        <f t="shared" si="48"/>
        <v>1.3627086294651973</v>
      </c>
      <c r="AB100">
        <f t="shared" si="49"/>
        <v>-49.374365571361629</v>
      </c>
      <c r="AC100">
        <f t="shared" si="50"/>
        <v>-206.11095016266776</v>
      </c>
      <c r="AD100">
        <f t="shared" si="51"/>
        <v>-20.820409821059378</v>
      </c>
      <c r="AE100">
        <f t="shared" si="52"/>
        <v>-0.18890106108869986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52596.811082017186</v>
      </c>
      <c r="AK100">
        <f t="shared" si="56"/>
        <v>1800</v>
      </c>
      <c r="AL100">
        <f t="shared" si="57"/>
        <v>1499.1113034</v>
      </c>
      <c r="AM100">
        <f t="shared" si="58"/>
        <v>0.83283961299999998</v>
      </c>
      <c r="AN100">
        <f t="shared" si="59"/>
        <v>0.15339823583000003</v>
      </c>
      <c r="AO100">
        <v>32.700000000000003</v>
      </c>
      <c r="AP100">
        <v>0.5</v>
      </c>
      <c r="AQ100" t="s">
        <v>331</v>
      </c>
      <c r="AR100">
        <v>2</v>
      </c>
      <c r="AS100">
        <v>1690383356</v>
      </c>
      <c r="AT100">
        <v>579.76</v>
      </c>
      <c r="AU100">
        <v>800.10900000000004</v>
      </c>
      <c r="AV100">
        <v>21.823899999999998</v>
      </c>
      <c r="AW100">
        <v>9.8883799999999997</v>
      </c>
      <c r="AX100">
        <v>579.86900000000003</v>
      </c>
      <c r="AY100">
        <v>21.648599999999998</v>
      </c>
      <c r="AZ100">
        <v>300.04500000000002</v>
      </c>
      <c r="BA100">
        <v>98.696799999999996</v>
      </c>
      <c r="BB100">
        <v>9.9986000000000005E-2</v>
      </c>
      <c r="BC100">
        <v>24.899899999999999</v>
      </c>
      <c r="BD100">
        <v>26.950900000000001</v>
      </c>
      <c r="BE100">
        <v>26.506900000000002</v>
      </c>
      <c r="BF100">
        <v>0</v>
      </c>
      <c r="BG100">
        <v>0</v>
      </c>
      <c r="BH100">
        <v>10008.1</v>
      </c>
      <c r="BI100">
        <v>1049.26</v>
      </c>
      <c r="BJ100">
        <v>2.2987099999999998</v>
      </c>
      <c r="BK100">
        <v>-220.34899999999999</v>
      </c>
      <c r="BL100">
        <v>592.69500000000005</v>
      </c>
      <c r="BM100">
        <v>808.1</v>
      </c>
      <c r="BN100">
        <v>11.935499999999999</v>
      </c>
      <c r="BO100">
        <v>800.10900000000004</v>
      </c>
      <c r="BP100">
        <v>9.8883799999999997</v>
      </c>
      <c r="BQ100">
        <v>2.15395</v>
      </c>
      <c r="BR100">
        <v>0.97595200000000004</v>
      </c>
      <c r="BS100">
        <v>18.623799999999999</v>
      </c>
      <c r="BT100">
        <v>6.5622299999999996</v>
      </c>
      <c r="BU100">
        <v>1800</v>
      </c>
      <c r="BV100">
        <v>0.90997899999999998</v>
      </c>
      <c r="BW100">
        <v>3.3998500000000001E-2</v>
      </c>
      <c r="BX100">
        <v>2.2009399999999998E-2</v>
      </c>
      <c r="BY100">
        <v>3.4013500000000002E-2</v>
      </c>
      <c r="BZ100">
        <v>26</v>
      </c>
      <c r="CA100">
        <v>33528.300000000003</v>
      </c>
      <c r="CB100">
        <v>1690381960.0999999</v>
      </c>
      <c r="CC100" t="s">
        <v>332</v>
      </c>
      <c r="CD100">
        <v>1690381960.0999999</v>
      </c>
      <c r="CE100">
        <v>1690381958.0999999</v>
      </c>
      <c r="CF100">
        <v>4</v>
      </c>
      <c r="CG100">
        <v>9.9000000000000005E-2</v>
      </c>
      <c r="CH100">
        <v>1.2E-2</v>
      </c>
      <c r="CI100">
        <v>-0.26300000000000001</v>
      </c>
      <c r="CJ100">
        <v>0.127</v>
      </c>
      <c r="CK100">
        <v>798</v>
      </c>
      <c r="CL100">
        <v>18</v>
      </c>
      <c r="CM100">
        <v>0.02</v>
      </c>
      <c r="CN100">
        <v>0.12</v>
      </c>
      <c r="CO100">
        <v>-216.15950000000001</v>
      </c>
      <c r="CP100">
        <v>-22.42090806754203</v>
      </c>
      <c r="CQ100">
        <v>2.157524530567382</v>
      </c>
      <c r="CR100">
        <v>-1</v>
      </c>
      <c r="CS100">
        <v>11.787352500000001</v>
      </c>
      <c r="CT100">
        <v>1.0363958724202249</v>
      </c>
      <c r="CU100">
        <v>0.1019993700654568</v>
      </c>
      <c r="CV100">
        <v>-1</v>
      </c>
      <c r="CW100">
        <v>0</v>
      </c>
      <c r="CX100">
        <v>0</v>
      </c>
      <c r="CY100" t="s">
        <v>333</v>
      </c>
      <c r="CZ100">
        <v>2.3641800000000002</v>
      </c>
      <c r="DA100">
        <v>2.7137799999999999</v>
      </c>
      <c r="DB100">
        <v>0.117121</v>
      </c>
      <c r="DC100">
        <v>0.14560699999999999</v>
      </c>
      <c r="DD100">
        <v>0.10609200000000001</v>
      </c>
      <c r="DE100">
        <v>5.8411499999999998E-2</v>
      </c>
      <c r="DF100">
        <v>32235.1</v>
      </c>
      <c r="DG100">
        <v>27531.200000000001</v>
      </c>
      <c r="DH100">
        <v>31170</v>
      </c>
      <c r="DI100">
        <v>28078.1</v>
      </c>
      <c r="DJ100">
        <v>37828.800000000003</v>
      </c>
      <c r="DK100">
        <v>37595.5</v>
      </c>
      <c r="DL100">
        <v>44358.1</v>
      </c>
      <c r="DM100">
        <v>42556.9</v>
      </c>
      <c r="DN100">
        <v>1.46855</v>
      </c>
      <c r="DO100">
        <v>2.0428500000000001</v>
      </c>
      <c r="DP100">
        <v>0.178121</v>
      </c>
      <c r="DQ100">
        <v>0.156</v>
      </c>
      <c r="DR100">
        <v>24.0307</v>
      </c>
      <c r="DS100">
        <v>23.9482</v>
      </c>
      <c r="DT100">
        <v>53.3</v>
      </c>
      <c r="DU100">
        <v>28.7</v>
      </c>
      <c r="DV100">
        <v>21.3413</v>
      </c>
      <c r="DW100">
        <v>61.003</v>
      </c>
      <c r="DX100">
        <v>37.071300000000001</v>
      </c>
      <c r="DY100">
        <v>1</v>
      </c>
      <c r="DZ100">
        <v>-8.7151900000000004E-2</v>
      </c>
      <c r="EA100">
        <v>0.660991</v>
      </c>
      <c r="EB100">
        <v>20.188300000000002</v>
      </c>
      <c r="EC100">
        <v>5.2404999999999999</v>
      </c>
      <c r="ED100">
        <v>12.039899999999999</v>
      </c>
      <c r="EE100">
        <v>5.0171999999999999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</v>
      </c>
      <c r="EL100">
        <v>1.8646199999999999</v>
      </c>
      <c r="EM100">
        <v>1.8692</v>
      </c>
      <c r="EN100">
        <v>1.86724</v>
      </c>
      <c r="EO100">
        <v>1.8633999999999999</v>
      </c>
      <c r="EP100">
        <v>1.86446</v>
      </c>
      <c r="EQ100">
        <v>1.8701700000000001</v>
      </c>
      <c r="ER100">
        <v>1.8694299999999999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-0.109</v>
      </c>
      <c r="FG100">
        <v>0.17530000000000001</v>
      </c>
      <c r="FH100">
        <v>0.28746640474027818</v>
      </c>
      <c r="FI100">
        <v>-6.1462078757559423E-4</v>
      </c>
      <c r="FJ100">
        <v>-1.8861989874597051E-7</v>
      </c>
      <c r="FK100">
        <v>1.1980462299894961E-10</v>
      </c>
      <c r="FL100">
        <v>0.17524818673008091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23.3</v>
      </c>
      <c r="FU100">
        <v>23.3</v>
      </c>
      <c r="FV100">
        <v>1.78101</v>
      </c>
      <c r="FW100">
        <v>2.5769000000000002</v>
      </c>
      <c r="FX100">
        <v>1.5490699999999999</v>
      </c>
      <c r="FY100">
        <v>2.3303199999999999</v>
      </c>
      <c r="FZ100">
        <v>1.50146</v>
      </c>
      <c r="GA100">
        <v>2.323</v>
      </c>
      <c r="GB100">
        <v>33.580399999999997</v>
      </c>
      <c r="GC100">
        <v>23.982399999999998</v>
      </c>
      <c r="GD100">
        <v>19</v>
      </c>
      <c r="GE100">
        <v>279.95400000000001</v>
      </c>
      <c r="GF100">
        <v>589.36099999999999</v>
      </c>
      <c r="GG100">
        <v>22.402999999999999</v>
      </c>
      <c r="GH100">
        <v>26.273800000000001</v>
      </c>
      <c r="GI100">
        <v>29.9999</v>
      </c>
      <c r="GJ100">
        <v>26.4253</v>
      </c>
      <c r="GK100">
        <v>26.4114</v>
      </c>
      <c r="GL100">
        <v>35.601799999999997</v>
      </c>
      <c r="GM100">
        <v>55.391300000000001</v>
      </c>
      <c r="GN100">
        <v>74.369399999999999</v>
      </c>
      <c r="GO100">
        <v>22.4344</v>
      </c>
      <c r="GP100">
        <v>800</v>
      </c>
      <c r="GQ100">
        <v>9.7155199999999997</v>
      </c>
      <c r="GR100">
        <v>99.730900000000005</v>
      </c>
      <c r="GS100">
        <v>99.555099999999996</v>
      </c>
    </row>
    <row r="101" spans="1:201" x14ac:dyDescent="0.25">
      <c r="A101">
        <v>85</v>
      </c>
      <c r="B101">
        <v>1690383366</v>
      </c>
      <c r="C101">
        <v>890.90000009536743</v>
      </c>
      <c r="D101" t="s">
        <v>501</v>
      </c>
      <c r="E101" t="s">
        <v>502</v>
      </c>
      <c r="F101" t="s">
        <v>330</v>
      </c>
      <c r="H101">
        <v>1690383366</v>
      </c>
      <c r="I101">
        <f t="shared" si="30"/>
        <v>1.1451994911547295E-3</v>
      </c>
      <c r="J101">
        <f t="shared" si="31"/>
        <v>1.1451994911547294</v>
      </c>
      <c r="K101">
        <f t="shared" si="32"/>
        <v>19.910396305533638</v>
      </c>
      <c r="L101">
        <f t="shared" si="33"/>
        <v>575.96799999999996</v>
      </c>
      <c r="M101">
        <f t="shared" si="34"/>
        <v>174.53856022799258</v>
      </c>
      <c r="N101">
        <f t="shared" si="35"/>
        <v>17.243886483922104</v>
      </c>
      <c r="O101">
        <f t="shared" si="36"/>
        <v>56.903911647935999</v>
      </c>
      <c r="P101">
        <f t="shared" si="37"/>
        <v>8.2576228168120658E-2</v>
      </c>
      <c r="Q101">
        <f t="shared" si="38"/>
        <v>2.11231784071646</v>
      </c>
      <c r="R101">
        <f t="shared" si="39"/>
        <v>8.0823879006671775E-2</v>
      </c>
      <c r="S101">
        <f t="shared" si="40"/>
        <v>5.066926875748462E-2</v>
      </c>
      <c r="T101">
        <f t="shared" si="41"/>
        <v>276.11681488200003</v>
      </c>
      <c r="U101">
        <f t="shared" si="42"/>
        <v>26.715173037052118</v>
      </c>
      <c r="V101">
        <f t="shared" si="43"/>
        <v>26.715173037052118</v>
      </c>
      <c r="W101">
        <f t="shared" si="44"/>
        <v>3.5197207629839204</v>
      </c>
      <c r="X101">
        <f t="shared" si="45"/>
        <v>68.282996310033667</v>
      </c>
      <c r="Y101">
        <f t="shared" si="46"/>
        <v>2.1600976517279999</v>
      </c>
      <c r="Z101">
        <f t="shared" si="47"/>
        <v>3.1634488356665598</v>
      </c>
      <c r="AA101">
        <f t="shared" si="48"/>
        <v>1.3596231112559205</v>
      </c>
      <c r="AB101">
        <f t="shared" si="49"/>
        <v>-50.503297559923567</v>
      </c>
      <c r="AC101">
        <f t="shared" si="50"/>
        <v>-205.09351173002295</v>
      </c>
      <c r="AD101">
        <f t="shared" si="51"/>
        <v>-20.706830227615434</v>
      </c>
      <c r="AE101">
        <f t="shared" si="52"/>
        <v>-0.18682463556191919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52651.275075764046</v>
      </c>
      <c r="AK101">
        <f t="shared" si="56"/>
        <v>1800</v>
      </c>
      <c r="AL101">
        <f t="shared" si="57"/>
        <v>1499.1115841999999</v>
      </c>
      <c r="AM101">
        <f t="shared" si="58"/>
        <v>0.83283976900000001</v>
      </c>
      <c r="AN101">
        <f t="shared" si="59"/>
        <v>0.15339823049000001</v>
      </c>
      <c r="AO101">
        <v>32.700000000000003</v>
      </c>
      <c r="AP101">
        <v>0.5</v>
      </c>
      <c r="AQ101" t="s">
        <v>331</v>
      </c>
      <c r="AR101">
        <v>2</v>
      </c>
      <c r="AS101">
        <v>1690383366</v>
      </c>
      <c r="AT101">
        <v>575.96799999999996</v>
      </c>
      <c r="AU101">
        <v>800.101</v>
      </c>
      <c r="AV101">
        <v>21.864000000000001</v>
      </c>
      <c r="AW101">
        <v>9.6585999999999999</v>
      </c>
      <c r="AX101">
        <v>576.07399999999996</v>
      </c>
      <c r="AY101">
        <v>21.688700000000001</v>
      </c>
      <c r="AZ101">
        <v>300.10700000000003</v>
      </c>
      <c r="BA101">
        <v>98.696899999999999</v>
      </c>
      <c r="BB101">
        <v>0.100102</v>
      </c>
      <c r="BC101">
        <v>24.914200000000001</v>
      </c>
      <c r="BD101">
        <v>26.957599999999999</v>
      </c>
      <c r="BE101">
        <v>26.5229</v>
      </c>
      <c r="BF101">
        <v>0</v>
      </c>
      <c r="BG101">
        <v>0</v>
      </c>
      <c r="BH101">
        <v>10019.4</v>
      </c>
      <c r="BI101">
        <v>1049.4100000000001</v>
      </c>
      <c r="BJ101">
        <v>2.2987099999999998</v>
      </c>
      <c r="BK101">
        <v>-224.13300000000001</v>
      </c>
      <c r="BL101">
        <v>588.84199999999998</v>
      </c>
      <c r="BM101">
        <v>807.904</v>
      </c>
      <c r="BN101">
        <v>12.205399999999999</v>
      </c>
      <c r="BO101">
        <v>800.101</v>
      </c>
      <c r="BP101">
        <v>9.6585999999999999</v>
      </c>
      <c r="BQ101">
        <v>2.1579100000000002</v>
      </c>
      <c r="BR101">
        <v>0.95327399999999995</v>
      </c>
      <c r="BS101">
        <v>18.653199999999998</v>
      </c>
      <c r="BT101">
        <v>6.2211299999999996</v>
      </c>
      <c r="BU101">
        <v>1800</v>
      </c>
      <c r="BV101">
        <v>0.90998000000000001</v>
      </c>
      <c r="BW101">
        <v>3.3998199999999999E-2</v>
      </c>
      <c r="BX101">
        <v>2.20092E-2</v>
      </c>
      <c r="BY101">
        <v>3.4013099999999998E-2</v>
      </c>
      <c r="BZ101">
        <v>26</v>
      </c>
      <c r="CA101">
        <v>33528.199999999997</v>
      </c>
      <c r="CB101">
        <v>1690381960.0999999</v>
      </c>
      <c r="CC101" t="s">
        <v>332</v>
      </c>
      <c r="CD101">
        <v>1690381960.0999999</v>
      </c>
      <c r="CE101">
        <v>1690381958.0999999</v>
      </c>
      <c r="CF101">
        <v>4</v>
      </c>
      <c r="CG101">
        <v>9.9000000000000005E-2</v>
      </c>
      <c r="CH101">
        <v>1.2E-2</v>
      </c>
      <c r="CI101">
        <v>-0.26300000000000001</v>
      </c>
      <c r="CJ101">
        <v>0.127</v>
      </c>
      <c r="CK101">
        <v>798</v>
      </c>
      <c r="CL101">
        <v>18</v>
      </c>
      <c r="CM101">
        <v>0.02</v>
      </c>
      <c r="CN101">
        <v>0.12</v>
      </c>
      <c r="CO101">
        <v>-220.0026097560976</v>
      </c>
      <c r="CP101">
        <v>-22.34082229965183</v>
      </c>
      <c r="CQ101">
        <v>2.2035311226949581</v>
      </c>
      <c r="CR101">
        <v>-1</v>
      </c>
      <c r="CS101">
        <v>11.96278292682927</v>
      </c>
      <c r="CT101">
        <v>1.0364717770034779</v>
      </c>
      <c r="CU101">
        <v>0.10629534304196619</v>
      </c>
      <c r="CV101">
        <v>-1</v>
      </c>
      <c r="CW101">
        <v>0</v>
      </c>
      <c r="CX101">
        <v>0</v>
      </c>
      <c r="CY101" t="s">
        <v>333</v>
      </c>
      <c r="CZ101">
        <v>2.3643900000000002</v>
      </c>
      <c r="DA101">
        <v>2.7139099999999998</v>
      </c>
      <c r="DB101">
        <v>0.116577</v>
      </c>
      <c r="DC101">
        <v>0.14560200000000001</v>
      </c>
      <c r="DD101">
        <v>0.10623199999999999</v>
      </c>
      <c r="DE101">
        <v>5.7362000000000003E-2</v>
      </c>
      <c r="DF101">
        <v>32255.200000000001</v>
      </c>
      <c r="DG101">
        <v>27531.599999999999</v>
      </c>
      <c r="DH101">
        <v>31170.1</v>
      </c>
      <c r="DI101">
        <v>28078.3</v>
      </c>
      <c r="DJ101">
        <v>37822.9</v>
      </c>
      <c r="DK101">
        <v>37637.800000000003</v>
      </c>
      <c r="DL101">
        <v>44358.2</v>
      </c>
      <c r="DM101">
        <v>42557.2</v>
      </c>
      <c r="DN101">
        <v>1.46875</v>
      </c>
      <c r="DO101">
        <v>2.0423499999999999</v>
      </c>
      <c r="DP101">
        <v>0.178531</v>
      </c>
      <c r="DQ101">
        <v>0.15670100000000001</v>
      </c>
      <c r="DR101">
        <v>24.0307</v>
      </c>
      <c r="DS101">
        <v>23.9528</v>
      </c>
      <c r="DT101">
        <v>53.1</v>
      </c>
      <c r="DU101">
        <v>28.7</v>
      </c>
      <c r="DV101">
        <v>21.266400000000001</v>
      </c>
      <c r="DW101">
        <v>60.933</v>
      </c>
      <c r="DX101">
        <v>37.1755</v>
      </c>
      <c r="DY101">
        <v>1</v>
      </c>
      <c r="DZ101">
        <v>-8.7294200000000002E-2</v>
      </c>
      <c r="EA101">
        <v>0.60189300000000001</v>
      </c>
      <c r="EB101">
        <v>20.188500000000001</v>
      </c>
      <c r="EC101">
        <v>5.2406499999999996</v>
      </c>
      <c r="ED101">
        <v>12.039899999999999</v>
      </c>
      <c r="EE101">
        <v>5.0172999999999996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</v>
      </c>
      <c r="EL101">
        <v>1.8646199999999999</v>
      </c>
      <c r="EM101">
        <v>1.8692</v>
      </c>
      <c r="EN101">
        <v>1.8672500000000001</v>
      </c>
      <c r="EO101">
        <v>1.8633900000000001</v>
      </c>
      <c r="EP101">
        <v>1.8644700000000001</v>
      </c>
      <c r="EQ101">
        <v>1.87018</v>
      </c>
      <c r="ER101">
        <v>1.8694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-0.106</v>
      </c>
      <c r="FG101">
        <v>0.17530000000000001</v>
      </c>
      <c r="FH101">
        <v>0.28746640474027818</v>
      </c>
      <c r="FI101">
        <v>-6.1462078757559423E-4</v>
      </c>
      <c r="FJ101">
        <v>-1.8861989874597051E-7</v>
      </c>
      <c r="FK101">
        <v>1.1980462299894961E-10</v>
      </c>
      <c r="FL101">
        <v>0.17524818673008091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23.4</v>
      </c>
      <c r="FU101">
        <v>23.5</v>
      </c>
      <c r="FV101">
        <v>1.77979</v>
      </c>
      <c r="FW101">
        <v>2.5793499999999998</v>
      </c>
      <c r="FX101">
        <v>1.5490699999999999</v>
      </c>
      <c r="FY101">
        <v>2.3303199999999999</v>
      </c>
      <c r="FZ101">
        <v>1.50146</v>
      </c>
      <c r="GA101">
        <v>2.2827099999999998</v>
      </c>
      <c r="GB101">
        <v>33.580399999999997</v>
      </c>
      <c r="GC101">
        <v>23.973700000000001</v>
      </c>
      <c r="GD101">
        <v>19</v>
      </c>
      <c r="GE101">
        <v>280.02199999999999</v>
      </c>
      <c r="GF101">
        <v>588.90099999999995</v>
      </c>
      <c r="GG101">
        <v>22.471299999999999</v>
      </c>
      <c r="GH101">
        <v>26.2682</v>
      </c>
      <c r="GI101">
        <v>29.9999</v>
      </c>
      <c r="GJ101">
        <v>26.421399999999998</v>
      </c>
      <c r="GK101">
        <v>26.407599999999999</v>
      </c>
      <c r="GL101">
        <v>35.594200000000001</v>
      </c>
      <c r="GM101">
        <v>55.961599999999997</v>
      </c>
      <c r="GN101">
        <v>73.596500000000006</v>
      </c>
      <c r="GO101">
        <v>22.497</v>
      </c>
      <c r="GP101">
        <v>800</v>
      </c>
      <c r="GQ101">
        <v>9.4989500000000007</v>
      </c>
      <c r="GR101">
        <v>99.731300000000005</v>
      </c>
      <c r="GS101">
        <v>99.555899999999994</v>
      </c>
    </row>
    <row r="102" spans="1:201" x14ac:dyDescent="0.25">
      <c r="A102">
        <v>86</v>
      </c>
      <c r="B102">
        <v>1690383376</v>
      </c>
      <c r="C102">
        <v>900.90000009536743</v>
      </c>
      <c r="D102" t="s">
        <v>503</v>
      </c>
      <c r="E102" t="s">
        <v>504</v>
      </c>
      <c r="F102" t="s">
        <v>330</v>
      </c>
      <c r="H102">
        <v>1690383376</v>
      </c>
      <c r="I102">
        <f t="shared" si="30"/>
        <v>1.1710603800949332E-3</v>
      </c>
      <c r="J102">
        <f t="shared" si="31"/>
        <v>1.1710603800949333</v>
      </c>
      <c r="K102">
        <f t="shared" si="32"/>
        <v>20.233563804390574</v>
      </c>
      <c r="L102">
        <f t="shared" si="33"/>
        <v>572.34100000000001</v>
      </c>
      <c r="M102">
        <f t="shared" si="34"/>
        <v>173.77182235523694</v>
      </c>
      <c r="N102">
        <f t="shared" si="35"/>
        <v>17.168646143703537</v>
      </c>
      <c r="O102">
        <f t="shared" si="36"/>
        <v>56.547258176563005</v>
      </c>
      <c r="P102">
        <f t="shared" si="37"/>
        <v>8.4556361703497299E-2</v>
      </c>
      <c r="Q102">
        <f t="shared" si="38"/>
        <v>2.1122036665606507</v>
      </c>
      <c r="R102">
        <f t="shared" si="39"/>
        <v>8.2719874120428555E-2</v>
      </c>
      <c r="S102">
        <f t="shared" si="40"/>
        <v>5.1861600310408956E-2</v>
      </c>
      <c r="T102">
        <f t="shared" si="41"/>
        <v>276.11670659399999</v>
      </c>
      <c r="U102">
        <f t="shared" si="42"/>
        <v>26.725424712612782</v>
      </c>
      <c r="V102">
        <f t="shared" si="43"/>
        <v>26.725424712612782</v>
      </c>
      <c r="W102">
        <f t="shared" si="44"/>
        <v>3.5218450807505417</v>
      </c>
      <c r="X102">
        <f t="shared" si="45"/>
        <v>68.308155378300683</v>
      </c>
      <c r="Y102">
        <f t="shared" si="46"/>
        <v>2.1633828318938</v>
      </c>
      <c r="Z102">
        <f t="shared" si="47"/>
        <v>3.1670930358354217</v>
      </c>
      <c r="AA102">
        <f t="shared" si="48"/>
        <v>1.3584622488567417</v>
      </c>
      <c r="AB102">
        <f t="shared" si="49"/>
        <v>-51.643762762186554</v>
      </c>
      <c r="AC102">
        <f t="shared" si="50"/>
        <v>-204.05206512635351</v>
      </c>
      <c r="AD102">
        <f t="shared" si="51"/>
        <v>-20.605850968888507</v>
      </c>
      <c r="AE102">
        <f t="shared" si="52"/>
        <v>-0.18497226342859108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52642.91573264209</v>
      </c>
      <c r="AK102">
        <f t="shared" si="56"/>
        <v>1800</v>
      </c>
      <c r="AL102">
        <f t="shared" si="57"/>
        <v>1499.1114564</v>
      </c>
      <c r="AM102">
        <f t="shared" si="58"/>
        <v>0.83283969800000002</v>
      </c>
      <c r="AN102">
        <f t="shared" si="59"/>
        <v>0.15339817033</v>
      </c>
      <c r="AO102">
        <v>32.700000000000003</v>
      </c>
      <c r="AP102">
        <v>0.5</v>
      </c>
      <c r="AQ102" t="s">
        <v>331</v>
      </c>
      <c r="AR102">
        <v>2</v>
      </c>
      <c r="AS102">
        <v>1690383376</v>
      </c>
      <c r="AT102">
        <v>572.34100000000001</v>
      </c>
      <c r="AU102">
        <v>800.06500000000005</v>
      </c>
      <c r="AV102">
        <v>21.896599999999999</v>
      </c>
      <c r="AW102">
        <v>9.4185300000000005</v>
      </c>
      <c r="AX102">
        <v>572.44500000000005</v>
      </c>
      <c r="AY102">
        <v>21.721299999999999</v>
      </c>
      <c r="AZ102">
        <v>300.16800000000001</v>
      </c>
      <c r="BA102">
        <v>98.6999</v>
      </c>
      <c r="BB102">
        <v>0.10004300000000001</v>
      </c>
      <c r="BC102">
        <v>24.933499999999999</v>
      </c>
      <c r="BD102">
        <v>27.0078</v>
      </c>
      <c r="BE102">
        <v>26.543199999999999</v>
      </c>
      <c r="BF102">
        <v>0</v>
      </c>
      <c r="BG102">
        <v>0</v>
      </c>
      <c r="BH102">
        <v>10018.1</v>
      </c>
      <c r="BI102">
        <v>1049.7</v>
      </c>
      <c r="BJ102">
        <v>2.2987099999999998</v>
      </c>
      <c r="BK102">
        <v>-227.72399999999999</v>
      </c>
      <c r="BL102">
        <v>585.154</v>
      </c>
      <c r="BM102">
        <v>807.673</v>
      </c>
      <c r="BN102">
        <v>12.478</v>
      </c>
      <c r="BO102">
        <v>800.06500000000005</v>
      </c>
      <c r="BP102">
        <v>9.4185300000000005</v>
      </c>
      <c r="BQ102">
        <v>2.1611899999999999</v>
      </c>
      <c r="BR102">
        <v>0.92960799999999999</v>
      </c>
      <c r="BS102">
        <v>18.677499999999998</v>
      </c>
      <c r="BT102">
        <v>5.8574400000000004</v>
      </c>
      <c r="BU102">
        <v>1800</v>
      </c>
      <c r="BV102">
        <v>0.90998100000000004</v>
      </c>
      <c r="BW102">
        <v>3.3997699999999999E-2</v>
      </c>
      <c r="BX102">
        <v>2.2008900000000001E-2</v>
      </c>
      <c r="BY102">
        <v>3.40127E-2</v>
      </c>
      <c r="BZ102">
        <v>26</v>
      </c>
      <c r="CA102">
        <v>33528.199999999997</v>
      </c>
      <c r="CB102">
        <v>1690381960.0999999</v>
      </c>
      <c r="CC102" t="s">
        <v>332</v>
      </c>
      <c r="CD102">
        <v>1690381960.0999999</v>
      </c>
      <c r="CE102">
        <v>1690381958.0999999</v>
      </c>
      <c r="CF102">
        <v>4</v>
      </c>
      <c r="CG102">
        <v>9.9000000000000005E-2</v>
      </c>
      <c r="CH102">
        <v>1.2E-2</v>
      </c>
      <c r="CI102">
        <v>-0.26300000000000001</v>
      </c>
      <c r="CJ102">
        <v>0.127</v>
      </c>
      <c r="CK102">
        <v>798</v>
      </c>
      <c r="CL102">
        <v>18</v>
      </c>
      <c r="CM102">
        <v>0.02</v>
      </c>
      <c r="CN102">
        <v>0.12</v>
      </c>
      <c r="CO102">
        <v>-224.05115000000001</v>
      </c>
      <c r="CP102">
        <v>-22.551647279549709</v>
      </c>
      <c r="CQ102">
        <v>2.1699853634299009</v>
      </c>
      <c r="CR102">
        <v>-1</v>
      </c>
      <c r="CS102">
        <v>12.195449999999999</v>
      </c>
      <c r="CT102">
        <v>1.5938363977486001</v>
      </c>
      <c r="CU102">
        <v>0.15353870358968141</v>
      </c>
      <c r="CV102">
        <v>-1</v>
      </c>
      <c r="CW102">
        <v>0</v>
      </c>
      <c r="CX102">
        <v>0</v>
      </c>
      <c r="CY102" t="s">
        <v>333</v>
      </c>
      <c r="CZ102">
        <v>2.3645999999999998</v>
      </c>
      <c r="DA102">
        <v>2.7138499999999999</v>
      </c>
      <c r="DB102">
        <v>0.116059</v>
      </c>
      <c r="DC102">
        <v>0.145597</v>
      </c>
      <c r="DD102">
        <v>0.106348</v>
      </c>
      <c r="DE102">
        <v>5.6257500000000002E-2</v>
      </c>
      <c r="DF102">
        <v>32274.3</v>
      </c>
      <c r="DG102">
        <v>27532.400000000001</v>
      </c>
      <c r="DH102">
        <v>31170.3</v>
      </c>
      <c r="DI102">
        <v>28078.9</v>
      </c>
      <c r="DJ102">
        <v>37818.1</v>
      </c>
      <c r="DK102">
        <v>37682.800000000003</v>
      </c>
      <c r="DL102">
        <v>44358.400000000001</v>
      </c>
      <c r="DM102">
        <v>42558.1</v>
      </c>
      <c r="DN102">
        <v>1.4685299999999999</v>
      </c>
      <c r="DO102">
        <v>2.0420500000000001</v>
      </c>
      <c r="DP102">
        <v>0.181392</v>
      </c>
      <c r="DQ102">
        <v>0.15757199999999999</v>
      </c>
      <c r="DR102">
        <v>24.034099999999999</v>
      </c>
      <c r="DS102">
        <v>23.9588</v>
      </c>
      <c r="DT102">
        <v>52.9</v>
      </c>
      <c r="DU102">
        <v>28.7</v>
      </c>
      <c r="DV102">
        <v>21.183</v>
      </c>
      <c r="DW102">
        <v>60.472999999999999</v>
      </c>
      <c r="DX102">
        <v>37.043300000000002</v>
      </c>
      <c r="DY102">
        <v>1</v>
      </c>
      <c r="DZ102">
        <v>-8.7845500000000007E-2</v>
      </c>
      <c r="EA102">
        <v>0.63674600000000003</v>
      </c>
      <c r="EB102">
        <v>20.188199999999998</v>
      </c>
      <c r="EC102">
        <v>5.2408000000000001</v>
      </c>
      <c r="ED102">
        <v>12.039899999999999</v>
      </c>
      <c r="EE102">
        <v>5.0168499999999998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</v>
      </c>
      <c r="EL102">
        <v>1.8646199999999999</v>
      </c>
      <c r="EM102">
        <v>1.8692</v>
      </c>
      <c r="EN102">
        <v>1.86727</v>
      </c>
      <c r="EO102">
        <v>1.86337</v>
      </c>
      <c r="EP102">
        <v>1.8644700000000001</v>
      </c>
      <c r="EQ102">
        <v>1.87015</v>
      </c>
      <c r="ER102">
        <v>1.86937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-0.104</v>
      </c>
      <c r="FG102">
        <v>0.17530000000000001</v>
      </c>
      <c r="FH102">
        <v>0.28746640474027818</v>
      </c>
      <c r="FI102">
        <v>-6.1462078757559423E-4</v>
      </c>
      <c r="FJ102">
        <v>-1.8861989874597051E-7</v>
      </c>
      <c r="FK102">
        <v>1.1980462299894961E-10</v>
      </c>
      <c r="FL102">
        <v>0.17524818673008091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23.6</v>
      </c>
      <c r="FU102">
        <v>23.6</v>
      </c>
      <c r="FV102">
        <v>1.77979</v>
      </c>
      <c r="FW102">
        <v>2.5830099999999998</v>
      </c>
      <c r="FX102">
        <v>1.5490699999999999</v>
      </c>
      <c r="FY102">
        <v>2.3303199999999999</v>
      </c>
      <c r="FZ102">
        <v>1.50146</v>
      </c>
      <c r="GA102">
        <v>2.2900399999999999</v>
      </c>
      <c r="GB102">
        <v>33.580399999999997</v>
      </c>
      <c r="GC102">
        <v>23.973700000000001</v>
      </c>
      <c r="GD102">
        <v>19</v>
      </c>
      <c r="GE102">
        <v>279.91199999999998</v>
      </c>
      <c r="GF102">
        <v>588.62</v>
      </c>
      <c r="GG102">
        <v>22.5274</v>
      </c>
      <c r="GH102">
        <v>26.262699999999999</v>
      </c>
      <c r="GI102">
        <v>29.9999</v>
      </c>
      <c r="GJ102">
        <v>26.418099999999999</v>
      </c>
      <c r="GK102">
        <v>26.404900000000001</v>
      </c>
      <c r="GL102">
        <v>35.591999999999999</v>
      </c>
      <c r="GM102">
        <v>56.5625</v>
      </c>
      <c r="GN102">
        <v>73.201400000000007</v>
      </c>
      <c r="GO102">
        <v>22.5228</v>
      </c>
      <c r="GP102">
        <v>800</v>
      </c>
      <c r="GQ102">
        <v>9.2789099999999998</v>
      </c>
      <c r="GR102">
        <v>99.731899999999996</v>
      </c>
      <c r="GS102">
        <v>99.558000000000007</v>
      </c>
    </row>
    <row r="103" spans="1:201" x14ac:dyDescent="0.25">
      <c r="A103">
        <v>87</v>
      </c>
      <c r="B103">
        <v>1690383386</v>
      </c>
      <c r="C103">
        <v>910.90000009536743</v>
      </c>
      <c r="D103" t="s">
        <v>505</v>
      </c>
      <c r="E103" t="s">
        <v>506</v>
      </c>
      <c r="F103" t="s">
        <v>330</v>
      </c>
      <c r="H103">
        <v>1690383386</v>
      </c>
      <c r="I103">
        <f t="shared" si="30"/>
        <v>1.1923118551779529E-3</v>
      </c>
      <c r="J103">
        <f t="shared" si="31"/>
        <v>1.192311855177953</v>
      </c>
      <c r="K103">
        <f t="shared" si="32"/>
        <v>20.57066512393607</v>
      </c>
      <c r="L103">
        <f t="shared" si="33"/>
        <v>568.53200000000004</v>
      </c>
      <c r="M103">
        <f t="shared" si="34"/>
        <v>171.71684426856592</v>
      </c>
      <c r="N103">
        <f t="shared" si="35"/>
        <v>16.965467401912125</v>
      </c>
      <c r="O103">
        <f t="shared" si="36"/>
        <v>56.1704424165776</v>
      </c>
      <c r="P103">
        <f t="shared" si="37"/>
        <v>8.6364980382929751E-2</v>
      </c>
      <c r="Q103">
        <f t="shared" si="38"/>
        <v>2.1158490496767586</v>
      </c>
      <c r="R103">
        <f t="shared" si="39"/>
        <v>8.4453268529363093E-2</v>
      </c>
      <c r="S103">
        <f t="shared" si="40"/>
        <v>5.2951528077618687E-2</v>
      </c>
      <c r="T103">
        <f t="shared" si="41"/>
        <v>276.11644355999999</v>
      </c>
      <c r="U103">
        <f t="shared" si="42"/>
        <v>26.718939856803278</v>
      </c>
      <c r="V103">
        <f t="shared" si="43"/>
        <v>26.718939856803278</v>
      </c>
      <c r="W103">
        <f t="shared" si="44"/>
        <v>3.5205011806736444</v>
      </c>
      <c r="X103">
        <f t="shared" si="45"/>
        <v>68.368805967669203</v>
      </c>
      <c r="Y103">
        <f t="shared" si="46"/>
        <v>2.1657945415601598</v>
      </c>
      <c r="Z103">
        <f t="shared" si="47"/>
        <v>3.1678109788612345</v>
      </c>
      <c r="AA103">
        <f t="shared" si="48"/>
        <v>1.3547066391134845</v>
      </c>
      <c r="AB103">
        <f t="shared" si="49"/>
        <v>-52.580952813347722</v>
      </c>
      <c r="AC103">
        <f t="shared" si="50"/>
        <v>-203.23104195789261</v>
      </c>
      <c r="AD103">
        <f t="shared" si="51"/>
        <v>-20.487304278748322</v>
      </c>
      <c r="AE103">
        <f t="shared" si="52"/>
        <v>-0.1828554899886683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52802.496130139793</v>
      </c>
      <c r="AK103">
        <f t="shared" si="56"/>
        <v>1800</v>
      </c>
      <c r="AL103">
        <f t="shared" si="57"/>
        <v>1499.1106409999998</v>
      </c>
      <c r="AM103">
        <f t="shared" si="58"/>
        <v>0.83283924499999984</v>
      </c>
      <c r="AN103">
        <f t="shared" si="59"/>
        <v>0.15339802420000001</v>
      </c>
      <c r="AO103">
        <v>32.700000000000003</v>
      </c>
      <c r="AP103">
        <v>0.5</v>
      </c>
      <c r="AQ103" t="s">
        <v>331</v>
      </c>
      <c r="AR103">
        <v>2</v>
      </c>
      <c r="AS103">
        <v>1690383386</v>
      </c>
      <c r="AT103">
        <v>568.53200000000004</v>
      </c>
      <c r="AU103">
        <v>800.07</v>
      </c>
      <c r="AV103">
        <v>21.921199999999999</v>
      </c>
      <c r="AW103">
        <v>9.2137899999999995</v>
      </c>
      <c r="AX103">
        <v>568.63300000000004</v>
      </c>
      <c r="AY103">
        <v>21.745999999999999</v>
      </c>
      <c r="AZ103">
        <v>300.09199999999998</v>
      </c>
      <c r="BA103">
        <v>98.699200000000005</v>
      </c>
      <c r="BB103">
        <v>9.9886799999999998E-2</v>
      </c>
      <c r="BC103">
        <v>24.9373</v>
      </c>
      <c r="BD103">
        <v>26.980599999999999</v>
      </c>
      <c r="BE103">
        <v>26.554600000000001</v>
      </c>
      <c r="BF103">
        <v>0</v>
      </c>
      <c r="BG103">
        <v>0</v>
      </c>
      <c r="BH103">
        <v>10050</v>
      </c>
      <c r="BI103">
        <v>1049.99</v>
      </c>
      <c r="BJ103">
        <v>2.2987099999999998</v>
      </c>
      <c r="BK103">
        <v>-231.53700000000001</v>
      </c>
      <c r="BL103">
        <v>581.27499999999998</v>
      </c>
      <c r="BM103">
        <v>807.51</v>
      </c>
      <c r="BN103">
        <v>12.7074</v>
      </c>
      <c r="BO103">
        <v>800.07</v>
      </c>
      <c r="BP103">
        <v>9.2137899999999995</v>
      </c>
      <c r="BQ103">
        <v>2.1636099999999998</v>
      </c>
      <c r="BR103">
        <v>0.90939400000000004</v>
      </c>
      <c r="BS103">
        <v>18.695399999999999</v>
      </c>
      <c r="BT103">
        <v>5.5402699999999996</v>
      </c>
      <c r="BU103">
        <v>1800</v>
      </c>
      <c r="BV103">
        <v>0.90998199999999996</v>
      </c>
      <c r="BW103">
        <v>3.3997100000000002E-2</v>
      </c>
      <c r="BX103">
        <v>2.20085E-2</v>
      </c>
      <c r="BY103">
        <v>3.4012000000000001E-2</v>
      </c>
      <c r="BZ103">
        <v>26</v>
      </c>
      <c r="CA103">
        <v>33528.199999999997</v>
      </c>
      <c r="CB103">
        <v>1690381960.0999999</v>
      </c>
      <c r="CC103" t="s">
        <v>332</v>
      </c>
      <c r="CD103">
        <v>1690381960.0999999</v>
      </c>
      <c r="CE103">
        <v>1690381958.0999999</v>
      </c>
      <c r="CF103">
        <v>4</v>
      </c>
      <c r="CG103">
        <v>9.9000000000000005E-2</v>
      </c>
      <c r="CH103">
        <v>1.2E-2</v>
      </c>
      <c r="CI103">
        <v>-0.26300000000000001</v>
      </c>
      <c r="CJ103">
        <v>0.127</v>
      </c>
      <c r="CK103">
        <v>798</v>
      </c>
      <c r="CL103">
        <v>18</v>
      </c>
      <c r="CM103">
        <v>0.02</v>
      </c>
      <c r="CN103">
        <v>0.12</v>
      </c>
      <c r="CO103">
        <v>-227.48068292682919</v>
      </c>
      <c r="CP103">
        <v>-22.102850174215359</v>
      </c>
      <c r="CQ103">
        <v>2.180373658277063</v>
      </c>
      <c r="CR103">
        <v>-1</v>
      </c>
      <c r="CS103">
        <v>12.43786829268293</v>
      </c>
      <c r="CT103">
        <v>1.5523693379790939</v>
      </c>
      <c r="CU103">
        <v>0.15350078166008091</v>
      </c>
      <c r="CV103">
        <v>-1</v>
      </c>
      <c r="CW103">
        <v>0</v>
      </c>
      <c r="CX103">
        <v>0</v>
      </c>
      <c r="CY103" t="s">
        <v>333</v>
      </c>
      <c r="CZ103">
        <v>2.36436</v>
      </c>
      <c r="DA103">
        <v>2.7137199999999999</v>
      </c>
      <c r="DB103">
        <v>0.11551</v>
      </c>
      <c r="DC103">
        <v>0.145595</v>
      </c>
      <c r="DD103">
        <v>0.106435</v>
      </c>
      <c r="DE103">
        <v>5.5307200000000001E-2</v>
      </c>
      <c r="DF103">
        <v>32294.9</v>
      </c>
      <c r="DG103">
        <v>27532.7</v>
      </c>
      <c r="DH103">
        <v>31170.799999999999</v>
      </c>
      <c r="DI103">
        <v>28079.200000000001</v>
      </c>
      <c r="DJ103">
        <v>37815.1</v>
      </c>
      <c r="DK103">
        <v>37721.300000000003</v>
      </c>
      <c r="DL103">
        <v>44359.4</v>
      </c>
      <c r="DM103">
        <v>42558.6</v>
      </c>
      <c r="DN103">
        <v>1.46868</v>
      </c>
      <c r="DO103">
        <v>2.0419999999999998</v>
      </c>
      <c r="DP103">
        <v>0.17951400000000001</v>
      </c>
      <c r="DQ103">
        <v>0.15790000000000001</v>
      </c>
      <c r="DR103">
        <v>24.037600000000001</v>
      </c>
      <c r="DS103">
        <v>23.9649</v>
      </c>
      <c r="DT103">
        <v>52.6</v>
      </c>
      <c r="DU103">
        <v>28.7</v>
      </c>
      <c r="DV103">
        <v>21.0655</v>
      </c>
      <c r="DW103">
        <v>60.643000000000001</v>
      </c>
      <c r="DX103">
        <v>36.782899999999998</v>
      </c>
      <c r="DY103">
        <v>1</v>
      </c>
      <c r="DZ103">
        <v>-8.8287599999999994E-2</v>
      </c>
      <c r="EA103">
        <v>0.67682200000000003</v>
      </c>
      <c r="EB103">
        <v>20.187799999999999</v>
      </c>
      <c r="EC103">
        <v>5.2409499999999998</v>
      </c>
      <c r="ED103">
        <v>12.039899999999999</v>
      </c>
      <c r="EE103">
        <v>5.0166500000000003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</v>
      </c>
      <c r="EL103">
        <v>1.86463</v>
      </c>
      <c r="EM103">
        <v>1.8692</v>
      </c>
      <c r="EN103">
        <v>1.8672500000000001</v>
      </c>
      <c r="EO103">
        <v>1.8633999999999999</v>
      </c>
      <c r="EP103">
        <v>1.8644700000000001</v>
      </c>
      <c r="EQ103">
        <v>1.87018</v>
      </c>
      <c r="ER103">
        <v>1.86938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-0.10100000000000001</v>
      </c>
      <c r="FG103">
        <v>0.17519999999999999</v>
      </c>
      <c r="FH103">
        <v>0.28746640474027818</v>
      </c>
      <c r="FI103">
        <v>-6.1462078757559423E-4</v>
      </c>
      <c r="FJ103">
        <v>-1.8861989874597051E-7</v>
      </c>
      <c r="FK103">
        <v>1.1980462299894961E-10</v>
      </c>
      <c r="FL103">
        <v>0.17524818673008091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23.8</v>
      </c>
      <c r="FU103">
        <v>23.8</v>
      </c>
      <c r="FV103">
        <v>1.77979</v>
      </c>
      <c r="FW103">
        <v>2.5842299999999998</v>
      </c>
      <c r="FX103">
        <v>1.5490699999999999</v>
      </c>
      <c r="FY103">
        <v>2.3303199999999999</v>
      </c>
      <c r="FZ103">
        <v>1.50146</v>
      </c>
      <c r="GA103">
        <v>2.3144499999999999</v>
      </c>
      <c r="GB103">
        <v>33.580399999999997</v>
      </c>
      <c r="GC103">
        <v>23.973700000000001</v>
      </c>
      <c r="GD103">
        <v>19</v>
      </c>
      <c r="GE103">
        <v>279.95800000000003</v>
      </c>
      <c r="GF103">
        <v>588.53399999999999</v>
      </c>
      <c r="GG103">
        <v>22.536799999999999</v>
      </c>
      <c r="GH103">
        <v>26.257200000000001</v>
      </c>
      <c r="GI103">
        <v>30</v>
      </c>
      <c r="GJ103">
        <v>26.414200000000001</v>
      </c>
      <c r="GK103">
        <v>26.401</v>
      </c>
      <c r="GL103">
        <v>35.5824</v>
      </c>
      <c r="GM103">
        <v>57.177599999999998</v>
      </c>
      <c r="GN103">
        <v>72.411500000000004</v>
      </c>
      <c r="GO103">
        <v>22.549600000000002</v>
      </c>
      <c r="GP103">
        <v>800</v>
      </c>
      <c r="GQ103">
        <v>9.0588300000000004</v>
      </c>
      <c r="GR103">
        <v>99.733900000000006</v>
      </c>
      <c r="GS103">
        <v>99.559100000000001</v>
      </c>
    </row>
    <row r="104" spans="1:201" x14ac:dyDescent="0.25">
      <c r="A104">
        <v>88</v>
      </c>
      <c r="B104">
        <v>1690383396</v>
      </c>
      <c r="C104">
        <v>920.90000009536743</v>
      </c>
      <c r="D104" t="s">
        <v>507</v>
      </c>
      <c r="E104" t="s">
        <v>508</v>
      </c>
      <c r="F104" t="s">
        <v>330</v>
      </c>
      <c r="H104">
        <v>1690383396</v>
      </c>
      <c r="I104">
        <f t="shared" si="30"/>
        <v>1.2145522876113259E-3</v>
      </c>
      <c r="J104">
        <f t="shared" si="31"/>
        <v>1.2145522876113259</v>
      </c>
      <c r="K104">
        <f t="shared" si="32"/>
        <v>20.910880425190548</v>
      </c>
      <c r="L104">
        <f t="shared" si="33"/>
        <v>564.86800000000005</v>
      </c>
      <c r="M104">
        <f t="shared" si="34"/>
        <v>168.85579968365994</v>
      </c>
      <c r="N104">
        <f t="shared" si="35"/>
        <v>16.681803117635337</v>
      </c>
      <c r="O104">
        <f t="shared" si="36"/>
        <v>55.805111705406809</v>
      </c>
      <c r="P104">
        <f t="shared" si="37"/>
        <v>8.7994386103002545E-2</v>
      </c>
      <c r="Q104">
        <f t="shared" si="38"/>
        <v>2.1109092475492996</v>
      </c>
      <c r="R104">
        <f t="shared" si="39"/>
        <v>8.6006222697999735E-2</v>
      </c>
      <c r="S104">
        <f t="shared" si="40"/>
        <v>5.392877635542806E-2</v>
      </c>
      <c r="T104">
        <f t="shared" si="41"/>
        <v>276.11490633977604</v>
      </c>
      <c r="U104">
        <f t="shared" si="42"/>
        <v>26.725865510700348</v>
      </c>
      <c r="V104">
        <f t="shared" si="43"/>
        <v>26.725865510700348</v>
      </c>
      <c r="W104">
        <f t="shared" si="44"/>
        <v>3.5219364465435703</v>
      </c>
      <c r="X104">
        <f t="shared" si="45"/>
        <v>68.36133755717924</v>
      </c>
      <c r="Y104">
        <f t="shared" si="46"/>
        <v>2.1669792282484499</v>
      </c>
      <c r="Z104">
        <f t="shared" si="47"/>
        <v>3.1698900368003056</v>
      </c>
      <c r="AA104">
        <f t="shared" si="48"/>
        <v>1.3549572182951204</v>
      </c>
      <c r="AB104">
        <f t="shared" si="49"/>
        <v>-53.561755883659472</v>
      </c>
      <c r="AC104">
        <f t="shared" si="50"/>
        <v>-202.29289103798098</v>
      </c>
      <c r="AD104">
        <f t="shared" si="51"/>
        <v>-20.442291293833108</v>
      </c>
      <c r="AE104">
        <f t="shared" si="52"/>
        <v>-0.18203187569750412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52583.325672350416</v>
      </c>
      <c r="AK104">
        <f t="shared" si="56"/>
        <v>1799.99</v>
      </c>
      <c r="AL104">
        <f t="shared" si="57"/>
        <v>1499.1029876037999</v>
      </c>
      <c r="AM104">
        <f t="shared" si="58"/>
        <v>0.83283961999999989</v>
      </c>
      <c r="AN104">
        <f t="shared" si="59"/>
        <v>0.15339802240000003</v>
      </c>
      <c r="AO104">
        <v>32.700000000000003</v>
      </c>
      <c r="AP104">
        <v>0.5</v>
      </c>
      <c r="AQ104" t="s">
        <v>331</v>
      </c>
      <c r="AR104">
        <v>2</v>
      </c>
      <c r="AS104">
        <v>1690383396</v>
      </c>
      <c r="AT104">
        <v>564.86800000000005</v>
      </c>
      <c r="AU104">
        <v>800.11</v>
      </c>
      <c r="AV104">
        <v>21.9345</v>
      </c>
      <c r="AW104">
        <v>8.9953199999999995</v>
      </c>
      <c r="AX104">
        <v>564.96600000000001</v>
      </c>
      <c r="AY104">
        <v>21.7593</v>
      </c>
      <c r="AZ104">
        <v>300.20999999999998</v>
      </c>
      <c r="BA104">
        <v>98.693200000000004</v>
      </c>
      <c r="BB104">
        <v>9.9990099999999998E-2</v>
      </c>
      <c r="BC104">
        <v>24.9483</v>
      </c>
      <c r="BD104">
        <v>26.995000000000001</v>
      </c>
      <c r="BE104">
        <v>26.563500000000001</v>
      </c>
      <c r="BF104">
        <v>0</v>
      </c>
      <c r="BG104">
        <v>0</v>
      </c>
      <c r="BH104">
        <v>10007.5</v>
      </c>
      <c r="BI104">
        <v>1050.1400000000001</v>
      </c>
      <c r="BJ104">
        <v>2.2987099999999998</v>
      </c>
      <c r="BK104">
        <v>-235.24199999999999</v>
      </c>
      <c r="BL104">
        <v>577.53599999999994</v>
      </c>
      <c r="BM104">
        <v>807.37300000000005</v>
      </c>
      <c r="BN104">
        <v>12.9392</v>
      </c>
      <c r="BO104">
        <v>800.11</v>
      </c>
      <c r="BP104">
        <v>8.9953199999999995</v>
      </c>
      <c r="BQ104">
        <v>2.16479</v>
      </c>
      <c r="BR104">
        <v>0.88777700000000004</v>
      </c>
      <c r="BS104">
        <v>18.7041</v>
      </c>
      <c r="BT104">
        <v>5.1941100000000002</v>
      </c>
      <c r="BU104">
        <v>1799.99</v>
      </c>
      <c r="BV104">
        <v>0.90998400000000002</v>
      </c>
      <c r="BW104">
        <v>3.3996499999999999E-2</v>
      </c>
      <c r="BX104">
        <v>2.2008E-2</v>
      </c>
      <c r="BY104">
        <v>3.4011399999999997E-2</v>
      </c>
      <c r="BZ104">
        <v>26</v>
      </c>
      <c r="CA104">
        <v>33528.199999999997</v>
      </c>
      <c r="CB104">
        <v>1690381960.0999999</v>
      </c>
      <c r="CC104" t="s">
        <v>332</v>
      </c>
      <c r="CD104">
        <v>1690381960.0999999</v>
      </c>
      <c r="CE104">
        <v>1690381958.0999999</v>
      </c>
      <c r="CF104">
        <v>4</v>
      </c>
      <c r="CG104">
        <v>9.9000000000000005E-2</v>
      </c>
      <c r="CH104">
        <v>1.2E-2</v>
      </c>
      <c r="CI104">
        <v>-0.26300000000000001</v>
      </c>
      <c r="CJ104">
        <v>0.127</v>
      </c>
      <c r="CK104">
        <v>798</v>
      </c>
      <c r="CL104">
        <v>18</v>
      </c>
      <c r="CM104">
        <v>0.02</v>
      </c>
      <c r="CN104">
        <v>0.12</v>
      </c>
      <c r="CO104">
        <v>-231.18100000000001</v>
      </c>
      <c r="CP104">
        <v>-22.631310104529749</v>
      </c>
      <c r="CQ104">
        <v>2.2318649316593362</v>
      </c>
      <c r="CR104">
        <v>-1</v>
      </c>
      <c r="CS104">
        <v>12.687643902439021</v>
      </c>
      <c r="CT104">
        <v>1.384200000000009</v>
      </c>
      <c r="CU104">
        <v>0.13670204746050049</v>
      </c>
      <c r="CV104">
        <v>-1</v>
      </c>
      <c r="CW104">
        <v>0</v>
      </c>
      <c r="CX104">
        <v>0</v>
      </c>
      <c r="CY104" t="s">
        <v>333</v>
      </c>
      <c r="CZ104">
        <v>2.3647399999999998</v>
      </c>
      <c r="DA104">
        <v>2.7137899999999999</v>
      </c>
      <c r="DB104">
        <v>0.11497400000000001</v>
      </c>
      <c r="DC104">
        <v>0.145589</v>
      </c>
      <c r="DD104">
        <v>0.106476</v>
      </c>
      <c r="DE104">
        <v>5.4281900000000001E-2</v>
      </c>
      <c r="DF104">
        <v>32315.200000000001</v>
      </c>
      <c r="DG104">
        <v>27532.7</v>
      </c>
      <c r="DH104">
        <v>31171.599999999999</v>
      </c>
      <c r="DI104">
        <v>28079</v>
      </c>
      <c r="DJ104">
        <v>37814.1</v>
      </c>
      <c r="DK104">
        <v>37762.1</v>
      </c>
      <c r="DL104">
        <v>44360.3</v>
      </c>
      <c r="DM104">
        <v>42558.3</v>
      </c>
      <c r="DN104">
        <v>1.4690300000000001</v>
      </c>
      <c r="DO104">
        <v>2.0417000000000001</v>
      </c>
      <c r="DP104">
        <v>0.18027399999999999</v>
      </c>
      <c r="DQ104">
        <v>0.158139</v>
      </c>
      <c r="DR104">
        <v>24.0396</v>
      </c>
      <c r="DS104">
        <v>23.969899999999999</v>
      </c>
      <c r="DT104">
        <v>52.4</v>
      </c>
      <c r="DU104">
        <v>28.7</v>
      </c>
      <c r="DV104">
        <v>20.986699999999999</v>
      </c>
      <c r="DW104">
        <v>61.023000000000003</v>
      </c>
      <c r="DX104">
        <v>36.863</v>
      </c>
      <c r="DY104">
        <v>1</v>
      </c>
      <c r="DZ104">
        <v>-8.8648400000000002E-2</v>
      </c>
      <c r="EA104">
        <v>0.66850799999999999</v>
      </c>
      <c r="EB104">
        <v>20.188099999999999</v>
      </c>
      <c r="EC104">
        <v>5.2408000000000001</v>
      </c>
      <c r="ED104">
        <v>12.039899999999999</v>
      </c>
      <c r="EE104">
        <v>5.0167999999999999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</v>
      </c>
      <c r="EL104">
        <v>1.8646199999999999</v>
      </c>
      <c r="EM104">
        <v>1.8692</v>
      </c>
      <c r="EN104">
        <v>1.8672299999999999</v>
      </c>
      <c r="EO104">
        <v>1.8633999999999999</v>
      </c>
      <c r="EP104">
        <v>1.8644700000000001</v>
      </c>
      <c r="EQ104">
        <v>1.8701399999999999</v>
      </c>
      <c r="ER104">
        <v>1.86937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-9.8000000000000004E-2</v>
      </c>
      <c r="FG104">
        <v>0.17519999999999999</v>
      </c>
      <c r="FH104">
        <v>0.28746640474027818</v>
      </c>
      <c r="FI104">
        <v>-6.1462078757559423E-4</v>
      </c>
      <c r="FJ104">
        <v>-1.8861989874597051E-7</v>
      </c>
      <c r="FK104">
        <v>1.1980462299894961E-10</v>
      </c>
      <c r="FL104">
        <v>0.17524818673008091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23.9</v>
      </c>
      <c r="FU104">
        <v>24</v>
      </c>
      <c r="FV104">
        <v>1.77979</v>
      </c>
      <c r="FW104">
        <v>2.5830099999999998</v>
      </c>
      <c r="FX104">
        <v>1.5490699999999999</v>
      </c>
      <c r="FY104">
        <v>2.3303199999999999</v>
      </c>
      <c r="FZ104">
        <v>1.50146</v>
      </c>
      <c r="GA104">
        <v>2.33887</v>
      </c>
      <c r="GB104">
        <v>33.580399999999997</v>
      </c>
      <c r="GC104">
        <v>23.973700000000001</v>
      </c>
      <c r="GD104">
        <v>19</v>
      </c>
      <c r="GE104">
        <v>280.089</v>
      </c>
      <c r="GF104">
        <v>588.25400000000002</v>
      </c>
      <c r="GG104">
        <v>22.5596</v>
      </c>
      <c r="GH104">
        <v>26.2516</v>
      </c>
      <c r="GI104">
        <v>29.9998</v>
      </c>
      <c r="GJ104">
        <v>26.4102</v>
      </c>
      <c r="GK104">
        <v>26.398199999999999</v>
      </c>
      <c r="GL104">
        <v>35.576900000000002</v>
      </c>
      <c r="GM104">
        <v>57.740600000000001</v>
      </c>
      <c r="GN104">
        <v>71.602999999999994</v>
      </c>
      <c r="GO104">
        <v>22.566299999999998</v>
      </c>
      <c r="GP104">
        <v>800</v>
      </c>
      <c r="GQ104">
        <v>8.8465699999999998</v>
      </c>
      <c r="GR104">
        <v>99.736099999999993</v>
      </c>
      <c r="GS104">
        <v>99.558400000000006</v>
      </c>
    </row>
    <row r="105" spans="1:201" x14ac:dyDescent="0.25">
      <c r="A105">
        <v>89</v>
      </c>
      <c r="B105">
        <v>1690383406</v>
      </c>
      <c r="C105">
        <v>930.90000009536743</v>
      </c>
      <c r="D105" t="s">
        <v>509</v>
      </c>
      <c r="E105" t="s">
        <v>510</v>
      </c>
      <c r="F105" t="s">
        <v>330</v>
      </c>
      <c r="H105">
        <v>1690383406</v>
      </c>
      <c r="I105">
        <f t="shared" si="30"/>
        <v>1.2373755726744434E-3</v>
      </c>
      <c r="J105">
        <f t="shared" si="31"/>
        <v>1.2373755726744435</v>
      </c>
      <c r="K105">
        <f t="shared" si="32"/>
        <v>21.236889938199919</v>
      </c>
      <c r="L105">
        <f t="shared" si="33"/>
        <v>561.14800000000002</v>
      </c>
      <c r="M105">
        <f t="shared" si="34"/>
        <v>166.615601792223</v>
      </c>
      <c r="N105">
        <f t="shared" si="35"/>
        <v>16.461096717895348</v>
      </c>
      <c r="O105">
        <f t="shared" si="36"/>
        <v>55.439655120488801</v>
      </c>
      <c r="P105">
        <f t="shared" si="37"/>
        <v>8.9728189132136121E-2</v>
      </c>
      <c r="Q105">
        <f t="shared" si="38"/>
        <v>2.1087252576305771</v>
      </c>
      <c r="R105">
        <f t="shared" si="39"/>
        <v>8.7659810214998649E-2</v>
      </c>
      <c r="S105">
        <f t="shared" si="40"/>
        <v>5.4969245842639791E-2</v>
      </c>
      <c r="T105">
        <f t="shared" si="41"/>
        <v>276.11498453134158</v>
      </c>
      <c r="U105">
        <f t="shared" si="42"/>
        <v>26.733170437835515</v>
      </c>
      <c r="V105">
        <f t="shared" si="43"/>
        <v>26.733170437835515</v>
      </c>
      <c r="W105">
        <f t="shared" si="44"/>
        <v>3.5234508661996067</v>
      </c>
      <c r="X105">
        <f t="shared" si="45"/>
        <v>68.370631188444023</v>
      </c>
      <c r="Y105">
        <f t="shared" si="46"/>
        <v>2.16904533618276</v>
      </c>
      <c r="Z105">
        <f t="shared" si="47"/>
        <v>3.1724810762744156</v>
      </c>
      <c r="AA105">
        <f t="shared" si="48"/>
        <v>1.3544055300168467</v>
      </c>
      <c r="AB105">
        <f t="shared" si="49"/>
        <v>-54.568262754942957</v>
      </c>
      <c r="AC105">
        <f t="shared" si="50"/>
        <v>-201.35656700121814</v>
      </c>
      <c r="AD105">
        <f t="shared" si="51"/>
        <v>-20.370893233710788</v>
      </c>
      <c r="AE105">
        <f t="shared" si="52"/>
        <v>-0.18073845853029979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52485.2027412233</v>
      </c>
      <c r="AK105">
        <f t="shared" si="56"/>
        <v>1799.99</v>
      </c>
      <c r="AL105">
        <f t="shared" si="57"/>
        <v>1499.1039757983099</v>
      </c>
      <c r="AM105">
        <f t="shared" si="58"/>
        <v>0.83284016899999991</v>
      </c>
      <c r="AN105">
        <f t="shared" si="59"/>
        <v>0.15339806583999999</v>
      </c>
      <c r="AO105">
        <v>32.700000000000003</v>
      </c>
      <c r="AP105">
        <v>0.5</v>
      </c>
      <c r="AQ105" t="s">
        <v>331</v>
      </c>
      <c r="AR105">
        <v>2</v>
      </c>
      <c r="AS105">
        <v>1690383406</v>
      </c>
      <c r="AT105">
        <v>561.14800000000002</v>
      </c>
      <c r="AU105">
        <v>800.09100000000001</v>
      </c>
      <c r="AV105">
        <v>21.954599999999999</v>
      </c>
      <c r="AW105">
        <v>8.7692499999999995</v>
      </c>
      <c r="AX105">
        <v>561.24400000000003</v>
      </c>
      <c r="AY105">
        <v>21.779399999999999</v>
      </c>
      <c r="AZ105">
        <v>300.13499999999999</v>
      </c>
      <c r="BA105">
        <v>98.696899999999999</v>
      </c>
      <c r="BB105">
        <v>9.9950600000000001E-2</v>
      </c>
      <c r="BC105">
        <v>24.962</v>
      </c>
      <c r="BD105">
        <v>27.014700000000001</v>
      </c>
      <c r="BE105">
        <v>26.570399999999999</v>
      </c>
      <c r="BF105">
        <v>0</v>
      </c>
      <c r="BG105">
        <v>0</v>
      </c>
      <c r="BH105">
        <v>9988.1200000000008</v>
      </c>
      <c r="BI105">
        <v>1050.3499999999999</v>
      </c>
      <c r="BJ105">
        <v>2.3127300000000002</v>
      </c>
      <c r="BK105">
        <v>-238.94399999999999</v>
      </c>
      <c r="BL105">
        <v>573.74400000000003</v>
      </c>
      <c r="BM105">
        <v>807.17</v>
      </c>
      <c r="BN105">
        <v>13.1854</v>
      </c>
      <c r="BO105">
        <v>800.09100000000001</v>
      </c>
      <c r="BP105">
        <v>8.7692499999999995</v>
      </c>
      <c r="BQ105">
        <v>2.1668500000000002</v>
      </c>
      <c r="BR105">
        <v>0.86549799999999999</v>
      </c>
      <c r="BS105">
        <v>18.7193</v>
      </c>
      <c r="BT105">
        <v>4.8294800000000002</v>
      </c>
      <c r="BU105">
        <v>1799.99</v>
      </c>
      <c r="BV105">
        <v>0.90998599999999996</v>
      </c>
      <c r="BW105">
        <v>3.3995900000000003E-2</v>
      </c>
      <c r="BX105">
        <v>2.2007700000000002E-2</v>
      </c>
      <c r="BY105">
        <v>3.4010800000000001E-2</v>
      </c>
      <c r="BZ105">
        <v>26</v>
      </c>
      <c r="CA105">
        <v>33528.1</v>
      </c>
      <c r="CB105">
        <v>1690381960.0999999</v>
      </c>
      <c r="CC105" t="s">
        <v>332</v>
      </c>
      <c r="CD105">
        <v>1690381960.0999999</v>
      </c>
      <c r="CE105">
        <v>1690381958.0999999</v>
      </c>
      <c r="CF105">
        <v>4</v>
      </c>
      <c r="CG105">
        <v>9.9000000000000005E-2</v>
      </c>
      <c r="CH105">
        <v>1.2E-2</v>
      </c>
      <c r="CI105">
        <v>-0.26300000000000001</v>
      </c>
      <c r="CJ105">
        <v>0.127</v>
      </c>
      <c r="CK105">
        <v>798</v>
      </c>
      <c r="CL105">
        <v>18</v>
      </c>
      <c r="CM105">
        <v>0.02</v>
      </c>
      <c r="CN105">
        <v>0.12</v>
      </c>
      <c r="CO105">
        <v>-234.78897499999999</v>
      </c>
      <c r="CP105">
        <v>-22.026292682926979</v>
      </c>
      <c r="CQ105">
        <v>2.1194621662995101</v>
      </c>
      <c r="CR105">
        <v>-1</v>
      </c>
      <c r="CS105">
        <v>12.9165525</v>
      </c>
      <c r="CT105">
        <v>1.399890056285177</v>
      </c>
      <c r="CU105">
        <v>0.1348843856558273</v>
      </c>
      <c r="CV105">
        <v>-1</v>
      </c>
      <c r="CW105">
        <v>0</v>
      </c>
      <c r="CX105">
        <v>0</v>
      </c>
      <c r="CY105" t="s">
        <v>333</v>
      </c>
      <c r="CZ105">
        <v>2.3645100000000001</v>
      </c>
      <c r="DA105">
        <v>2.71373</v>
      </c>
      <c r="DB105">
        <v>0.114437</v>
      </c>
      <c r="DC105">
        <v>0.14558699999999999</v>
      </c>
      <c r="DD105">
        <v>0.106549</v>
      </c>
      <c r="DE105">
        <v>5.32165E-2</v>
      </c>
      <c r="DF105">
        <v>32334.9</v>
      </c>
      <c r="DG105">
        <v>27533.7</v>
      </c>
      <c r="DH105">
        <v>31171.599999999999</v>
      </c>
      <c r="DI105">
        <v>28080</v>
      </c>
      <c r="DJ105">
        <v>37811.1</v>
      </c>
      <c r="DK105">
        <v>37805.9</v>
      </c>
      <c r="DL105">
        <v>44360.6</v>
      </c>
      <c r="DM105">
        <v>42559.6</v>
      </c>
      <c r="DN105">
        <v>1.4692700000000001</v>
      </c>
      <c r="DO105">
        <v>2.04155</v>
      </c>
      <c r="DP105">
        <v>0.18132499999999999</v>
      </c>
      <c r="DQ105">
        <v>0.158221</v>
      </c>
      <c r="DR105">
        <v>24.042200000000001</v>
      </c>
      <c r="DS105">
        <v>23.9755</v>
      </c>
      <c r="DT105">
        <v>52.1</v>
      </c>
      <c r="DU105">
        <v>28.7</v>
      </c>
      <c r="DV105">
        <v>20.866900000000001</v>
      </c>
      <c r="DW105">
        <v>60.713000000000001</v>
      </c>
      <c r="DX105">
        <v>36.502400000000002</v>
      </c>
      <c r="DY105">
        <v>1</v>
      </c>
      <c r="DZ105">
        <v>-8.9438500000000004E-2</v>
      </c>
      <c r="EA105">
        <v>0.69431900000000002</v>
      </c>
      <c r="EB105">
        <v>20.187899999999999</v>
      </c>
      <c r="EC105">
        <v>5.2409499999999998</v>
      </c>
      <c r="ED105">
        <v>12.039899999999999</v>
      </c>
      <c r="EE105">
        <v>5.0166500000000003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</v>
      </c>
      <c r="EL105">
        <v>1.8646199999999999</v>
      </c>
      <c r="EM105">
        <v>1.8692</v>
      </c>
      <c r="EN105">
        <v>1.86724</v>
      </c>
      <c r="EO105">
        <v>1.86338</v>
      </c>
      <c r="EP105">
        <v>1.8644700000000001</v>
      </c>
      <c r="EQ105">
        <v>1.8701700000000001</v>
      </c>
      <c r="ER105">
        <v>1.8693900000000001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-9.6000000000000002E-2</v>
      </c>
      <c r="FG105">
        <v>0.17519999999999999</v>
      </c>
      <c r="FH105">
        <v>0.28746640474027818</v>
      </c>
      <c r="FI105">
        <v>-6.1462078757559423E-4</v>
      </c>
      <c r="FJ105">
        <v>-1.8861989874597051E-7</v>
      </c>
      <c r="FK105">
        <v>1.1980462299894961E-10</v>
      </c>
      <c r="FL105">
        <v>0.17524818673008091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24.1</v>
      </c>
      <c r="FU105">
        <v>24.1</v>
      </c>
      <c r="FV105">
        <v>1.77979</v>
      </c>
      <c r="FW105">
        <v>2.5793499999999998</v>
      </c>
      <c r="FX105">
        <v>1.5490699999999999</v>
      </c>
      <c r="FY105">
        <v>2.3303199999999999</v>
      </c>
      <c r="FZ105">
        <v>1.50146</v>
      </c>
      <c r="GA105">
        <v>2.33521</v>
      </c>
      <c r="GB105">
        <v>33.580399999999997</v>
      </c>
      <c r="GC105">
        <v>23.973700000000001</v>
      </c>
      <c r="GD105">
        <v>19</v>
      </c>
      <c r="GE105">
        <v>280.17700000000002</v>
      </c>
      <c r="GF105">
        <v>588.08500000000004</v>
      </c>
      <c r="GG105">
        <v>22.570499999999999</v>
      </c>
      <c r="GH105">
        <v>26.246099999999998</v>
      </c>
      <c r="GI105">
        <v>29.9999</v>
      </c>
      <c r="GJ105">
        <v>26.405899999999999</v>
      </c>
      <c r="GK105">
        <v>26.394400000000001</v>
      </c>
      <c r="GL105">
        <v>35.572400000000002</v>
      </c>
      <c r="GM105">
        <v>58.318600000000004</v>
      </c>
      <c r="GN105">
        <v>70.827699999999993</v>
      </c>
      <c r="GO105">
        <v>22.567699999999999</v>
      </c>
      <c r="GP105">
        <v>800</v>
      </c>
      <c r="GQ105">
        <v>8.6244499999999995</v>
      </c>
      <c r="GR105">
        <v>99.736400000000003</v>
      </c>
      <c r="GS105">
        <v>99.561599999999999</v>
      </c>
    </row>
    <row r="106" spans="1:201" x14ac:dyDescent="0.25">
      <c r="A106">
        <v>90</v>
      </c>
      <c r="B106">
        <v>1690383416</v>
      </c>
      <c r="C106">
        <v>940.90000009536743</v>
      </c>
      <c r="D106" t="s">
        <v>511</v>
      </c>
      <c r="E106" t="s">
        <v>512</v>
      </c>
      <c r="F106" t="s">
        <v>330</v>
      </c>
      <c r="H106">
        <v>1690383416</v>
      </c>
      <c r="I106">
        <f t="shared" si="30"/>
        <v>1.2565287459565583E-3</v>
      </c>
      <c r="J106">
        <f t="shared" si="31"/>
        <v>1.2565287459565582</v>
      </c>
      <c r="K106">
        <f t="shared" si="32"/>
        <v>21.568299220084882</v>
      </c>
      <c r="L106">
        <f t="shared" si="33"/>
        <v>557.52499999999998</v>
      </c>
      <c r="M106">
        <f t="shared" si="34"/>
        <v>163.18021725945064</v>
      </c>
      <c r="N106">
        <f t="shared" si="35"/>
        <v>16.121821339002295</v>
      </c>
      <c r="O106">
        <f t="shared" si="36"/>
        <v>55.082157586149997</v>
      </c>
      <c r="P106">
        <f t="shared" si="37"/>
        <v>9.1186433913508919E-2</v>
      </c>
      <c r="Q106">
        <f t="shared" si="38"/>
        <v>2.1041968895293657</v>
      </c>
      <c r="R106">
        <f t="shared" si="39"/>
        <v>8.9046661602490904E-2</v>
      </c>
      <c r="S106">
        <f t="shared" si="40"/>
        <v>5.5842231456620706E-2</v>
      </c>
      <c r="T106">
        <f t="shared" si="41"/>
        <v>276.11628382800001</v>
      </c>
      <c r="U106">
        <f t="shared" si="42"/>
        <v>26.73187536398229</v>
      </c>
      <c r="V106">
        <f t="shared" si="43"/>
        <v>26.73187536398229</v>
      </c>
      <c r="W106">
        <f t="shared" si="44"/>
        <v>3.5231823367422588</v>
      </c>
      <c r="X106">
        <f t="shared" si="45"/>
        <v>68.368009531130909</v>
      </c>
      <c r="Y106">
        <f t="shared" si="46"/>
        <v>2.1692208751052</v>
      </c>
      <c r="Z106">
        <f t="shared" si="47"/>
        <v>3.1728594849868492</v>
      </c>
      <c r="AA106">
        <f t="shared" si="48"/>
        <v>1.3539614616370588</v>
      </c>
      <c r="AB106">
        <f t="shared" si="49"/>
        <v>-55.412917696684218</v>
      </c>
      <c r="AC106">
        <f t="shared" si="50"/>
        <v>-200.55036717613208</v>
      </c>
      <c r="AD106">
        <f t="shared" si="51"/>
        <v>-20.333066636287811</v>
      </c>
      <c r="AE106">
        <f t="shared" si="52"/>
        <v>-0.18006768110410576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52286.624990548589</v>
      </c>
      <c r="AK106">
        <f t="shared" si="56"/>
        <v>1800</v>
      </c>
      <c r="AL106">
        <f t="shared" si="57"/>
        <v>1499.1116238</v>
      </c>
      <c r="AM106">
        <f t="shared" si="58"/>
        <v>0.83283979099999994</v>
      </c>
      <c r="AN106">
        <f t="shared" si="59"/>
        <v>0.15339793546</v>
      </c>
      <c r="AO106">
        <v>32.700000000000003</v>
      </c>
      <c r="AP106">
        <v>0.5</v>
      </c>
      <c r="AQ106" t="s">
        <v>331</v>
      </c>
      <c r="AR106">
        <v>2</v>
      </c>
      <c r="AS106">
        <v>1690383416</v>
      </c>
      <c r="AT106">
        <v>557.52499999999998</v>
      </c>
      <c r="AU106">
        <v>800.04200000000003</v>
      </c>
      <c r="AV106">
        <v>21.956199999999999</v>
      </c>
      <c r="AW106">
        <v>8.5725300000000004</v>
      </c>
      <c r="AX106">
        <v>557.61800000000005</v>
      </c>
      <c r="AY106">
        <v>21.780999999999999</v>
      </c>
      <c r="AZ106">
        <v>300.26400000000001</v>
      </c>
      <c r="BA106">
        <v>98.697599999999994</v>
      </c>
      <c r="BB106">
        <v>0.100046</v>
      </c>
      <c r="BC106">
        <v>24.963999999999999</v>
      </c>
      <c r="BD106">
        <v>27.017399999999999</v>
      </c>
      <c r="BE106">
        <v>26.568000000000001</v>
      </c>
      <c r="BF106">
        <v>0</v>
      </c>
      <c r="BG106">
        <v>0</v>
      </c>
      <c r="BH106">
        <v>9948.75</v>
      </c>
      <c r="BI106">
        <v>1050.55</v>
      </c>
      <c r="BJ106">
        <v>2.3547799999999999</v>
      </c>
      <c r="BK106">
        <v>-242.517</v>
      </c>
      <c r="BL106">
        <v>570.04100000000005</v>
      </c>
      <c r="BM106">
        <v>806.95899999999995</v>
      </c>
      <c r="BN106">
        <v>13.383699999999999</v>
      </c>
      <c r="BO106">
        <v>800.04200000000003</v>
      </c>
      <c r="BP106">
        <v>8.5725300000000004</v>
      </c>
      <c r="BQ106">
        <v>2.16703</v>
      </c>
      <c r="BR106">
        <v>0.84608799999999995</v>
      </c>
      <c r="BS106">
        <v>18.720600000000001</v>
      </c>
      <c r="BT106">
        <v>4.5049799999999998</v>
      </c>
      <c r="BU106">
        <v>1800</v>
      </c>
      <c r="BV106">
        <v>0.90998699999999999</v>
      </c>
      <c r="BW106">
        <v>3.3995299999999999E-2</v>
      </c>
      <c r="BX106">
        <v>2.20073E-2</v>
      </c>
      <c r="BY106">
        <v>3.4010199999999997E-2</v>
      </c>
      <c r="BZ106">
        <v>26</v>
      </c>
      <c r="CA106">
        <v>33528.300000000003</v>
      </c>
      <c r="CB106">
        <v>1690381960.0999999</v>
      </c>
      <c r="CC106" t="s">
        <v>332</v>
      </c>
      <c r="CD106">
        <v>1690381960.0999999</v>
      </c>
      <c r="CE106">
        <v>1690381958.0999999</v>
      </c>
      <c r="CF106">
        <v>4</v>
      </c>
      <c r="CG106">
        <v>9.9000000000000005E-2</v>
      </c>
      <c r="CH106">
        <v>1.2E-2</v>
      </c>
      <c r="CI106">
        <v>-0.26300000000000001</v>
      </c>
      <c r="CJ106">
        <v>0.127</v>
      </c>
      <c r="CK106">
        <v>798</v>
      </c>
      <c r="CL106">
        <v>18</v>
      </c>
      <c r="CM106">
        <v>0.02</v>
      </c>
      <c r="CN106">
        <v>0.12</v>
      </c>
      <c r="CO106">
        <v>-238.53170731707311</v>
      </c>
      <c r="CP106">
        <v>-21.961693379791441</v>
      </c>
      <c r="CQ106">
        <v>2.1661545363413741</v>
      </c>
      <c r="CR106">
        <v>-1</v>
      </c>
      <c r="CS106">
        <v>13.160721951219511</v>
      </c>
      <c r="CT106">
        <v>1.421431358885034</v>
      </c>
      <c r="CU106">
        <v>0.14051935985391381</v>
      </c>
      <c r="CV106">
        <v>-1</v>
      </c>
      <c r="CW106">
        <v>0</v>
      </c>
      <c r="CX106">
        <v>0</v>
      </c>
      <c r="CY106" t="s">
        <v>333</v>
      </c>
      <c r="CZ106">
        <v>2.3649300000000002</v>
      </c>
      <c r="DA106">
        <v>2.7137899999999999</v>
      </c>
      <c r="DB106">
        <v>0.113911</v>
      </c>
      <c r="DC106">
        <v>0.14557899999999999</v>
      </c>
      <c r="DD106">
        <v>0.106557</v>
      </c>
      <c r="DE106">
        <v>5.22812E-2</v>
      </c>
      <c r="DF106">
        <v>32354.2</v>
      </c>
      <c r="DG106">
        <v>27533.9</v>
      </c>
      <c r="DH106">
        <v>31171.599999999999</v>
      </c>
      <c r="DI106">
        <v>28079.8</v>
      </c>
      <c r="DJ106">
        <v>37810.6</v>
      </c>
      <c r="DK106">
        <v>37843.1</v>
      </c>
      <c r="DL106">
        <v>44360.5</v>
      </c>
      <c r="DM106">
        <v>42559.3</v>
      </c>
      <c r="DN106">
        <v>1.46885</v>
      </c>
      <c r="DO106">
        <v>2.04122</v>
      </c>
      <c r="DP106">
        <v>0.18144399999999999</v>
      </c>
      <c r="DQ106">
        <v>0.157662</v>
      </c>
      <c r="DR106">
        <v>24.042899999999999</v>
      </c>
      <c r="DS106">
        <v>23.982299999999999</v>
      </c>
      <c r="DT106">
        <v>51.8</v>
      </c>
      <c r="DU106">
        <v>28.7</v>
      </c>
      <c r="DV106">
        <v>20.743600000000001</v>
      </c>
      <c r="DW106">
        <v>61.273000000000003</v>
      </c>
      <c r="DX106">
        <v>36.330100000000002</v>
      </c>
      <c r="DY106">
        <v>1</v>
      </c>
      <c r="DZ106">
        <v>-8.7220500000000006E-2</v>
      </c>
      <c r="EA106">
        <v>1.7852699999999999</v>
      </c>
      <c r="EB106">
        <v>20.1767</v>
      </c>
      <c r="EC106">
        <v>5.2408000000000001</v>
      </c>
      <c r="ED106">
        <v>12.039899999999999</v>
      </c>
      <c r="EE106">
        <v>5.0170000000000003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</v>
      </c>
      <c r="EL106">
        <v>1.8646199999999999</v>
      </c>
      <c r="EM106">
        <v>1.8692</v>
      </c>
      <c r="EN106">
        <v>1.8672500000000001</v>
      </c>
      <c r="EO106">
        <v>1.8633900000000001</v>
      </c>
      <c r="EP106">
        <v>1.8644700000000001</v>
      </c>
      <c r="EQ106">
        <v>1.8701700000000001</v>
      </c>
      <c r="ER106">
        <v>1.86937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-9.2999999999999999E-2</v>
      </c>
      <c r="FG106">
        <v>0.17519999999999999</v>
      </c>
      <c r="FH106">
        <v>0.28746640474027818</v>
      </c>
      <c r="FI106">
        <v>-6.1462078757559423E-4</v>
      </c>
      <c r="FJ106">
        <v>-1.8861989874597051E-7</v>
      </c>
      <c r="FK106">
        <v>1.1980462299894961E-10</v>
      </c>
      <c r="FL106">
        <v>0.17524818673008091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24.3</v>
      </c>
      <c r="FU106">
        <v>24.3</v>
      </c>
      <c r="FV106">
        <v>1.7785599999999999</v>
      </c>
      <c r="FW106">
        <v>2.5781200000000002</v>
      </c>
      <c r="FX106">
        <v>1.5490699999999999</v>
      </c>
      <c r="FY106">
        <v>2.3303199999999999</v>
      </c>
      <c r="FZ106">
        <v>1.50146</v>
      </c>
      <c r="GA106">
        <v>2.3596200000000001</v>
      </c>
      <c r="GB106">
        <v>33.580399999999997</v>
      </c>
      <c r="GC106">
        <v>23.973700000000001</v>
      </c>
      <c r="GD106">
        <v>19</v>
      </c>
      <c r="GE106">
        <v>279.97699999999998</v>
      </c>
      <c r="GF106">
        <v>587.77099999999996</v>
      </c>
      <c r="GG106">
        <v>22.290900000000001</v>
      </c>
      <c r="GH106">
        <v>26.240500000000001</v>
      </c>
      <c r="GI106">
        <v>30.001200000000001</v>
      </c>
      <c r="GJ106">
        <v>26.401499999999999</v>
      </c>
      <c r="GK106">
        <v>26.390499999999999</v>
      </c>
      <c r="GL106">
        <v>35.568399999999997</v>
      </c>
      <c r="GM106">
        <v>58.591200000000001</v>
      </c>
      <c r="GN106">
        <v>70.034499999999994</v>
      </c>
      <c r="GO106">
        <v>22.283899999999999</v>
      </c>
      <c r="GP106">
        <v>800</v>
      </c>
      <c r="GQ106">
        <v>8.5030699999999992</v>
      </c>
      <c r="GR106">
        <v>99.736400000000003</v>
      </c>
      <c r="GS106">
        <v>99.561000000000007</v>
      </c>
    </row>
    <row r="107" spans="1:201" x14ac:dyDescent="0.25">
      <c r="A107">
        <v>91</v>
      </c>
      <c r="B107">
        <v>1690383426</v>
      </c>
      <c r="C107">
        <v>950.90000009536743</v>
      </c>
      <c r="D107" t="s">
        <v>513</v>
      </c>
      <c r="E107" t="s">
        <v>514</v>
      </c>
      <c r="F107" t="s">
        <v>330</v>
      </c>
      <c r="H107">
        <v>1690383426</v>
      </c>
      <c r="I107">
        <f t="shared" si="30"/>
        <v>1.2650805745202491E-3</v>
      </c>
      <c r="J107">
        <f t="shared" si="31"/>
        <v>1.2650805745202491</v>
      </c>
      <c r="K107">
        <f t="shared" si="32"/>
        <v>21.900299021513678</v>
      </c>
      <c r="L107">
        <f t="shared" si="33"/>
        <v>553.96</v>
      </c>
      <c r="M107">
        <f t="shared" si="34"/>
        <v>157.28596613184828</v>
      </c>
      <c r="N107">
        <f t="shared" si="35"/>
        <v>15.53891335560704</v>
      </c>
      <c r="O107">
        <f t="shared" si="36"/>
        <v>54.727936981079999</v>
      </c>
      <c r="P107">
        <f t="shared" si="37"/>
        <v>9.2019247129199247E-2</v>
      </c>
      <c r="Q107">
        <f t="shared" si="38"/>
        <v>2.1080449310172598</v>
      </c>
      <c r="R107">
        <f t="shared" si="39"/>
        <v>8.9844589346688389E-2</v>
      </c>
      <c r="S107">
        <f t="shared" si="40"/>
        <v>5.6343972231548127E-2</v>
      </c>
      <c r="T107">
        <f t="shared" si="41"/>
        <v>276.11621413200004</v>
      </c>
      <c r="U107">
        <f t="shared" si="42"/>
        <v>26.7020646312561</v>
      </c>
      <c r="V107">
        <f t="shared" si="43"/>
        <v>26.7020646312561</v>
      </c>
      <c r="W107">
        <f t="shared" si="44"/>
        <v>3.5170061129667789</v>
      </c>
      <c r="X107">
        <f t="shared" si="45"/>
        <v>68.361368653618172</v>
      </c>
      <c r="Y107">
        <f t="shared" si="46"/>
        <v>2.1659206426428002</v>
      </c>
      <c r="Z107">
        <f t="shared" si="47"/>
        <v>3.1683400805173378</v>
      </c>
      <c r="AA107">
        <f t="shared" si="48"/>
        <v>1.3510854703239787</v>
      </c>
      <c r="AB107">
        <f t="shared" si="49"/>
        <v>-55.790053336342986</v>
      </c>
      <c r="AC107">
        <f t="shared" si="50"/>
        <v>-200.24537446211971</v>
      </c>
      <c r="AD107">
        <f t="shared" si="51"/>
        <v>-20.259620948169683</v>
      </c>
      <c r="AE107">
        <f t="shared" si="52"/>
        <v>-0.17883461463236472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52459.18161807557</v>
      </c>
      <c r="AK107">
        <f t="shared" si="56"/>
        <v>1800</v>
      </c>
      <c r="AL107">
        <f t="shared" si="57"/>
        <v>1499.1113412</v>
      </c>
      <c r="AM107">
        <f t="shared" si="58"/>
        <v>0.83283963399999994</v>
      </c>
      <c r="AN107">
        <f t="shared" si="59"/>
        <v>0.15339789674000001</v>
      </c>
      <c r="AO107">
        <v>32.700000000000003</v>
      </c>
      <c r="AP107">
        <v>0.5</v>
      </c>
      <c r="AQ107" t="s">
        <v>331</v>
      </c>
      <c r="AR107">
        <v>2</v>
      </c>
      <c r="AS107">
        <v>1690383426</v>
      </c>
      <c r="AT107">
        <v>553.96</v>
      </c>
      <c r="AU107">
        <v>800.11099999999999</v>
      </c>
      <c r="AV107">
        <v>21.9236</v>
      </c>
      <c r="AW107">
        <v>8.44754</v>
      </c>
      <c r="AX107">
        <v>554.05100000000004</v>
      </c>
      <c r="AY107">
        <v>21.7484</v>
      </c>
      <c r="AZ107">
        <v>300.245</v>
      </c>
      <c r="BA107">
        <v>98.694000000000003</v>
      </c>
      <c r="BB107">
        <v>0.100023</v>
      </c>
      <c r="BC107">
        <v>24.940100000000001</v>
      </c>
      <c r="BD107">
        <v>26.982199999999999</v>
      </c>
      <c r="BE107">
        <v>26.540099999999999</v>
      </c>
      <c r="BF107">
        <v>0</v>
      </c>
      <c r="BG107">
        <v>0</v>
      </c>
      <c r="BH107">
        <v>9982.5</v>
      </c>
      <c r="BI107">
        <v>1050.75</v>
      </c>
      <c r="BJ107">
        <v>2.3463699999999998</v>
      </c>
      <c r="BK107">
        <v>-246.15100000000001</v>
      </c>
      <c r="BL107">
        <v>566.37699999999995</v>
      </c>
      <c r="BM107">
        <v>806.928</v>
      </c>
      <c r="BN107">
        <v>13.476100000000001</v>
      </c>
      <c r="BO107">
        <v>800.11099999999999</v>
      </c>
      <c r="BP107">
        <v>8.44754</v>
      </c>
      <c r="BQ107">
        <v>2.1637300000000002</v>
      </c>
      <c r="BR107">
        <v>0.83372199999999996</v>
      </c>
      <c r="BS107">
        <v>18.696300000000001</v>
      </c>
      <c r="BT107">
        <v>4.2947899999999999</v>
      </c>
      <c r="BU107">
        <v>1800</v>
      </c>
      <c r="BV107">
        <v>0.90998699999999999</v>
      </c>
      <c r="BW107">
        <v>3.3995200000000003E-2</v>
      </c>
      <c r="BX107">
        <v>2.2007200000000001E-2</v>
      </c>
      <c r="BY107">
        <v>3.4010199999999997E-2</v>
      </c>
      <c r="BZ107">
        <v>26</v>
      </c>
      <c r="CA107">
        <v>33528.300000000003</v>
      </c>
      <c r="CB107">
        <v>1690381960.0999999</v>
      </c>
      <c r="CC107" t="s">
        <v>332</v>
      </c>
      <c r="CD107">
        <v>1690381960.0999999</v>
      </c>
      <c r="CE107">
        <v>1690381958.0999999</v>
      </c>
      <c r="CF107">
        <v>4</v>
      </c>
      <c r="CG107">
        <v>9.9000000000000005E-2</v>
      </c>
      <c r="CH107">
        <v>1.2E-2</v>
      </c>
      <c r="CI107">
        <v>-0.26300000000000001</v>
      </c>
      <c r="CJ107">
        <v>0.127</v>
      </c>
      <c r="CK107">
        <v>798</v>
      </c>
      <c r="CL107">
        <v>18</v>
      </c>
      <c r="CM107">
        <v>0.02</v>
      </c>
      <c r="CN107">
        <v>0.12</v>
      </c>
      <c r="CO107">
        <v>-242.17329268292681</v>
      </c>
      <c r="CP107">
        <v>-21.686843205575109</v>
      </c>
      <c r="CQ107">
        <v>2.1386008674912378</v>
      </c>
      <c r="CR107">
        <v>-1</v>
      </c>
      <c r="CS107">
        <v>13.340048780487811</v>
      </c>
      <c r="CT107">
        <v>0.73825296167245102</v>
      </c>
      <c r="CU107">
        <v>7.7135181059289598E-2</v>
      </c>
      <c r="CV107">
        <v>-1</v>
      </c>
      <c r="CW107">
        <v>0</v>
      </c>
      <c r="CX107">
        <v>0</v>
      </c>
      <c r="CY107" t="s">
        <v>333</v>
      </c>
      <c r="CZ107">
        <v>2.3648699999999998</v>
      </c>
      <c r="DA107">
        <v>2.7138</v>
      </c>
      <c r="DB107">
        <v>0.113385</v>
      </c>
      <c r="DC107">
        <v>0.14558099999999999</v>
      </c>
      <c r="DD107">
        <v>0.10644099999999999</v>
      </c>
      <c r="DE107">
        <v>5.1680900000000002E-2</v>
      </c>
      <c r="DF107">
        <v>32373.8</v>
      </c>
      <c r="DG107">
        <v>27534.1</v>
      </c>
      <c r="DH107">
        <v>31172</v>
      </c>
      <c r="DI107">
        <v>28080.1</v>
      </c>
      <c r="DJ107">
        <v>37816.1</v>
      </c>
      <c r="DK107">
        <v>37867.599999999999</v>
      </c>
      <c r="DL107">
        <v>44361.2</v>
      </c>
      <c r="DM107">
        <v>42559.9</v>
      </c>
      <c r="DN107">
        <v>1.4694199999999999</v>
      </c>
      <c r="DO107">
        <v>2.0409299999999999</v>
      </c>
      <c r="DP107">
        <v>0.179172</v>
      </c>
      <c r="DQ107">
        <v>0.155695</v>
      </c>
      <c r="DR107">
        <v>24.044899999999998</v>
      </c>
      <c r="DS107">
        <v>23.986599999999999</v>
      </c>
      <c r="DT107">
        <v>51.5</v>
      </c>
      <c r="DU107">
        <v>28.7</v>
      </c>
      <c r="DV107">
        <v>20.625</v>
      </c>
      <c r="DW107">
        <v>61.143000000000001</v>
      </c>
      <c r="DX107">
        <v>36.193899999999999</v>
      </c>
      <c r="DY107">
        <v>1</v>
      </c>
      <c r="DZ107">
        <v>-8.9260699999999998E-2</v>
      </c>
      <c r="EA107">
        <v>1.0549999999999999</v>
      </c>
      <c r="EB107">
        <v>20.185199999999998</v>
      </c>
      <c r="EC107">
        <v>5.2403500000000003</v>
      </c>
      <c r="ED107">
        <v>12.039899999999999</v>
      </c>
      <c r="EE107">
        <v>5.01675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1.8689100000000001</v>
      </c>
      <c r="EL107">
        <v>1.8646199999999999</v>
      </c>
      <c r="EM107">
        <v>1.8692</v>
      </c>
      <c r="EN107">
        <v>1.8672899999999999</v>
      </c>
      <c r="EO107">
        <v>1.8633999999999999</v>
      </c>
      <c r="EP107">
        <v>1.8644700000000001</v>
      </c>
      <c r="EQ107">
        <v>1.8701700000000001</v>
      </c>
      <c r="ER107">
        <v>1.8694200000000001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-9.0999999999999998E-2</v>
      </c>
      <c r="FG107">
        <v>0.17519999999999999</v>
      </c>
      <c r="FH107">
        <v>0.28746640474027818</v>
      </c>
      <c r="FI107">
        <v>-6.1462078757559423E-4</v>
      </c>
      <c r="FJ107">
        <v>-1.8861989874597051E-7</v>
      </c>
      <c r="FK107">
        <v>1.1980462299894961E-10</v>
      </c>
      <c r="FL107">
        <v>0.17524818673008091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24.4</v>
      </c>
      <c r="FU107">
        <v>24.5</v>
      </c>
      <c r="FV107">
        <v>1.7785599999999999</v>
      </c>
      <c r="FW107">
        <v>2.5781200000000002</v>
      </c>
      <c r="FX107">
        <v>1.5490699999999999</v>
      </c>
      <c r="FY107">
        <v>2.3303199999999999</v>
      </c>
      <c r="FZ107">
        <v>1.50146</v>
      </c>
      <c r="GA107">
        <v>2.36938</v>
      </c>
      <c r="GB107">
        <v>33.580399999999997</v>
      </c>
      <c r="GC107">
        <v>23.982399999999998</v>
      </c>
      <c r="GD107">
        <v>19</v>
      </c>
      <c r="GE107">
        <v>280.20100000000002</v>
      </c>
      <c r="GF107">
        <v>587.48699999999997</v>
      </c>
      <c r="GG107">
        <v>22.221599999999999</v>
      </c>
      <c r="GH107">
        <v>26.235600000000002</v>
      </c>
      <c r="GI107">
        <v>29.999500000000001</v>
      </c>
      <c r="GJ107">
        <v>26.396999999999998</v>
      </c>
      <c r="GK107">
        <v>26.387499999999999</v>
      </c>
      <c r="GL107">
        <v>35.561300000000003</v>
      </c>
      <c r="GM107">
        <v>58.896099999999997</v>
      </c>
      <c r="GN107">
        <v>69.225800000000007</v>
      </c>
      <c r="GO107">
        <v>22.240200000000002</v>
      </c>
      <c r="GP107">
        <v>800</v>
      </c>
      <c r="GQ107">
        <v>8.3347300000000004</v>
      </c>
      <c r="GR107">
        <v>99.737700000000004</v>
      </c>
      <c r="GS107">
        <v>99.562299999999993</v>
      </c>
    </row>
    <row r="108" spans="1:201" x14ac:dyDescent="0.25">
      <c r="A108">
        <v>92</v>
      </c>
      <c r="B108">
        <v>1690383436</v>
      </c>
      <c r="C108">
        <v>960.90000009536743</v>
      </c>
      <c r="D108" t="s">
        <v>515</v>
      </c>
      <c r="E108" t="s">
        <v>516</v>
      </c>
      <c r="F108" t="s">
        <v>330</v>
      </c>
      <c r="H108">
        <v>1690383436</v>
      </c>
      <c r="I108">
        <f t="shared" si="30"/>
        <v>1.2829868848246082E-3</v>
      </c>
      <c r="J108">
        <f t="shared" si="31"/>
        <v>1.2829868848246082</v>
      </c>
      <c r="K108">
        <f t="shared" si="32"/>
        <v>22.213000965033029</v>
      </c>
      <c r="L108">
        <f t="shared" si="33"/>
        <v>550.41399999999999</v>
      </c>
      <c r="M108">
        <f t="shared" si="34"/>
        <v>155.6998670632307</v>
      </c>
      <c r="N108">
        <f t="shared" si="35"/>
        <v>15.381839921163062</v>
      </c>
      <c r="O108">
        <f t="shared" si="36"/>
        <v>54.376283024883989</v>
      </c>
      <c r="P108">
        <f t="shared" si="37"/>
        <v>9.3816787792594711E-2</v>
      </c>
      <c r="Q108">
        <f t="shared" si="38"/>
        <v>2.1113956911475862</v>
      </c>
      <c r="R108">
        <f t="shared" si="39"/>
        <v>9.1560955153577595E-2</v>
      </c>
      <c r="S108">
        <f t="shared" si="40"/>
        <v>5.7423756812836055E-2</v>
      </c>
      <c r="T108">
        <f t="shared" si="41"/>
        <v>276.11480606233306</v>
      </c>
      <c r="U108">
        <f t="shared" si="42"/>
        <v>26.680326450382513</v>
      </c>
      <c r="V108">
        <f t="shared" si="43"/>
        <v>26.680326450382513</v>
      </c>
      <c r="W108">
        <f t="shared" si="44"/>
        <v>3.5125083320060155</v>
      </c>
      <c r="X108">
        <f t="shared" si="45"/>
        <v>68.479719704658024</v>
      </c>
      <c r="Y108">
        <f t="shared" si="46"/>
        <v>2.1680015519911997</v>
      </c>
      <c r="Z108">
        <f t="shared" si="47"/>
        <v>3.1659030751607049</v>
      </c>
      <c r="AA108">
        <f t="shared" si="48"/>
        <v>1.3445067800148158</v>
      </c>
      <c r="AB108">
        <f t="shared" si="49"/>
        <v>-56.57972162076522</v>
      </c>
      <c r="AC108">
        <f t="shared" si="50"/>
        <v>-199.55762036248615</v>
      </c>
      <c r="AD108">
        <f t="shared" si="51"/>
        <v>-20.154490292541571</v>
      </c>
      <c r="AE108">
        <f t="shared" si="52"/>
        <v>-0.17702621345986813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52608.367218406143</v>
      </c>
      <c r="AK108">
        <f t="shared" si="56"/>
        <v>1799.99</v>
      </c>
      <c r="AL108">
        <f t="shared" si="57"/>
        <v>1499.1045427951599</v>
      </c>
      <c r="AM108">
        <f t="shared" si="58"/>
        <v>0.83284048399999988</v>
      </c>
      <c r="AN108">
        <f t="shared" si="59"/>
        <v>0.15339796668999997</v>
      </c>
      <c r="AO108">
        <v>32.700000000000003</v>
      </c>
      <c r="AP108">
        <v>0.5</v>
      </c>
      <c r="AQ108" t="s">
        <v>331</v>
      </c>
      <c r="AR108">
        <v>2</v>
      </c>
      <c r="AS108">
        <v>1690383436</v>
      </c>
      <c r="AT108">
        <v>550.41399999999999</v>
      </c>
      <c r="AU108">
        <v>800.10400000000004</v>
      </c>
      <c r="AV108">
        <v>21.9452</v>
      </c>
      <c r="AW108">
        <v>8.2745999999999995</v>
      </c>
      <c r="AX108">
        <v>550.50199999999995</v>
      </c>
      <c r="AY108">
        <v>21.7699</v>
      </c>
      <c r="AZ108">
        <v>300.15499999999997</v>
      </c>
      <c r="BA108">
        <v>98.691599999999994</v>
      </c>
      <c r="BB108">
        <v>0.100006</v>
      </c>
      <c r="BC108">
        <v>24.927199999999999</v>
      </c>
      <c r="BD108">
        <v>26.930800000000001</v>
      </c>
      <c r="BE108">
        <v>26.524699999999999</v>
      </c>
      <c r="BF108">
        <v>0</v>
      </c>
      <c r="BG108">
        <v>0</v>
      </c>
      <c r="BH108">
        <v>10011.9</v>
      </c>
      <c r="BI108">
        <v>1050.75</v>
      </c>
      <c r="BJ108">
        <v>2.2987099999999998</v>
      </c>
      <c r="BK108">
        <v>-249.69</v>
      </c>
      <c r="BL108">
        <v>562.76400000000001</v>
      </c>
      <c r="BM108">
        <v>806.78</v>
      </c>
      <c r="BN108">
        <v>13.6706</v>
      </c>
      <c r="BO108">
        <v>800.10400000000004</v>
      </c>
      <c r="BP108">
        <v>8.2745999999999995</v>
      </c>
      <c r="BQ108">
        <v>2.1657999999999999</v>
      </c>
      <c r="BR108">
        <v>0.81663399999999997</v>
      </c>
      <c r="BS108">
        <v>18.711600000000001</v>
      </c>
      <c r="BT108">
        <v>3.9997699999999998</v>
      </c>
      <c r="BU108">
        <v>1799.99</v>
      </c>
      <c r="BV108">
        <v>0.90998999999999997</v>
      </c>
      <c r="BW108">
        <v>3.3994400000000001E-2</v>
      </c>
      <c r="BX108">
        <v>2.2006700000000001E-2</v>
      </c>
      <c r="BY108">
        <v>3.4009299999999999E-2</v>
      </c>
      <c r="BZ108">
        <v>26</v>
      </c>
      <c r="CA108">
        <v>33528.199999999997</v>
      </c>
      <c r="CB108">
        <v>1690381960.0999999</v>
      </c>
      <c r="CC108" t="s">
        <v>332</v>
      </c>
      <c r="CD108">
        <v>1690381960.0999999</v>
      </c>
      <c r="CE108">
        <v>1690381958.0999999</v>
      </c>
      <c r="CF108">
        <v>4</v>
      </c>
      <c r="CG108">
        <v>9.9000000000000005E-2</v>
      </c>
      <c r="CH108">
        <v>1.2E-2</v>
      </c>
      <c r="CI108">
        <v>-0.26300000000000001</v>
      </c>
      <c r="CJ108">
        <v>0.127</v>
      </c>
      <c r="CK108">
        <v>798</v>
      </c>
      <c r="CL108">
        <v>18</v>
      </c>
      <c r="CM108">
        <v>0.02</v>
      </c>
      <c r="CN108">
        <v>0.12</v>
      </c>
      <c r="CO108">
        <v>-245.68147500000001</v>
      </c>
      <c r="CP108">
        <v>-21.428454033771061</v>
      </c>
      <c r="CQ108">
        <v>2.061498993299538</v>
      </c>
      <c r="CR108">
        <v>-1</v>
      </c>
      <c r="CS108">
        <v>13.474707499999999</v>
      </c>
      <c r="CT108">
        <v>0.86070731707318038</v>
      </c>
      <c r="CU108">
        <v>8.5812742024422031E-2</v>
      </c>
      <c r="CV108">
        <v>-1</v>
      </c>
      <c r="CW108">
        <v>0</v>
      </c>
      <c r="CX108">
        <v>0</v>
      </c>
      <c r="CY108" t="s">
        <v>333</v>
      </c>
      <c r="CZ108">
        <v>2.3645800000000001</v>
      </c>
      <c r="DA108">
        <v>2.7138100000000001</v>
      </c>
      <c r="DB108">
        <v>0.11286400000000001</v>
      </c>
      <c r="DC108">
        <v>0.14557400000000001</v>
      </c>
      <c r="DD108">
        <v>0.106514</v>
      </c>
      <c r="DE108">
        <v>5.0847099999999999E-2</v>
      </c>
      <c r="DF108">
        <v>32393.7</v>
      </c>
      <c r="DG108">
        <v>27535.3</v>
      </c>
      <c r="DH108">
        <v>31172.9</v>
      </c>
      <c r="DI108">
        <v>28081.1</v>
      </c>
      <c r="DJ108">
        <v>37813.9</v>
      </c>
      <c r="DK108">
        <v>37902.400000000001</v>
      </c>
      <c r="DL108">
        <v>44362.3</v>
      </c>
      <c r="DM108">
        <v>42561.5</v>
      </c>
      <c r="DN108">
        <v>1.4694199999999999</v>
      </c>
      <c r="DO108">
        <v>2.0407199999999999</v>
      </c>
      <c r="DP108">
        <v>0.176013</v>
      </c>
      <c r="DQ108">
        <v>0.15465200000000001</v>
      </c>
      <c r="DR108">
        <v>24.045200000000001</v>
      </c>
      <c r="DS108">
        <v>23.988299999999999</v>
      </c>
      <c r="DT108">
        <v>51.1</v>
      </c>
      <c r="DU108">
        <v>28.7</v>
      </c>
      <c r="DV108">
        <v>20.4665</v>
      </c>
      <c r="DW108">
        <v>60.563000000000002</v>
      </c>
      <c r="DX108">
        <v>36.173900000000003</v>
      </c>
      <c r="DY108">
        <v>1</v>
      </c>
      <c r="DZ108">
        <v>-8.9618900000000001E-2</v>
      </c>
      <c r="EA108">
        <v>0.82378499999999999</v>
      </c>
      <c r="EB108">
        <v>20.187100000000001</v>
      </c>
      <c r="EC108">
        <v>5.2406499999999996</v>
      </c>
      <c r="ED108">
        <v>12.039899999999999</v>
      </c>
      <c r="EE108">
        <v>5.0171000000000001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</v>
      </c>
      <c r="EL108">
        <v>1.8646199999999999</v>
      </c>
      <c r="EM108">
        <v>1.8692</v>
      </c>
      <c r="EN108">
        <v>1.86724</v>
      </c>
      <c r="EO108">
        <v>1.86338</v>
      </c>
      <c r="EP108">
        <v>1.8644700000000001</v>
      </c>
      <c r="EQ108">
        <v>1.8701300000000001</v>
      </c>
      <c r="ER108">
        <v>1.86938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-8.7999999999999995E-2</v>
      </c>
      <c r="FG108">
        <v>0.17530000000000001</v>
      </c>
      <c r="FH108">
        <v>0.28746640474027818</v>
      </c>
      <c r="FI108">
        <v>-6.1462078757559423E-4</v>
      </c>
      <c r="FJ108">
        <v>-1.8861989874597051E-7</v>
      </c>
      <c r="FK108">
        <v>1.1980462299894961E-10</v>
      </c>
      <c r="FL108">
        <v>0.17524818673008091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24.6</v>
      </c>
      <c r="FU108">
        <v>24.6</v>
      </c>
      <c r="FV108">
        <v>1.7785599999999999</v>
      </c>
      <c r="FW108">
        <v>2.5817899999999998</v>
      </c>
      <c r="FX108">
        <v>1.5490699999999999</v>
      </c>
      <c r="FY108">
        <v>2.3303199999999999</v>
      </c>
      <c r="FZ108">
        <v>1.50146</v>
      </c>
      <c r="GA108">
        <v>2.3828100000000001</v>
      </c>
      <c r="GB108">
        <v>33.580399999999997</v>
      </c>
      <c r="GC108">
        <v>23.982399999999998</v>
      </c>
      <c r="GD108">
        <v>19</v>
      </c>
      <c r="GE108">
        <v>280.18400000000003</v>
      </c>
      <c r="GF108">
        <v>587.28</v>
      </c>
      <c r="GG108">
        <v>22.241499999999998</v>
      </c>
      <c r="GH108">
        <v>26.23</v>
      </c>
      <c r="GI108">
        <v>29.9999</v>
      </c>
      <c r="GJ108">
        <v>26.3932</v>
      </c>
      <c r="GK108">
        <v>26.383900000000001</v>
      </c>
      <c r="GL108">
        <v>35.554299999999998</v>
      </c>
      <c r="GM108">
        <v>59.446599999999997</v>
      </c>
      <c r="GN108">
        <v>68.448899999999995</v>
      </c>
      <c r="GO108">
        <v>22.298999999999999</v>
      </c>
      <c r="GP108">
        <v>800</v>
      </c>
      <c r="GQ108">
        <v>8.1275300000000001</v>
      </c>
      <c r="GR108">
        <v>99.740399999999994</v>
      </c>
      <c r="GS108">
        <v>99.565899999999999</v>
      </c>
    </row>
    <row r="109" spans="1:201" x14ac:dyDescent="0.25">
      <c r="A109">
        <v>93</v>
      </c>
      <c r="B109">
        <v>1690383446</v>
      </c>
      <c r="C109">
        <v>970.90000009536743</v>
      </c>
      <c r="D109" t="s">
        <v>517</v>
      </c>
      <c r="E109" t="s">
        <v>518</v>
      </c>
      <c r="F109" t="s">
        <v>330</v>
      </c>
      <c r="H109">
        <v>1690383446</v>
      </c>
      <c r="I109">
        <f t="shared" si="30"/>
        <v>1.3083441170185426E-3</v>
      </c>
      <c r="J109">
        <f t="shared" si="31"/>
        <v>1.3083441170185426</v>
      </c>
      <c r="K109">
        <f t="shared" si="32"/>
        <v>22.510002667075359</v>
      </c>
      <c r="L109">
        <f t="shared" si="33"/>
        <v>547.01400000000001</v>
      </c>
      <c r="M109">
        <f t="shared" si="34"/>
        <v>156.34488341902892</v>
      </c>
      <c r="N109">
        <f t="shared" si="35"/>
        <v>15.444871547498575</v>
      </c>
      <c r="O109">
        <f t="shared" si="36"/>
        <v>54.037975403646001</v>
      </c>
      <c r="P109">
        <f t="shared" si="37"/>
        <v>9.6108732359798874E-2</v>
      </c>
      <c r="Q109">
        <f t="shared" si="38"/>
        <v>2.1111964236192868</v>
      </c>
      <c r="R109">
        <f t="shared" si="39"/>
        <v>9.3742613062165123E-2</v>
      </c>
      <c r="S109">
        <f t="shared" si="40"/>
        <v>5.8796867786070614E-2</v>
      </c>
      <c r="T109">
        <f t="shared" si="41"/>
        <v>276.11607637799995</v>
      </c>
      <c r="U109">
        <f t="shared" si="42"/>
        <v>26.675849402662511</v>
      </c>
      <c r="V109">
        <f t="shared" si="43"/>
        <v>26.675849402662511</v>
      </c>
      <c r="W109">
        <f t="shared" si="44"/>
        <v>3.5115826235756029</v>
      </c>
      <c r="X109">
        <f t="shared" si="45"/>
        <v>68.604155024210925</v>
      </c>
      <c r="Y109">
        <f t="shared" si="46"/>
        <v>2.1724982243313002</v>
      </c>
      <c r="Z109">
        <f t="shared" si="47"/>
        <v>3.1667152282024453</v>
      </c>
      <c r="AA109">
        <f t="shared" si="48"/>
        <v>1.3390843992443027</v>
      </c>
      <c r="AB109">
        <f t="shared" si="49"/>
        <v>-57.697975560517726</v>
      </c>
      <c r="AC109">
        <f t="shared" si="50"/>
        <v>-198.53979345255178</v>
      </c>
      <c r="AD109">
        <f t="shared" si="51"/>
        <v>-20.05356705842329</v>
      </c>
      <c r="AE109">
        <f t="shared" si="52"/>
        <v>-0.17525969349287607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52598.766265098122</v>
      </c>
      <c r="AK109">
        <f t="shared" si="56"/>
        <v>1800</v>
      </c>
      <c r="AL109">
        <f t="shared" si="57"/>
        <v>1499.1120647999999</v>
      </c>
      <c r="AM109">
        <f t="shared" si="58"/>
        <v>0.83284003599999989</v>
      </c>
      <c r="AN109">
        <f t="shared" si="59"/>
        <v>0.15339782020999998</v>
      </c>
      <c r="AO109">
        <v>32.700000000000003</v>
      </c>
      <c r="AP109">
        <v>0.5</v>
      </c>
      <c r="AQ109" t="s">
        <v>331</v>
      </c>
      <c r="AR109">
        <v>2</v>
      </c>
      <c r="AS109">
        <v>1690383446</v>
      </c>
      <c r="AT109">
        <v>547.01400000000001</v>
      </c>
      <c r="AU109">
        <v>800.06600000000003</v>
      </c>
      <c r="AV109">
        <v>21.991700000000002</v>
      </c>
      <c r="AW109">
        <v>8.0503199999999993</v>
      </c>
      <c r="AX109">
        <v>547.1</v>
      </c>
      <c r="AY109">
        <v>21.816500000000001</v>
      </c>
      <c r="AZ109">
        <v>300.12799999999999</v>
      </c>
      <c r="BA109">
        <v>98.687299999999993</v>
      </c>
      <c r="BB109">
        <v>9.9889000000000006E-2</v>
      </c>
      <c r="BC109">
        <v>24.9315</v>
      </c>
      <c r="BD109">
        <v>26.926600000000001</v>
      </c>
      <c r="BE109">
        <v>26.507400000000001</v>
      </c>
      <c r="BF109">
        <v>0</v>
      </c>
      <c r="BG109">
        <v>0</v>
      </c>
      <c r="BH109">
        <v>10010.6</v>
      </c>
      <c r="BI109">
        <v>1050.99</v>
      </c>
      <c r="BJ109">
        <v>2.3547799999999999</v>
      </c>
      <c r="BK109">
        <v>-253.05199999999999</v>
      </c>
      <c r="BL109">
        <v>559.31500000000005</v>
      </c>
      <c r="BM109">
        <v>806.55899999999997</v>
      </c>
      <c r="BN109">
        <v>13.9414</v>
      </c>
      <c r="BO109">
        <v>800.06600000000003</v>
      </c>
      <c r="BP109">
        <v>8.0503199999999993</v>
      </c>
      <c r="BQ109">
        <v>2.1703000000000001</v>
      </c>
      <c r="BR109">
        <v>0.79446399999999995</v>
      </c>
      <c r="BS109">
        <v>18.744800000000001</v>
      </c>
      <c r="BT109">
        <v>3.6087799999999999</v>
      </c>
      <c r="BU109">
        <v>1800</v>
      </c>
      <c r="BV109">
        <v>0.90999099999999999</v>
      </c>
      <c r="BW109">
        <v>3.3993700000000002E-2</v>
      </c>
      <c r="BX109">
        <v>2.2006299999999999E-2</v>
      </c>
      <c r="BY109">
        <v>3.4008700000000003E-2</v>
      </c>
      <c r="BZ109">
        <v>26</v>
      </c>
      <c r="CA109">
        <v>33528.300000000003</v>
      </c>
      <c r="CB109">
        <v>1690381960.0999999</v>
      </c>
      <c r="CC109" t="s">
        <v>332</v>
      </c>
      <c r="CD109">
        <v>1690381960.0999999</v>
      </c>
      <c r="CE109">
        <v>1690381958.0999999</v>
      </c>
      <c r="CF109">
        <v>4</v>
      </c>
      <c r="CG109">
        <v>9.9000000000000005E-2</v>
      </c>
      <c r="CH109">
        <v>1.2E-2</v>
      </c>
      <c r="CI109">
        <v>-0.26300000000000001</v>
      </c>
      <c r="CJ109">
        <v>0.127</v>
      </c>
      <c r="CK109">
        <v>798</v>
      </c>
      <c r="CL109">
        <v>18</v>
      </c>
      <c r="CM109">
        <v>0.02</v>
      </c>
      <c r="CN109">
        <v>0.12</v>
      </c>
      <c r="CO109">
        <v>-249.2355</v>
      </c>
      <c r="CP109">
        <v>-21.117996247653931</v>
      </c>
      <c r="CQ109">
        <v>2.031632545516044</v>
      </c>
      <c r="CR109">
        <v>-1</v>
      </c>
      <c r="CS109">
        <v>13.658785</v>
      </c>
      <c r="CT109">
        <v>1.307007129455857</v>
      </c>
      <c r="CU109">
        <v>0.12671868163376721</v>
      </c>
      <c r="CV109">
        <v>-1</v>
      </c>
      <c r="CW109">
        <v>0</v>
      </c>
      <c r="CX109">
        <v>0</v>
      </c>
      <c r="CY109" t="s">
        <v>333</v>
      </c>
      <c r="CZ109">
        <v>2.3645200000000002</v>
      </c>
      <c r="DA109">
        <v>2.7136900000000002</v>
      </c>
      <c r="DB109">
        <v>0.11236</v>
      </c>
      <c r="DC109">
        <v>0.14555999999999999</v>
      </c>
      <c r="DD109">
        <v>0.106672</v>
      </c>
      <c r="DE109">
        <v>4.9756399999999999E-2</v>
      </c>
      <c r="DF109">
        <v>32412.400000000001</v>
      </c>
      <c r="DG109">
        <v>27536.3</v>
      </c>
      <c r="DH109">
        <v>31173.1</v>
      </c>
      <c r="DI109">
        <v>28081.599999999999</v>
      </c>
      <c r="DJ109">
        <v>37807.599999999999</v>
      </c>
      <c r="DK109">
        <v>37946.5</v>
      </c>
      <c r="DL109">
        <v>44362.9</v>
      </c>
      <c r="DM109">
        <v>42562</v>
      </c>
      <c r="DN109">
        <v>1.46983</v>
      </c>
      <c r="DO109">
        <v>2.04067</v>
      </c>
      <c r="DP109">
        <v>0.17577400000000001</v>
      </c>
      <c r="DQ109">
        <v>0.15359400000000001</v>
      </c>
      <c r="DR109">
        <v>24.044899999999998</v>
      </c>
      <c r="DS109">
        <v>23.988299999999999</v>
      </c>
      <c r="DT109">
        <v>50.8</v>
      </c>
      <c r="DU109">
        <v>28.7</v>
      </c>
      <c r="DV109">
        <v>20.348800000000001</v>
      </c>
      <c r="DW109">
        <v>60.762999999999998</v>
      </c>
      <c r="DX109">
        <v>36.2059</v>
      </c>
      <c r="DY109">
        <v>1</v>
      </c>
      <c r="DZ109">
        <v>-9.0912099999999996E-2</v>
      </c>
      <c r="EA109">
        <v>0.62710500000000002</v>
      </c>
      <c r="EB109">
        <v>20.188500000000001</v>
      </c>
      <c r="EC109">
        <v>5.24125</v>
      </c>
      <c r="ED109">
        <v>12.039899999999999</v>
      </c>
      <c r="EE109">
        <v>5.0171999999999999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</v>
      </c>
      <c r="EL109">
        <v>1.8646199999999999</v>
      </c>
      <c r="EM109">
        <v>1.86921</v>
      </c>
      <c r="EN109">
        <v>1.8672299999999999</v>
      </c>
      <c r="EO109">
        <v>1.8633999999999999</v>
      </c>
      <c r="EP109">
        <v>1.8644700000000001</v>
      </c>
      <c r="EQ109">
        <v>1.8701700000000001</v>
      </c>
      <c r="ER109">
        <v>1.8694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-8.5999999999999993E-2</v>
      </c>
      <c r="FG109">
        <v>0.17519999999999999</v>
      </c>
      <c r="FH109">
        <v>0.28746640474027818</v>
      </c>
      <c r="FI109">
        <v>-6.1462078757559423E-4</v>
      </c>
      <c r="FJ109">
        <v>-1.8861989874597051E-7</v>
      </c>
      <c r="FK109">
        <v>1.1980462299894961E-10</v>
      </c>
      <c r="FL109">
        <v>0.17524818673008091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24.8</v>
      </c>
      <c r="FU109">
        <v>24.8</v>
      </c>
      <c r="FV109">
        <v>1.7773399999999999</v>
      </c>
      <c r="FW109">
        <v>2.5744600000000002</v>
      </c>
      <c r="FX109">
        <v>1.5490699999999999</v>
      </c>
      <c r="FY109">
        <v>2.3303199999999999</v>
      </c>
      <c r="FZ109">
        <v>1.50146</v>
      </c>
      <c r="GA109">
        <v>2.3938000000000001</v>
      </c>
      <c r="GB109">
        <v>33.580399999999997</v>
      </c>
      <c r="GC109">
        <v>23.982399999999998</v>
      </c>
      <c r="GD109">
        <v>19</v>
      </c>
      <c r="GE109">
        <v>280.339</v>
      </c>
      <c r="GF109">
        <v>587.19500000000005</v>
      </c>
      <c r="GG109">
        <v>22.342400000000001</v>
      </c>
      <c r="GH109">
        <v>26.225000000000001</v>
      </c>
      <c r="GI109">
        <v>29.999600000000001</v>
      </c>
      <c r="GJ109">
        <v>26.389800000000001</v>
      </c>
      <c r="GK109">
        <v>26.38</v>
      </c>
      <c r="GL109">
        <v>35.5486</v>
      </c>
      <c r="GM109">
        <v>60.033000000000001</v>
      </c>
      <c r="GN109">
        <v>67.692899999999995</v>
      </c>
      <c r="GO109">
        <v>22.392700000000001</v>
      </c>
      <c r="GP109">
        <v>800</v>
      </c>
      <c r="GQ109">
        <v>7.9033699999999998</v>
      </c>
      <c r="GR109">
        <v>99.741600000000005</v>
      </c>
      <c r="GS109">
        <v>99.567300000000003</v>
      </c>
    </row>
    <row r="110" spans="1:201" x14ac:dyDescent="0.25">
      <c r="A110">
        <v>94</v>
      </c>
      <c r="B110">
        <v>1690383456</v>
      </c>
      <c r="C110">
        <v>980.90000009536743</v>
      </c>
      <c r="D110" t="s">
        <v>519</v>
      </c>
      <c r="E110" t="s">
        <v>520</v>
      </c>
      <c r="F110" t="s">
        <v>330</v>
      </c>
      <c r="H110">
        <v>1690383456</v>
      </c>
      <c r="I110">
        <f t="shared" si="30"/>
        <v>1.3337274808898425E-3</v>
      </c>
      <c r="J110">
        <f t="shared" si="31"/>
        <v>1.3337274808898425</v>
      </c>
      <c r="K110">
        <f t="shared" si="32"/>
        <v>22.8095700587244</v>
      </c>
      <c r="L110">
        <f t="shared" si="33"/>
        <v>543.60799999999995</v>
      </c>
      <c r="M110">
        <f t="shared" si="34"/>
        <v>156.44883389123882</v>
      </c>
      <c r="N110">
        <f t="shared" si="35"/>
        <v>15.455393202955035</v>
      </c>
      <c r="O110">
        <f t="shared" si="36"/>
        <v>53.702384219192801</v>
      </c>
      <c r="P110">
        <f t="shared" si="37"/>
        <v>9.832393559418702E-2</v>
      </c>
      <c r="Q110">
        <f t="shared" si="38"/>
        <v>2.1083445574306534</v>
      </c>
      <c r="R110">
        <f t="shared" si="39"/>
        <v>9.584574212336365E-2</v>
      </c>
      <c r="S110">
        <f t="shared" si="40"/>
        <v>6.0121042235529332E-2</v>
      </c>
      <c r="T110">
        <f t="shared" si="41"/>
        <v>276.116006196</v>
      </c>
      <c r="U110">
        <f t="shared" si="42"/>
        <v>26.678527307917602</v>
      </c>
      <c r="V110">
        <f t="shared" si="43"/>
        <v>26.678527307917602</v>
      </c>
      <c r="W110">
        <f t="shared" si="44"/>
        <v>3.5121363020261711</v>
      </c>
      <c r="X110">
        <f t="shared" si="45"/>
        <v>68.70858539226974</v>
      </c>
      <c r="Y110">
        <f t="shared" si="46"/>
        <v>2.1770385125929304</v>
      </c>
      <c r="Z110">
        <f t="shared" si="47"/>
        <v>3.1685101653073247</v>
      </c>
      <c r="AA110">
        <f t="shared" si="48"/>
        <v>1.3350977894332408</v>
      </c>
      <c r="AB110">
        <f t="shared" si="49"/>
        <v>-58.817381907242059</v>
      </c>
      <c r="AC110">
        <f t="shared" si="50"/>
        <v>-197.4961661745144</v>
      </c>
      <c r="AD110">
        <f t="shared" si="51"/>
        <v>-19.976358034472575</v>
      </c>
      <c r="AE110">
        <f t="shared" si="52"/>
        <v>-0.17389992022904721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52472.043488715353</v>
      </c>
      <c r="AK110">
        <f t="shared" si="56"/>
        <v>1800</v>
      </c>
      <c r="AL110">
        <f t="shared" si="57"/>
        <v>1499.1127595999999</v>
      </c>
      <c r="AM110">
        <f t="shared" si="58"/>
        <v>0.83284042199999997</v>
      </c>
      <c r="AN110">
        <f t="shared" si="59"/>
        <v>0.15339778122</v>
      </c>
      <c r="AO110">
        <v>32.700000000000003</v>
      </c>
      <c r="AP110">
        <v>0.5</v>
      </c>
      <c r="AQ110" t="s">
        <v>331</v>
      </c>
      <c r="AR110">
        <v>2</v>
      </c>
      <c r="AS110">
        <v>1690383456</v>
      </c>
      <c r="AT110">
        <v>543.60799999999995</v>
      </c>
      <c r="AU110">
        <v>800.11199999999997</v>
      </c>
      <c r="AV110">
        <v>22.037299999999998</v>
      </c>
      <c r="AW110">
        <v>7.8213200000000001</v>
      </c>
      <c r="AX110">
        <v>543.69100000000003</v>
      </c>
      <c r="AY110">
        <v>21.862100000000002</v>
      </c>
      <c r="AZ110">
        <v>300.02699999999999</v>
      </c>
      <c r="BA110">
        <v>98.688900000000004</v>
      </c>
      <c r="BB110">
        <v>9.9904099999999996E-2</v>
      </c>
      <c r="BC110">
        <v>24.940999999999999</v>
      </c>
      <c r="BD110">
        <v>26.856999999999999</v>
      </c>
      <c r="BE110">
        <v>26.5383</v>
      </c>
      <c r="BF110">
        <v>0</v>
      </c>
      <c r="BG110">
        <v>0</v>
      </c>
      <c r="BH110">
        <v>9985.6200000000008</v>
      </c>
      <c r="BI110">
        <v>1051.02</v>
      </c>
      <c r="BJ110">
        <v>2.3547799999999999</v>
      </c>
      <c r="BK110">
        <v>-256.50400000000002</v>
      </c>
      <c r="BL110">
        <v>555.85799999999995</v>
      </c>
      <c r="BM110">
        <v>806.42</v>
      </c>
      <c r="BN110">
        <v>14.215999999999999</v>
      </c>
      <c r="BO110">
        <v>800.11199999999997</v>
      </c>
      <c r="BP110">
        <v>7.8213200000000001</v>
      </c>
      <c r="BQ110">
        <v>2.1748400000000001</v>
      </c>
      <c r="BR110">
        <v>0.77187799999999995</v>
      </c>
      <c r="BS110">
        <v>18.778199999999998</v>
      </c>
      <c r="BT110">
        <v>3.20038</v>
      </c>
      <c r="BU110">
        <v>1800</v>
      </c>
      <c r="BV110">
        <v>0.90999399999999997</v>
      </c>
      <c r="BW110">
        <v>3.3992700000000001E-2</v>
      </c>
      <c r="BX110">
        <v>2.20056E-2</v>
      </c>
      <c r="BY110">
        <v>3.4007599999999999E-2</v>
      </c>
      <c r="BZ110">
        <v>26</v>
      </c>
      <c r="CA110">
        <v>33528.300000000003</v>
      </c>
      <c r="CB110">
        <v>1690381960.0999999</v>
      </c>
      <c r="CC110" t="s">
        <v>332</v>
      </c>
      <c r="CD110">
        <v>1690381960.0999999</v>
      </c>
      <c r="CE110">
        <v>1690381958.0999999</v>
      </c>
      <c r="CF110">
        <v>4</v>
      </c>
      <c r="CG110">
        <v>9.9000000000000005E-2</v>
      </c>
      <c r="CH110">
        <v>1.2E-2</v>
      </c>
      <c r="CI110">
        <v>-0.26300000000000001</v>
      </c>
      <c r="CJ110">
        <v>0.127</v>
      </c>
      <c r="CK110">
        <v>798</v>
      </c>
      <c r="CL110">
        <v>18</v>
      </c>
      <c r="CM110">
        <v>0.02</v>
      </c>
      <c r="CN110">
        <v>0.12</v>
      </c>
      <c r="CO110">
        <v>-252.7735609756098</v>
      </c>
      <c r="CP110">
        <v>-20.359191637631209</v>
      </c>
      <c r="CQ110">
        <v>2.0077525847085629</v>
      </c>
      <c r="CR110">
        <v>-1</v>
      </c>
      <c r="CS110">
        <v>13.912802439024389</v>
      </c>
      <c r="CT110">
        <v>1.675352613240437</v>
      </c>
      <c r="CU110">
        <v>0.16531115891658321</v>
      </c>
      <c r="CV110">
        <v>-1</v>
      </c>
      <c r="CW110">
        <v>0</v>
      </c>
      <c r="CX110">
        <v>0</v>
      </c>
      <c r="CY110" t="s">
        <v>333</v>
      </c>
      <c r="CZ110">
        <v>2.3641800000000002</v>
      </c>
      <c r="DA110">
        <v>2.7136800000000001</v>
      </c>
      <c r="DB110">
        <v>0.111863</v>
      </c>
      <c r="DC110">
        <v>0.145568</v>
      </c>
      <c r="DD110">
        <v>0.106834</v>
      </c>
      <c r="DE110">
        <v>4.8636199999999997E-2</v>
      </c>
      <c r="DF110">
        <v>32431.1</v>
      </c>
      <c r="DG110">
        <v>27536.3</v>
      </c>
      <c r="DH110">
        <v>31173.599999999999</v>
      </c>
      <c r="DI110">
        <v>28082</v>
      </c>
      <c r="DJ110">
        <v>37801.300000000003</v>
      </c>
      <c r="DK110">
        <v>37991.9</v>
      </c>
      <c r="DL110">
        <v>44363.7</v>
      </c>
      <c r="DM110">
        <v>42562.6</v>
      </c>
      <c r="DN110">
        <v>1.46967</v>
      </c>
      <c r="DO110">
        <v>2.0402499999999999</v>
      </c>
      <c r="DP110">
        <v>0.171594</v>
      </c>
      <c r="DQ110">
        <v>0.15560499999999999</v>
      </c>
      <c r="DR110">
        <v>24.043600000000001</v>
      </c>
      <c r="DS110">
        <v>23.9863</v>
      </c>
      <c r="DT110">
        <v>50.5</v>
      </c>
      <c r="DU110">
        <v>28.7</v>
      </c>
      <c r="DV110">
        <v>20.226400000000002</v>
      </c>
      <c r="DW110">
        <v>60.813000000000002</v>
      </c>
      <c r="DX110">
        <v>36.474400000000003</v>
      </c>
      <c r="DY110">
        <v>1</v>
      </c>
      <c r="DZ110">
        <v>-9.14634E-2</v>
      </c>
      <c r="EA110">
        <v>0.497309</v>
      </c>
      <c r="EB110">
        <v>20.188800000000001</v>
      </c>
      <c r="EC110">
        <v>5.2404999999999999</v>
      </c>
      <c r="ED110">
        <v>12.039899999999999</v>
      </c>
      <c r="EE110">
        <v>5.0162000000000004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</v>
      </c>
      <c r="EL110">
        <v>1.8646199999999999</v>
      </c>
      <c r="EM110">
        <v>1.86921</v>
      </c>
      <c r="EN110">
        <v>1.86724</v>
      </c>
      <c r="EO110">
        <v>1.8633999999999999</v>
      </c>
      <c r="EP110">
        <v>1.86446</v>
      </c>
      <c r="EQ110">
        <v>1.8701700000000001</v>
      </c>
      <c r="ER110">
        <v>1.86937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-8.3000000000000004E-2</v>
      </c>
      <c r="FG110">
        <v>0.17519999999999999</v>
      </c>
      <c r="FH110">
        <v>0.28746640474027818</v>
      </c>
      <c r="FI110">
        <v>-6.1462078757559423E-4</v>
      </c>
      <c r="FJ110">
        <v>-1.8861989874597051E-7</v>
      </c>
      <c r="FK110">
        <v>1.1980462299894961E-10</v>
      </c>
      <c r="FL110">
        <v>0.17524818673008091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24.9</v>
      </c>
      <c r="FU110">
        <v>25</v>
      </c>
      <c r="FV110">
        <v>1.7773399999999999</v>
      </c>
      <c r="FW110">
        <v>2.5708000000000002</v>
      </c>
      <c r="FX110">
        <v>1.5490699999999999</v>
      </c>
      <c r="FY110">
        <v>2.3303199999999999</v>
      </c>
      <c r="FZ110">
        <v>1.50146</v>
      </c>
      <c r="GA110">
        <v>2.36694</v>
      </c>
      <c r="GB110">
        <v>33.580399999999997</v>
      </c>
      <c r="GC110">
        <v>23.991199999999999</v>
      </c>
      <c r="GD110">
        <v>19</v>
      </c>
      <c r="GE110">
        <v>280.25799999999998</v>
      </c>
      <c r="GF110">
        <v>586.798</v>
      </c>
      <c r="GG110">
        <v>22.453499999999998</v>
      </c>
      <c r="GH110">
        <v>26.220099999999999</v>
      </c>
      <c r="GI110">
        <v>29.9999</v>
      </c>
      <c r="GJ110">
        <v>26.3858</v>
      </c>
      <c r="GK110">
        <v>26.376200000000001</v>
      </c>
      <c r="GL110">
        <v>35.540300000000002</v>
      </c>
      <c r="GM110">
        <v>60.604500000000002</v>
      </c>
      <c r="GN110">
        <v>66.926699999999997</v>
      </c>
      <c r="GO110">
        <v>22.5336</v>
      </c>
      <c r="GP110">
        <v>800</v>
      </c>
      <c r="GQ110">
        <v>7.6696900000000001</v>
      </c>
      <c r="GR110">
        <v>99.743200000000002</v>
      </c>
      <c r="GS110">
        <v>99.568600000000004</v>
      </c>
    </row>
    <row r="111" spans="1:201" x14ac:dyDescent="0.25">
      <c r="A111">
        <v>95</v>
      </c>
      <c r="B111">
        <v>1690383466</v>
      </c>
      <c r="C111">
        <v>990.90000009536743</v>
      </c>
      <c r="D111" t="s">
        <v>521</v>
      </c>
      <c r="E111" t="s">
        <v>522</v>
      </c>
      <c r="F111" t="s">
        <v>330</v>
      </c>
      <c r="H111">
        <v>1690383466</v>
      </c>
      <c r="I111">
        <f t="shared" si="30"/>
        <v>1.3595167549688267E-3</v>
      </c>
      <c r="J111">
        <f t="shared" si="31"/>
        <v>1.3595167549688267</v>
      </c>
      <c r="K111">
        <f t="shared" si="32"/>
        <v>23.116271495853589</v>
      </c>
      <c r="L111">
        <f t="shared" si="33"/>
        <v>540.21400000000006</v>
      </c>
      <c r="M111">
        <f t="shared" si="34"/>
        <v>156.06921076643522</v>
      </c>
      <c r="N111">
        <f t="shared" si="35"/>
        <v>15.41832715160181</v>
      </c>
      <c r="O111">
        <f t="shared" si="36"/>
        <v>53.368605780549807</v>
      </c>
      <c r="P111">
        <f t="shared" si="37"/>
        <v>0.10046877788672061</v>
      </c>
      <c r="Q111">
        <f t="shared" si="38"/>
        <v>2.1153270630004006</v>
      </c>
      <c r="R111">
        <f t="shared" si="39"/>
        <v>9.7891117841924863E-2</v>
      </c>
      <c r="S111">
        <f t="shared" si="40"/>
        <v>6.1408032863179259E-2</v>
      </c>
      <c r="T111">
        <f t="shared" si="41"/>
        <v>276.11607202200003</v>
      </c>
      <c r="U111">
        <f t="shared" si="42"/>
        <v>26.685413433097292</v>
      </c>
      <c r="V111">
        <f t="shared" si="43"/>
        <v>26.685413433097292</v>
      </c>
      <c r="W111">
        <f t="shared" si="44"/>
        <v>3.513560413801585</v>
      </c>
      <c r="X111">
        <f t="shared" si="45"/>
        <v>68.749202189055865</v>
      </c>
      <c r="Y111">
        <f t="shared" si="46"/>
        <v>2.1810814436143202</v>
      </c>
      <c r="Z111">
        <f t="shared" si="47"/>
        <v>3.1725189153708104</v>
      </c>
      <c r="AA111">
        <f t="shared" si="48"/>
        <v>1.3324789701872648</v>
      </c>
      <c r="AB111">
        <f t="shared" si="49"/>
        <v>-59.954688894125255</v>
      </c>
      <c r="AC111">
        <f t="shared" si="50"/>
        <v>-196.51786647834143</v>
      </c>
      <c r="AD111">
        <f t="shared" si="51"/>
        <v>-19.814581993436516</v>
      </c>
      <c r="AE111">
        <f t="shared" si="52"/>
        <v>-0.17106534390313755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52774.948365431243</v>
      </c>
      <c r="AK111">
        <f t="shared" si="56"/>
        <v>1800</v>
      </c>
      <c r="AL111">
        <f t="shared" si="57"/>
        <v>1499.1137262</v>
      </c>
      <c r="AM111">
        <f t="shared" si="58"/>
        <v>0.83284095899999999</v>
      </c>
      <c r="AN111">
        <f t="shared" si="59"/>
        <v>0.15339781779</v>
      </c>
      <c r="AO111">
        <v>32.700000000000003</v>
      </c>
      <c r="AP111">
        <v>0.5</v>
      </c>
      <c r="AQ111" t="s">
        <v>331</v>
      </c>
      <c r="AR111">
        <v>2</v>
      </c>
      <c r="AS111">
        <v>1690383466</v>
      </c>
      <c r="AT111">
        <v>540.21400000000006</v>
      </c>
      <c r="AU111">
        <v>800.12599999999998</v>
      </c>
      <c r="AV111">
        <v>22.0776</v>
      </c>
      <c r="AW111">
        <v>7.58941</v>
      </c>
      <c r="AX111">
        <v>540.29499999999996</v>
      </c>
      <c r="AY111">
        <v>21.9024</v>
      </c>
      <c r="AZ111">
        <v>300.07</v>
      </c>
      <c r="BA111">
        <v>98.691699999999997</v>
      </c>
      <c r="BB111">
        <v>9.9900699999999995E-2</v>
      </c>
      <c r="BC111">
        <v>24.962199999999999</v>
      </c>
      <c r="BD111">
        <v>26.8858</v>
      </c>
      <c r="BE111">
        <v>26.5321</v>
      </c>
      <c r="BF111">
        <v>0</v>
      </c>
      <c r="BG111">
        <v>0</v>
      </c>
      <c r="BH111">
        <v>10046.200000000001</v>
      </c>
      <c r="BI111">
        <v>1051.08</v>
      </c>
      <c r="BJ111">
        <v>2.3547799999999999</v>
      </c>
      <c r="BK111">
        <v>-259.91199999999998</v>
      </c>
      <c r="BL111">
        <v>552.41</v>
      </c>
      <c r="BM111">
        <v>806.245</v>
      </c>
      <c r="BN111">
        <v>14.488200000000001</v>
      </c>
      <c r="BO111">
        <v>800.12599999999998</v>
      </c>
      <c r="BP111">
        <v>7.58941</v>
      </c>
      <c r="BQ111">
        <v>2.1788799999999999</v>
      </c>
      <c r="BR111">
        <v>0.74901200000000001</v>
      </c>
      <c r="BS111">
        <v>18.8079</v>
      </c>
      <c r="BT111">
        <v>2.77603</v>
      </c>
      <c r="BU111">
        <v>1800</v>
      </c>
      <c r="BV111">
        <v>0.90999600000000003</v>
      </c>
      <c r="BW111">
        <v>3.3992099999999997E-2</v>
      </c>
      <c r="BX111">
        <v>2.2005199999999999E-2</v>
      </c>
      <c r="BY111">
        <v>3.4007099999999998E-2</v>
      </c>
      <c r="BZ111">
        <v>26</v>
      </c>
      <c r="CA111">
        <v>33528.300000000003</v>
      </c>
      <c r="CB111">
        <v>1690381960.0999999</v>
      </c>
      <c r="CC111" t="s">
        <v>332</v>
      </c>
      <c r="CD111">
        <v>1690381960.0999999</v>
      </c>
      <c r="CE111">
        <v>1690381958.0999999</v>
      </c>
      <c r="CF111">
        <v>4</v>
      </c>
      <c r="CG111">
        <v>9.9000000000000005E-2</v>
      </c>
      <c r="CH111">
        <v>1.2E-2</v>
      </c>
      <c r="CI111">
        <v>-0.26300000000000001</v>
      </c>
      <c r="CJ111">
        <v>0.127</v>
      </c>
      <c r="CK111">
        <v>798</v>
      </c>
      <c r="CL111">
        <v>18</v>
      </c>
      <c r="CM111">
        <v>0.02</v>
      </c>
      <c r="CN111">
        <v>0.12</v>
      </c>
      <c r="CO111">
        <v>-256.07729999999998</v>
      </c>
      <c r="CP111">
        <v>-20.49843151969954</v>
      </c>
      <c r="CQ111">
        <v>1.9721087596783291</v>
      </c>
      <c r="CR111">
        <v>-1</v>
      </c>
      <c r="CS111">
        <v>14.1820875</v>
      </c>
      <c r="CT111">
        <v>1.657399249530966</v>
      </c>
      <c r="CU111">
        <v>0.15953850348348511</v>
      </c>
      <c r="CV111">
        <v>-1</v>
      </c>
      <c r="CW111">
        <v>0</v>
      </c>
      <c r="CX111">
        <v>0</v>
      </c>
      <c r="CY111" t="s">
        <v>333</v>
      </c>
      <c r="CZ111">
        <v>2.3643200000000002</v>
      </c>
      <c r="DA111">
        <v>2.71373</v>
      </c>
      <c r="DB111">
        <v>0.111364</v>
      </c>
      <c r="DC111">
        <v>0.14557</v>
      </c>
      <c r="DD111">
        <v>0.106977</v>
      </c>
      <c r="DE111">
        <v>4.7490200000000003E-2</v>
      </c>
      <c r="DF111">
        <v>32449.3</v>
      </c>
      <c r="DG111">
        <v>27536.9</v>
      </c>
      <c r="DH111">
        <v>31173.7</v>
      </c>
      <c r="DI111">
        <v>28082.6</v>
      </c>
      <c r="DJ111">
        <v>37795.1</v>
      </c>
      <c r="DK111">
        <v>38038.6</v>
      </c>
      <c r="DL111">
        <v>44363.8</v>
      </c>
      <c r="DM111">
        <v>42563.5</v>
      </c>
      <c r="DN111">
        <v>1.4700500000000001</v>
      </c>
      <c r="DO111">
        <v>2.03972</v>
      </c>
      <c r="DP111">
        <v>0.17327799999999999</v>
      </c>
      <c r="DQ111">
        <v>0.15520999999999999</v>
      </c>
      <c r="DR111">
        <v>24.044899999999998</v>
      </c>
      <c r="DS111">
        <v>23.986599999999999</v>
      </c>
      <c r="DT111">
        <v>50.1</v>
      </c>
      <c r="DU111">
        <v>28.7</v>
      </c>
      <c r="DV111">
        <v>20.062000000000001</v>
      </c>
      <c r="DW111">
        <v>60.503</v>
      </c>
      <c r="DX111">
        <v>36.883000000000003</v>
      </c>
      <c r="DY111">
        <v>1</v>
      </c>
      <c r="DZ111">
        <v>-9.2438999999999993E-2</v>
      </c>
      <c r="EA111">
        <v>0.24358399999999999</v>
      </c>
      <c r="EB111">
        <v>20.189699999999998</v>
      </c>
      <c r="EC111">
        <v>5.2406499999999996</v>
      </c>
      <c r="ED111">
        <v>12.039899999999999</v>
      </c>
      <c r="EE111">
        <v>5.0168499999999998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</v>
      </c>
      <c r="EL111">
        <v>1.8646199999999999</v>
      </c>
      <c r="EM111">
        <v>1.8692</v>
      </c>
      <c r="EN111">
        <v>1.8672500000000001</v>
      </c>
      <c r="EO111">
        <v>1.8633999999999999</v>
      </c>
      <c r="EP111">
        <v>1.86446</v>
      </c>
      <c r="EQ111">
        <v>1.8701399999999999</v>
      </c>
      <c r="ER111">
        <v>1.8694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-8.1000000000000003E-2</v>
      </c>
      <c r="FG111">
        <v>0.17519999999999999</v>
      </c>
      <c r="FH111">
        <v>0.28746640474027818</v>
      </c>
      <c r="FI111">
        <v>-6.1462078757559423E-4</v>
      </c>
      <c r="FJ111">
        <v>-1.8861989874597051E-7</v>
      </c>
      <c r="FK111">
        <v>1.1980462299894961E-10</v>
      </c>
      <c r="FL111">
        <v>0.17524818673008091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25.1</v>
      </c>
      <c r="FU111">
        <v>25.1</v>
      </c>
      <c r="FV111">
        <v>1.7773399999999999</v>
      </c>
      <c r="FW111">
        <v>2.5732400000000002</v>
      </c>
      <c r="FX111">
        <v>1.5490699999999999</v>
      </c>
      <c r="FY111">
        <v>2.3303199999999999</v>
      </c>
      <c r="FZ111">
        <v>1.50146</v>
      </c>
      <c r="GA111">
        <v>2.3999000000000001</v>
      </c>
      <c r="GB111">
        <v>33.580399999999997</v>
      </c>
      <c r="GC111">
        <v>23.982399999999998</v>
      </c>
      <c r="GD111">
        <v>19</v>
      </c>
      <c r="GE111">
        <v>280.39800000000002</v>
      </c>
      <c r="GF111">
        <v>586.31200000000001</v>
      </c>
      <c r="GG111">
        <v>22.6401</v>
      </c>
      <c r="GH111">
        <v>26.2151</v>
      </c>
      <c r="GI111">
        <v>29.999500000000001</v>
      </c>
      <c r="GJ111">
        <v>26.381399999999999</v>
      </c>
      <c r="GK111">
        <v>26.371700000000001</v>
      </c>
      <c r="GL111">
        <v>35.529899999999998</v>
      </c>
      <c r="GM111">
        <v>61.455399999999997</v>
      </c>
      <c r="GN111">
        <v>66.1601</v>
      </c>
      <c r="GO111">
        <v>22.715499999999999</v>
      </c>
      <c r="GP111">
        <v>800</v>
      </c>
      <c r="GQ111">
        <v>7.4307999999999996</v>
      </c>
      <c r="GR111">
        <v>99.743300000000005</v>
      </c>
      <c r="GS111">
        <v>99.570899999999995</v>
      </c>
    </row>
    <row r="112" spans="1:201" x14ac:dyDescent="0.25">
      <c r="A112">
        <v>96</v>
      </c>
      <c r="B112">
        <v>1690383476</v>
      </c>
      <c r="C112">
        <v>1000.900000095367</v>
      </c>
      <c r="D112" t="s">
        <v>523</v>
      </c>
      <c r="E112" t="s">
        <v>524</v>
      </c>
      <c r="F112" t="s">
        <v>330</v>
      </c>
      <c r="H112">
        <v>1690383476</v>
      </c>
      <c r="I112">
        <f t="shared" si="30"/>
        <v>1.3867973485270737E-3</v>
      </c>
      <c r="J112">
        <f t="shared" si="31"/>
        <v>1.3867973485270737</v>
      </c>
      <c r="K112">
        <f t="shared" si="32"/>
        <v>23.39493514989184</v>
      </c>
      <c r="L112">
        <f t="shared" si="33"/>
        <v>536.91999999999996</v>
      </c>
      <c r="M112">
        <f t="shared" si="34"/>
        <v>155.81268526524536</v>
      </c>
      <c r="N112">
        <f t="shared" si="35"/>
        <v>15.392648155968867</v>
      </c>
      <c r="O112">
        <f t="shared" si="36"/>
        <v>53.042026930179993</v>
      </c>
      <c r="P112">
        <f t="shared" si="37"/>
        <v>0.10254951594584687</v>
      </c>
      <c r="Q112">
        <f t="shared" si="38"/>
        <v>2.1091427960467026</v>
      </c>
      <c r="R112">
        <f t="shared" si="39"/>
        <v>9.985787072565247E-2</v>
      </c>
      <c r="S112">
        <f t="shared" si="40"/>
        <v>6.2647118416214703E-2</v>
      </c>
      <c r="T112">
        <f t="shared" si="41"/>
        <v>276.1142460314444</v>
      </c>
      <c r="U112">
        <f t="shared" si="42"/>
        <v>26.705035867997672</v>
      </c>
      <c r="V112">
        <f t="shared" si="43"/>
        <v>26.705035867997672</v>
      </c>
      <c r="W112">
        <f t="shared" si="44"/>
        <v>3.5176212729795897</v>
      </c>
      <c r="X112">
        <f t="shared" si="45"/>
        <v>68.7795967453401</v>
      </c>
      <c r="Y112">
        <f t="shared" si="46"/>
        <v>2.1852619617565998</v>
      </c>
      <c r="Z112">
        <f t="shared" si="47"/>
        <v>3.1771950769755772</v>
      </c>
      <c r="AA112">
        <f t="shared" si="48"/>
        <v>1.3323593112229899</v>
      </c>
      <c r="AB112">
        <f t="shared" si="49"/>
        <v>-61.157763070043949</v>
      </c>
      <c r="AC112">
        <f t="shared" si="50"/>
        <v>-195.36597612310584</v>
      </c>
      <c r="AD112">
        <f t="shared" si="51"/>
        <v>-19.760591767306099</v>
      </c>
      <c r="AE112">
        <f t="shared" si="52"/>
        <v>-0.17008492901149452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52498.959001227428</v>
      </c>
      <c r="AK112">
        <f t="shared" si="56"/>
        <v>1799.99</v>
      </c>
      <c r="AL112">
        <f t="shared" si="57"/>
        <v>1499.1044563956398</v>
      </c>
      <c r="AM112">
        <f t="shared" si="58"/>
        <v>0.83284043599999991</v>
      </c>
      <c r="AN112">
        <f t="shared" si="59"/>
        <v>0.15339765555999998</v>
      </c>
      <c r="AO112">
        <v>32.700000000000003</v>
      </c>
      <c r="AP112">
        <v>0.5</v>
      </c>
      <c r="AQ112" t="s">
        <v>331</v>
      </c>
      <c r="AR112">
        <v>2</v>
      </c>
      <c r="AS112">
        <v>1690383476</v>
      </c>
      <c r="AT112">
        <v>536.91999999999996</v>
      </c>
      <c r="AU112">
        <v>799.95500000000004</v>
      </c>
      <c r="AV112">
        <v>22.1204</v>
      </c>
      <c r="AW112">
        <v>7.3435100000000002</v>
      </c>
      <c r="AX112">
        <v>536.99900000000002</v>
      </c>
      <c r="AY112">
        <v>21.9452</v>
      </c>
      <c r="AZ112">
        <v>300.09800000000001</v>
      </c>
      <c r="BA112">
        <v>98.689499999999995</v>
      </c>
      <c r="BB112">
        <v>9.9941500000000003E-2</v>
      </c>
      <c r="BC112">
        <v>24.986899999999999</v>
      </c>
      <c r="BD112">
        <v>26.956499999999998</v>
      </c>
      <c r="BE112">
        <v>26.555199999999999</v>
      </c>
      <c r="BF112">
        <v>0</v>
      </c>
      <c r="BG112">
        <v>0</v>
      </c>
      <c r="BH112">
        <v>9992.5</v>
      </c>
      <c r="BI112">
        <v>1051.18</v>
      </c>
      <c r="BJ112">
        <v>2.3547799999999999</v>
      </c>
      <c r="BK112">
        <v>-263.03399999999999</v>
      </c>
      <c r="BL112">
        <v>549.06600000000003</v>
      </c>
      <c r="BM112">
        <v>805.87300000000005</v>
      </c>
      <c r="BN112">
        <v>14.776899999999999</v>
      </c>
      <c r="BO112">
        <v>799.95500000000004</v>
      </c>
      <c r="BP112">
        <v>7.3435100000000002</v>
      </c>
      <c r="BQ112">
        <v>2.1830500000000002</v>
      </c>
      <c r="BR112">
        <v>0.72472700000000001</v>
      </c>
      <c r="BS112">
        <v>18.8385</v>
      </c>
      <c r="BT112">
        <v>2.3126000000000002</v>
      </c>
      <c r="BU112">
        <v>1799.99</v>
      </c>
      <c r="BV112">
        <v>0.90999699999999994</v>
      </c>
      <c r="BW112">
        <v>3.3991399999999998E-2</v>
      </c>
      <c r="BX112">
        <v>2.2004800000000001E-2</v>
      </c>
      <c r="BY112">
        <v>3.4006399999999999E-2</v>
      </c>
      <c r="BZ112">
        <v>26</v>
      </c>
      <c r="CA112">
        <v>33528.199999999997</v>
      </c>
      <c r="CB112">
        <v>1690381960.0999999</v>
      </c>
      <c r="CC112" t="s">
        <v>332</v>
      </c>
      <c r="CD112">
        <v>1690381960.0999999</v>
      </c>
      <c r="CE112">
        <v>1690381958.0999999</v>
      </c>
      <c r="CF112">
        <v>4</v>
      </c>
      <c r="CG112">
        <v>9.9000000000000005E-2</v>
      </c>
      <c r="CH112">
        <v>1.2E-2</v>
      </c>
      <c r="CI112">
        <v>-0.26300000000000001</v>
      </c>
      <c r="CJ112">
        <v>0.127</v>
      </c>
      <c r="CK112">
        <v>798</v>
      </c>
      <c r="CL112">
        <v>18</v>
      </c>
      <c r="CM112">
        <v>0.02</v>
      </c>
      <c r="CN112">
        <v>0.12</v>
      </c>
      <c r="CO112">
        <v>-259.5217804878049</v>
      </c>
      <c r="CP112">
        <v>-19.86533101045336</v>
      </c>
      <c r="CQ112">
        <v>1.960026250598168</v>
      </c>
      <c r="CR112">
        <v>-1</v>
      </c>
      <c r="CS112">
        <v>14.464551219512201</v>
      </c>
      <c r="CT112">
        <v>1.676744947735193</v>
      </c>
      <c r="CU112">
        <v>0.1653997775117966</v>
      </c>
      <c r="CV112">
        <v>-1</v>
      </c>
      <c r="CW112">
        <v>0</v>
      </c>
      <c r="CX112">
        <v>0</v>
      </c>
      <c r="CY112" t="s">
        <v>333</v>
      </c>
      <c r="CZ112">
        <v>2.36442</v>
      </c>
      <c r="DA112">
        <v>2.71373</v>
      </c>
      <c r="DB112">
        <v>0.110873</v>
      </c>
      <c r="DC112">
        <v>0.14554</v>
      </c>
      <c r="DD112">
        <v>0.107123</v>
      </c>
      <c r="DE112">
        <v>4.6259799999999997E-2</v>
      </c>
      <c r="DF112">
        <v>32467.8</v>
      </c>
      <c r="DG112">
        <v>27537.9</v>
      </c>
      <c r="DH112">
        <v>31174.1</v>
      </c>
      <c r="DI112">
        <v>28082.7</v>
      </c>
      <c r="DJ112">
        <v>37789.5</v>
      </c>
      <c r="DK112">
        <v>38087.9</v>
      </c>
      <c r="DL112">
        <v>44364.5</v>
      </c>
      <c r="DM112">
        <v>42563.5</v>
      </c>
      <c r="DN112">
        <v>1.4703200000000001</v>
      </c>
      <c r="DO112">
        <v>2.03972</v>
      </c>
      <c r="DP112">
        <v>0.17747299999999999</v>
      </c>
      <c r="DQ112">
        <v>0.15639500000000001</v>
      </c>
      <c r="DR112">
        <v>24.046900000000001</v>
      </c>
      <c r="DS112">
        <v>23.990300000000001</v>
      </c>
      <c r="DT112">
        <v>49.8</v>
      </c>
      <c r="DU112">
        <v>28.7</v>
      </c>
      <c r="DV112">
        <v>19.948499999999999</v>
      </c>
      <c r="DW112">
        <v>60.762999999999998</v>
      </c>
      <c r="DX112">
        <v>37.031199999999998</v>
      </c>
      <c r="DY112">
        <v>1</v>
      </c>
      <c r="DZ112">
        <v>-9.26651E-2</v>
      </c>
      <c r="EA112">
        <v>0.27668799999999999</v>
      </c>
      <c r="EB112">
        <v>20.190000000000001</v>
      </c>
      <c r="EC112">
        <v>5.2411000000000003</v>
      </c>
      <c r="ED112">
        <v>12.039899999999999</v>
      </c>
      <c r="EE112">
        <v>5.01715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</v>
      </c>
      <c r="EL112">
        <v>1.86463</v>
      </c>
      <c r="EM112">
        <v>1.8692</v>
      </c>
      <c r="EN112">
        <v>1.8672500000000001</v>
      </c>
      <c r="EO112">
        <v>1.8633900000000001</v>
      </c>
      <c r="EP112">
        <v>1.8644499999999999</v>
      </c>
      <c r="EQ112">
        <v>1.8701300000000001</v>
      </c>
      <c r="ER112">
        <v>1.8693900000000001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-7.9000000000000001E-2</v>
      </c>
      <c r="FG112">
        <v>0.17519999999999999</v>
      </c>
      <c r="FH112">
        <v>0.28746640474027818</v>
      </c>
      <c r="FI112">
        <v>-6.1462078757559423E-4</v>
      </c>
      <c r="FJ112">
        <v>-1.8861989874597051E-7</v>
      </c>
      <c r="FK112">
        <v>1.1980462299894961E-10</v>
      </c>
      <c r="FL112">
        <v>0.17524818673008091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25.3</v>
      </c>
      <c r="FU112">
        <v>25.3</v>
      </c>
      <c r="FV112">
        <v>1.7761199999999999</v>
      </c>
      <c r="FW112">
        <v>2.5756800000000002</v>
      </c>
      <c r="FX112">
        <v>1.5490699999999999</v>
      </c>
      <c r="FY112">
        <v>2.3303199999999999</v>
      </c>
      <c r="FZ112">
        <v>1.50146</v>
      </c>
      <c r="GA112">
        <v>2.32178</v>
      </c>
      <c r="GB112">
        <v>33.558</v>
      </c>
      <c r="GC112">
        <v>23.982399999999998</v>
      </c>
      <c r="GD112">
        <v>19</v>
      </c>
      <c r="GE112">
        <v>280.495</v>
      </c>
      <c r="GF112">
        <v>586.26199999999994</v>
      </c>
      <c r="GG112">
        <v>22.804600000000001</v>
      </c>
      <c r="GH112">
        <v>26.210100000000001</v>
      </c>
      <c r="GI112">
        <v>30</v>
      </c>
      <c r="GJ112">
        <v>26.376999999999999</v>
      </c>
      <c r="GK112">
        <v>26.3673</v>
      </c>
      <c r="GL112">
        <v>35.524999999999999</v>
      </c>
      <c r="GM112">
        <v>62.012900000000002</v>
      </c>
      <c r="GN112">
        <v>65.376000000000005</v>
      </c>
      <c r="GO112">
        <v>22.828099999999999</v>
      </c>
      <c r="GP112">
        <v>800</v>
      </c>
      <c r="GQ112">
        <v>7.1870799999999999</v>
      </c>
      <c r="GR112">
        <v>99.744900000000001</v>
      </c>
      <c r="GS112">
        <v>99.570999999999998</v>
      </c>
    </row>
    <row r="113" spans="1:201" x14ac:dyDescent="0.25">
      <c r="A113">
        <v>97</v>
      </c>
      <c r="B113">
        <v>1690383486</v>
      </c>
      <c r="C113">
        <v>1010.900000095367</v>
      </c>
      <c r="D113" t="s">
        <v>525</v>
      </c>
      <c r="E113" t="s">
        <v>526</v>
      </c>
      <c r="F113" t="s">
        <v>330</v>
      </c>
      <c r="H113">
        <v>1690383486</v>
      </c>
      <c r="I113">
        <f t="shared" si="30"/>
        <v>1.4126999173340873E-3</v>
      </c>
      <c r="J113">
        <f t="shared" si="31"/>
        <v>1.4126999173340873</v>
      </c>
      <c r="K113">
        <f t="shared" si="32"/>
        <v>23.714463084077245</v>
      </c>
      <c r="L113">
        <f t="shared" si="33"/>
        <v>533.47500000000002</v>
      </c>
      <c r="M113">
        <f t="shared" si="34"/>
        <v>154.29586951091298</v>
      </c>
      <c r="N113">
        <f t="shared" si="35"/>
        <v>15.243216519114062</v>
      </c>
      <c r="O113">
        <f t="shared" si="36"/>
        <v>52.703127817424999</v>
      </c>
      <c r="P113">
        <f t="shared" si="37"/>
        <v>0.10452119347539415</v>
      </c>
      <c r="Q113">
        <f t="shared" si="38"/>
        <v>2.1074472935940234</v>
      </c>
      <c r="R113">
        <f t="shared" si="39"/>
        <v>0.10172438618550345</v>
      </c>
      <c r="S113">
        <f t="shared" si="40"/>
        <v>6.3822789978218941E-2</v>
      </c>
      <c r="T113">
        <f t="shared" si="41"/>
        <v>276.11595512999997</v>
      </c>
      <c r="U113">
        <f t="shared" si="42"/>
        <v>26.719333849027255</v>
      </c>
      <c r="V113">
        <f t="shared" si="43"/>
        <v>26.719333849027255</v>
      </c>
      <c r="W113">
        <f t="shared" si="44"/>
        <v>3.5205828175431395</v>
      </c>
      <c r="X113">
        <f t="shared" si="45"/>
        <v>68.782404131927052</v>
      </c>
      <c r="Y113">
        <f t="shared" si="46"/>
        <v>2.1882455244499996</v>
      </c>
      <c r="Z113">
        <f t="shared" si="47"/>
        <v>3.1814030813067657</v>
      </c>
      <c r="AA113">
        <f t="shared" si="48"/>
        <v>1.3323372930931399</v>
      </c>
      <c r="AB113">
        <f t="shared" si="49"/>
        <v>-62.300066354433248</v>
      </c>
      <c r="AC113">
        <f t="shared" si="50"/>
        <v>-194.31112357615439</v>
      </c>
      <c r="AD113">
        <f t="shared" si="51"/>
        <v>-19.673311309325349</v>
      </c>
      <c r="AE113">
        <f t="shared" si="52"/>
        <v>-0.16854610991302366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52420.817500347985</v>
      </c>
      <c r="AK113">
        <f t="shared" si="56"/>
        <v>1800</v>
      </c>
      <c r="AL113">
        <f t="shared" si="57"/>
        <v>1499.1135569999999</v>
      </c>
      <c r="AM113">
        <f t="shared" si="58"/>
        <v>0.83284086499999999</v>
      </c>
      <c r="AN113">
        <f t="shared" si="59"/>
        <v>0.15339775284999999</v>
      </c>
      <c r="AO113">
        <v>32.700000000000003</v>
      </c>
      <c r="AP113">
        <v>0.5</v>
      </c>
      <c r="AQ113" t="s">
        <v>331</v>
      </c>
      <c r="AR113">
        <v>2</v>
      </c>
      <c r="AS113">
        <v>1690383486</v>
      </c>
      <c r="AT113">
        <v>533.47500000000002</v>
      </c>
      <c r="AU113">
        <v>800.10799999999995</v>
      </c>
      <c r="AV113">
        <v>22.15</v>
      </c>
      <c r="AW113">
        <v>7.0965600000000002</v>
      </c>
      <c r="AX113">
        <v>533.55100000000004</v>
      </c>
      <c r="AY113">
        <v>21.974799999999998</v>
      </c>
      <c r="AZ113">
        <v>300.07799999999997</v>
      </c>
      <c r="BA113">
        <v>98.692099999999996</v>
      </c>
      <c r="BB113">
        <v>0.100023</v>
      </c>
      <c r="BC113">
        <v>25.0091</v>
      </c>
      <c r="BD113">
        <v>26.955200000000001</v>
      </c>
      <c r="BE113">
        <v>26.5779</v>
      </c>
      <c r="BF113">
        <v>0</v>
      </c>
      <c r="BG113">
        <v>0</v>
      </c>
      <c r="BH113">
        <v>9977.5</v>
      </c>
      <c r="BI113">
        <v>1051.21</v>
      </c>
      <c r="BJ113">
        <v>2.3547799999999999</v>
      </c>
      <c r="BK113">
        <v>-266.63299999999998</v>
      </c>
      <c r="BL113">
        <v>545.55899999999997</v>
      </c>
      <c r="BM113">
        <v>805.827</v>
      </c>
      <c r="BN113">
        <v>15.0534</v>
      </c>
      <c r="BO113">
        <v>800.10799999999995</v>
      </c>
      <c r="BP113">
        <v>7.0965600000000002</v>
      </c>
      <c r="BQ113">
        <v>2.1860300000000001</v>
      </c>
      <c r="BR113">
        <v>0.70037400000000005</v>
      </c>
      <c r="BS113">
        <v>18.860299999999999</v>
      </c>
      <c r="BT113">
        <v>1.83386</v>
      </c>
      <c r="BU113">
        <v>1800</v>
      </c>
      <c r="BV113">
        <v>0.90999699999999994</v>
      </c>
      <c r="BW113">
        <v>3.3994400000000001E-2</v>
      </c>
      <c r="BX113">
        <v>2.2003999999999999E-2</v>
      </c>
      <c r="BY113">
        <v>3.4005100000000003E-2</v>
      </c>
      <c r="BZ113">
        <v>26</v>
      </c>
      <c r="CA113">
        <v>33528.300000000003</v>
      </c>
      <c r="CB113">
        <v>1690381960.0999999</v>
      </c>
      <c r="CC113" t="s">
        <v>332</v>
      </c>
      <c r="CD113">
        <v>1690381960.0999999</v>
      </c>
      <c r="CE113">
        <v>1690381958.0999999</v>
      </c>
      <c r="CF113">
        <v>4</v>
      </c>
      <c r="CG113">
        <v>9.9000000000000005E-2</v>
      </c>
      <c r="CH113">
        <v>1.2E-2</v>
      </c>
      <c r="CI113">
        <v>-0.26300000000000001</v>
      </c>
      <c r="CJ113">
        <v>0.127</v>
      </c>
      <c r="CK113">
        <v>798</v>
      </c>
      <c r="CL113">
        <v>18</v>
      </c>
      <c r="CM113">
        <v>0.02</v>
      </c>
      <c r="CN113">
        <v>0.12</v>
      </c>
      <c r="CO113">
        <v>-262.84114634146351</v>
      </c>
      <c r="CP113">
        <v>-19.87413240418093</v>
      </c>
      <c r="CQ113">
        <v>1.9613146855253321</v>
      </c>
      <c r="CR113">
        <v>-1</v>
      </c>
      <c r="CS113">
        <v>14.745982926829271</v>
      </c>
      <c r="CT113">
        <v>1.6996034843205701</v>
      </c>
      <c r="CU113">
        <v>0.16765442230452179</v>
      </c>
      <c r="CV113">
        <v>-1</v>
      </c>
      <c r="CW113">
        <v>0</v>
      </c>
      <c r="CX113">
        <v>0</v>
      </c>
      <c r="CY113" t="s">
        <v>333</v>
      </c>
      <c r="CZ113">
        <v>2.36436</v>
      </c>
      <c r="DA113">
        <v>2.7137899999999999</v>
      </c>
      <c r="DB113">
        <v>0.110364</v>
      </c>
      <c r="DC113">
        <v>0.14555999999999999</v>
      </c>
      <c r="DD113">
        <v>0.107229</v>
      </c>
      <c r="DE113">
        <v>4.5013699999999997E-2</v>
      </c>
      <c r="DF113">
        <v>32486.2</v>
      </c>
      <c r="DG113">
        <v>27537.599999999999</v>
      </c>
      <c r="DH113">
        <v>31174</v>
      </c>
      <c r="DI113">
        <v>28082.9</v>
      </c>
      <c r="DJ113">
        <v>37784.9</v>
      </c>
      <c r="DK113">
        <v>38138.5</v>
      </c>
      <c r="DL113">
        <v>44364.5</v>
      </c>
      <c r="DM113">
        <v>42564.2</v>
      </c>
      <c r="DN113">
        <v>1.4702</v>
      </c>
      <c r="DO113">
        <v>2.03945</v>
      </c>
      <c r="DP113">
        <v>0.17716399999999999</v>
      </c>
      <c r="DQ113">
        <v>0.157412</v>
      </c>
      <c r="DR113">
        <v>24.050699999999999</v>
      </c>
      <c r="DS113">
        <v>23.996400000000001</v>
      </c>
      <c r="DT113">
        <v>49.4</v>
      </c>
      <c r="DU113">
        <v>28.7</v>
      </c>
      <c r="DV113">
        <v>19.783899999999999</v>
      </c>
      <c r="DW113">
        <v>60.993000000000002</v>
      </c>
      <c r="DX113">
        <v>37.303699999999999</v>
      </c>
      <c r="DY113">
        <v>1</v>
      </c>
      <c r="DZ113">
        <v>-9.2561000000000004E-2</v>
      </c>
      <c r="EA113">
        <v>0.44209100000000001</v>
      </c>
      <c r="EB113">
        <v>20.189399999999999</v>
      </c>
      <c r="EC113">
        <v>5.2400500000000001</v>
      </c>
      <c r="ED113">
        <v>12.039899999999999</v>
      </c>
      <c r="EE113">
        <v>5.01675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</v>
      </c>
      <c r="EL113">
        <v>1.8646199999999999</v>
      </c>
      <c r="EM113">
        <v>1.86921</v>
      </c>
      <c r="EN113">
        <v>1.86724</v>
      </c>
      <c r="EO113">
        <v>1.8633999999999999</v>
      </c>
      <c r="EP113">
        <v>1.8644700000000001</v>
      </c>
      <c r="EQ113">
        <v>1.87016</v>
      </c>
      <c r="ER113">
        <v>1.8694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-7.5999999999999998E-2</v>
      </c>
      <c r="FG113">
        <v>0.17519999999999999</v>
      </c>
      <c r="FH113">
        <v>0.28746640474027818</v>
      </c>
      <c r="FI113">
        <v>-6.1462078757559423E-4</v>
      </c>
      <c r="FJ113">
        <v>-1.8861989874597051E-7</v>
      </c>
      <c r="FK113">
        <v>1.1980462299894961E-10</v>
      </c>
      <c r="FL113">
        <v>0.17524818673008091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25.4</v>
      </c>
      <c r="FU113">
        <v>25.5</v>
      </c>
      <c r="FV113">
        <v>1.7761199999999999</v>
      </c>
      <c r="FW113">
        <v>2.5781200000000002</v>
      </c>
      <c r="FX113">
        <v>1.5490699999999999</v>
      </c>
      <c r="FY113">
        <v>2.3303199999999999</v>
      </c>
      <c r="FZ113">
        <v>1.50146</v>
      </c>
      <c r="GA113">
        <v>2.3059099999999999</v>
      </c>
      <c r="GB113">
        <v>33.580399999999997</v>
      </c>
      <c r="GC113">
        <v>23.973700000000001</v>
      </c>
      <c r="GD113">
        <v>19</v>
      </c>
      <c r="GE113">
        <v>280.423</v>
      </c>
      <c r="GF113">
        <v>585.98699999999997</v>
      </c>
      <c r="GG113">
        <v>22.8703</v>
      </c>
      <c r="GH113">
        <v>26.205200000000001</v>
      </c>
      <c r="GI113">
        <v>30.0001</v>
      </c>
      <c r="GJ113">
        <v>26.372599999999998</v>
      </c>
      <c r="GK113">
        <v>26.363299999999999</v>
      </c>
      <c r="GL113">
        <v>35.5199</v>
      </c>
      <c r="GM113">
        <v>62.903199999999998</v>
      </c>
      <c r="GN113">
        <v>64.590299999999999</v>
      </c>
      <c r="GO113">
        <v>22.8719</v>
      </c>
      <c r="GP113">
        <v>800</v>
      </c>
      <c r="GQ113">
        <v>6.9407399999999999</v>
      </c>
      <c r="GR113">
        <v>99.744799999999998</v>
      </c>
      <c r="GS113">
        <v>99.572400000000002</v>
      </c>
    </row>
    <row r="114" spans="1:201" x14ac:dyDescent="0.25">
      <c r="A114">
        <v>98</v>
      </c>
      <c r="B114">
        <v>1690383496</v>
      </c>
      <c r="C114">
        <v>1020.900000095367</v>
      </c>
      <c r="D114" t="s">
        <v>527</v>
      </c>
      <c r="E114" t="s">
        <v>528</v>
      </c>
      <c r="F114" t="s">
        <v>330</v>
      </c>
      <c r="H114">
        <v>1690383496</v>
      </c>
      <c r="I114">
        <f t="shared" si="30"/>
        <v>1.4352348014641141E-3</v>
      </c>
      <c r="J114">
        <f t="shared" si="31"/>
        <v>1.4352348014641141</v>
      </c>
      <c r="K114">
        <f t="shared" si="32"/>
        <v>24.014123182917317</v>
      </c>
      <c r="L114">
        <f t="shared" si="33"/>
        <v>530.12599999999998</v>
      </c>
      <c r="M114">
        <f t="shared" si="34"/>
        <v>152.0337845254825</v>
      </c>
      <c r="N114">
        <f t="shared" si="35"/>
        <v>15.019466680184816</v>
      </c>
      <c r="O114">
        <f t="shared" si="36"/>
        <v>52.371318770697989</v>
      </c>
      <c r="P114">
        <f t="shared" si="37"/>
        <v>0.10617121011167134</v>
      </c>
      <c r="Q114">
        <f t="shared" si="38"/>
        <v>2.1100140958444125</v>
      </c>
      <c r="R114">
        <f t="shared" si="39"/>
        <v>0.10329012117637702</v>
      </c>
      <c r="S114">
        <f t="shared" si="40"/>
        <v>6.4808668127746535E-2</v>
      </c>
      <c r="T114">
        <f t="shared" si="41"/>
        <v>276.11578533599999</v>
      </c>
      <c r="U114">
        <f t="shared" si="42"/>
        <v>26.726774452182312</v>
      </c>
      <c r="V114">
        <f t="shared" si="43"/>
        <v>26.726774452182312</v>
      </c>
      <c r="W114">
        <f t="shared" si="44"/>
        <v>3.5221248526220323</v>
      </c>
      <c r="X114">
        <f t="shared" si="45"/>
        <v>68.738173744089295</v>
      </c>
      <c r="Y114">
        <f t="shared" si="46"/>
        <v>2.1890947673569996</v>
      </c>
      <c r="Z114">
        <f t="shared" si="47"/>
        <v>3.1846856675403559</v>
      </c>
      <c r="AA114">
        <f t="shared" si="48"/>
        <v>1.3330300852650327</v>
      </c>
      <c r="AB114">
        <f t="shared" si="49"/>
        <v>-63.293854744567433</v>
      </c>
      <c r="AC114">
        <f t="shared" si="50"/>
        <v>-193.42623172770968</v>
      </c>
      <c r="AD114">
        <f t="shared" si="51"/>
        <v>-19.562322894572521</v>
      </c>
      <c r="AE114">
        <f t="shared" si="52"/>
        <v>-0.16662403084961852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52530.217886097926</v>
      </c>
      <c r="AK114">
        <f t="shared" si="56"/>
        <v>1800</v>
      </c>
      <c r="AL114">
        <f t="shared" si="57"/>
        <v>1499.1108695999999</v>
      </c>
      <c r="AM114">
        <f t="shared" si="58"/>
        <v>0.83283937199999991</v>
      </c>
      <c r="AN114">
        <f t="shared" si="59"/>
        <v>0.15339765852000001</v>
      </c>
      <c r="AO114">
        <v>32.700000000000003</v>
      </c>
      <c r="AP114">
        <v>0.5</v>
      </c>
      <c r="AQ114" t="s">
        <v>331</v>
      </c>
      <c r="AR114">
        <v>2</v>
      </c>
      <c r="AS114">
        <v>1690383496</v>
      </c>
      <c r="AT114">
        <v>530.12599999999998</v>
      </c>
      <c r="AU114">
        <v>800.05</v>
      </c>
      <c r="AV114">
        <v>22.158999999999999</v>
      </c>
      <c r="AW114">
        <v>6.8685799999999997</v>
      </c>
      <c r="AX114">
        <v>530.19899999999996</v>
      </c>
      <c r="AY114">
        <v>21.983799999999999</v>
      </c>
      <c r="AZ114">
        <v>300.137</v>
      </c>
      <c r="BA114">
        <v>98.690299999999993</v>
      </c>
      <c r="BB114">
        <v>0.100023</v>
      </c>
      <c r="BC114">
        <v>25.026399999999999</v>
      </c>
      <c r="BD114">
        <v>26.968699999999998</v>
      </c>
      <c r="BE114">
        <v>26.5807</v>
      </c>
      <c r="BF114">
        <v>0</v>
      </c>
      <c r="BG114">
        <v>0</v>
      </c>
      <c r="BH114">
        <v>10000</v>
      </c>
      <c r="BI114">
        <v>1051.3599999999999</v>
      </c>
      <c r="BJ114">
        <v>2.3547799999999999</v>
      </c>
      <c r="BK114">
        <v>-269.92500000000001</v>
      </c>
      <c r="BL114">
        <v>542.13900000000001</v>
      </c>
      <c r="BM114">
        <v>805.58399999999995</v>
      </c>
      <c r="BN114">
        <v>15.2904</v>
      </c>
      <c r="BO114">
        <v>800.05</v>
      </c>
      <c r="BP114">
        <v>6.8685799999999997</v>
      </c>
      <c r="BQ114">
        <v>2.1868799999999999</v>
      </c>
      <c r="BR114">
        <v>0.67786199999999996</v>
      </c>
      <c r="BS114">
        <v>18.866499999999998</v>
      </c>
      <c r="BT114">
        <v>1.3780300000000001</v>
      </c>
      <c r="BU114">
        <v>1800</v>
      </c>
      <c r="BV114">
        <v>0.90999099999999999</v>
      </c>
      <c r="BW114">
        <v>3.4000500000000003E-2</v>
      </c>
      <c r="BX114">
        <v>2.2003600000000002E-2</v>
      </c>
      <c r="BY114">
        <v>3.4004600000000003E-2</v>
      </c>
      <c r="BZ114">
        <v>26</v>
      </c>
      <c r="CA114">
        <v>33528.199999999997</v>
      </c>
      <c r="CB114">
        <v>1690381960.0999999</v>
      </c>
      <c r="CC114" t="s">
        <v>332</v>
      </c>
      <c r="CD114">
        <v>1690381960.0999999</v>
      </c>
      <c r="CE114">
        <v>1690381958.0999999</v>
      </c>
      <c r="CF114">
        <v>4</v>
      </c>
      <c r="CG114">
        <v>9.9000000000000005E-2</v>
      </c>
      <c r="CH114">
        <v>1.2E-2</v>
      </c>
      <c r="CI114">
        <v>-0.26300000000000001</v>
      </c>
      <c r="CJ114">
        <v>0.127</v>
      </c>
      <c r="CK114">
        <v>798</v>
      </c>
      <c r="CL114">
        <v>18</v>
      </c>
      <c r="CM114">
        <v>0.02</v>
      </c>
      <c r="CN114">
        <v>0.12</v>
      </c>
      <c r="CO114">
        <v>-266.16812195121952</v>
      </c>
      <c r="CP114">
        <v>-19.96475958188114</v>
      </c>
      <c r="CQ114">
        <v>1.969689379932934</v>
      </c>
      <c r="CR114">
        <v>-1</v>
      </c>
      <c r="CS114">
        <v>15.016126829268289</v>
      </c>
      <c r="CT114">
        <v>1.5348104529616371</v>
      </c>
      <c r="CU114">
        <v>0.15145933048969121</v>
      </c>
      <c r="CV114">
        <v>-1</v>
      </c>
      <c r="CW114">
        <v>0</v>
      </c>
      <c r="CX114">
        <v>0</v>
      </c>
      <c r="CY114" t="s">
        <v>333</v>
      </c>
      <c r="CZ114">
        <v>2.36456</v>
      </c>
      <c r="DA114">
        <v>2.7138100000000001</v>
      </c>
      <c r="DB114">
        <v>0.109863</v>
      </c>
      <c r="DC114">
        <v>0.14554700000000001</v>
      </c>
      <c r="DD114">
        <v>0.10725899999999999</v>
      </c>
      <c r="DE114">
        <v>4.3849199999999998E-2</v>
      </c>
      <c r="DF114">
        <v>32504.6</v>
      </c>
      <c r="DG114">
        <v>27538.6</v>
      </c>
      <c r="DH114">
        <v>31174</v>
      </c>
      <c r="DI114">
        <v>28083.599999999999</v>
      </c>
      <c r="DJ114">
        <v>37783.599999999999</v>
      </c>
      <c r="DK114">
        <v>38185.9</v>
      </c>
      <c r="DL114">
        <v>44364.6</v>
      </c>
      <c r="DM114">
        <v>42565.2</v>
      </c>
      <c r="DN114">
        <v>1.4703200000000001</v>
      </c>
      <c r="DO114">
        <v>2.0393500000000002</v>
      </c>
      <c r="DP114">
        <v>0.17774499999999999</v>
      </c>
      <c r="DQ114">
        <v>0.157163</v>
      </c>
      <c r="DR114">
        <v>24.0547</v>
      </c>
      <c r="DS114">
        <v>24.0032</v>
      </c>
      <c r="DT114">
        <v>49.1</v>
      </c>
      <c r="DU114">
        <v>28.7</v>
      </c>
      <c r="DV114">
        <v>19.663599999999999</v>
      </c>
      <c r="DW114">
        <v>60.802999999999997</v>
      </c>
      <c r="DX114">
        <v>37.211500000000001</v>
      </c>
      <c r="DY114">
        <v>1</v>
      </c>
      <c r="DZ114">
        <v>-9.3239299999999997E-2</v>
      </c>
      <c r="EA114">
        <v>0.47327900000000001</v>
      </c>
      <c r="EB114">
        <v>20.1891</v>
      </c>
      <c r="EC114">
        <v>5.2406499999999996</v>
      </c>
      <c r="ED114">
        <v>12.039899999999999</v>
      </c>
      <c r="EE114">
        <v>5.0167000000000002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</v>
      </c>
      <c r="EL114">
        <v>1.8646199999999999</v>
      </c>
      <c r="EM114">
        <v>1.86921</v>
      </c>
      <c r="EN114">
        <v>1.86724</v>
      </c>
      <c r="EO114">
        <v>1.8633999999999999</v>
      </c>
      <c r="EP114">
        <v>1.8644700000000001</v>
      </c>
      <c r="EQ114">
        <v>1.8701700000000001</v>
      </c>
      <c r="ER114">
        <v>1.8693900000000001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-7.2999999999999995E-2</v>
      </c>
      <c r="FG114">
        <v>0.17519999999999999</v>
      </c>
      <c r="FH114">
        <v>0.28746640474027818</v>
      </c>
      <c r="FI114">
        <v>-6.1462078757559423E-4</v>
      </c>
      <c r="FJ114">
        <v>-1.8861989874597051E-7</v>
      </c>
      <c r="FK114">
        <v>1.1980462299894961E-10</v>
      </c>
      <c r="FL114">
        <v>0.17524818673008091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25.6</v>
      </c>
      <c r="FU114">
        <v>25.6</v>
      </c>
      <c r="FV114">
        <v>1.7761199999999999</v>
      </c>
      <c r="FW114">
        <v>2.5781200000000002</v>
      </c>
      <c r="FX114">
        <v>1.5490699999999999</v>
      </c>
      <c r="FY114">
        <v>2.3303199999999999</v>
      </c>
      <c r="FZ114">
        <v>1.50146</v>
      </c>
      <c r="GA114">
        <v>2.2875999999999999</v>
      </c>
      <c r="GB114">
        <v>33.580399999999997</v>
      </c>
      <c r="GC114">
        <v>23.973700000000001</v>
      </c>
      <c r="GD114">
        <v>19</v>
      </c>
      <c r="GE114">
        <v>280.45600000000002</v>
      </c>
      <c r="GF114">
        <v>585.85799999999995</v>
      </c>
      <c r="GG114">
        <v>22.8995</v>
      </c>
      <c r="GH114">
        <v>26.2</v>
      </c>
      <c r="GI114">
        <v>29.9998</v>
      </c>
      <c r="GJ114">
        <v>26.368099999999998</v>
      </c>
      <c r="GK114">
        <v>26.359100000000002</v>
      </c>
      <c r="GL114">
        <v>35.517499999999998</v>
      </c>
      <c r="GM114">
        <v>63.743899999999996</v>
      </c>
      <c r="GN114">
        <v>63.791499999999999</v>
      </c>
      <c r="GO114">
        <v>22.9023</v>
      </c>
      <c r="GP114">
        <v>800</v>
      </c>
      <c r="GQ114">
        <v>6.7080799999999998</v>
      </c>
      <c r="GR114">
        <v>99.744900000000001</v>
      </c>
      <c r="GS114">
        <v>99.5745</v>
      </c>
    </row>
    <row r="115" spans="1:201" x14ac:dyDescent="0.25">
      <c r="A115">
        <v>99</v>
      </c>
      <c r="B115">
        <v>1690383506</v>
      </c>
      <c r="C115">
        <v>1030.900000095367</v>
      </c>
      <c r="D115" t="s">
        <v>529</v>
      </c>
      <c r="E115" t="s">
        <v>530</v>
      </c>
      <c r="F115" t="s">
        <v>330</v>
      </c>
      <c r="H115">
        <v>1690383506</v>
      </c>
      <c r="I115">
        <f t="shared" si="30"/>
        <v>1.4586913635512211E-3</v>
      </c>
      <c r="J115">
        <f t="shared" si="31"/>
        <v>1.4586913635512211</v>
      </c>
      <c r="K115">
        <f t="shared" si="32"/>
        <v>24.301543964478821</v>
      </c>
      <c r="L115">
        <f t="shared" si="33"/>
        <v>526.92100000000005</v>
      </c>
      <c r="M115">
        <f t="shared" si="34"/>
        <v>150.5448337081628</v>
      </c>
      <c r="N115">
        <f t="shared" si="35"/>
        <v>14.872159877615829</v>
      </c>
      <c r="O115">
        <f t="shared" si="36"/>
        <v>52.053950719189011</v>
      </c>
      <c r="P115">
        <f t="shared" si="37"/>
        <v>0.10796624703134136</v>
      </c>
      <c r="Q115">
        <f t="shared" si="38"/>
        <v>2.1120755962703881</v>
      </c>
      <c r="R115">
        <f t="shared" si="39"/>
        <v>0.10499120491562043</v>
      </c>
      <c r="S115">
        <f t="shared" si="40"/>
        <v>6.5879970533570281E-2</v>
      </c>
      <c r="T115">
        <f t="shared" si="41"/>
        <v>276.11445735027036</v>
      </c>
      <c r="U115">
        <f t="shared" si="42"/>
        <v>26.730676639265582</v>
      </c>
      <c r="V115">
        <f t="shared" si="43"/>
        <v>26.730676639265582</v>
      </c>
      <c r="W115">
        <f t="shared" si="44"/>
        <v>3.522933800895768</v>
      </c>
      <c r="X115">
        <f t="shared" si="45"/>
        <v>68.713627962695412</v>
      </c>
      <c r="Y115">
        <f t="shared" si="46"/>
        <v>2.1901007180755001</v>
      </c>
      <c r="Z115">
        <f t="shared" si="47"/>
        <v>3.1872872718414818</v>
      </c>
      <c r="AA115">
        <f t="shared" si="48"/>
        <v>1.3328330828202679</v>
      </c>
      <c r="AB115">
        <f t="shared" si="49"/>
        <v>-64.328289132608845</v>
      </c>
      <c r="AC115">
        <f t="shared" si="50"/>
        <v>-192.49957076617207</v>
      </c>
      <c r="AD115">
        <f t="shared" si="51"/>
        <v>-19.451318297282455</v>
      </c>
      <c r="AE115">
        <f t="shared" si="52"/>
        <v>-0.16472084579302759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52618.222042308429</v>
      </c>
      <c r="AK115">
        <f t="shared" si="56"/>
        <v>1799.99</v>
      </c>
      <c r="AL115">
        <f t="shared" si="57"/>
        <v>1499.1017924104399</v>
      </c>
      <c r="AM115">
        <f t="shared" si="58"/>
        <v>0.83283895599999991</v>
      </c>
      <c r="AN115">
        <f t="shared" si="59"/>
        <v>0.15339777295999998</v>
      </c>
      <c r="AO115">
        <v>32.700000000000003</v>
      </c>
      <c r="AP115">
        <v>0.5</v>
      </c>
      <c r="AQ115" t="s">
        <v>331</v>
      </c>
      <c r="AR115">
        <v>2</v>
      </c>
      <c r="AS115">
        <v>1690383506</v>
      </c>
      <c r="AT115">
        <v>526.92100000000005</v>
      </c>
      <c r="AU115">
        <v>800.06100000000004</v>
      </c>
      <c r="AV115">
        <v>22.169499999999999</v>
      </c>
      <c r="AW115">
        <v>6.6293499999999996</v>
      </c>
      <c r="AX115">
        <v>526.99300000000005</v>
      </c>
      <c r="AY115">
        <v>21.994199999999999</v>
      </c>
      <c r="AZ115">
        <v>300.137</v>
      </c>
      <c r="BA115">
        <v>98.688900000000004</v>
      </c>
      <c r="BB115">
        <v>0.100009</v>
      </c>
      <c r="BC115">
        <v>25.040099999999999</v>
      </c>
      <c r="BD115">
        <v>27.007999999999999</v>
      </c>
      <c r="BE115">
        <v>26.605899999999998</v>
      </c>
      <c r="BF115">
        <v>0</v>
      </c>
      <c r="BG115">
        <v>0</v>
      </c>
      <c r="BH115">
        <v>10018.1</v>
      </c>
      <c r="BI115">
        <v>1051.49</v>
      </c>
      <c r="BJ115">
        <v>2.2987099999999998</v>
      </c>
      <c r="BK115">
        <v>-273.14</v>
      </c>
      <c r="BL115">
        <v>538.86800000000005</v>
      </c>
      <c r="BM115">
        <v>805.4</v>
      </c>
      <c r="BN115">
        <v>15.540100000000001</v>
      </c>
      <c r="BO115">
        <v>800.06100000000004</v>
      </c>
      <c r="BP115">
        <v>6.6293499999999996</v>
      </c>
      <c r="BQ115">
        <v>2.1878799999999998</v>
      </c>
      <c r="BR115">
        <v>0.65424300000000002</v>
      </c>
      <c r="BS115">
        <v>18.873799999999999</v>
      </c>
      <c r="BT115">
        <v>0.88514400000000004</v>
      </c>
      <c r="BU115">
        <v>1799.99</v>
      </c>
      <c r="BV115">
        <v>0.90998599999999996</v>
      </c>
      <c r="BW115">
        <v>3.4008400000000001E-2</v>
      </c>
      <c r="BX115">
        <v>2.2002799999999999E-2</v>
      </c>
      <c r="BY115">
        <v>3.4003199999999997E-2</v>
      </c>
      <c r="BZ115">
        <v>26</v>
      </c>
      <c r="CA115">
        <v>33528.199999999997</v>
      </c>
      <c r="CB115">
        <v>1690381960.0999999</v>
      </c>
      <c r="CC115" t="s">
        <v>332</v>
      </c>
      <c r="CD115">
        <v>1690381960.0999999</v>
      </c>
      <c r="CE115">
        <v>1690381958.0999999</v>
      </c>
      <c r="CF115">
        <v>4</v>
      </c>
      <c r="CG115">
        <v>9.9000000000000005E-2</v>
      </c>
      <c r="CH115">
        <v>1.2E-2</v>
      </c>
      <c r="CI115">
        <v>-0.26300000000000001</v>
      </c>
      <c r="CJ115">
        <v>0.127</v>
      </c>
      <c r="CK115">
        <v>798</v>
      </c>
      <c r="CL115">
        <v>18</v>
      </c>
      <c r="CM115">
        <v>0.02</v>
      </c>
      <c r="CN115">
        <v>0.12</v>
      </c>
      <c r="CO115">
        <v>-269.799375</v>
      </c>
      <c r="CP115">
        <v>-20.376844277674021</v>
      </c>
      <c r="CQ115">
        <v>1.962222791727541</v>
      </c>
      <c r="CR115">
        <v>-1</v>
      </c>
      <c r="CS115">
        <v>15.283810000000001</v>
      </c>
      <c r="CT115">
        <v>1.4688540337710601</v>
      </c>
      <c r="CU115">
        <v>0.14138641342080929</v>
      </c>
      <c r="CV115">
        <v>-1</v>
      </c>
      <c r="CW115">
        <v>0</v>
      </c>
      <c r="CX115">
        <v>0</v>
      </c>
      <c r="CY115" t="s">
        <v>333</v>
      </c>
      <c r="CZ115">
        <v>2.3646099999999999</v>
      </c>
      <c r="DA115">
        <v>2.7138200000000001</v>
      </c>
      <c r="DB115">
        <v>0.10938199999999999</v>
      </c>
      <c r="DC115">
        <v>0.145542</v>
      </c>
      <c r="DD115">
        <v>0.107295</v>
      </c>
      <c r="DE115">
        <v>4.2614300000000001E-2</v>
      </c>
      <c r="DF115">
        <v>32522.2</v>
      </c>
      <c r="DG115">
        <v>27538.7</v>
      </c>
      <c r="DH115">
        <v>31174</v>
      </c>
      <c r="DI115">
        <v>28083.5</v>
      </c>
      <c r="DJ115">
        <v>37781.9</v>
      </c>
      <c r="DK115">
        <v>38235.199999999997</v>
      </c>
      <c r="DL115">
        <v>44364.5</v>
      </c>
      <c r="DM115">
        <v>42564.9</v>
      </c>
      <c r="DN115">
        <v>1.4702500000000001</v>
      </c>
      <c r="DO115">
        <v>2.03877</v>
      </c>
      <c r="DP115">
        <v>0.179838</v>
      </c>
      <c r="DQ115">
        <v>0.158306</v>
      </c>
      <c r="DR115">
        <v>24.059799999999999</v>
      </c>
      <c r="DS115">
        <v>24.009699999999999</v>
      </c>
      <c r="DT115">
        <v>48.7</v>
      </c>
      <c r="DU115">
        <v>28.7</v>
      </c>
      <c r="DV115">
        <v>19.502500000000001</v>
      </c>
      <c r="DW115">
        <v>61.093000000000004</v>
      </c>
      <c r="DX115">
        <v>36.9071</v>
      </c>
      <c r="DY115">
        <v>1</v>
      </c>
      <c r="DZ115">
        <v>-9.32978E-2</v>
      </c>
      <c r="EA115">
        <v>0.47514200000000001</v>
      </c>
      <c r="EB115">
        <v>20.1889</v>
      </c>
      <c r="EC115">
        <v>5.2404999999999999</v>
      </c>
      <c r="ED115">
        <v>12.039899999999999</v>
      </c>
      <c r="EE115">
        <v>5.0166000000000004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</v>
      </c>
      <c r="EL115">
        <v>1.8646199999999999</v>
      </c>
      <c r="EM115">
        <v>1.8692200000000001</v>
      </c>
      <c r="EN115">
        <v>1.8672500000000001</v>
      </c>
      <c r="EO115">
        <v>1.8633999999999999</v>
      </c>
      <c r="EP115">
        <v>1.8644700000000001</v>
      </c>
      <c r="EQ115">
        <v>1.8701700000000001</v>
      </c>
      <c r="ER115">
        <v>1.8694200000000001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-7.1999999999999995E-2</v>
      </c>
      <c r="FG115">
        <v>0.17530000000000001</v>
      </c>
      <c r="FH115">
        <v>0.28746640474027818</v>
      </c>
      <c r="FI115">
        <v>-6.1462078757559423E-4</v>
      </c>
      <c r="FJ115">
        <v>-1.8861989874597051E-7</v>
      </c>
      <c r="FK115">
        <v>1.1980462299894961E-10</v>
      </c>
      <c r="FL115">
        <v>0.17524818673008091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25.8</v>
      </c>
      <c r="FU115">
        <v>25.8</v>
      </c>
      <c r="FV115">
        <v>1.7761199999999999</v>
      </c>
      <c r="FW115">
        <v>2.5842299999999998</v>
      </c>
      <c r="FX115">
        <v>1.5490699999999999</v>
      </c>
      <c r="FY115">
        <v>2.3303199999999999</v>
      </c>
      <c r="FZ115">
        <v>1.50146</v>
      </c>
      <c r="GA115">
        <v>2.3156699999999999</v>
      </c>
      <c r="GB115">
        <v>33.580399999999997</v>
      </c>
      <c r="GC115">
        <v>23.973700000000001</v>
      </c>
      <c r="GD115">
        <v>19</v>
      </c>
      <c r="GE115">
        <v>280.40600000000001</v>
      </c>
      <c r="GF115">
        <v>585.33799999999997</v>
      </c>
      <c r="GG115">
        <v>22.922899999999998</v>
      </c>
      <c r="GH115">
        <v>26.194700000000001</v>
      </c>
      <c r="GI115">
        <v>29.9999</v>
      </c>
      <c r="GJ115">
        <v>26.363900000000001</v>
      </c>
      <c r="GK115">
        <v>26.3553</v>
      </c>
      <c r="GL115">
        <v>35.5077</v>
      </c>
      <c r="GM115">
        <v>64.326300000000003</v>
      </c>
      <c r="GN115">
        <v>62.993899999999996</v>
      </c>
      <c r="GO115">
        <v>22.920100000000001</v>
      </c>
      <c r="GP115">
        <v>800</v>
      </c>
      <c r="GQ115">
        <v>6.4742499999999996</v>
      </c>
      <c r="GR115">
        <v>99.744799999999998</v>
      </c>
      <c r="GS115">
        <v>99.574200000000005</v>
      </c>
    </row>
    <row r="116" spans="1:201" x14ac:dyDescent="0.25">
      <c r="A116">
        <v>100</v>
      </c>
      <c r="B116">
        <v>1690383516</v>
      </c>
      <c r="C116">
        <v>1040.900000095367</v>
      </c>
      <c r="D116" t="s">
        <v>531</v>
      </c>
      <c r="E116" t="s">
        <v>532</v>
      </c>
      <c r="F116" t="s">
        <v>330</v>
      </c>
      <c r="H116">
        <v>1690383516</v>
      </c>
      <c r="I116">
        <f t="shared" si="30"/>
        <v>1.4790442369537744E-3</v>
      </c>
      <c r="J116">
        <f t="shared" si="31"/>
        <v>1.4790442369537744</v>
      </c>
      <c r="K116">
        <f t="shared" si="32"/>
        <v>24.605783864500101</v>
      </c>
      <c r="L116">
        <f t="shared" si="33"/>
        <v>523.56799999999998</v>
      </c>
      <c r="M116">
        <f t="shared" si="34"/>
        <v>147.68802759817743</v>
      </c>
      <c r="N116">
        <f t="shared" si="35"/>
        <v>14.590213670829144</v>
      </c>
      <c r="O116">
        <f t="shared" si="36"/>
        <v>51.723684820224001</v>
      </c>
      <c r="P116">
        <f t="shared" si="37"/>
        <v>0.10948506632614001</v>
      </c>
      <c r="Q116">
        <f t="shared" si="38"/>
        <v>2.1093728928342097</v>
      </c>
      <c r="R116">
        <f t="shared" si="39"/>
        <v>0.10642320863547879</v>
      </c>
      <c r="S116">
        <f t="shared" si="40"/>
        <v>6.6782468838843007E-2</v>
      </c>
      <c r="T116">
        <f t="shared" si="41"/>
        <v>276.11569607400003</v>
      </c>
      <c r="U116">
        <f t="shared" si="42"/>
        <v>26.738561791896728</v>
      </c>
      <c r="V116">
        <f t="shared" si="43"/>
        <v>26.738561791896728</v>
      </c>
      <c r="W116">
        <f t="shared" si="44"/>
        <v>3.5245689384063992</v>
      </c>
      <c r="X116">
        <f t="shared" si="45"/>
        <v>68.698149282839481</v>
      </c>
      <c r="Y116">
        <f t="shared" si="46"/>
        <v>2.1913175413152</v>
      </c>
      <c r="Z116">
        <f t="shared" si="47"/>
        <v>3.1897766740312785</v>
      </c>
      <c r="AA116">
        <f t="shared" si="48"/>
        <v>1.3332513970911992</v>
      </c>
      <c r="AB116">
        <f t="shared" si="49"/>
        <v>-65.225850849661455</v>
      </c>
      <c r="AC116">
        <f t="shared" si="50"/>
        <v>-191.66020486595104</v>
      </c>
      <c r="AD116">
        <f t="shared" si="51"/>
        <v>-19.393359013522097</v>
      </c>
      <c r="AE116">
        <f t="shared" si="52"/>
        <v>-0.16371865513460193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52497.392195313812</v>
      </c>
      <c r="AK116">
        <f t="shared" si="56"/>
        <v>1800</v>
      </c>
      <c r="AL116">
        <f t="shared" si="57"/>
        <v>1499.1098544000001</v>
      </c>
      <c r="AM116">
        <f t="shared" si="58"/>
        <v>0.8328388080000001</v>
      </c>
      <c r="AN116">
        <f t="shared" si="59"/>
        <v>0.15339760893000001</v>
      </c>
      <c r="AO116">
        <v>32.700000000000003</v>
      </c>
      <c r="AP116">
        <v>0.5</v>
      </c>
      <c r="AQ116" t="s">
        <v>331</v>
      </c>
      <c r="AR116">
        <v>2</v>
      </c>
      <c r="AS116">
        <v>1690383516</v>
      </c>
      <c r="AT116">
        <v>523.56799999999998</v>
      </c>
      <c r="AU116">
        <v>799.97500000000002</v>
      </c>
      <c r="AV116">
        <v>22.1814</v>
      </c>
      <c r="AW116">
        <v>6.4309099999999999</v>
      </c>
      <c r="AX116">
        <v>523.63699999999994</v>
      </c>
      <c r="AY116">
        <v>22.0061</v>
      </c>
      <c r="AZ116">
        <v>300.25700000000001</v>
      </c>
      <c r="BA116">
        <v>98.690700000000007</v>
      </c>
      <c r="BB116">
        <v>0.100068</v>
      </c>
      <c r="BC116">
        <v>25.0532</v>
      </c>
      <c r="BD116">
        <v>26.974799999999998</v>
      </c>
      <c r="BE116">
        <v>26.616599999999998</v>
      </c>
      <c r="BF116">
        <v>0</v>
      </c>
      <c r="BG116">
        <v>0</v>
      </c>
      <c r="BH116">
        <v>9994.3799999999992</v>
      </c>
      <c r="BI116">
        <v>1051.67</v>
      </c>
      <c r="BJ116">
        <v>2.3547799999999999</v>
      </c>
      <c r="BK116">
        <v>-276.40600000000001</v>
      </c>
      <c r="BL116">
        <v>535.44500000000005</v>
      </c>
      <c r="BM116">
        <v>805.15300000000002</v>
      </c>
      <c r="BN116">
        <v>15.750500000000001</v>
      </c>
      <c r="BO116">
        <v>799.97500000000002</v>
      </c>
      <c r="BP116">
        <v>6.4309099999999999</v>
      </c>
      <c r="BQ116">
        <v>2.1890900000000002</v>
      </c>
      <c r="BR116">
        <v>0.63467099999999999</v>
      </c>
      <c r="BS116">
        <v>18.8827</v>
      </c>
      <c r="BT116">
        <v>0.46463700000000002</v>
      </c>
      <c r="BU116">
        <v>1800</v>
      </c>
      <c r="BV116">
        <v>0.90998900000000005</v>
      </c>
      <c r="BW116">
        <v>3.4007099999999998E-2</v>
      </c>
      <c r="BX116">
        <v>2.2001900000000001E-2</v>
      </c>
      <c r="BY116">
        <v>3.4001900000000002E-2</v>
      </c>
      <c r="BZ116">
        <v>26</v>
      </c>
      <c r="CA116">
        <v>33528.300000000003</v>
      </c>
      <c r="CB116">
        <v>1690381960.0999999</v>
      </c>
      <c r="CC116" t="s">
        <v>332</v>
      </c>
      <c r="CD116">
        <v>1690381960.0999999</v>
      </c>
      <c r="CE116">
        <v>1690381958.0999999</v>
      </c>
      <c r="CF116">
        <v>4</v>
      </c>
      <c r="CG116">
        <v>9.9000000000000005E-2</v>
      </c>
      <c r="CH116">
        <v>1.2E-2</v>
      </c>
      <c r="CI116">
        <v>-0.26300000000000001</v>
      </c>
      <c r="CJ116">
        <v>0.127</v>
      </c>
      <c r="CK116">
        <v>798</v>
      </c>
      <c r="CL116">
        <v>18</v>
      </c>
      <c r="CM116">
        <v>0.02</v>
      </c>
      <c r="CN116">
        <v>0.12</v>
      </c>
      <c r="CO116">
        <v>-273.18099999999998</v>
      </c>
      <c r="CP116">
        <v>-19.731962476547341</v>
      </c>
      <c r="CQ116">
        <v>1.9013860470719779</v>
      </c>
      <c r="CR116">
        <v>-1</v>
      </c>
      <c r="CS116">
        <v>15.526845</v>
      </c>
      <c r="CT116">
        <v>1.4597763602251059</v>
      </c>
      <c r="CU116">
        <v>0.14055812134131551</v>
      </c>
      <c r="CV116">
        <v>-1</v>
      </c>
      <c r="CW116">
        <v>0</v>
      </c>
      <c r="CX116">
        <v>0</v>
      </c>
      <c r="CY116" t="s">
        <v>333</v>
      </c>
      <c r="CZ116">
        <v>2.3650000000000002</v>
      </c>
      <c r="DA116">
        <v>2.7138499999999999</v>
      </c>
      <c r="DB116">
        <v>0.10888100000000001</v>
      </c>
      <c r="DC116">
        <v>0.14553199999999999</v>
      </c>
      <c r="DD116">
        <v>0.107339</v>
      </c>
      <c r="DE116">
        <v>4.1580800000000001E-2</v>
      </c>
      <c r="DF116">
        <v>32541.1</v>
      </c>
      <c r="DG116">
        <v>27538.9</v>
      </c>
      <c r="DH116">
        <v>31174.6</v>
      </c>
      <c r="DI116">
        <v>28083.4</v>
      </c>
      <c r="DJ116">
        <v>37780.6</v>
      </c>
      <c r="DK116">
        <v>38276.6</v>
      </c>
      <c r="DL116">
        <v>44365.3</v>
      </c>
      <c r="DM116">
        <v>42565</v>
      </c>
      <c r="DN116">
        <v>1.47113</v>
      </c>
      <c r="DO116">
        <v>2.0388500000000001</v>
      </c>
      <c r="DP116">
        <v>0.17750299999999999</v>
      </c>
      <c r="DQ116">
        <v>0.158496</v>
      </c>
      <c r="DR116">
        <v>24.064900000000002</v>
      </c>
      <c r="DS116">
        <v>24.017299999999999</v>
      </c>
      <c r="DT116">
        <v>48.3</v>
      </c>
      <c r="DU116">
        <v>28.7</v>
      </c>
      <c r="DV116">
        <v>19.3474</v>
      </c>
      <c r="DW116">
        <v>60.692999999999998</v>
      </c>
      <c r="DX116">
        <v>36.474400000000003</v>
      </c>
      <c r="DY116">
        <v>1</v>
      </c>
      <c r="DZ116">
        <v>-9.3869400000000006E-2</v>
      </c>
      <c r="EA116">
        <v>0.48206399999999999</v>
      </c>
      <c r="EB116">
        <v>20.1889</v>
      </c>
      <c r="EC116">
        <v>5.2408000000000001</v>
      </c>
      <c r="ED116">
        <v>12.039899999999999</v>
      </c>
      <c r="EE116">
        <v>5.0165499999999996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</v>
      </c>
      <c r="EL116">
        <v>1.8646199999999999</v>
      </c>
      <c r="EM116">
        <v>1.86921</v>
      </c>
      <c r="EN116">
        <v>1.8672500000000001</v>
      </c>
      <c r="EO116">
        <v>1.8633900000000001</v>
      </c>
      <c r="EP116">
        <v>1.8644700000000001</v>
      </c>
      <c r="EQ116">
        <v>1.87016</v>
      </c>
      <c r="ER116">
        <v>1.86941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-6.9000000000000006E-2</v>
      </c>
      <c r="FG116">
        <v>0.17530000000000001</v>
      </c>
      <c r="FH116">
        <v>0.28746640474027818</v>
      </c>
      <c r="FI116">
        <v>-6.1462078757559423E-4</v>
      </c>
      <c r="FJ116">
        <v>-1.8861989874597051E-7</v>
      </c>
      <c r="FK116">
        <v>1.1980462299894961E-10</v>
      </c>
      <c r="FL116">
        <v>0.17524818673008091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25.9</v>
      </c>
      <c r="FU116">
        <v>26</v>
      </c>
      <c r="FV116">
        <v>1.7761199999999999</v>
      </c>
      <c r="FW116">
        <v>2.5817899999999998</v>
      </c>
      <c r="FX116">
        <v>1.5490699999999999</v>
      </c>
      <c r="FY116">
        <v>2.3303199999999999</v>
      </c>
      <c r="FZ116">
        <v>1.50146</v>
      </c>
      <c r="GA116">
        <v>2.33765</v>
      </c>
      <c r="GB116">
        <v>33.580399999999997</v>
      </c>
      <c r="GC116">
        <v>23.973700000000001</v>
      </c>
      <c r="GD116">
        <v>19</v>
      </c>
      <c r="GE116">
        <v>280.76</v>
      </c>
      <c r="GF116">
        <v>585.36199999999997</v>
      </c>
      <c r="GG116">
        <v>22.929500000000001</v>
      </c>
      <c r="GH116">
        <v>26.190300000000001</v>
      </c>
      <c r="GI116">
        <v>29.9999</v>
      </c>
      <c r="GJ116">
        <v>26.36</v>
      </c>
      <c r="GK116">
        <v>26.352</v>
      </c>
      <c r="GL116">
        <v>35.505600000000001</v>
      </c>
      <c r="GM116">
        <v>64.657700000000006</v>
      </c>
      <c r="GN116">
        <v>62.210900000000002</v>
      </c>
      <c r="GO116">
        <v>22.956600000000002</v>
      </c>
      <c r="GP116">
        <v>800</v>
      </c>
      <c r="GQ116">
        <v>6.3252600000000001</v>
      </c>
      <c r="GR116">
        <v>99.746499999999997</v>
      </c>
      <c r="GS116">
        <v>99.573999999999998</v>
      </c>
    </row>
    <row r="117" spans="1:201" x14ac:dyDescent="0.25">
      <c r="A117">
        <v>101</v>
      </c>
      <c r="B117">
        <v>1690383526</v>
      </c>
      <c r="C117">
        <v>1050.900000095367</v>
      </c>
      <c r="D117" t="s">
        <v>533</v>
      </c>
      <c r="E117" t="s">
        <v>534</v>
      </c>
      <c r="F117" t="s">
        <v>330</v>
      </c>
      <c r="H117">
        <v>1690383526</v>
      </c>
      <c r="I117">
        <f t="shared" si="30"/>
        <v>1.4971079951805499E-3</v>
      </c>
      <c r="J117">
        <f t="shared" si="31"/>
        <v>1.4971079951805499</v>
      </c>
      <c r="K117">
        <f t="shared" si="32"/>
        <v>24.891711317079029</v>
      </c>
      <c r="L117">
        <f t="shared" si="33"/>
        <v>520.21199999999999</v>
      </c>
      <c r="M117">
        <f t="shared" si="34"/>
        <v>144.89324420779207</v>
      </c>
      <c r="N117">
        <f t="shared" si="35"/>
        <v>14.313500960623621</v>
      </c>
      <c r="O117">
        <f t="shared" si="36"/>
        <v>51.389938864571995</v>
      </c>
      <c r="P117">
        <f t="shared" si="37"/>
        <v>0.11093681204503153</v>
      </c>
      <c r="Q117">
        <f t="shared" si="38"/>
        <v>2.1114051699067629</v>
      </c>
      <c r="R117">
        <f t="shared" si="39"/>
        <v>0.10779740412508534</v>
      </c>
      <c r="S117">
        <f t="shared" si="40"/>
        <v>6.7648040804296372E-2</v>
      </c>
      <c r="T117">
        <f t="shared" si="41"/>
        <v>276.11403395662256</v>
      </c>
      <c r="U117">
        <f t="shared" si="42"/>
        <v>26.743992961136271</v>
      </c>
      <c r="V117">
        <f t="shared" si="43"/>
        <v>26.743992961136271</v>
      </c>
      <c r="W117">
        <f t="shared" si="44"/>
        <v>3.5256955807581876</v>
      </c>
      <c r="X117">
        <f t="shared" si="45"/>
        <v>68.710404927120564</v>
      </c>
      <c r="Y117">
        <f t="shared" si="46"/>
        <v>2.1934462556708998</v>
      </c>
      <c r="Z117">
        <f t="shared" si="47"/>
        <v>3.192305820344727</v>
      </c>
      <c r="AA117">
        <f t="shared" si="48"/>
        <v>1.3322493250872878</v>
      </c>
      <c r="AB117">
        <f t="shared" si="49"/>
        <v>-66.022462587462243</v>
      </c>
      <c r="AC117">
        <f t="shared" si="50"/>
        <v>-190.94915045043254</v>
      </c>
      <c r="AD117">
        <f t="shared" si="51"/>
        <v>-19.304625957977173</v>
      </c>
      <c r="AE117">
        <f t="shared" si="52"/>
        <v>-0.16220503924941454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52584.08500572855</v>
      </c>
      <c r="AK117">
        <f t="shared" si="56"/>
        <v>1799.99</v>
      </c>
      <c r="AL117">
        <f t="shared" si="57"/>
        <v>1499.10196880946</v>
      </c>
      <c r="AM117">
        <f t="shared" si="58"/>
        <v>0.83283905400000002</v>
      </c>
      <c r="AN117">
        <f t="shared" si="59"/>
        <v>0.15339753773999998</v>
      </c>
      <c r="AO117">
        <v>32.700000000000003</v>
      </c>
      <c r="AP117">
        <v>0.5</v>
      </c>
      <c r="AQ117" t="s">
        <v>331</v>
      </c>
      <c r="AR117">
        <v>2</v>
      </c>
      <c r="AS117">
        <v>1690383526</v>
      </c>
      <c r="AT117">
        <v>520.21199999999999</v>
      </c>
      <c r="AU117">
        <v>799.89300000000003</v>
      </c>
      <c r="AV117">
        <v>22.203900000000001</v>
      </c>
      <c r="AW117">
        <v>6.2550400000000002</v>
      </c>
      <c r="AX117">
        <v>520.27800000000002</v>
      </c>
      <c r="AY117">
        <v>22.028600000000001</v>
      </c>
      <c r="AZ117">
        <v>300.137</v>
      </c>
      <c r="BA117">
        <v>98.686499999999995</v>
      </c>
      <c r="BB117">
        <v>0.10003099999999999</v>
      </c>
      <c r="BC117">
        <v>25.066500000000001</v>
      </c>
      <c r="BD117">
        <v>27.020499999999998</v>
      </c>
      <c r="BE117">
        <v>26.630400000000002</v>
      </c>
      <c r="BF117">
        <v>0</v>
      </c>
      <c r="BG117">
        <v>0</v>
      </c>
      <c r="BH117">
        <v>10012.5</v>
      </c>
      <c r="BI117">
        <v>1051.8399999999999</v>
      </c>
      <c r="BJ117">
        <v>2.30572</v>
      </c>
      <c r="BK117">
        <v>-279.68099999999998</v>
      </c>
      <c r="BL117">
        <v>532.02499999999998</v>
      </c>
      <c r="BM117">
        <v>804.928</v>
      </c>
      <c r="BN117">
        <v>15.9488</v>
      </c>
      <c r="BO117">
        <v>799.89300000000003</v>
      </c>
      <c r="BP117">
        <v>6.2550400000000002</v>
      </c>
      <c r="BQ117">
        <v>2.1912199999999999</v>
      </c>
      <c r="BR117">
        <v>0.61728799999999995</v>
      </c>
      <c r="BS117">
        <v>18.898299999999999</v>
      </c>
      <c r="BT117">
        <v>8.1416000000000002E-2</v>
      </c>
      <c r="BU117">
        <v>1799.99</v>
      </c>
      <c r="BV117">
        <v>0.90999200000000002</v>
      </c>
      <c r="BW117">
        <v>3.4005899999999999E-2</v>
      </c>
      <c r="BX117">
        <v>2.2001199999999999E-2</v>
      </c>
      <c r="BY117">
        <v>3.4000799999999998E-2</v>
      </c>
      <c r="BZ117">
        <v>26</v>
      </c>
      <c r="CA117">
        <v>33528.199999999997</v>
      </c>
      <c r="CB117">
        <v>1690381960.0999999</v>
      </c>
      <c r="CC117" t="s">
        <v>332</v>
      </c>
      <c r="CD117">
        <v>1690381960.0999999</v>
      </c>
      <c r="CE117">
        <v>1690381958.0999999</v>
      </c>
      <c r="CF117">
        <v>4</v>
      </c>
      <c r="CG117">
        <v>9.9000000000000005E-2</v>
      </c>
      <c r="CH117">
        <v>1.2E-2</v>
      </c>
      <c r="CI117">
        <v>-0.26300000000000001</v>
      </c>
      <c r="CJ117">
        <v>0.127</v>
      </c>
      <c r="CK117">
        <v>798</v>
      </c>
      <c r="CL117">
        <v>18</v>
      </c>
      <c r="CM117">
        <v>0.02</v>
      </c>
      <c r="CN117">
        <v>0.12</v>
      </c>
      <c r="CO117">
        <v>-276.12984999999998</v>
      </c>
      <c r="CP117">
        <v>-19.562161350843851</v>
      </c>
      <c r="CQ117">
        <v>1.8846314168823559</v>
      </c>
      <c r="CR117">
        <v>-1</v>
      </c>
      <c r="CS117">
        <v>15.721814999999999</v>
      </c>
      <c r="CT117">
        <v>1.191708067542194</v>
      </c>
      <c r="CU117">
        <v>0.11528255191051261</v>
      </c>
      <c r="CV117">
        <v>-1</v>
      </c>
      <c r="CW117">
        <v>0</v>
      </c>
      <c r="CX117">
        <v>0</v>
      </c>
      <c r="CY117" t="s">
        <v>333</v>
      </c>
      <c r="CZ117">
        <v>2.3645999999999998</v>
      </c>
      <c r="DA117">
        <v>2.7138300000000002</v>
      </c>
      <c r="DB117">
        <v>0.108371</v>
      </c>
      <c r="DC117">
        <v>0.145514</v>
      </c>
      <c r="DD117">
        <v>0.10741299999999999</v>
      </c>
      <c r="DE117">
        <v>4.06544E-2</v>
      </c>
      <c r="DF117">
        <v>32560.1</v>
      </c>
      <c r="DG117">
        <v>27539.7</v>
      </c>
      <c r="DH117">
        <v>31175</v>
      </c>
      <c r="DI117">
        <v>28083.5</v>
      </c>
      <c r="DJ117">
        <v>37778.1</v>
      </c>
      <c r="DK117">
        <v>38313.9</v>
      </c>
      <c r="DL117">
        <v>44366.1</v>
      </c>
      <c r="DM117">
        <v>42565.3</v>
      </c>
      <c r="DN117">
        <v>1.4705999999999999</v>
      </c>
      <c r="DO117">
        <v>2.0384000000000002</v>
      </c>
      <c r="DP117">
        <v>0.17995800000000001</v>
      </c>
      <c r="DQ117">
        <v>0.158805</v>
      </c>
      <c r="DR117">
        <v>24.070399999999999</v>
      </c>
      <c r="DS117">
        <v>24.026199999999999</v>
      </c>
      <c r="DT117">
        <v>48</v>
      </c>
      <c r="DU117">
        <v>28.7</v>
      </c>
      <c r="DV117">
        <v>19.223600000000001</v>
      </c>
      <c r="DW117">
        <v>61.042999999999999</v>
      </c>
      <c r="DX117">
        <v>36.490400000000001</v>
      </c>
      <c r="DY117">
        <v>1</v>
      </c>
      <c r="DZ117">
        <v>-9.3965999999999994E-2</v>
      </c>
      <c r="EA117">
        <v>0.90050699999999995</v>
      </c>
      <c r="EB117">
        <v>20.1845</v>
      </c>
      <c r="EC117">
        <v>5.2408000000000001</v>
      </c>
      <c r="ED117">
        <v>12.039899999999999</v>
      </c>
      <c r="EE117">
        <v>5.0168499999999998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</v>
      </c>
      <c r="EL117">
        <v>1.8646199999999999</v>
      </c>
      <c r="EM117">
        <v>1.86921</v>
      </c>
      <c r="EN117">
        <v>1.86724</v>
      </c>
      <c r="EO117">
        <v>1.8633999999999999</v>
      </c>
      <c r="EP117">
        <v>1.8644700000000001</v>
      </c>
      <c r="EQ117">
        <v>1.87015</v>
      </c>
      <c r="ER117">
        <v>1.8694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-6.6000000000000003E-2</v>
      </c>
      <c r="FG117">
        <v>0.17530000000000001</v>
      </c>
      <c r="FH117">
        <v>0.28746640474027818</v>
      </c>
      <c r="FI117">
        <v>-6.1462078757559423E-4</v>
      </c>
      <c r="FJ117">
        <v>-1.8861989874597051E-7</v>
      </c>
      <c r="FK117">
        <v>1.1980462299894961E-10</v>
      </c>
      <c r="FL117">
        <v>0.17524818673008091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26.1</v>
      </c>
      <c r="FU117">
        <v>26.1</v>
      </c>
      <c r="FV117">
        <v>1.7761199999999999</v>
      </c>
      <c r="FW117">
        <v>2.5793499999999998</v>
      </c>
      <c r="FX117">
        <v>1.5490699999999999</v>
      </c>
      <c r="FY117">
        <v>2.3303199999999999</v>
      </c>
      <c r="FZ117">
        <v>1.50146</v>
      </c>
      <c r="GA117">
        <v>2.3596200000000001</v>
      </c>
      <c r="GB117">
        <v>33.580399999999997</v>
      </c>
      <c r="GC117">
        <v>23.973700000000001</v>
      </c>
      <c r="GD117">
        <v>19</v>
      </c>
      <c r="GE117">
        <v>280.51799999999997</v>
      </c>
      <c r="GF117">
        <v>584.94299999999998</v>
      </c>
      <c r="GG117">
        <v>22.9758</v>
      </c>
      <c r="GH117">
        <v>26.185300000000002</v>
      </c>
      <c r="GI117">
        <v>30</v>
      </c>
      <c r="GJ117">
        <v>26.355599999999999</v>
      </c>
      <c r="GK117">
        <v>26.347899999999999</v>
      </c>
      <c r="GL117">
        <v>35.506100000000004</v>
      </c>
      <c r="GM117">
        <v>65.529700000000005</v>
      </c>
      <c r="GN117">
        <v>61.397199999999998</v>
      </c>
      <c r="GO117">
        <v>22.6069</v>
      </c>
      <c r="GP117">
        <v>800</v>
      </c>
      <c r="GQ117">
        <v>6.0908499999999997</v>
      </c>
      <c r="GR117">
        <v>99.748099999999994</v>
      </c>
      <c r="GS117">
        <v>99.574600000000004</v>
      </c>
    </row>
    <row r="118" spans="1:201" x14ac:dyDescent="0.25">
      <c r="A118">
        <v>102</v>
      </c>
      <c r="B118">
        <v>1690383536</v>
      </c>
      <c r="C118">
        <v>1060.900000095367</v>
      </c>
      <c r="D118" t="s">
        <v>535</v>
      </c>
      <c r="E118" t="s">
        <v>536</v>
      </c>
      <c r="F118" t="s">
        <v>330</v>
      </c>
      <c r="H118">
        <v>1690383536</v>
      </c>
      <c r="I118">
        <f t="shared" si="30"/>
        <v>1.5160224273539013E-3</v>
      </c>
      <c r="J118">
        <f t="shared" si="31"/>
        <v>1.5160224273539014</v>
      </c>
      <c r="K118">
        <f t="shared" si="32"/>
        <v>25.196914608980492</v>
      </c>
      <c r="L118">
        <f t="shared" si="33"/>
        <v>517.06399999999996</v>
      </c>
      <c r="M118">
        <f t="shared" si="34"/>
        <v>142.5408941673434</v>
      </c>
      <c r="N118">
        <f t="shared" si="35"/>
        <v>14.081115642547763</v>
      </c>
      <c r="O118">
        <f t="shared" si="36"/>
        <v>51.078941388220798</v>
      </c>
      <c r="P118">
        <f t="shared" si="37"/>
        <v>0.11255598654143355</v>
      </c>
      <c r="Q118">
        <f t="shared" si="38"/>
        <v>2.1129775313319099</v>
      </c>
      <c r="R118">
        <f t="shared" si="39"/>
        <v>0.10932803375743906</v>
      </c>
      <c r="S118">
        <f t="shared" si="40"/>
        <v>6.8612328892833016E-2</v>
      </c>
      <c r="T118">
        <f t="shared" si="41"/>
        <v>276.11552610000001</v>
      </c>
      <c r="U118">
        <f t="shared" si="42"/>
        <v>26.724133100821227</v>
      </c>
      <c r="V118">
        <f t="shared" si="43"/>
        <v>26.724133100821227</v>
      </c>
      <c r="W118">
        <f t="shared" si="44"/>
        <v>3.5215773756791799</v>
      </c>
      <c r="X118">
        <f t="shared" si="45"/>
        <v>68.693983020837322</v>
      </c>
      <c r="Y118">
        <f t="shared" si="46"/>
        <v>2.19134135278872</v>
      </c>
      <c r="Z118">
        <f t="shared" si="47"/>
        <v>3.1900047957970474</v>
      </c>
      <c r="AA118">
        <f t="shared" si="48"/>
        <v>1.3302360228904599</v>
      </c>
      <c r="AB118">
        <f t="shared" si="49"/>
        <v>-66.85658904630705</v>
      </c>
      <c r="AC118">
        <f t="shared" si="50"/>
        <v>-190.20738681901472</v>
      </c>
      <c r="AD118">
        <f t="shared" si="51"/>
        <v>-19.21224225719817</v>
      </c>
      <c r="AE118">
        <f t="shared" si="52"/>
        <v>-0.16069202251992465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52655.249925540942</v>
      </c>
      <c r="AK118">
        <f t="shared" si="56"/>
        <v>1800</v>
      </c>
      <c r="AL118">
        <f t="shared" si="57"/>
        <v>1499.1111269999997</v>
      </c>
      <c r="AM118">
        <f t="shared" si="58"/>
        <v>0.83283951499999986</v>
      </c>
      <c r="AN118">
        <f t="shared" si="59"/>
        <v>0.1533975145</v>
      </c>
      <c r="AO118">
        <v>32.700000000000003</v>
      </c>
      <c r="AP118">
        <v>0.5</v>
      </c>
      <c r="AQ118" t="s">
        <v>331</v>
      </c>
      <c r="AR118">
        <v>2</v>
      </c>
      <c r="AS118">
        <v>1690383536</v>
      </c>
      <c r="AT118">
        <v>517.06399999999996</v>
      </c>
      <c r="AU118">
        <v>800.06600000000003</v>
      </c>
      <c r="AV118">
        <v>22.182600000000001</v>
      </c>
      <c r="AW118">
        <v>6.0352800000000002</v>
      </c>
      <c r="AX118">
        <v>517.12900000000002</v>
      </c>
      <c r="AY118">
        <v>22.007400000000001</v>
      </c>
      <c r="AZ118">
        <v>300.2</v>
      </c>
      <c r="BA118">
        <v>98.686599999999999</v>
      </c>
      <c r="BB118">
        <v>9.9897200000000005E-2</v>
      </c>
      <c r="BC118">
        <v>25.054400000000001</v>
      </c>
      <c r="BD118">
        <v>26.990600000000001</v>
      </c>
      <c r="BE118">
        <v>26.599299999999999</v>
      </c>
      <c r="BF118">
        <v>0</v>
      </c>
      <c r="BG118">
        <v>0</v>
      </c>
      <c r="BH118">
        <v>10026.200000000001</v>
      </c>
      <c r="BI118">
        <v>1051.94</v>
      </c>
      <c r="BJ118">
        <v>2.2987099999999998</v>
      </c>
      <c r="BK118">
        <v>-283.00200000000001</v>
      </c>
      <c r="BL118">
        <v>528.79399999999998</v>
      </c>
      <c r="BM118">
        <v>804.92399999999998</v>
      </c>
      <c r="BN118">
        <v>16.147300000000001</v>
      </c>
      <c r="BO118">
        <v>800.06600000000003</v>
      </c>
      <c r="BP118">
        <v>6.0352800000000002</v>
      </c>
      <c r="BQ118">
        <v>2.18913</v>
      </c>
      <c r="BR118">
        <v>0.59560199999999996</v>
      </c>
      <c r="BS118">
        <v>18.882999999999999</v>
      </c>
      <c r="BT118">
        <v>-0.41031200000000001</v>
      </c>
      <c r="BU118">
        <v>1800</v>
      </c>
      <c r="BV118">
        <v>0.909995</v>
      </c>
      <c r="BW118">
        <v>3.4004899999999998E-2</v>
      </c>
      <c r="BX118">
        <v>2.2000499999999999E-2</v>
      </c>
      <c r="BY118">
        <v>3.3999799999999997E-2</v>
      </c>
      <c r="BZ118">
        <v>26</v>
      </c>
      <c r="CA118">
        <v>33528.199999999997</v>
      </c>
      <c r="CB118">
        <v>1690381960.0999999</v>
      </c>
      <c r="CC118" t="s">
        <v>332</v>
      </c>
      <c r="CD118">
        <v>1690381960.0999999</v>
      </c>
      <c r="CE118">
        <v>1690381958.0999999</v>
      </c>
      <c r="CF118">
        <v>4</v>
      </c>
      <c r="CG118">
        <v>9.9000000000000005E-2</v>
      </c>
      <c r="CH118">
        <v>1.2E-2</v>
      </c>
      <c r="CI118">
        <v>-0.26300000000000001</v>
      </c>
      <c r="CJ118">
        <v>0.127</v>
      </c>
      <c r="CK118">
        <v>798</v>
      </c>
      <c r="CL118">
        <v>18</v>
      </c>
      <c r="CM118">
        <v>0.02</v>
      </c>
      <c r="CN118">
        <v>0.12</v>
      </c>
      <c r="CO118">
        <v>-279.48970731707323</v>
      </c>
      <c r="CP118">
        <v>-19.99158188153357</v>
      </c>
      <c r="CQ118">
        <v>1.973018997150606</v>
      </c>
      <c r="CR118">
        <v>-1</v>
      </c>
      <c r="CS118">
        <v>15.933565853658539</v>
      </c>
      <c r="CT118">
        <v>1.313529616724709</v>
      </c>
      <c r="CU118">
        <v>0.1299883814878556</v>
      </c>
      <c r="CV118">
        <v>-1</v>
      </c>
      <c r="CW118">
        <v>0</v>
      </c>
      <c r="CX118">
        <v>0</v>
      </c>
      <c r="CY118" t="s">
        <v>333</v>
      </c>
      <c r="CZ118">
        <v>2.3647900000000002</v>
      </c>
      <c r="DA118">
        <v>2.7137099999999998</v>
      </c>
      <c r="DB118">
        <v>0.10789600000000001</v>
      </c>
      <c r="DC118">
        <v>0.14553199999999999</v>
      </c>
      <c r="DD118">
        <v>0.10734100000000001</v>
      </c>
      <c r="DE118">
        <v>3.9487700000000001E-2</v>
      </c>
      <c r="DF118">
        <v>32577.5</v>
      </c>
      <c r="DG118">
        <v>27539.5</v>
      </c>
      <c r="DH118">
        <v>31175</v>
      </c>
      <c r="DI118">
        <v>28084</v>
      </c>
      <c r="DJ118">
        <v>37781.1</v>
      </c>
      <c r="DK118">
        <v>38361.300000000003</v>
      </c>
      <c r="DL118">
        <v>44366.1</v>
      </c>
      <c r="DM118">
        <v>42565.9</v>
      </c>
      <c r="DN118">
        <v>1.4706699999999999</v>
      </c>
      <c r="DO118">
        <v>2.0380699999999998</v>
      </c>
      <c r="DP118">
        <v>0.177789</v>
      </c>
      <c r="DQ118">
        <v>0.156414</v>
      </c>
      <c r="DR118">
        <v>24.076000000000001</v>
      </c>
      <c r="DS118">
        <v>24.034300000000002</v>
      </c>
      <c r="DT118">
        <v>47.6</v>
      </c>
      <c r="DU118">
        <v>28.7</v>
      </c>
      <c r="DV118">
        <v>19.066199999999998</v>
      </c>
      <c r="DW118">
        <v>60.823</v>
      </c>
      <c r="DX118">
        <v>36.201900000000002</v>
      </c>
      <c r="DY118">
        <v>1</v>
      </c>
      <c r="DZ118">
        <v>-9.3549300000000002E-2</v>
      </c>
      <c r="EA118">
        <v>0.94199600000000006</v>
      </c>
      <c r="EB118">
        <v>20.1861</v>
      </c>
      <c r="EC118">
        <v>5.2406499999999996</v>
      </c>
      <c r="ED118">
        <v>12.039899999999999</v>
      </c>
      <c r="EE118">
        <v>5.0164999999999997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</v>
      </c>
      <c r="EL118">
        <v>1.8646199999999999</v>
      </c>
      <c r="EM118">
        <v>1.86921</v>
      </c>
      <c r="EN118">
        <v>1.8672599999999999</v>
      </c>
      <c r="EO118">
        <v>1.8633900000000001</v>
      </c>
      <c r="EP118">
        <v>1.8644700000000001</v>
      </c>
      <c r="EQ118">
        <v>1.87018</v>
      </c>
      <c r="ER118">
        <v>1.86944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-6.5000000000000002E-2</v>
      </c>
      <c r="FG118">
        <v>0.17519999999999999</v>
      </c>
      <c r="FH118">
        <v>0.28746640474027818</v>
      </c>
      <c r="FI118">
        <v>-6.1462078757559423E-4</v>
      </c>
      <c r="FJ118">
        <v>-1.8861989874597051E-7</v>
      </c>
      <c r="FK118">
        <v>1.1980462299894961E-10</v>
      </c>
      <c r="FL118">
        <v>0.17524818673008091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26.3</v>
      </c>
      <c r="FU118">
        <v>26.3</v>
      </c>
      <c r="FV118">
        <v>1.7748999999999999</v>
      </c>
      <c r="FW118">
        <v>2.5769000000000002</v>
      </c>
      <c r="FX118">
        <v>1.5490699999999999</v>
      </c>
      <c r="FY118">
        <v>2.3303199999999999</v>
      </c>
      <c r="FZ118">
        <v>1.50146</v>
      </c>
      <c r="GA118">
        <v>2.3791500000000001</v>
      </c>
      <c r="GB118">
        <v>33.580399999999997</v>
      </c>
      <c r="GC118">
        <v>23.982399999999998</v>
      </c>
      <c r="GD118">
        <v>19</v>
      </c>
      <c r="GE118">
        <v>280.52999999999997</v>
      </c>
      <c r="GF118">
        <v>584.62400000000002</v>
      </c>
      <c r="GG118">
        <v>22.633900000000001</v>
      </c>
      <c r="GH118">
        <v>26.180900000000001</v>
      </c>
      <c r="GI118">
        <v>29.999700000000001</v>
      </c>
      <c r="GJ118">
        <v>26.351099999999999</v>
      </c>
      <c r="GK118">
        <v>26.343399999999999</v>
      </c>
      <c r="GL118">
        <v>35.493099999999998</v>
      </c>
      <c r="GM118">
        <v>66.121399999999994</v>
      </c>
      <c r="GN118">
        <v>60.595100000000002</v>
      </c>
      <c r="GO118">
        <v>22.656600000000001</v>
      </c>
      <c r="GP118">
        <v>800</v>
      </c>
      <c r="GQ118">
        <v>5.9005299999999998</v>
      </c>
      <c r="GR118">
        <v>99.748199999999997</v>
      </c>
      <c r="GS118">
        <v>99.5762</v>
      </c>
    </row>
    <row r="119" spans="1:201" x14ac:dyDescent="0.25">
      <c r="A119">
        <v>103</v>
      </c>
      <c r="B119">
        <v>1690383546</v>
      </c>
      <c r="C119">
        <v>1070.900000095367</v>
      </c>
      <c r="D119" t="s">
        <v>537</v>
      </c>
      <c r="E119" t="s">
        <v>538</v>
      </c>
      <c r="F119" t="s">
        <v>330</v>
      </c>
      <c r="H119">
        <v>1690383546</v>
      </c>
      <c r="I119">
        <f t="shared" si="30"/>
        <v>1.5343626418103243E-3</v>
      </c>
      <c r="J119">
        <f t="shared" si="31"/>
        <v>1.5343626418103244</v>
      </c>
      <c r="K119">
        <f t="shared" si="32"/>
        <v>25.501010461554884</v>
      </c>
      <c r="L119">
        <f t="shared" si="33"/>
        <v>513.74199999999996</v>
      </c>
      <c r="M119">
        <f t="shared" si="34"/>
        <v>140.12848975081329</v>
      </c>
      <c r="N119">
        <f t="shared" si="35"/>
        <v>13.84264947194395</v>
      </c>
      <c r="O119">
        <f t="shared" si="36"/>
        <v>50.750211021767996</v>
      </c>
      <c r="P119">
        <f t="shared" si="37"/>
        <v>0.11422076316870981</v>
      </c>
      <c r="Q119">
        <f t="shared" si="38"/>
        <v>2.1080161716221242</v>
      </c>
      <c r="R119">
        <f t="shared" si="39"/>
        <v>0.11089056004493787</v>
      </c>
      <c r="S119">
        <f t="shared" si="40"/>
        <v>6.959771789365965E-2</v>
      </c>
      <c r="T119">
        <f t="shared" si="41"/>
        <v>276.11526306600001</v>
      </c>
      <c r="U119">
        <f t="shared" si="42"/>
        <v>26.712548133729101</v>
      </c>
      <c r="V119">
        <f t="shared" si="43"/>
        <v>26.712548133729101</v>
      </c>
      <c r="W119">
        <f t="shared" si="44"/>
        <v>3.5191770192595948</v>
      </c>
      <c r="X119">
        <f t="shared" si="45"/>
        <v>68.744650326586751</v>
      </c>
      <c r="Y119">
        <f t="shared" si="46"/>
        <v>2.1918209083307998</v>
      </c>
      <c r="Z119">
        <f t="shared" si="47"/>
        <v>3.1883512359406398</v>
      </c>
      <c r="AA119">
        <f t="shared" si="48"/>
        <v>1.327356110928795</v>
      </c>
      <c r="AB119">
        <f t="shared" si="49"/>
        <v>-67.665392503835307</v>
      </c>
      <c r="AC119">
        <f t="shared" si="50"/>
        <v>-189.43290299481603</v>
      </c>
      <c r="AD119">
        <f t="shared" si="51"/>
        <v>-19.177094418438962</v>
      </c>
      <c r="AE119">
        <f t="shared" si="52"/>
        <v>-0.1601268510902969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52439.150303138384</v>
      </c>
      <c r="AK119">
        <f t="shared" si="56"/>
        <v>1800</v>
      </c>
      <c r="AL119">
        <f t="shared" si="57"/>
        <v>1499.1103115999999</v>
      </c>
      <c r="AM119">
        <f t="shared" si="58"/>
        <v>0.83283906199999991</v>
      </c>
      <c r="AN119">
        <f t="shared" si="59"/>
        <v>0.15339736837000001</v>
      </c>
      <c r="AO119">
        <v>32.700000000000003</v>
      </c>
      <c r="AP119">
        <v>0.5</v>
      </c>
      <c r="AQ119" t="s">
        <v>331</v>
      </c>
      <c r="AR119">
        <v>2</v>
      </c>
      <c r="AS119">
        <v>1690383546</v>
      </c>
      <c r="AT119">
        <v>513.74199999999996</v>
      </c>
      <c r="AU119">
        <v>800.17100000000005</v>
      </c>
      <c r="AV119">
        <v>22.1877</v>
      </c>
      <c r="AW119">
        <v>5.84131</v>
      </c>
      <c r="AX119">
        <v>513.80399999999997</v>
      </c>
      <c r="AY119">
        <v>22.012499999999999</v>
      </c>
      <c r="AZ119">
        <v>300.13</v>
      </c>
      <c r="BA119">
        <v>98.685400000000001</v>
      </c>
      <c r="BB119">
        <v>0.100004</v>
      </c>
      <c r="BC119">
        <v>25.0457</v>
      </c>
      <c r="BD119">
        <v>26.958300000000001</v>
      </c>
      <c r="BE119">
        <v>26.598600000000001</v>
      </c>
      <c r="BF119">
        <v>0</v>
      </c>
      <c r="BG119">
        <v>0</v>
      </c>
      <c r="BH119">
        <v>9983.1200000000008</v>
      </c>
      <c r="BI119">
        <v>1051.98</v>
      </c>
      <c r="BJ119">
        <v>2.2987099999999998</v>
      </c>
      <c r="BK119">
        <v>-286.42899999999997</v>
      </c>
      <c r="BL119">
        <v>525.399</v>
      </c>
      <c r="BM119">
        <v>804.87199999999996</v>
      </c>
      <c r="BN119">
        <v>16.346399999999999</v>
      </c>
      <c r="BO119">
        <v>800.17100000000005</v>
      </c>
      <c r="BP119">
        <v>5.84131</v>
      </c>
      <c r="BQ119">
        <v>2.1896100000000001</v>
      </c>
      <c r="BR119">
        <v>0.57645199999999996</v>
      </c>
      <c r="BS119">
        <v>18.886500000000002</v>
      </c>
      <c r="BT119">
        <v>-0.85788200000000003</v>
      </c>
      <c r="BU119">
        <v>1800</v>
      </c>
      <c r="BV119">
        <v>0.90999600000000003</v>
      </c>
      <c r="BW119">
        <v>3.4004300000000001E-2</v>
      </c>
      <c r="BX119">
        <v>2.2000100000000002E-2</v>
      </c>
      <c r="BY119">
        <v>3.3999099999999997E-2</v>
      </c>
      <c r="BZ119">
        <v>26</v>
      </c>
      <c r="CA119">
        <v>33528.300000000003</v>
      </c>
      <c r="CB119">
        <v>1690381960.0999999</v>
      </c>
      <c r="CC119" t="s">
        <v>332</v>
      </c>
      <c r="CD119">
        <v>1690381960.0999999</v>
      </c>
      <c r="CE119">
        <v>1690381958.0999999</v>
      </c>
      <c r="CF119">
        <v>4</v>
      </c>
      <c r="CG119">
        <v>9.9000000000000005E-2</v>
      </c>
      <c r="CH119">
        <v>1.2E-2</v>
      </c>
      <c r="CI119">
        <v>-0.26300000000000001</v>
      </c>
      <c r="CJ119">
        <v>0.127</v>
      </c>
      <c r="CK119">
        <v>798</v>
      </c>
      <c r="CL119">
        <v>18</v>
      </c>
      <c r="CM119">
        <v>0.02</v>
      </c>
      <c r="CN119">
        <v>0.12</v>
      </c>
      <c r="CO119">
        <v>-282.72095121951219</v>
      </c>
      <c r="CP119">
        <v>-19.117944250871009</v>
      </c>
      <c r="CQ119">
        <v>1.8872347812531649</v>
      </c>
      <c r="CR119">
        <v>-1</v>
      </c>
      <c r="CS119">
        <v>16.134095121951219</v>
      </c>
      <c r="CT119">
        <v>1.1096006968640451</v>
      </c>
      <c r="CU119">
        <v>0.10998595464925059</v>
      </c>
      <c r="CV119">
        <v>-1</v>
      </c>
      <c r="CW119">
        <v>0</v>
      </c>
      <c r="CX119">
        <v>0</v>
      </c>
      <c r="CY119" t="s">
        <v>333</v>
      </c>
      <c r="CZ119">
        <v>2.3645700000000001</v>
      </c>
      <c r="DA119">
        <v>2.7137799999999999</v>
      </c>
      <c r="DB119">
        <v>0.107392</v>
      </c>
      <c r="DC119">
        <v>0.14554</v>
      </c>
      <c r="DD119">
        <v>0.107358</v>
      </c>
      <c r="DE119">
        <v>3.8446899999999999E-2</v>
      </c>
      <c r="DF119">
        <v>32595.9</v>
      </c>
      <c r="DG119">
        <v>27539.5</v>
      </c>
      <c r="DH119">
        <v>31175</v>
      </c>
      <c r="DI119">
        <v>28084.3</v>
      </c>
      <c r="DJ119">
        <v>37780.300000000003</v>
      </c>
      <c r="DK119">
        <v>38403.5</v>
      </c>
      <c r="DL119">
        <v>44366.1</v>
      </c>
      <c r="DM119">
        <v>42566.6</v>
      </c>
      <c r="DN119">
        <v>1.47113</v>
      </c>
      <c r="DO119">
        <v>2.0378500000000002</v>
      </c>
      <c r="DP119">
        <v>0.175368</v>
      </c>
      <c r="DQ119">
        <v>0.15601499999999999</v>
      </c>
      <c r="DR119">
        <v>24.083300000000001</v>
      </c>
      <c r="DS119">
        <v>24.040099999999999</v>
      </c>
      <c r="DT119">
        <v>47.3</v>
      </c>
      <c r="DU119">
        <v>28.8</v>
      </c>
      <c r="DV119">
        <v>19.053899999999999</v>
      </c>
      <c r="DW119">
        <v>60.933</v>
      </c>
      <c r="DX119">
        <v>36.358199999999997</v>
      </c>
      <c r="DY119">
        <v>1</v>
      </c>
      <c r="DZ119">
        <v>-9.4585900000000001E-2</v>
      </c>
      <c r="EA119">
        <v>0.75212699999999999</v>
      </c>
      <c r="EB119">
        <v>20.1875</v>
      </c>
      <c r="EC119">
        <v>5.2413999999999996</v>
      </c>
      <c r="ED119">
        <v>12.039899999999999</v>
      </c>
      <c r="EE119">
        <v>5.0168499999999998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1.8689100000000001</v>
      </c>
      <c r="EL119">
        <v>1.8646199999999999</v>
      </c>
      <c r="EM119">
        <v>1.8692</v>
      </c>
      <c r="EN119">
        <v>1.8672500000000001</v>
      </c>
      <c r="EO119">
        <v>1.8633900000000001</v>
      </c>
      <c r="EP119">
        <v>1.8644700000000001</v>
      </c>
      <c r="EQ119">
        <v>1.87015</v>
      </c>
      <c r="ER119">
        <v>1.8694200000000001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-6.2E-2</v>
      </c>
      <c r="FG119">
        <v>0.17519999999999999</v>
      </c>
      <c r="FH119">
        <v>0.28746640474027818</v>
      </c>
      <c r="FI119">
        <v>-6.1462078757559423E-4</v>
      </c>
      <c r="FJ119">
        <v>-1.8861989874597051E-7</v>
      </c>
      <c r="FK119">
        <v>1.1980462299894961E-10</v>
      </c>
      <c r="FL119">
        <v>0.17524818673008091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26.4</v>
      </c>
      <c r="FU119">
        <v>26.5</v>
      </c>
      <c r="FV119">
        <v>1.7748999999999999</v>
      </c>
      <c r="FW119">
        <v>2.5756800000000002</v>
      </c>
      <c r="FX119">
        <v>1.5490699999999999</v>
      </c>
      <c r="FY119">
        <v>2.3303199999999999</v>
      </c>
      <c r="FZ119">
        <v>1.50146</v>
      </c>
      <c r="GA119">
        <v>2.3803700000000001</v>
      </c>
      <c r="GB119">
        <v>33.580399999999997</v>
      </c>
      <c r="GC119">
        <v>23.982399999999998</v>
      </c>
      <c r="GD119">
        <v>19</v>
      </c>
      <c r="GE119">
        <v>280.702</v>
      </c>
      <c r="GF119">
        <v>584.39800000000002</v>
      </c>
      <c r="GG119">
        <v>22.619599999999998</v>
      </c>
      <c r="GH119">
        <v>26.176500000000001</v>
      </c>
      <c r="GI119">
        <v>29.9998</v>
      </c>
      <c r="GJ119">
        <v>26.346699999999998</v>
      </c>
      <c r="GK119">
        <v>26.3399</v>
      </c>
      <c r="GL119">
        <v>35.487099999999998</v>
      </c>
      <c r="GM119">
        <v>66.727999999999994</v>
      </c>
      <c r="GN119">
        <v>59.792999999999999</v>
      </c>
      <c r="GO119">
        <v>22.6616</v>
      </c>
      <c r="GP119">
        <v>800</v>
      </c>
      <c r="GQ119">
        <v>5.6771599999999998</v>
      </c>
      <c r="GR119">
        <v>99.748199999999997</v>
      </c>
      <c r="GS119">
        <v>99.577500000000001</v>
      </c>
    </row>
    <row r="120" spans="1:201" x14ac:dyDescent="0.25">
      <c r="A120">
        <v>104</v>
      </c>
      <c r="B120">
        <v>1690383556</v>
      </c>
      <c r="C120">
        <v>1080.900000095367</v>
      </c>
      <c r="D120" t="s">
        <v>539</v>
      </c>
      <c r="E120" t="s">
        <v>540</v>
      </c>
      <c r="F120" t="s">
        <v>330</v>
      </c>
      <c r="H120">
        <v>1690383556</v>
      </c>
      <c r="I120">
        <f t="shared" si="30"/>
        <v>1.559756504302655E-3</v>
      </c>
      <c r="J120">
        <f t="shared" si="31"/>
        <v>1.5597565043026551</v>
      </c>
      <c r="K120">
        <f t="shared" si="32"/>
        <v>25.773454114811504</v>
      </c>
      <c r="L120">
        <f t="shared" si="33"/>
        <v>510.56799999999998</v>
      </c>
      <c r="M120">
        <f t="shared" si="34"/>
        <v>141.02380369857994</v>
      </c>
      <c r="N120">
        <f t="shared" si="35"/>
        <v>13.931224531811212</v>
      </c>
      <c r="O120">
        <f t="shared" si="36"/>
        <v>50.437140824541594</v>
      </c>
      <c r="P120">
        <f t="shared" si="37"/>
        <v>0.1167789777594596</v>
      </c>
      <c r="Q120">
        <f t="shared" si="38"/>
        <v>2.1107611905669965</v>
      </c>
      <c r="R120">
        <f t="shared" si="39"/>
        <v>0.11330475482620028</v>
      </c>
      <c r="S120">
        <f t="shared" si="40"/>
        <v>7.1119007292863523E-2</v>
      </c>
      <c r="T120">
        <f t="shared" si="41"/>
        <v>276.11521099200002</v>
      </c>
      <c r="U120">
        <f t="shared" si="42"/>
        <v>26.694244432875582</v>
      </c>
      <c r="V120">
        <f t="shared" si="43"/>
        <v>26.694244432875582</v>
      </c>
      <c r="W120">
        <f t="shared" si="44"/>
        <v>3.5153874807339465</v>
      </c>
      <c r="X120">
        <f t="shared" si="45"/>
        <v>68.868305134576758</v>
      </c>
      <c r="Y120">
        <f t="shared" si="46"/>
        <v>2.1947952476131198</v>
      </c>
      <c r="Z120">
        <f t="shared" si="47"/>
        <v>3.1869453492782087</v>
      </c>
      <c r="AA120">
        <f t="shared" si="48"/>
        <v>1.3205922331208266</v>
      </c>
      <c r="AB120">
        <f t="shared" si="49"/>
        <v>-68.785261839747079</v>
      </c>
      <c r="AC120">
        <f t="shared" si="50"/>
        <v>-188.4387884177066</v>
      </c>
      <c r="AD120">
        <f t="shared" si="51"/>
        <v>-19.049187811718443</v>
      </c>
      <c r="AE120">
        <f t="shared" si="52"/>
        <v>-0.15802707717213593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52560.802810843743</v>
      </c>
      <c r="AK120">
        <f t="shared" si="56"/>
        <v>1800</v>
      </c>
      <c r="AL120">
        <f t="shared" si="57"/>
        <v>1499.1114312</v>
      </c>
      <c r="AM120">
        <f t="shared" si="58"/>
        <v>0.83283968399999997</v>
      </c>
      <c r="AN120">
        <f t="shared" si="59"/>
        <v>0.15339733944</v>
      </c>
      <c r="AO120">
        <v>32.700000000000003</v>
      </c>
      <c r="AP120">
        <v>0.5</v>
      </c>
      <c r="AQ120" t="s">
        <v>331</v>
      </c>
      <c r="AR120">
        <v>2</v>
      </c>
      <c r="AS120">
        <v>1690383556</v>
      </c>
      <c r="AT120">
        <v>510.56799999999998</v>
      </c>
      <c r="AU120">
        <v>800.15099999999995</v>
      </c>
      <c r="AV120">
        <v>22.217600000000001</v>
      </c>
      <c r="AW120">
        <v>5.5955899999999996</v>
      </c>
      <c r="AX120">
        <v>510.62799999999999</v>
      </c>
      <c r="AY120">
        <v>22.042300000000001</v>
      </c>
      <c r="AZ120">
        <v>300.029</v>
      </c>
      <c r="BA120">
        <v>98.686400000000006</v>
      </c>
      <c r="BB120">
        <v>9.99337E-2</v>
      </c>
      <c r="BC120">
        <v>25.0383</v>
      </c>
      <c r="BD120">
        <v>26.924299999999999</v>
      </c>
      <c r="BE120">
        <v>26.5764</v>
      </c>
      <c r="BF120">
        <v>0</v>
      </c>
      <c r="BG120">
        <v>0</v>
      </c>
      <c r="BH120">
        <v>10006.9</v>
      </c>
      <c r="BI120">
        <v>1052.0899999999999</v>
      </c>
      <c r="BJ120">
        <v>2.2987099999999998</v>
      </c>
      <c r="BK120">
        <v>-289.58300000000003</v>
      </c>
      <c r="BL120">
        <v>522.16999999999996</v>
      </c>
      <c r="BM120">
        <v>804.654</v>
      </c>
      <c r="BN120">
        <v>16.622</v>
      </c>
      <c r="BO120">
        <v>800.15099999999995</v>
      </c>
      <c r="BP120">
        <v>5.5955899999999996</v>
      </c>
      <c r="BQ120">
        <v>2.1925699999999999</v>
      </c>
      <c r="BR120">
        <v>0.55220899999999995</v>
      </c>
      <c r="BS120">
        <v>18.908200000000001</v>
      </c>
      <c r="BT120">
        <v>-1.44381</v>
      </c>
      <c r="BU120">
        <v>1800</v>
      </c>
      <c r="BV120">
        <v>0.91</v>
      </c>
      <c r="BW120">
        <v>3.4002900000000003E-2</v>
      </c>
      <c r="BX120">
        <v>2.19992E-2</v>
      </c>
      <c r="BY120">
        <v>3.3997800000000002E-2</v>
      </c>
      <c r="BZ120">
        <v>26</v>
      </c>
      <c r="CA120">
        <v>33528.400000000001</v>
      </c>
      <c r="CB120">
        <v>1690381960.0999999</v>
      </c>
      <c r="CC120" t="s">
        <v>332</v>
      </c>
      <c r="CD120">
        <v>1690381960.0999999</v>
      </c>
      <c r="CE120">
        <v>1690381958.0999999</v>
      </c>
      <c r="CF120">
        <v>4</v>
      </c>
      <c r="CG120">
        <v>9.9000000000000005E-2</v>
      </c>
      <c r="CH120">
        <v>1.2E-2</v>
      </c>
      <c r="CI120">
        <v>-0.26300000000000001</v>
      </c>
      <c r="CJ120">
        <v>0.127</v>
      </c>
      <c r="CK120">
        <v>798</v>
      </c>
      <c r="CL120">
        <v>18</v>
      </c>
      <c r="CM120">
        <v>0.02</v>
      </c>
      <c r="CN120">
        <v>0.12</v>
      </c>
      <c r="CO120">
        <v>-286.19962500000003</v>
      </c>
      <c r="CP120">
        <v>-19.750390243902071</v>
      </c>
      <c r="CQ120">
        <v>1.9009424069063749</v>
      </c>
      <c r="CR120">
        <v>-1</v>
      </c>
      <c r="CS120">
        <v>16.354757500000002</v>
      </c>
      <c r="CT120">
        <v>1.3802060037523081</v>
      </c>
      <c r="CU120">
        <v>0.13335298250789129</v>
      </c>
      <c r="CV120">
        <v>-1</v>
      </c>
      <c r="CW120">
        <v>0</v>
      </c>
      <c r="CX120">
        <v>0</v>
      </c>
      <c r="CY120" t="s">
        <v>333</v>
      </c>
      <c r="CZ120">
        <v>2.3642400000000001</v>
      </c>
      <c r="DA120">
        <v>2.71373</v>
      </c>
      <c r="DB120">
        <v>0.10691100000000001</v>
      </c>
      <c r="DC120">
        <v>0.145535</v>
      </c>
      <c r="DD120">
        <v>0.107463</v>
      </c>
      <c r="DE120">
        <v>3.71147E-2</v>
      </c>
      <c r="DF120">
        <v>32613.9</v>
      </c>
      <c r="DG120">
        <v>27540.5</v>
      </c>
      <c r="DH120">
        <v>31175.4</v>
      </c>
      <c r="DI120">
        <v>28085.1</v>
      </c>
      <c r="DJ120">
        <v>37776.300000000003</v>
      </c>
      <c r="DK120">
        <v>38457.9</v>
      </c>
      <c r="DL120">
        <v>44366.7</v>
      </c>
      <c r="DM120">
        <v>42567.7</v>
      </c>
      <c r="DN120">
        <v>1.4712000000000001</v>
      </c>
      <c r="DO120">
        <v>2.0378500000000002</v>
      </c>
      <c r="DP120">
        <v>0.17296900000000001</v>
      </c>
      <c r="DQ120">
        <v>0.154477</v>
      </c>
      <c r="DR120">
        <v>24.088699999999999</v>
      </c>
      <c r="DS120">
        <v>24.043099999999999</v>
      </c>
      <c r="DT120">
        <v>46.9</v>
      </c>
      <c r="DU120">
        <v>28.8</v>
      </c>
      <c r="DV120">
        <v>18.894400000000001</v>
      </c>
      <c r="DW120">
        <v>60.533000000000001</v>
      </c>
      <c r="DX120">
        <v>36.406199999999998</v>
      </c>
      <c r="DY120">
        <v>1</v>
      </c>
      <c r="DZ120">
        <v>-9.5266799999999999E-2</v>
      </c>
      <c r="EA120">
        <v>0.534779</v>
      </c>
      <c r="EB120">
        <v>20.188700000000001</v>
      </c>
      <c r="EC120">
        <v>5.2409499999999998</v>
      </c>
      <c r="ED120">
        <v>12.039899999999999</v>
      </c>
      <c r="EE120">
        <v>5.0170000000000003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</v>
      </c>
      <c r="EL120">
        <v>1.8646199999999999</v>
      </c>
      <c r="EM120">
        <v>1.8692</v>
      </c>
      <c r="EN120">
        <v>1.8672500000000001</v>
      </c>
      <c r="EO120">
        <v>1.8633999999999999</v>
      </c>
      <c r="EP120">
        <v>1.8644700000000001</v>
      </c>
      <c r="EQ120">
        <v>1.87015</v>
      </c>
      <c r="ER120">
        <v>1.86938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-0.06</v>
      </c>
      <c r="FG120">
        <v>0.17530000000000001</v>
      </c>
      <c r="FH120">
        <v>0.28746640474027818</v>
      </c>
      <c r="FI120">
        <v>-6.1462078757559423E-4</v>
      </c>
      <c r="FJ120">
        <v>-1.8861989874597051E-7</v>
      </c>
      <c r="FK120">
        <v>1.1980462299894961E-10</v>
      </c>
      <c r="FL120">
        <v>0.17524818673008091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26.6</v>
      </c>
      <c r="FU120">
        <v>26.6</v>
      </c>
      <c r="FV120">
        <v>1.7748999999999999</v>
      </c>
      <c r="FW120">
        <v>2.5756800000000002</v>
      </c>
      <c r="FX120">
        <v>1.5490699999999999</v>
      </c>
      <c r="FY120">
        <v>2.3303199999999999</v>
      </c>
      <c r="FZ120">
        <v>1.50146</v>
      </c>
      <c r="GA120">
        <v>2.3901400000000002</v>
      </c>
      <c r="GB120">
        <v>33.580399999999997</v>
      </c>
      <c r="GC120">
        <v>23.982399999999998</v>
      </c>
      <c r="GD120">
        <v>19</v>
      </c>
      <c r="GE120">
        <v>280.721</v>
      </c>
      <c r="GF120">
        <v>584.35400000000004</v>
      </c>
      <c r="GG120">
        <v>22.686900000000001</v>
      </c>
      <c r="GH120">
        <v>26.172599999999999</v>
      </c>
      <c r="GI120">
        <v>29.9998</v>
      </c>
      <c r="GJ120">
        <v>26.343800000000002</v>
      </c>
      <c r="GK120">
        <v>26.335999999999999</v>
      </c>
      <c r="GL120">
        <v>35.478999999999999</v>
      </c>
      <c r="GM120">
        <v>67.572400000000002</v>
      </c>
      <c r="GN120">
        <v>58.998100000000001</v>
      </c>
      <c r="GO120">
        <v>22.733599999999999</v>
      </c>
      <c r="GP120">
        <v>800</v>
      </c>
      <c r="GQ120">
        <v>5.4418699999999998</v>
      </c>
      <c r="GR120">
        <v>99.749499999999998</v>
      </c>
      <c r="GS120">
        <v>99.580399999999997</v>
      </c>
    </row>
    <row r="121" spans="1:201" x14ac:dyDescent="0.25">
      <c r="A121">
        <v>105</v>
      </c>
      <c r="B121">
        <v>1690383566</v>
      </c>
      <c r="C121">
        <v>1090.900000095367</v>
      </c>
      <c r="D121" t="s">
        <v>541</v>
      </c>
      <c r="E121" t="s">
        <v>542</v>
      </c>
      <c r="F121" t="s">
        <v>330</v>
      </c>
      <c r="H121">
        <v>1690383566</v>
      </c>
      <c r="I121">
        <f t="shared" si="30"/>
        <v>1.5833089832019856E-3</v>
      </c>
      <c r="J121">
        <f t="shared" si="31"/>
        <v>1.5833089832019855</v>
      </c>
      <c r="K121">
        <f t="shared" si="32"/>
        <v>26.024862299899567</v>
      </c>
      <c r="L121">
        <f t="shared" si="33"/>
        <v>507.60700000000003</v>
      </c>
      <c r="M121">
        <f t="shared" si="34"/>
        <v>140.71133486006445</v>
      </c>
      <c r="N121">
        <f t="shared" si="35"/>
        <v>13.899359687770884</v>
      </c>
      <c r="O121">
        <f t="shared" si="36"/>
        <v>50.141037181168308</v>
      </c>
      <c r="P121">
        <f t="shared" si="37"/>
        <v>0.11881590856460202</v>
      </c>
      <c r="Q121">
        <f t="shared" si="38"/>
        <v>2.1154800570870691</v>
      </c>
      <c r="R121">
        <f t="shared" si="39"/>
        <v>0.11522919498117663</v>
      </c>
      <c r="S121">
        <f t="shared" si="40"/>
        <v>7.2331479881500016E-2</v>
      </c>
      <c r="T121">
        <f t="shared" si="41"/>
        <v>276.1167824416026</v>
      </c>
      <c r="U121">
        <f t="shared" si="42"/>
        <v>26.695500627038285</v>
      </c>
      <c r="V121">
        <f t="shared" si="43"/>
        <v>26.695500627038285</v>
      </c>
      <c r="W121">
        <f t="shared" si="44"/>
        <v>3.5156474451635922</v>
      </c>
      <c r="X121">
        <f t="shared" si="45"/>
        <v>68.90397375413859</v>
      </c>
      <c r="Y121">
        <f t="shared" si="46"/>
        <v>2.1976209291818205</v>
      </c>
      <c r="Z121">
        <f t="shared" si="47"/>
        <v>3.189396502766757</v>
      </c>
      <c r="AA121">
        <f t="shared" si="48"/>
        <v>1.3180265159817717</v>
      </c>
      <c r="AB121">
        <f t="shared" si="49"/>
        <v>-69.823926159207559</v>
      </c>
      <c r="AC121">
        <f t="shared" si="50"/>
        <v>-187.53209325896037</v>
      </c>
      <c r="AD121">
        <f t="shared" si="51"/>
        <v>-18.916584981659273</v>
      </c>
      <c r="AE121">
        <f t="shared" si="52"/>
        <v>-0.15582195822463518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52765.63949409662</v>
      </c>
      <c r="AK121">
        <f t="shared" si="56"/>
        <v>1800.01</v>
      </c>
      <c r="AL121">
        <f t="shared" si="57"/>
        <v>1499.12059120146</v>
      </c>
      <c r="AM121">
        <f t="shared" si="58"/>
        <v>0.832840146</v>
      </c>
      <c r="AN121">
        <f t="shared" si="59"/>
        <v>0.15339736026</v>
      </c>
      <c r="AO121">
        <v>32.700000000000003</v>
      </c>
      <c r="AP121">
        <v>0.5</v>
      </c>
      <c r="AQ121" t="s">
        <v>331</v>
      </c>
      <c r="AR121">
        <v>2</v>
      </c>
      <c r="AS121">
        <v>1690383566</v>
      </c>
      <c r="AT121">
        <v>507.60700000000003</v>
      </c>
      <c r="AU121">
        <v>799.93600000000004</v>
      </c>
      <c r="AV121">
        <v>22.247800000000002</v>
      </c>
      <c r="AW121">
        <v>5.3795900000000003</v>
      </c>
      <c r="AX121">
        <v>507.66500000000002</v>
      </c>
      <c r="AY121">
        <v>22.072600000000001</v>
      </c>
      <c r="AZ121">
        <v>300.10500000000002</v>
      </c>
      <c r="BA121">
        <v>98.679299999999998</v>
      </c>
      <c r="BB121">
        <v>9.9946900000000005E-2</v>
      </c>
      <c r="BC121">
        <v>25.051200000000001</v>
      </c>
      <c r="BD121">
        <v>26.892399999999999</v>
      </c>
      <c r="BE121">
        <v>26.577000000000002</v>
      </c>
      <c r="BF121">
        <v>0</v>
      </c>
      <c r="BG121">
        <v>0</v>
      </c>
      <c r="BH121">
        <v>10048.799999999999</v>
      </c>
      <c r="BI121">
        <v>1052.23</v>
      </c>
      <c r="BJ121">
        <v>2.3337500000000002</v>
      </c>
      <c r="BK121">
        <v>-292.32799999999997</v>
      </c>
      <c r="BL121">
        <v>519.15700000000004</v>
      </c>
      <c r="BM121">
        <v>804.26199999999994</v>
      </c>
      <c r="BN121">
        <v>16.868200000000002</v>
      </c>
      <c r="BO121">
        <v>799.93600000000004</v>
      </c>
      <c r="BP121">
        <v>5.3795900000000003</v>
      </c>
      <c r="BQ121">
        <v>2.1953999999999998</v>
      </c>
      <c r="BR121">
        <v>0.53085499999999997</v>
      </c>
      <c r="BS121">
        <v>18.928799999999999</v>
      </c>
      <c r="BT121">
        <v>-1.9791099999999999</v>
      </c>
      <c r="BU121">
        <v>1800.01</v>
      </c>
      <c r="BV121">
        <v>0.91000199999999998</v>
      </c>
      <c r="BW121">
        <v>3.4002299999999999E-2</v>
      </c>
      <c r="BX121">
        <v>2.1998799999999999E-2</v>
      </c>
      <c r="BY121">
        <v>3.3997199999999998E-2</v>
      </c>
      <c r="BZ121">
        <v>26</v>
      </c>
      <c r="CA121">
        <v>33528.5</v>
      </c>
      <c r="CB121">
        <v>1690381960.0999999</v>
      </c>
      <c r="CC121" t="s">
        <v>332</v>
      </c>
      <c r="CD121">
        <v>1690381960.0999999</v>
      </c>
      <c r="CE121">
        <v>1690381958.0999999</v>
      </c>
      <c r="CF121">
        <v>4</v>
      </c>
      <c r="CG121">
        <v>9.9000000000000005E-2</v>
      </c>
      <c r="CH121">
        <v>1.2E-2</v>
      </c>
      <c r="CI121">
        <v>-0.26300000000000001</v>
      </c>
      <c r="CJ121">
        <v>0.127</v>
      </c>
      <c r="CK121">
        <v>798</v>
      </c>
      <c r="CL121">
        <v>18</v>
      </c>
      <c r="CM121">
        <v>0.02</v>
      </c>
      <c r="CN121">
        <v>0.12</v>
      </c>
      <c r="CO121">
        <v>-289.18304878048781</v>
      </c>
      <c r="CP121">
        <v>-18.73971428571441</v>
      </c>
      <c r="CQ121">
        <v>1.8503614670101829</v>
      </c>
      <c r="CR121">
        <v>-1</v>
      </c>
      <c r="CS121">
        <v>16.5871</v>
      </c>
      <c r="CT121">
        <v>1.6115853658536921</v>
      </c>
      <c r="CU121">
        <v>0.15898445544508691</v>
      </c>
      <c r="CV121">
        <v>-1</v>
      </c>
      <c r="CW121">
        <v>0</v>
      </c>
      <c r="CX121">
        <v>0</v>
      </c>
      <c r="CY121" t="s">
        <v>333</v>
      </c>
      <c r="CZ121">
        <v>2.36449</v>
      </c>
      <c r="DA121">
        <v>2.7137799999999999</v>
      </c>
      <c r="DB121">
        <v>0.10645300000000001</v>
      </c>
      <c r="DC121">
        <v>0.14549599999999999</v>
      </c>
      <c r="DD121">
        <v>0.107561</v>
      </c>
      <c r="DE121">
        <v>3.5926800000000002E-2</v>
      </c>
      <c r="DF121">
        <v>32630.9</v>
      </c>
      <c r="DG121">
        <v>27541.9</v>
      </c>
      <c r="DH121">
        <v>31175.7</v>
      </c>
      <c r="DI121">
        <v>28085.200000000001</v>
      </c>
      <c r="DJ121">
        <v>37772.6</v>
      </c>
      <c r="DK121">
        <v>38505.5</v>
      </c>
      <c r="DL121">
        <v>44367.3</v>
      </c>
      <c r="DM121">
        <v>42567.7</v>
      </c>
      <c r="DN121">
        <v>1.4717499999999999</v>
      </c>
      <c r="DO121">
        <v>2.03715</v>
      </c>
      <c r="DP121">
        <v>0.170846</v>
      </c>
      <c r="DQ121">
        <v>0.15429399999999999</v>
      </c>
      <c r="DR121">
        <v>24.0914</v>
      </c>
      <c r="DS121">
        <v>24.046600000000002</v>
      </c>
      <c r="DT121">
        <v>46.5</v>
      </c>
      <c r="DU121">
        <v>28.8</v>
      </c>
      <c r="DV121">
        <v>18.732800000000001</v>
      </c>
      <c r="DW121">
        <v>60.883000000000003</v>
      </c>
      <c r="DX121">
        <v>36.630600000000001</v>
      </c>
      <c r="DY121">
        <v>1</v>
      </c>
      <c r="DZ121">
        <v>-9.5787600000000001E-2</v>
      </c>
      <c r="EA121">
        <v>0.36364400000000002</v>
      </c>
      <c r="EB121">
        <v>20.189299999999999</v>
      </c>
      <c r="EC121">
        <v>5.2413999999999996</v>
      </c>
      <c r="ED121">
        <v>12.039899999999999</v>
      </c>
      <c r="EE121">
        <v>5.0169499999999996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</v>
      </c>
      <c r="EL121">
        <v>1.86463</v>
      </c>
      <c r="EM121">
        <v>1.8692</v>
      </c>
      <c r="EN121">
        <v>1.86724</v>
      </c>
      <c r="EO121">
        <v>1.8633999999999999</v>
      </c>
      <c r="EP121">
        <v>1.86446</v>
      </c>
      <c r="EQ121">
        <v>1.87016</v>
      </c>
      <c r="ER121">
        <v>1.8693900000000001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-5.8000000000000003E-2</v>
      </c>
      <c r="FG121">
        <v>0.17519999999999999</v>
      </c>
      <c r="FH121">
        <v>0.28746640474027818</v>
      </c>
      <c r="FI121">
        <v>-6.1462078757559423E-4</v>
      </c>
      <c r="FJ121">
        <v>-1.8861989874597051E-7</v>
      </c>
      <c r="FK121">
        <v>1.1980462299894961E-10</v>
      </c>
      <c r="FL121">
        <v>0.17524818673008091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26.8</v>
      </c>
      <c r="FU121">
        <v>26.8</v>
      </c>
      <c r="FV121">
        <v>1.7748999999999999</v>
      </c>
      <c r="FW121">
        <v>2.5720200000000002</v>
      </c>
      <c r="FX121">
        <v>1.5490699999999999</v>
      </c>
      <c r="FY121">
        <v>2.3315399999999999</v>
      </c>
      <c r="FZ121">
        <v>1.50146</v>
      </c>
      <c r="GA121">
        <v>2.3962400000000001</v>
      </c>
      <c r="GB121">
        <v>33.580399999999997</v>
      </c>
      <c r="GC121">
        <v>23.982399999999998</v>
      </c>
      <c r="GD121">
        <v>19</v>
      </c>
      <c r="GE121">
        <v>280.935</v>
      </c>
      <c r="GF121">
        <v>583.73199999999997</v>
      </c>
      <c r="GG121">
        <v>22.7959</v>
      </c>
      <c r="GH121">
        <v>26.1692</v>
      </c>
      <c r="GI121">
        <v>29.9999</v>
      </c>
      <c r="GJ121">
        <v>26.339500000000001</v>
      </c>
      <c r="GK121">
        <v>26.3322</v>
      </c>
      <c r="GL121">
        <v>35.4788</v>
      </c>
      <c r="GM121">
        <v>68.485399999999998</v>
      </c>
      <c r="GN121">
        <v>58.2483</v>
      </c>
      <c r="GO121">
        <v>22.8584</v>
      </c>
      <c r="GP121">
        <v>800</v>
      </c>
      <c r="GQ121">
        <v>5.2026000000000003</v>
      </c>
      <c r="GR121">
        <v>99.750699999999995</v>
      </c>
      <c r="GS121">
        <v>99.580500000000001</v>
      </c>
    </row>
    <row r="122" spans="1:201" x14ac:dyDescent="0.25">
      <c r="A122">
        <v>106</v>
      </c>
      <c r="B122">
        <v>1690383576</v>
      </c>
      <c r="C122">
        <v>1100.900000095367</v>
      </c>
      <c r="D122" t="s">
        <v>543</v>
      </c>
      <c r="E122" t="s">
        <v>544</v>
      </c>
      <c r="F122" t="s">
        <v>330</v>
      </c>
      <c r="H122">
        <v>1690383576</v>
      </c>
      <c r="I122">
        <f t="shared" si="30"/>
        <v>1.6103057871048327E-3</v>
      </c>
      <c r="J122">
        <f t="shared" si="31"/>
        <v>1.6103057871048327</v>
      </c>
      <c r="K122">
        <f t="shared" si="32"/>
        <v>26.303613811231784</v>
      </c>
      <c r="L122">
        <f t="shared" si="33"/>
        <v>504.52100000000002</v>
      </c>
      <c r="M122">
        <f t="shared" si="34"/>
        <v>139.99014279010225</v>
      </c>
      <c r="N122">
        <f t="shared" si="35"/>
        <v>13.827948704353146</v>
      </c>
      <c r="O122">
        <f t="shared" si="36"/>
        <v>49.835583914856997</v>
      </c>
      <c r="P122">
        <f t="shared" si="37"/>
        <v>0.12094181450403116</v>
      </c>
      <c r="Q122">
        <f t="shared" si="38"/>
        <v>2.1040415236608787</v>
      </c>
      <c r="R122">
        <f t="shared" si="39"/>
        <v>0.11720824176711513</v>
      </c>
      <c r="S122">
        <f t="shared" si="40"/>
        <v>7.3580996758613279E-2</v>
      </c>
      <c r="T122">
        <f t="shared" si="41"/>
        <v>276.115191138</v>
      </c>
      <c r="U122">
        <f t="shared" si="42"/>
        <v>26.710848220012565</v>
      </c>
      <c r="V122">
        <f t="shared" si="43"/>
        <v>26.710848220012565</v>
      </c>
      <c r="W122">
        <f t="shared" si="44"/>
        <v>3.5188249244976459</v>
      </c>
      <c r="X122">
        <f t="shared" si="45"/>
        <v>68.941528839358639</v>
      </c>
      <c r="Y122">
        <f t="shared" si="46"/>
        <v>2.2010211638024999</v>
      </c>
      <c r="Z122">
        <f t="shared" si="47"/>
        <v>3.1925911723413067</v>
      </c>
      <c r="AA122">
        <f t="shared" si="48"/>
        <v>1.317803760695146</v>
      </c>
      <c r="AB122">
        <f t="shared" si="49"/>
        <v>-71.01448521132312</v>
      </c>
      <c r="AC122">
        <f t="shared" si="50"/>
        <v>-186.35334445012091</v>
      </c>
      <c r="AD122">
        <f t="shared" si="51"/>
        <v>-18.902925280531722</v>
      </c>
      <c r="AE122">
        <f t="shared" si="52"/>
        <v>-0.15556380397578096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52261.179707510659</v>
      </c>
      <c r="AK122">
        <f t="shared" si="56"/>
        <v>1800</v>
      </c>
      <c r="AL122">
        <f t="shared" si="57"/>
        <v>1499.1120017999999</v>
      </c>
      <c r="AM122">
        <f t="shared" si="58"/>
        <v>0.832840001</v>
      </c>
      <c r="AN122">
        <f t="shared" si="59"/>
        <v>0.15339732841000001</v>
      </c>
      <c r="AO122">
        <v>32.700000000000003</v>
      </c>
      <c r="AP122">
        <v>0.5</v>
      </c>
      <c r="AQ122" t="s">
        <v>331</v>
      </c>
      <c r="AR122">
        <v>2</v>
      </c>
      <c r="AS122">
        <v>1690383576</v>
      </c>
      <c r="AT122">
        <v>504.52100000000002</v>
      </c>
      <c r="AU122">
        <v>800.08</v>
      </c>
      <c r="AV122">
        <v>22.282499999999999</v>
      </c>
      <c r="AW122">
        <v>5.1216200000000001</v>
      </c>
      <c r="AX122">
        <v>504.57600000000002</v>
      </c>
      <c r="AY122">
        <v>22.107199999999999</v>
      </c>
      <c r="AZ122">
        <v>300.00599999999997</v>
      </c>
      <c r="BA122">
        <v>98.677999999999997</v>
      </c>
      <c r="BB122">
        <v>0.10001699999999999</v>
      </c>
      <c r="BC122">
        <v>25.068000000000001</v>
      </c>
      <c r="BD122">
        <v>26.933700000000002</v>
      </c>
      <c r="BE122">
        <v>26.5806</v>
      </c>
      <c r="BF122">
        <v>0</v>
      </c>
      <c r="BG122">
        <v>0</v>
      </c>
      <c r="BH122">
        <v>9949.3799999999992</v>
      </c>
      <c r="BI122">
        <v>1052.32</v>
      </c>
      <c r="BJ122">
        <v>2.2987099999999998</v>
      </c>
      <c r="BK122">
        <v>-295.56</v>
      </c>
      <c r="BL122">
        <v>516.01900000000001</v>
      </c>
      <c r="BM122">
        <v>804.19899999999996</v>
      </c>
      <c r="BN122">
        <v>17.160799999999998</v>
      </c>
      <c r="BO122">
        <v>800.08</v>
      </c>
      <c r="BP122">
        <v>5.1216200000000001</v>
      </c>
      <c r="BQ122">
        <v>2.1987899999999998</v>
      </c>
      <c r="BR122">
        <v>0.50539100000000003</v>
      </c>
      <c r="BS122">
        <v>18.953499999999998</v>
      </c>
      <c r="BT122">
        <v>-2.6429800000000001</v>
      </c>
      <c r="BU122">
        <v>1800</v>
      </c>
      <c r="BV122">
        <v>0.91000199999999998</v>
      </c>
      <c r="BW122">
        <v>3.4002200000000003E-2</v>
      </c>
      <c r="BX122">
        <v>2.1998799999999999E-2</v>
      </c>
      <c r="BY122">
        <v>3.3997100000000002E-2</v>
      </c>
      <c r="BZ122">
        <v>26</v>
      </c>
      <c r="CA122">
        <v>33528.400000000001</v>
      </c>
      <c r="CB122">
        <v>1690381960.0999999</v>
      </c>
      <c r="CC122" t="s">
        <v>332</v>
      </c>
      <c r="CD122">
        <v>1690381960.0999999</v>
      </c>
      <c r="CE122">
        <v>1690381958.0999999</v>
      </c>
      <c r="CF122">
        <v>4</v>
      </c>
      <c r="CG122">
        <v>9.9000000000000005E-2</v>
      </c>
      <c r="CH122">
        <v>1.2E-2</v>
      </c>
      <c r="CI122">
        <v>-0.26300000000000001</v>
      </c>
      <c r="CJ122">
        <v>0.127</v>
      </c>
      <c r="CK122">
        <v>798</v>
      </c>
      <c r="CL122">
        <v>18</v>
      </c>
      <c r="CM122">
        <v>0.02</v>
      </c>
      <c r="CN122">
        <v>0.12</v>
      </c>
      <c r="CO122">
        <v>-292.21451219512193</v>
      </c>
      <c r="CP122">
        <v>-17.91386759581874</v>
      </c>
      <c r="CQ122">
        <v>1.7701713589636401</v>
      </c>
      <c r="CR122">
        <v>-1</v>
      </c>
      <c r="CS122">
        <v>16.853590243902438</v>
      </c>
      <c r="CT122">
        <v>1.5835923344948171</v>
      </c>
      <c r="CU122">
        <v>0.156257732382141</v>
      </c>
      <c r="CV122">
        <v>-1</v>
      </c>
      <c r="CW122">
        <v>0</v>
      </c>
      <c r="CX122">
        <v>0</v>
      </c>
      <c r="CY122" t="s">
        <v>333</v>
      </c>
      <c r="CZ122">
        <v>2.3641700000000001</v>
      </c>
      <c r="DA122">
        <v>2.7137600000000002</v>
      </c>
      <c r="DB122">
        <v>0.10598100000000001</v>
      </c>
      <c r="DC122">
        <v>0.145508</v>
      </c>
      <c r="DD122">
        <v>0.10768</v>
      </c>
      <c r="DE122">
        <v>3.4492599999999998E-2</v>
      </c>
      <c r="DF122">
        <v>32648.799999999999</v>
      </c>
      <c r="DG122">
        <v>27542.1</v>
      </c>
      <c r="DH122">
        <v>31176.2</v>
      </c>
      <c r="DI122">
        <v>28085.9</v>
      </c>
      <c r="DJ122">
        <v>37767.9</v>
      </c>
      <c r="DK122">
        <v>38563.599999999999</v>
      </c>
      <c r="DL122">
        <v>44367.8</v>
      </c>
      <c r="DM122">
        <v>42568.5</v>
      </c>
      <c r="DN122">
        <v>1.4718</v>
      </c>
      <c r="DO122">
        <v>2.03695</v>
      </c>
      <c r="DP122">
        <v>0.173323</v>
      </c>
      <c r="DQ122">
        <v>0.15437600000000001</v>
      </c>
      <c r="DR122">
        <v>24.092199999999998</v>
      </c>
      <c r="DS122">
        <v>24.048999999999999</v>
      </c>
      <c r="DT122">
        <v>46.2</v>
      </c>
      <c r="DU122">
        <v>28.8</v>
      </c>
      <c r="DV122">
        <v>18.613199999999999</v>
      </c>
      <c r="DW122">
        <v>61.442999999999998</v>
      </c>
      <c r="DX122">
        <v>36.947099999999999</v>
      </c>
      <c r="DY122">
        <v>1</v>
      </c>
      <c r="DZ122">
        <v>-9.65168E-2</v>
      </c>
      <c r="EA122">
        <v>0.22345300000000001</v>
      </c>
      <c r="EB122">
        <v>20.189599999999999</v>
      </c>
      <c r="EC122">
        <v>5.2415500000000002</v>
      </c>
      <c r="ED122">
        <v>12.039899999999999</v>
      </c>
      <c r="EE122">
        <v>5.0164999999999997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1.8689100000000001</v>
      </c>
      <c r="EL122">
        <v>1.8646199999999999</v>
      </c>
      <c r="EM122">
        <v>1.8692</v>
      </c>
      <c r="EN122">
        <v>1.8672500000000001</v>
      </c>
      <c r="EO122">
        <v>1.8633999999999999</v>
      </c>
      <c r="EP122">
        <v>1.86446</v>
      </c>
      <c r="EQ122">
        <v>1.87019</v>
      </c>
      <c r="ER122">
        <v>1.86938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-5.5E-2</v>
      </c>
      <c r="FG122">
        <v>0.17530000000000001</v>
      </c>
      <c r="FH122">
        <v>0.28746640474027818</v>
      </c>
      <c r="FI122">
        <v>-6.1462078757559423E-4</v>
      </c>
      <c r="FJ122">
        <v>-1.8861989874597051E-7</v>
      </c>
      <c r="FK122">
        <v>1.1980462299894961E-10</v>
      </c>
      <c r="FL122">
        <v>0.17524818673008091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26.9</v>
      </c>
      <c r="FU122">
        <v>27</v>
      </c>
      <c r="FV122">
        <v>1.7736799999999999</v>
      </c>
      <c r="FW122">
        <v>2.5720200000000002</v>
      </c>
      <c r="FX122">
        <v>1.5490699999999999</v>
      </c>
      <c r="FY122">
        <v>2.3303199999999999</v>
      </c>
      <c r="FZ122">
        <v>1.50146</v>
      </c>
      <c r="GA122">
        <v>2.3803700000000001</v>
      </c>
      <c r="GB122">
        <v>33.580399999999997</v>
      </c>
      <c r="GC122">
        <v>23.982399999999998</v>
      </c>
      <c r="GD122">
        <v>19</v>
      </c>
      <c r="GE122">
        <v>280.94</v>
      </c>
      <c r="GF122">
        <v>583.52</v>
      </c>
      <c r="GG122">
        <v>22.941099999999999</v>
      </c>
      <c r="GH122">
        <v>26.164899999999999</v>
      </c>
      <c r="GI122">
        <v>29.999700000000001</v>
      </c>
      <c r="GJ122">
        <v>26.335599999999999</v>
      </c>
      <c r="GK122">
        <v>26.328099999999999</v>
      </c>
      <c r="GL122">
        <v>35.463299999999997</v>
      </c>
      <c r="GM122">
        <v>69.323599999999999</v>
      </c>
      <c r="GN122">
        <v>57.479799999999997</v>
      </c>
      <c r="GO122">
        <v>23.001899999999999</v>
      </c>
      <c r="GP122">
        <v>800</v>
      </c>
      <c r="GQ122">
        <v>4.9467499999999998</v>
      </c>
      <c r="GR122">
        <v>99.752099999999999</v>
      </c>
      <c r="GS122">
        <v>99.582499999999996</v>
      </c>
    </row>
    <row r="123" spans="1:201" x14ac:dyDescent="0.25">
      <c r="A123">
        <v>107</v>
      </c>
      <c r="B123">
        <v>1690383586</v>
      </c>
      <c r="C123">
        <v>1110.900000095367</v>
      </c>
      <c r="D123" t="s">
        <v>545</v>
      </c>
      <c r="E123" t="s">
        <v>546</v>
      </c>
      <c r="F123" t="s">
        <v>330</v>
      </c>
      <c r="H123">
        <v>1690383586</v>
      </c>
      <c r="I123">
        <f t="shared" si="30"/>
        <v>1.6372700434751934E-3</v>
      </c>
      <c r="J123">
        <f t="shared" si="31"/>
        <v>1.6372700434751934</v>
      </c>
      <c r="K123">
        <f t="shared" si="32"/>
        <v>26.589357035743607</v>
      </c>
      <c r="L123">
        <f t="shared" si="33"/>
        <v>501.38600000000002</v>
      </c>
      <c r="M123">
        <f t="shared" si="34"/>
        <v>139.71688512855027</v>
      </c>
      <c r="N123">
        <f t="shared" si="35"/>
        <v>13.801118143587178</v>
      </c>
      <c r="O123">
        <f t="shared" si="36"/>
        <v>49.526493631560399</v>
      </c>
      <c r="P123">
        <f t="shared" si="37"/>
        <v>0.12327122647842209</v>
      </c>
      <c r="Q123">
        <f t="shared" si="38"/>
        <v>2.1141171070832208</v>
      </c>
      <c r="R123">
        <f t="shared" si="39"/>
        <v>0.11941277939303316</v>
      </c>
      <c r="S123">
        <f t="shared" si="40"/>
        <v>7.4969592910039365E-2</v>
      </c>
      <c r="T123">
        <f t="shared" si="41"/>
        <v>276.11497519200003</v>
      </c>
      <c r="U123">
        <f t="shared" si="42"/>
        <v>26.714615523619056</v>
      </c>
      <c r="V123">
        <f t="shared" si="43"/>
        <v>26.714615523619056</v>
      </c>
      <c r="W123">
        <f t="shared" si="44"/>
        <v>3.5196052690034669</v>
      </c>
      <c r="X123">
        <f t="shared" si="45"/>
        <v>68.966125881946525</v>
      </c>
      <c r="Y123">
        <f t="shared" si="46"/>
        <v>2.2044844018852201</v>
      </c>
      <c r="Z123">
        <f t="shared" si="47"/>
        <v>3.1964741729276902</v>
      </c>
      <c r="AA123">
        <f t="shared" si="48"/>
        <v>1.3151208671182468</v>
      </c>
      <c r="AB123">
        <f t="shared" si="49"/>
        <v>-72.203608917256034</v>
      </c>
      <c r="AC123">
        <f t="shared" si="50"/>
        <v>-185.34999826238726</v>
      </c>
      <c r="AD123">
        <f t="shared" si="51"/>
        <v>-18.713812972663312</v>
      </c>
      <c r="AE123">
        <f t="shared" si="52"/>
        <v>-0.15244496030658183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52699.139277401649</v>
      </c>
      <c r="AK123">
        <f t="shared" si="56"/>
        <v>1800</v>
      </c>
      <c r="AL123">
        <f t="shared" si="57"/>
        <v>1499.1117371999999</v>
      </c>
      <c r="AM123">
        <f t="shared" si="58"/>
        <v>0.83283985399999994</v>
      </c>
      <c r="AN123">
        <f t="shared" si="59"/>
        <v>0.15339720844000002</v>
      </c>
      <c r="AO123">
        <v>32.700000000000003</v>
      </c>
      <c r="AP123">
        <v>0.5</v>
      </c>
      <c r="AQ123" t="s">
        <v>331</v>
      </c>
      <c r="AR123">
        <v>2</v>
      </c>
      <c r="AS123">
        <v>1690383586</v>
      </c>
      <c r="AT123">
        <v>501.38600000000002</v>
      </c>
      <c r="AU123">
        <v>800.12199999999996</v>
      </c>
      <c r="AV123">
        <v>22.317299999999999</v>
      </c>
      <c r="AW123">
        <v>4.8714300000000001</v>
      </c>
      <c r="AX123">
        <v>501.43900000000002</v>
      </c>
      <c r="AY123">
        <v>22.142099999999999</v>
      </c>
      <c r="AZ123">
        <v>300.036</v>
      </c>
      <c r="BA123">
        <v>98.679199999999994</v>
      </c>
      <c r="BB123">
        <v>9.9971400000000002E-2</v>
      </c>
      <c r="BC123">
        <v>25.0884</v>
      </c>
      <c r="BD123">
        <v>26.927099999999999</v>
      </c>
      <c r="BE123">
        <v>26.618500000000001</v>
      </c>
      <c r="BF123">
        <v>0</v>
      </c>
      <c r="BG123">
        <v>0</v>
      </c>
      <c r="BH123">
        <v>10036.9</v>
      </c>
      <c r="BI123">
        <v>1052.44</v>
      </c>
      <c r="BJ123">
        <v>2.2987099999999998</v>
      </c>
      <c r="BK123">
        <v>-298.73599999999999</v>
      </c>
      <c r="BL123">
        <v>512.83100000000002</v>
      </c>
      <c r="BM123">
        <v>804.03899999999999</v>
      </c>
      <c r="BN123">
        <v>17.445900000000002</v>
      </c>
      <c r="BO123">
        <v>800.12199999999996</v>
      </c>
      <c r="BP123">
        <v>4.8714300000000001</v>
      </c>
      <c r="BQ123">
        <v>2.2022499999999998</v>
      </c>
      <c r="BR123">
        <v>0.480709</v>
      </c>
      <c r="BS123">
        <v>18.9787</v>
      </c>
      <c r="BT123">
        <v>-3.3154300000000001</v>
      </c>
      <c r="BU123">
        <v>1800</v>
      </c>
      <c r="BV123">
        <v>0.91000400000000004</v>
      </c>
      <c r="BW123">
        <v>3.4001299999999998E-2</v>
      </c>
      <c r="BX123">
        <v>2.1998199999999999E-2</v>
      </c>
      <c r="BY123">
        <v>3.3996199999999997E-2</v>
      </c>
      <c r="BZ123">
        <v>26</v>
      </c>
      <c r="CA123">
        <v>33528.300000000003</v>
      </c>
      <c r="CB123">
        <v>1690381960.0999999</v>
      </c>
      <c r="CC123" t="s">
        <v>332</v>
      </c>
      <c r="CD123">
        <v>1690381960.0999999</v>
      </c>
      <c r="CE123">
        <v>1690381958.0999999</v>
      </c>
      <c r="CF123">
        <v>4</v>
      </c>
      <c r="CG123">
        <v>9.9000000000000005E-2</v>
      </c>
      <c r="CH123">
        <v>1.2E-2</v>
      </c>
      <c r="CI123">
        <v>-0.26300000000000001</v>
      </c>
      <c r="CJ123">
        <v>0.127</v>
      </c>
      <c r="CK123">
        <v>798</v>
      </c>
      <c r="CL123">
        <v>18</v>
      </c>
      <c r="CM123">
        <v>0.02</v>
      </c>
      <c r="CN123">
        <v>0.12</v>
      </c>
      <c r="CO123">
        <v>-295.15572500000002</v>
      </c>
      <c r="CP123">
        <v>-18.817249530956531</v>
      </c>
      <c r="CQ123">
        <v>1.810773467161201</v>
      </c>
      <c r="CR123">
        <v>-1</v>
      </c>
      <c r="CS123">
        <v>17.121915000000001</v>
      </c>
      <c r="CT123">
        <v>1.740727204502786</v>
      </c>
      <c r="CU123">
        <v>0.16748000709039859</v>
      </c>
      <c r="CV123">
        <v>-1</v>
      </c>
      <c r="CW123">
        <v>0</v>
      </c>
      <c r="CX123">
        <v>0</v>
      </c>
      <c r="CY123" t="s">
        <v>333</v>
      </c>
      <c r="CZ123">
        <v>2.3642500000000002</v>
      </c>
      <c r="DA123">
        <v>2.7137899999999999</v>
      </c>
      <c r="DB123">
        <v>0.105502</v>
      </c>
      <c r="DC123">
        <v>0.145511</v>
      </c>
      <c r="DD123">
        <v>0.10780099999999999</v>
      </c>
      <c r="DE123">
        <v>3.30832E-2</v>
      </c>
      <c r="DF123">
        <v>32665.9</v>
      </c>
      <c r="DG123">
        <v>27541.7</v>
      </c>
      <c r="DH123">
        <v>31175.9</v>
      </c>
      <c r="DI123">
        <v>28085.5</v>
      </c>
      <c r="DJ123">
        <v>37762.400000000001</v>
      </c>
      <c r="DK123">
        <v>38619.599999999999</v>
      </c>
      <c r="DL123">
        <v>44367.6</v>
      </c>
      <c r="DM123">
        <v>42568</v>
      </c>
      <c r="DN123">
        <v>1.4721200000000001</v>
      </c>
      <c r="DO123">
        <v>2.0360999999999998</v>
      </c>
      <c r="DP123">
        <v>0.17279800000000001</v>
      </c>
      <c r="DQ123">
        <v>0.15657399999999999</v>
      </c>
      <c r="DR123">
        <v>24.094200000000001</v>
      </c>
      <c r="DS123">
        <v>24.050899999999999</v>
      </c>
      <c r="DT123">
        <v>45.9</v>
      </c>
      <c r="DU123">
        <v>28.8</v>
      </c>
      <c r="DV123">
        <v>18.491</v>
      </c>
      <c r="DW123">
        <v>61.222999999999999</v>
      </c>
      <c r="DX123">
        <v>37.083300000000001</v>
      </c>
      <c r="DY123">
        <v>1</v>
      </c>
      <c r="DZ123">
        <v>-9.6676799999999993E-2</v>
      </c>
      <c r="EA123">
        <v>0.281495</v>
      </c>
      <c r="EB123">
        <v>20.189800000000002</v>
      </c>
      <c r="EC123">
        <v>5.2406499999999996</v>
      </c>
      <c r="ED123">
        <v>12.039899999999999</v>
      </c>
      <c r="EE123">
        <v>5.01675</v>
      </c>
      <c r="EF123">
        <v>3.2879700000000001</v>
      </c>
      <c r="EG123">
        <v>9999</v>
      </c>
      <c r="EH123">
        <v>9999</v>
      </c>
      <c r="EI123">
        <v>9999</v>
      </c>
      <c r="EJ123">
        <v>999.9</v>
      </c>
      <c r="EK123">
        <v>1.8689</v>
      </c>
      <c r="EL123">
        <v>1.86463</v>
      </c>
      <c r="EM123">
        <v>1.86921</v>
      </c>
      <c r="EN123">
        <v>1.86724</v>
      </c>
      <c r="EO123">
        <v>1.8633999999999999</v>
      </c>
      <c r="EP123">
        <v>1.8644700000000001</v>
      </c>
      <c r="EQ123">
        <v>1.87018</v>
      </c>
      <c r="ER123">
        <v>1.8694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-5.2999999999999999E-2</v>
      </c>
      <c r="FG123">
        <v>0.17519999999999999</v>
      </c>
      <c r="FH123">
        <v>0.28746640474027818</v>
      </c>
      <c r="FI123">
        <v>-6.1462078757559423E-4</v>
      </c>
      <c r="FJ123">
        <v>-1.8861989874597051E-7</v>
      </c>
      <c r="FK123">
        <v>1.1980462299894961E-10</v>
      </c>
      <c r="FL123">
        <v>0.17524818673008091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27.1</v>
      </c>
      <c r="FU123">
        <v>27.1</v>
      </c>
      <c r="FV123">
        <v>1.7736799999999999</v>
      </c>
      <c r="FW123">
        <v>2.5756800000000002</v>
      </c>
      <c r="FX123">
        <v>1.5490699999999999</v>
      </c>
      <c r="FY123">
        <v>2.3303199999999999</v>
      </c>
      <c r="FZ123">
        <v>1.50146</v>
      </c>
      <c r="GA123">
        <v>2.3596200000000001</v>
      </c>
      <c r="GB123">
        <v>33.580399999999997</v>
      </c>
      <c r="GC123">
        <v>23.982399999999998</v>
      </c>
      <c r="GD123">
        <v>19</v>
      </c>
      <c r="GE123">
        <v>281.065</v>
      </c>
      <c r="GF123">
        <v>582.77200000000005</v>
      </c>
      <c r="GG123">
        <v>23.058900000000001</v>
      </c>
      <c r="GH123">
        <v>26.1616</v>
      </c>
      <c r="GI123">
        <v>30.0001</v>
      </c>
      <c r="GJ123">
        <v>26.332699999999999</v>
      </c>
      <c r="GK123">
        <v>26.323899999999998</v>
      </c>
      <c r="GL123">
        <v>35.456499999999998</v>
      </c>
      <c r="GM123">
        <v>70.470299999999995</v>
      </c>
      <c r="GN123">
        <v>56.7029</v>
      </c>
      <c r="GO123">
        <v>23.077400000000001</v>
      </c>
      <c r="GP123">
        <v>800</v>
      </c>
      <c r="GQ123">
        <v>4.6909400000000003</v>
      </c>
      <c r="GR123">
        <v>99.751300000000001</v>
      </c>
      <c r="GS123">
        <v>99.581299999999999</v>
      </c>
    </row>
    <row r="124" spans="1:201" x14ac:dyDescent="0.25">
      <c r="A124">
        <v>108</v>
      </c>
      <c r="B124">
        <v>1690383596</v>
      </c>
      <c r="C124">
        <v>1120.900000095367</v>
      </c>
      <c r="D124" t="s">
        <v>547</v>
      </c>
      <c r="E124" t="s">
        <v>548</v>
      </c>
      <c r="F124" t="s">
        <v>330</v>
      </c>
      <c r="H124">
        <v>1690383596</v>
      </c>
      <c r="I124">
        <f t="shared" si="30"/>
        <v>1.662876316759596E-3</v>
      </c>
      <c r="J124">
        <f t="shared" si="31"/>
        <v>1.6628763167595959</v>
      </c>
      <c r="K124">
        <f t="shared" si="32"/>
        <v>26.860578816005305</v>
      </c>
      <c r="L124">
        <f t="shared" si="33"/>
        <v>498.37299999999999</v>
      </c>
      <c r="M124">
        <f t="shared" si="34"/>
        <v>138.55015009250292</v>
      </c>
      <c r="N124">
        <f t="shared" si="35"/>
        <v>13.685999066653947</v>
      </c>
      <c r="O124">
        <f t="shared" si="36"/>
        <v>49.229339761029998</v>
      </c>
      <c r="P124">
        <f t="shared" si="37"/>
        <v>0.12522024668508952</v>
      </c>
      <c r="Q124">
        <f t="shared" si="38"/>
        <v>2.1126955212496608</v>
      </c>
      <c r="R124">
        <f t="shared" si="39"/>
        <v>0.12123835832002583</v>
      </c>
      <c r="S124">
        <f t="shared" si="40"/>
        <v>7.6121183059911585E-2</v>
      </c>
      <c r="T124">
        <f t="shared" si="41"/>
        <v>276.11349743360336</v>
      </c>
      <c r="U124">
        <f t="shared" si="42"/>
        <v>26.724859868783103</v>
      </c>
      <c r="V124">
        <f t="shared" si="43"/>
        <v>26.724859868783103</v>
      </c>
      <c r="W124">
        <f t="shared" si="44"/>
        <v>3.5217280065785173</v>
      </c>
      <c r="X124">
        <f t="shared" si="45"/>
        <v>68.943492741885777</v>
      </c>
      <c r="Y124">
        <f t="shared" si="46"/>
        <v>2.206164854751</v>
      </c>
      <c r="Z124">
        <f t="shared" si="47"/>
        <v>3.1999609636990023</v>
      </c>
      <c r="AA124">
        <f t="shared" si="48"/>
        <v>1.3155631518275173</v>
      </c>
      <c r="AB124">
        <f t="shared" si="49"/>
        <v>-73.332845569098183</v>
      </c>
      <c r="AC124">
        <f t="shared" si="50"/>
        <v>-184.30782804052095</v>
      </c>
      <c r="AD124">
        <f t="shared" si="51"/>
        <v>-18.623777998479937</v>
      </c>
      <c r="AE124">
        <f t="shared" si="52"/>
        <v>-0.15095417449569482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52633.485628564391</v>
      </c>
      <c r="AK124">
        <f t="shared" si="56"/>
        <v>1799.99</v>
      </c>
      <c r="AL124">
        <f t="shared" si="57"/>
        <v>1499.10465619453</v>
      </c>
      <c r="AM124">
        <f t="shared" si="58"/>
        <v>0.83284054699999999</v>
      </c>
      <c r="AN124">
        <f t="shared" si="59"/>
        <v>0.15339723967000002</v>
      </c>
      <c r="AO124">
        <v>32.700000000000003</v>
      </c>
      <c r="AP124">
        <v>0.5</v>
      </c>
      <c r="AQ124" t="s">
        <v>331</v>
      </c>
      <c r="AR124">
        <v>2</v>
      </c>
      <c r="AS124">
        <v>1690383596</v>
      </c>
      <c r="AT124">
        <v>498.37299999999999</v>
      </c>
      <c r="AU124">
        <v>800.1</v>
      </c>
      <c r="AV124">
        <v>22.334099999999999</v>
      </c>
      <c r="AW124">
        <v>4.6186400000000001</v>
      </c>
      <c r="AX124">
        <v>498.42399999999998</v>
      </c>
      <c r="AY124">
        <v>22.158899999999999</v>
      </c>
      <c r="AZ124">
        <v>300.08600000000001</v>
      </c>
      <c r="BA124">
        <v>98.680099999999996</v>
      </c>
      <c r="BB124">
        <v>0.10001</v>
      </c>
      <c r="BC124">
        <v>25.1067</v>
      </c>
      <c r="BD124">
        <v>26.939699999999998</v>
      </c>
      <c r="BE124">
        <v>26.615600000000001</v>
      </c>
      <c r="BF124">
        <v>0</v>
      </c>
      <c r="BG124">
        <v>0</v>
      </c>
      <c r="BH124">
        <v>10024.4</v>
      </c>
      <c r="BI124">
        <v>1052.6300000000001</v>
      </c>
      <c r="BJ124">
        <v>2.2987099999999998</v>
      </c>
      <c r="BK124">
        <v>-301.72699999999998</v>
      </c>
      <c r="BL124">
        <v>509.75799999999998</v>
      </c>
      <c r="BM124">
        <v>803.81299999999999</v>
      </c>
      <c r="BN124">
        <v>17.715499999999999</v>
      </c>
      <c r="BO124">
        <v>800.1</v>
      </c>
      <c r="BP124">
        <v>4.6186400000000001</v>
      </c>
      <c r="BQ124">
        <v>2.2039300000000002</v>
      </c>
      <c r="BR124">
        <v>0.45576800000000001</v>
      </c>
      <c r="BS124">
        <v>18.9909</v>
      </c>
      <c r="BT124">
        <v>-4.0267799999999996</v>
      </c>
      <c r="BU124">
        <v>1799.99</v>
      </c>
      <c r="BV124">
        <v>0.91000700000000001</v>
      </c>
      <c r="BW124">
        <v>3.40004E-2</v>
      </c>
      <c r="BX124">
        <v>2.1997599999999999E-2</v>
      </c>
      <c r="BY124">
        <v>3.3995299999999999E-2</v>
      </c>
      <c r="BZ124">
        <v>26</v>
      </c>
      <c r="CA124">
        <v>33528.300000000003</v>
      </c>
      <c r="CB124">
        <v>1690381960.0999999</v>
      </c>
      <c r="CC124" t="s">
        <v>332</v>
      </c>
      <c r="CD124">
        <v>1690381960.0999999</v>
      </c>
      <c r="CE124">
        <v>1690381958.0999999</v>
      </c>
      <c r="CF124">
        <v>4</v>
      </c>
      <c r="CG124">
        <v>9.9000000000000005E-2</v>
      </c>
      <c r="CH124">
        <v>1.2E-2</v>
      </c>
      <c r="CI124">
        <v>-0.26300000000000001</v>
      </c>
      <c r="CJ124">
        <v>0.127</v>
      </c>
      <c r="CK124">
        <v>798</v>
      </c>
      <c r="CL124">
        <v>18</v>
      </c>
      <c r="CM124">
        <v>0.02</v>
      </c>
      <c r="CN124">
        <v>0.12</v>
      </c>
      <c r="CO124">
        <v>-298.34114634146351</v>
      </c>
      <c r="CP124">
        <v>-18.40494773519125</v>
      </c>
      <c r="CQ124">
        <v>1.8162977160196809</v>
      </c>
      <c r="CR124">
        <v>-1</v>
      </c>
      <c r="CS124">
        <v>17.4152512195122</v>
      </c>
      <c r="CT124">
        <v>1.6867087108013821</v>
      </c>
      <c r="CU124">
        <v>0.16636368934553969</v>
      </c>
      <c r="CV124">
        <v>-1</v>
      </c>
      <c r="CW124">
        <v>0</v>
      </c>
      <c r="CX124">
        <v>0</v>
      </c>
      <c r="CY124" t="s">
        <v>333</v>
      </c>
      <c r="CZ124">
        <v>2.3643800000000001</v>
      </c>
      <c r="DA124">
        <v>2.7138200000000001</v>
      </c>
      <c r="DB124">
        <v>0.10503999999999999</v>
      </c>
      <c r="DC124">
        <v>0.145506</v>
      </c>
      <c r="DD124">
        <v>0.107861</v>
      </c>
      <c r="DE124">
        <v>3.1638899999999998E-2</v>
      </c>
      <c r="DF124">
        <v>32683.5</v>
      </c>
      <c r="DG124">
        <v>27542.1</v>
      </c>
      <c r="DH124">
        <v>31176.6</v>
      </c>
      <c r="DI124">
        <v>28085.8</v>
      </c>
      <c r="DJ124">
        <v>37760.699999999997</v>
      </c>
      <c r="DK124">
        <v>38677.800000000003</v>
      </c>
      <c r="DL124">
        <v>44368.6</v>
      </c>
      <c r="DM124">
        <v>42568.3</v>
      </c>
      <c r="DN124">
        <v>1.4720500000000001</v>
      </c>
      <c r="DO124">
        <v>2.0359500000000001</v>
      </c>
      <c r="DP124">
        <v>0.17335300000000001</v>
      </c>
      <c r="DQ124">
        <v>0.15619</v>
      </c>
      <c r="DR124">
        <v>24.097799999999999</v>
      </c>
      <c r="DS124">
        <v>24.054200000000002</v>
      </c>
      <c r="DT124">
        <v>45.5</v>
      </c>
      <c r="DU124">
        <v>28.8</v>
      </c>
      <c r="DV124">
        <v>18.3277</v>
      </c>
      <c r="DW124">
        <v>60.673000000000002</v>
      </c>
      <c r="DX124">
        <v>37.572099999999999</v>
      </c>
      <c r="DY124">
        <v>1</v>
      </c>
      <c r="DZ124">
        <v>-9.6979200000000002E-2</v>
      </c>
      <c r="EA124">
        <v>0.23905199999999999</v>
      </c>
      <c r="EB124">
        <v>20.190000000000001</v>
      </c>
      <c r="EC124">
        <v>5.24125</v>
      </c>
      <c r="ED124">
        <v>12.039899999999999</v>
      </c>
      <c r="EE124">
        <v>5.0166500000000003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</v>
      </c>
      <c r="EL124">
        <v>1.86463</v>
      </c>
      <c r="EM124">
        <v>1.8692</v>
      </c>
      <c r="EN124">
        <v>1.86724</v>
      </c>
      <c r="EO124">
        <v>1.8633999999999999</v>
      </c>
      <c r="EP124">
        <v>1.8644700000000001</v>
      </c>
      <c r="EQ124">
        <v>1.8702000000000001</v>
      </c>
      <c r="ER124">
        <v>1.8694200000000001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-5.0999999999999997E-2</v>
      </c>
      <c r="FG124">
        <v>0.17519999999999999</v>
      </c>
      <c r="FH124">
        <v>0.28746640474027818</v>
      </c>
      <c r="FI124">
        <v>-6.1462078757559423E-4</v>
      </c>
      <c r="FJ124">
        <v>-1.8861989874597051E-7</v>
      </c>
      <c r="FK124">
        <v>1.1980462299894961E-10</v>
      </c>
      <c r="FL124">
        <v>0.17524818673008091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27.3</v>
      </c>
      <c r="FU124">
        <v>27.3</v>
      </c>
      <c r="FV124">
        <v>1.7724599999999999</v>
      </c>
      <c r="FW124">
        <v>2.5732400000000002</v>
      </c>
      <c r="FX124">
        <v>1.5490699999999999</v>
      </c>
      <c r="FY124">
        <v>2.3303199999999999</v>
      </c>
      <c r="FZ124">
        <v>1.50146</v>
      </c>
      <c r="GA124">
        <v>2.3290999999999999</v>
      </c>
      <c r="GB124">
        <v>33.580399999999997</v>
      </c>
      <c r="GC124">
        <v>23.982399999999998</v>
      </c>
      <c r="GD124">
        <v>19</v>
      </c>
      <c r="GE124">
        <v>281.01499999999999</v>
      </c>
      <c r="GF124">
        <v>582.60400000000004</v>
      </c>
      <c r="GG124">
        <v>23.137499999999999</v>
      </c>
      <c r="GH124">
        <v>26.158100000000001</v>
      </c>
      <c r="GI124">
        <v>29.9999</v>
      </c>
      <c r="GJ124">
        <v>26.328499999999998</v>
      </c>
      <c r="GK124">
        <v>26.3201</v>
      </c>
      <c r="GL124">
        <v>35.451599999999999</v>
      </c>
      <c r="GM124">
        <v>71.3459</v>
      </c>
      <c r="GN124">
        <v>55.518099999999997</v>
      </c>
      <c r="GO124">
        <v>23.170300000000001</v>
      </c>
      <c r="GP124">
        <v>800</v>
      </c>
      <c r="GQ124">
        <v>4.4409000000000001</v>
      </c>
      <c r="GR124">
        <v>99.753600000000006</v>
      </c>
      <c r="GS124">
        <v>99.582099999999997</v>
      </c>
    </row>
    <row r="125" spans="1:201" x14ac:dyDescent="0.25">
      <c r="A125">
        <v>109</v>
      </c>
      <c r="B125">
        <v>1690383606</v>
      </c>
      <c r="C125">
        <v>1130.900000095367</v>
      </c>
      <c r="D125" t="s">
        <v>549</v>
      </c>
      <c r="E125" t="s">
        <v>550</v>
      </c>
      <c r="F125" t="s">
        <v>330</v>
      </c>
      <c r="H125">
        <v>1690383606</v>
      </c>
      <c r="I125">
        <f t="shared" si="30"/>
        <v>1.6882107088781132E-3</v>
      </c>
      <c r="J125">
        <f t="shared" si="31"/>
        <v>1.6882107088781133</v>
      </c>
      <c r="K125">
        <f t="shared" si="32"/>
        <v>27.115157224170602</v>
      </c>
      <c r="L125">
        <f t="shared" si="33"/>
        <v>495.42099999999999</v>
      </c>
      <c r="M125">
        <f t="shared" si="34"/>
        <v>137.34302621145801</v>
      </c>
      <c r="N125">
        <f t="shared" si="35"/>
        <v>13.566751545691238</v>
      </c>
      <c r="O125">
        <f t="shared" si="36"/>
        <v>48.937713132734004</v>
      </c>
      <c r="P125">
        <f t="shared" si="37"/>
        <v>0.1270804581177199</v>
      </c>
      <c r="Q125">
        <f t="shared" si="38"/>
        <v>2.1078819649276679</v>
      </c>
      <c r="R125">
        <f t="shared" si="39"/>
        <v>0.12297243430338117</v>
      </c>
      <c r="S125">
        <f t="shared" si="40"/>
        <v>7.7215798654848317E-2</v>
      </c>
      <c r="T125">
        <f t="shared" si="41"/>
        <v>276.11487491400004</v>
      </c>
      <c r="U125">
        <f t="shared" si="42"/>
        <v>26.738865783465378</v>
      </c>
      <c r="V125">
        <f t="shared" si="43"/>
        <v>26.738865783465378</v>
      </c>
      <c r="W125">
        <f t="shared" si="44"/>
        <v>3.5246319901462013</v>
      </c>
      <c r="X125">
        <f t="shared" si="45"/>
        <v>68.916966341205395</v>
      </c>
      <c r="Y125">
        <f t="shared" si="46"/>
        <v>2.2078922549864002</v>
      </c>
      <c r="Z125">
        <f t="shared" si="47"/>
        <v>3.2036991356456488</v>
      </c>
      <c r="AA125">
        <f t="shared" si="48"/>
        <v>1.3167397351598011</v>
      </c>
      <c r="AB125">
        <f t="shared" si="49"/>
        <v>-74.450092261524787</v>
      </c>
      <c r="AC125">
        <f t="shared" si="50"/>
        <v>-183.25218928697487</v>
      </c>
      <c r="AD125">
        <f t="shared" si="51"/>
        <v>-18.562523431133563</v>
      </c>
      <c r="AE125">
        <f t="shared" si="52"/>
        <v>-0.14993006563318545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52418.980494449184</v>
      </c>
      <c r="AK125">
        <f t="shared" si="56"/>
        <v>1800</v>
      </c>
      <c r="AL125">
        <f t="shared" si="57"/>
        <v>1499.1132924000001</v>
      </c>
      <c r="AM125">
        <f t="shared" si="58"/>
        <v>0.83284071800000004</v>
      </c>
      <c r="AN125">
        <f t="shared" si="59"/>
        <v>0.15339715273000001</v>
      </c>
      <c r="AO125">
        <v>32.700000000000003</v>
      </c>
      <c r="AP125">
        <v>0.5</v>
      </c>
      <c r="AQ125" t="s">
        <v>331</v>
      </c>
      <c r="AR125">
        <v>2</v>
      </c>
      <c r="AS125">
        <v>1690383606</v>
      </c>
      <c r="AT125">
        <v>495.42099999999999</v>
      </c>
      <c r="AU125">
        <v>799.97900000000004</v>
      </c>
      <c r="AV125">
        <v>22.351600000000001</v>
      </c>
      <c r="AW125">
        <v>4.3681200000000002</v>
      </c>
      <c r="AX125">
        <v>495.47</v>
      </c>
      <c r="AY125">
        <v>22.176400000000001</v>
      </c>
      <c r="AZ125">
        <v>300.11200000000002</v>
      </c>
      <c r="BA125">
        <v>98.68</v>
      </c>
      <c r="BB125">
        <v>0.100054</v>
      </c>
      <c r="BC125">
        <v>25.126300000000001</v>
      </c>
      <c r="BD125">
        <v>26.977699999999999</v>
      </c>
      <c r="BE125">
        <v>26.643599999999999</v>
      </c>
      <c r="BF125">
        <v>0</v>
      </c>
      <c r="BG125">
        <v>0</v>
      </c>
      <c r="BH125">
        <v>9982.5</v>
      </c>
      <c r="BI125">
        <v>1052.76</v>
      </c>
      <c r="BJ125">
        <v>2.2987099999999998</v>
      </c>
      <c r="BK125">
        <v>-304.55700000000002</v>
      </c>
      <c r="BL125">
        <v>506.74799999999999</v>
      </c>
      <c r="BM125">
        <v>803.48900000000003</v>
      </c>
      <c r="BN125">
        <v>17.983499999999999</v>
      </c>
      <c r="BO125">
        <v>799.97900000000004</v>
      </c>
      <c r="BP125">
        <v>4.3681200000000002</v>
      </c>
      <c r="BQ125">
        <v>2.20566</v>
      </c>
      <c r="BR125">
        <v>0.43104599999999998</v>
      </c>
      <c r="BS125">
        <v>19.003499999999999</v>
      </c>
      <c r="BT125">
        <v>-4.7668499999999998</v>
      </c>
      <c r="BU125">
        <v>1800</v>
      </c>
      <c r="BV125">
        <v>0.91000999999999999</v>
      </c>
      <c r="BW125">
        <v>3.39992E-2</v>
      </c>
      <c r="BX125">
        <v>2.19969E-2</v>
      </c>
      <c r="BY125">
        <v>3.3994099999999999E-2</v>
      </c>
      <c r="BZ125">
        <v>26</v>
      </c>
      <c r="CA125">
        <v>33528.400000000001</v>
      </c>
      <c r="CB125">
        <v>1690381960.0999999</v>
      </c>
      <c r="CC125" t="s">
        <v>332</v>
      </c>
      <c r="CD125">
        <v>1690381960.0999999</v>
      </c>
      <c r="CE125">
        <v>1690381958.0999999</v>
      </c>
      <c r="CF125">
        <v>4</v>
      </c>
      <c r="CG125">
        <v>9.9000000000000005E-2</v>
      </c>
      <c r="CH125">
        <v>1.2E-2</v>
      </c>
      <c r="CI125">
        <v>-0.26300000000000001</v>
      </c>
      <c r="CJ125">
        <v>0.127</v>
      </c>
      <c r="CK125">
        <v>798</v>
      </c>
      <c r="CL125">
        <v>18</v>
      </c>
      <c r="CM125">
        <v>0.02</v>
      </c>
      <c r="CN125">
        <v>0.12</v>
      </c>
      <c r="CO125">
        <v>-301.3639756097561</v>
      </c>
      <c r="CP125">
        <v>-17.492153310104761</v>
      </c>
      <c r="CQ125">
        <v>1.7258476953942981</v>
      </c>
      <c r="CR125">
        <v>-1</v>
      </c>
      <c r="CS125">
        <v>17.689129268292689</v>
      </c>
      <c r="CT125">
        <v>1.6006285714285631</v>
      </c>
      <c r="CU125">
        <v>0.1578495752660099</v>
      </c>
      <c r="CV125">
        <v>-1</v>
      </c>
      <c r="CW125">
        <v>0</v>
      </c>
      <c r="CX125">
        <v>0</v>
      </c>
      <c r="CY125" t="s">
        <v>333</v>
      </c>
      <c r="CZ125">
        <v>2.3644500000000002</v>
      </c>
      <c r="DA125">
        <v>2.7138300000000002</v>
      </c>
      <c r="DB125">
        <v>0.104586</v>
      </c>
      <c r="DC125">
        <v>0.14548700000000001</v>
      </c>
      <c r="DD125">
        <v>0.107922</v>
      </c>
      <c r="DE125">
        <v>3.01861E-2</v>
      </c>
      <c r="DF125">
        <v>32700.3</v>
      </c>
      <c r="DG125">
        <v>27543.3</v>
      </c>
      <c r="DH125">
        <v>31176.799999999999</v>
      </c>
      <c r="DI125">
        <v>28086.400000000001</v>
      </c>
      <c r="DJ125">
        <v>37758.1</v>
      </c>
      <c r="DK125">
        <v>38736.699999999997</v>
      </c>
      <c r="DL125">
        <v>44368.7</v>
      </c>
      <c r="DM125">
        <v>42569.1</v>
      </c>
      <c r="DN125">
        <v>1.4727300000000001</v>
      </c>
      <c r="DO125">
        <v>2.0357699999999999</v>
      </c>
      <c r="DP125">
        <v>0.17532</v>
      </c>
      <c r="DQ125">
        <v>0.15748999999999999</v>
      </c>
      <c r="DR125">
        <v>24.1036</v>
      </c>
      <c r="DS125">
        <v>24.0611</v>
      </c>
      <c r="DT125">
        <v>45.2</v>
      </c>
      <c r="DU125">
        <v>28.8</v>
      </c>
      <c r="DV125">
        <v>18.2089</v>
      </c>
      <c r="DW125">
        <v>60.783000000000001</v>
      </c>
      <c r="DX125">
        <v>37.419899999999998</v>
      </c>
      <c r="DY125">
        <v>1</v>
      </c>
      <c r="DZ125">
        <v>-9.7461900000000004E-2</v>
      </c>
      <c r="EA125">
        <v>0.26219999999999999</v>
      </c>
      <c r="EB125">
        <v>20.189699999999998</v>
      </c>
      <c r="EC125">
        <v>5.2403500000000003</v>
      </c>
      <c r="ED125">
        <v>12.039899999999999</v>
      </c>
      <c r="EE125">
        <v>5.0166000000000004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1.8689100000000001</v>
      </c>
      <c r="EL125">
        <v>1.8646199999999999</v>
      </c>
      <c r="EM125">
        <v>1.8692</v>
      </c>
      <c r="EN125">
        <v>1.8672200000000001</v>
      </c>
      <c r="EO125">
        <v>1.8633999999999999</v>
      </c>
      <c r="EP125">
        <v>1.8644700000000001</v>
      </c>
      <c r="EQ125">
        <v>1.8702000000000001</v>
      </c>
      <c r="ER125">
        <v>1.8694299999999999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-4.9000000000000002E-2</v>
      </c>
      <c r="FG125">
        <v>0.17519999999999999</v>
      </c>
      <c r="FH125">
        <v>0.28746640474027818</v>
      </c>
      <c r="FI125">
        <v>-6.1462078757559423E-4</v>
      </c>
      <c r="FJ125">
        <v>-1.8861989874597051E-7</v>
      </c>
      <c r="FK125">
        <v>1.1980462299894961E-10</v>
      </c>
      <c r="FL125">
        <v>0.17524818673008091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27.4</v>
      </c>
      <c r="FU125">
        <v>27.5</v>
      </c>
      <c r="FV125">
        <v>1.7724599999999999</v>
      </c>
      <c r="FW125">
        <v>2.5769000000000002</v>
      </c>
      <c r="FX125">
        <v>1.5490699999999999</v>
      </c>
      <c r="FY125">
        <v>2.3315399999999999</v>
      </c>
      <c r="FZ125">
        <v>1.50146</v>
      </c>
      <c r="GA125">
        <v>2.31812</v>
      </c>
      <c r="GB125">
        <v>33.580399999999997</v>
      </c>
      <c r="GC125">
        <v>23.982399999999998</v>
      </c>
      <c r="GD125">
        <v>19</v>
      </c>
      <c r="GE125">
        <v>281.28399999999999</v>
      </c>
      <c r="GF125">
        <v>582.41700000000003</v>
      </c>
      <c r="GG125">
        <v>23.216799999999999</v>
      </c>
      <c r="GH125">
        <v>26.1539</v>
      </c>
      <c r="GI125">
        <v>30</v>
      </c>
      <c r="GJ125">
        <v>26.3246</v>
      </c>
      <c r="GK125">
        <v>26.316199999999998</v>
      </c>
      <c r="GL125">
        <v>35.447899999999997</v>
      </c>
      <c r="GM125">
        <v>72.231700000000004</v>
      </c>
      <c r="GN125">
        <v>54.720999999999997</v>
      </c>
      <c r="GO125">
        <v>23.2164</v>
      </c>
      <c r="GP125">
        <v>800</v>
      </c>
      <c r="GQ125">
        <v>4.1869500000000004</v>
      </c>
      <c r="GR125">
        <v>99.754000000000005</v>
      </c>
      <c r="GS125">
        <v>99.584100000000007</v>
      </c>
    </row>
    <row r="126" spans="1:201" x14ac:dyDescent="0.25">
      <c r="A126">
        <v>110</v>
      </c>
      <c r="B126">
        <v>1690383616</v>
      </c>
      <c r="C126">
        <v>1140.900000095367</v>
      </c>
      <c r="D126" t="s">
        <v>551</v>
      </c>
      <c r="E126" t="s">
        <v>552</v>
      </c>
      <c r="F126" t="s">
        <v>330</v>
      </c>
      <c r="H126">
        <v>1690383616</v>
      </c>
      <c r="I126">
        <f t="shared" si="30"/>
        <v>1.7083483358491358E-3</v>
      </c>
      <c r="J126">
        <f t="shared" si="31"/>
        <v>1.7083483358491358</v>
      </c>
      <c r="K126">
        <f t="shared" si="32"/>
        <v>27.391600747460856</v>
      </c>
      <c r="L126">
        <f t="shared" si="33"/>
        <v>492.47199999999998</v>
      </c>
      <c r="M126">
        <f t="shared" si="34"/>
        <v>134.53300813833965</v>
      </c>
      <c r="N126">
        <f t="shared" si="35"/>
        <v>13.289387949246342</v>
      </c>
      <c r="O126">
        <f t="shared" si="36"/>
        <v>48.647179994751994</v>
      </c>
      <c r="P126">
        <f t="shared" si="37"/>
        <v>0.12844467419805836</v>
      </c>
      <c r="Q126">
        <f t="shared" si="38"/>
        <v>2.1085471548867467</v>
      </c>
      <c r="R126">
        <f t="shared" si="39"/>
        <v>0.1242508209899999</v>
      </c>
      <c r="S126">
        <f t="shared" si="40"/>
        <v>7.8022157025478572E-2</v>
      </c>
      <c r="T126">
        <f t="shared" si="41"/>
        <v>276.11479560600003</v>
      </c>
      <c r="U126">
        <f t="shared" si="42"/>
        <v>26.755268274455258</v>
      </c>
      <c r="V126">
        <f t="shared" si="43"/>
        <v>26.755268274455258</v>
      </c>
      <c r="W126">
        <f t="shared" si="44"/>
        <v>3.5280355369738641</v>
      </c>
      <c r="X126">
        <f t="shared" si="45"/>
        <v>68.862722396106562</v>
      </c>
      <c r="Y126">
        <f t="shared" si="46"/>
        <v>2.2093101108096</v>
      </c>
      <c r="Z126">
        <f t="shared" si="47"/>
        <v>3.208281685556063</v>
      </c>
      <c r="AA126">
        <f t="shared" si="48"/>
        <v>1.318725426164264</v>
      </c>
      <c r="AB126">
        <f t="shared" si="49"/>
        <v>-75.338161610946884</v>
      </c>
      <c r="AC126">
        <f t="shared" si="50"/>
        <v>-182.44636428103743</v>
      </c>
      <c r="AD126">
        <f t="shared" si="51"/>
        <v>-18.478811683685439</v>
      </c>
      <c r="AE126">
        <f t="shared" si="52"/>
        <v>-0.1485419696697079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52443.924030906339</v>
      </c>
      <c r="AK126">
        <f t="shared" si="56"/>
        <v>1800</v>
      </c>
      <c r="AL126">
        <f t="shared" si="57"/>
        <v>1499.1132906</v>
      </c>
      <c r="AM126">
        <f t="shared" si="58"/>
        <v>0.83284071700000006</v>
      </c>
      <c r="AN126">
        <f t="shared" si="59"/>
        <v>0.15339710867</v>
      </c>
      <c r="AO126">
        <v>32.700000000000003</v>
      </c>
      <c r="AP126">
        <v>0.5</v>
      </c>
      <c r="AQ126" t="s">
        <v>331</v>
      </c>
      <c r="AR126">
        <v>2</v>
      </c>
      <c r="AS126">
        <v>1690383616</v>
      </c>
      <c r="AT126">
        <v>492.47199999999998</v>
      </c>
      <c r="AU126">
        <v>800.05799999999999</v>
      </c>
      <c r="AV126">
        <v>22.365600000000001</v>
      </c>
      <c r="AW126">
        <v>4.1701100000000002</v>
      </c>
      <c r="AX126">
        <v>492.51900000000001</v>
      </c>
      <c r="AY126">
        <v>22.190300000000001</v>
      </c>
      <c r="AZ126">
        <v>300.149</v>
      </c>
      <c r="BA126">
        <v>98.681600000000003</v>
      </c>
      <c r="BB126">
        <v>0.10001599999999999</v>
      </c>
      <c r="BC126">
        <v>25.150300000000001</v>
      </c>
      <c r="BD126">
        <v>26.9861</v>
      </c>
      <c r="BE126">
        <v>26.652899999999999</v>
      </c>
      <c r="BF126">
        <v>0</v>
      </c>
      <c r="BG126">
        <v>0</v>
      </c>
      <c r="BH126">
        <v>9988.1200000000008</v>
      </c>
      <c r="BI126">
        <v>1053.03</v>
      </c>
      <c r="BJ126">
        <v>2.2987099999999998</v>
      </c>
      <c r="BK126">
        <v>-307.58499999999998</v>
      </c>
      <c r="BL126">
        <v>503.73899999999998</v>
      </c>
      <c r="BM126">
        <v>803.40800000000002</v>
      </c>
      <c r="BN126">
        <v>18.195499999999999</v>
      </c>
      <c r="BO126">
        <v>800.05799999999999</v>
      </c>
      <c r="BP126">
        <v>4.1701100000000002</v>
      </c>
      <c r="BQ126">
        <v>2.2070699999999999</v>
      </c>
      <c r="BR126">
        <v>0.41151300000000002</v>
      </c>
      <c r="BS126">
        <v>19.0137</v>
      </c>
      <c r="BT126">
        <v>-5.3787200000000004</v>
      </c>
      <c r="BU126">
        <v>1800</v>
      </c>
      <c r="BV126">
        <v>0.91001100000000001</v>
      </c>
      <c r="BW126">
        <v>3.3998800000000003E-2</v>
      </c>
      <c r="BX126">
        <v>2.1996600000000002E-2</v>
      </c>
      <c r="BY126">
        <v>3.3993700000000002E-2</v>
      </c>
      <c r="BZ126">
        <v>26</v>
      </c>
      <c r="CA126">
        <v>33528.5</v>
      </c>
      <c r="CB126">
        <v>1690381960.0999999</v>
      </c>
      <c r="CC126" t="s">
        <v>332</v>
      </c>
      <c r="CD126">
        <v>1690381960.0999999</v>
      </c>
      <c r="CE126">
        <v>1690381958.0999999</v>
      </c>
      <c r="CF126">
        <v>4</v>
      </c>
      <c r="CG126">
        <v>9.9000000000000005E-2</v>
      </c>
      <c r="CH126">
        <v>1.2E-2</v>
      </c>
      <c r="CI126">
        <v>-0.26300000000000001</v>
      </c>
      <c r="CJ126">
        <v>0.127</v>
      </c>
      <c r="CK126">
        <v>798</v>
      </c>
      <c r="CL126">
        <v>18</v>
      </c>
      <c r="CM126">
        <v>0.02</v>
      </c>
      <c r="CN126">
        <v>0.12</v>
      </c>
      <c r="CO126">
        <v>-304.26409999999998</v>
      </c>
      <c r="CP126">
        <v>-17.796855534708751</v>
      </c>
      <c r="CQ126">
        <v>1.7131754259269589</v>
      </c>
      <c r="CR126">
        <v>-1</v>
      </c>
      <c r="CS126">
        <v>17.949715000000001</v>
      </c>
      <c r="CT126">
        <v>1.5985395872419581</v>
      </c>
      <c r="CU126">
        <v>0.1539088537901572</v>
      </c>
      <c r="CV126">
        <v>-1</v>
      </c>
      <c r="CW126">
        <v>0</v>
      </c>
      <c r="CX126">
        <v>0</v>
      </c>
      <c r="CY126" t="s">
        <v>333</v>
      </c>
      <c r="CZ126">
        <v>2.3645700000000001</v>
      </c>
      <c r="DA126">
        <v>2.7138</v>
      </c>
      <c r="DB126">
        <v>0.104132</v>
      </c>
      <c r="DC126">
        <v>0.14549599999999999</v>
      </c>
      <c r="DD126">
        <v>0.107973</v>
      </c>
      <c r="DE126">
        <v>2.9023199999999999E-2</v>
      </c>
      <c r="DF126">
        <v>32716.3</v>
      </c>
      <c r="DG126">
        <v>27542.799999999999</v>
      </c>
      <c r="DH126">
        <v>31176.2</v>
      </c>
      <c r="DI126">
        <v>28086.2</v>
      </c>
      <c r="DJ126">
        <v>37755.4</v>
      </c>
      <c r="DK126">
        <v>38783.1</v>
      </c>
      <c r="DL126">
        <v>44368.1</v>
      </c>
      <c r="DM126">
        <v>42569</v>
      </c>
      <c r="DN126">
        <v>1.4725699999999999</v>
      </c>
      <c r="DO126">
        <v>2.0354199999999998</v>
      </c>
      <c r="DP126">
        <v>0.17541999999999999</v>
      </c>
      <c r="DQ126">
        <v>0.15756100000000001</v>
      </c>
      <c r="DR126">
        <v>24.110499999999998</v>
      </c>
      <c r="DS126">
        <v>24.069199999999999</v>
      </c>
      <c r="DT126">
        <v>44.8</v>
      </c>
      <c r="DU126">
        <v>28.8</v>
      </c>
      <c r="DV126">
        <v>18.0473</v>
      </c>
      <c r="DW126">
        <v>60.832999999999998</v>
      </c>
      <c r="DX126">
        <v>37.536099999999998</v>
      </c>
      <c r="DY126">
        <v>1</v>
      </c>
      <c r="DZ126">
        <v>-9.7129099999999996E-2</v>
      </c>
      <c r="EA126">
        <v>0.29136400000000001</v>
      </c>
      <c r="EB126">
        <v>20.189499999999999</v>
      </c>
      <c r="EC126">
        <v>5.2411000000000003</v>
      </c>
      <c r="ED126">
        <v>12.039899999999999</v>
      </c>
      <c r="EE126">
        <v>5.0166500000000003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1.8689100000000001</v>
      </c>
      <c r="EL126">
        <v>1.8646199999999999</v>
      </c>
      <c r="EM126">
        <v>1.8692</v>
      </c>
      <c r="EN126">
        <v>1.8672299999999999</v>
      </c>
      <c r="EO126">
        <v>1.8633999999999999</v>
      </c>
      <c r="EP126">
        <v>1.86446</v>
      </c>
      <c r="EQ126">
        <v>1.8702000000000001</v>
      </c>
      <c r="ER126">
        <v>1.8694299999999999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-4.7E-2</v>
      </c>
      <c r="FG126">
        <v>0.17530000000000001</v>
      </c>
      <c r="FH126">
        <v>0.28746640474027818</v>
      </c>
      <c r="FI126">
        <v>-6.1462078757559423E-4</v>
      </c>
      <c r="FJ126">
        <v>-1.8861989874597051E-7</v>
      </c>
      <c r="FK126">
        <v>1.1980462299894961E-10</v>
      </c>
      <c r="FL126">
        <v>0.17524818673008091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27.6</v>
      </c>
      <c r="FU126">
        <v>27.6</v>
      </c>
      <c r="FV126">
        <v>1.7724599999999999</v>
      </c>
      <c r="FW126">
        <v>2.5769000000000002</v>
      </c>
      <c r="FX126">
        <v>1.5490699999999999</v>
      </c>
      <c r="FY126">
        <v>2.3303199999999999</v>
      </c>
      <c r="FZ126">
        <v>1.50146</v>
      </c>
      <c r="GA126">
        <v>2.2912599999999999</v>
      </c>
      <c r="GB126">
        <v>33.580399999999997</v>
      </c>
      <c r="GC126">
        <v>23.973700000000001</v>
      </c>
      <c r="GD126">
        <v>19</v>
      </c>
      <c r="GE126">
        <v>281.20299999999997</v>
      </c>
      <c r="GF126">
        <v>582.08699999999999</v>
      </c>
      <c r="GG126">
        <v>23.2502</v>
      </c>
      <c r="GH126">
        <v>26.15</v>
      </c>
      <c r="GI126">
        <v>30.0002</v>
      </c>
      <c r="GJ126">
        <v>26.320699999999999</v>
      </c>
      <c r="GK126">
        <v>26.3127</v>
      </c>
      <c r="GL126">
        <v>35.4405</v>
      </c>
      <c r="GM126">
        <v>72.809200000000004</v>
      </c>
      <c r="GN126">
        <v>53.947600000000001</v>
      </c>
      <c r="GO126">
        <v>23.2607</v>
      </c>
      <c r="GP126">
        <v>800</v>
      </c>
      <c r="GQ126">
        <v>4.0287699999999997</v>
      </c>
      <c r="GR126">
        <v>99.752499999999998</v>
      </c>
      <c r="GS126">
        <v>99.583699999999993</v>
      </c>
    </row>
    <row r="127" spans="1:201" x14ac:dyDescent="0.25">
      <c r="A127">
        <v>111</v>
      </c>
      <c r="B127">
        <v>1690383626</v>
      </c>
      <c r="C127">
        <v>1150.900000095367</v>
      </c>
      <c r="D127" t="s">
        <v>553</v>
      </c>
      <c r="E127" t="s">
        <v>554</v>
      </c>
      <c r="F127" t="s">
        <v>330</v>
      </c>
      <c r="H127">
        <v>1690383626</v>
      </c>
      <c r="I127">
        <f t="shared" si="30"/>
        <v>1.7306055674930038E-3</v>
      </c>
      <c r="J127">
        <f t="shared" si="31"/>
        <v>1.7306055674930039</v>
      </c>
      <c r="K127">
        <f t="shared" si="32"/>
        <v>27.664237285647761</v>
      </c>
      <c r="L127">
        <f t="shared" si="33"/>
        <v>489.50299999999999</v>
      </c>
      <c r="M127">
        <f t="shared" si="34"/>
        <v>133.46728718133929</v>
      </c>
      <c r="N127">
        <f t="shared" si="35"/>
        <v>13.183992855677445</v>
      </c>
      <c r="O127">
        <f t="shared" si="36"/>
        <v>48.353451929117995</v>
      </c>
      <c r="P127">
        <f t="shared" si="37"/>
        <v>0.13046053439015132</v>
      </c>
      <c r="Q127">
        <f t="shared" si="38"/>
        <v>2.1113376378314213</v>
      </c>
      <c r="R127">
        <f t="shared" si="39"/>
        <v>0.12614190448170459</v>
      </c>
      <c r="S127">
        <f t="shared" si="40"/>
        <v>7.9214792769122799E-2</v>
      </c>
      <c r="T127">
        <f t="shared" si="41"/>
        <v>276.11315397751144</v>
      </c>
      <c r="U127">
        <f t="shared" si="42"/>
        <v>26.753978082199389</v>
      </c>
      <c r="V127">
        <f t="shared" si="43"/>
        <v>26.753978082199389</v>
      </c>
      <c r="W127">
        <f t="shared" si="44"/>
        <v>3.5277677157918932</v>
      </c>
      <c r="X127">
        <f t="shared" si="45"/>
        <v>68.909098707118019</v>
      </c>
      <c r="Y127">
        <f t="shared" si="46"/>
        <v>2.2119173248931996</v>
      </c>
      <c r="Z127">
        <f t="shared" si="47"/>
        <v>3.2099060449106087</v>
      </c>
      <c r="AA127">
        <f t="shared" si="48"/>
        <v>1.3158503908986936</v>
      </c>
      <c r="AB127">
        <f t="shared" si="49"/>
        <v>-76.319705526441467</v>
      </c>
      <c r="AC127">
        <f t="shared" si="50"/>
        <v>-181.57343385741979</v>
      </c>
      <c r="AD127">
        <f t="shared" si="51"/>
        <v>-18.366755041902589</v>
      </c>
      <c r="AE127">
        <f t="shared" si="52"/>
        <v>-0.14674044825238752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52564.717216822333</v>
      </c>
      <c r="AK127">
        <f t="shared" si="56"/>
        <v>1799.99</v>
      </c>
      <c r="AL127">
        <f t="shared" si="57"/>
        <v>1499.1048253935901</v>
      </c>
      <c r="AM127">
        <f t="shared" si="58"/>
        <v>0.83284064099999999</v>
      </c>
      <c r="AN127">
        <f t="shared" si="59"/>
        <v>0.15339704886000002</v>
      </c>
      <c r="AO127">
        <v>32.700000000000003</v>
      </c>
      <c r="AP127">
        <v>0.5</v>
      </c>
      <c r="AQ127" t="s">
        <v>331</v>
      </c>
      <c r="AR127">
        <v>2</v>
      </c>
      <c r="AS127">
        <v>1690383626</v>
      </c>
      <c r="AT127">
        <v>489.50299999999999</v>
      </c>
      <c r="AU127">
        <v>800.072</v>
      </c>
      <c r="AV127">
        <v>22.392199999999999</v>
      </c>
      <c r="AW127">
        <v>3.9631599999999998</v>
      </c>
      <c r="AX127">
        <v>489.548</v>
      </c>
      <c r="AY127">
        <v>22.216899999999999</v>
      </c>
      <c r="AZ127">
        <v>300.19799999999998</v>
      </c>
      <c r="BA127">
        <v>98.680700000000002</v>
      </c>
      <c r="BB127">
        <v>0.100006</v>
      </c>
      <c r="BC127">
        <v>25.158799999999999</v>
      </c>
      <c r="BD127">
        <v>26.986799999999999</v>
      </c>
      <c r="BE127">
        <v>26.679500000000001</v>
      </c>
      <c r="BF127">
        <v>0</v>
      </c>
      <c r="BG127">
        <v>0</v>
      </c>
      <c r="BH127">
        <v>10012.5</v>
      </c>
      <c r="BI127">
        <v>1053.22</v>
      </c>
      <c r="BJ127">
        <v>2.2987099999999998</v>
      </c>
      <c r="BK127">
        <v>-310.56900000000002</v>
      </c>
      <c r="BL127">
        <v>500.71499999999997</v>
      </c>
      <c r="BM127">
        <v>803.255</v>
      </c>
      <c r="BN127">
        <v>18.428999999999998</v>
      </c>
      <c r="BO127">
        <v>800.072</v>
      </c>
      <c r="BP127">
        <v>3.9631599999999998</v>
      </c>
      <c r="BQ127">
        <v>2.2096800000000001</v>
      </c>
      <c r="BR127">
        <v>0.39108799999999999</v>
      </c>
      <c r="BS127">
        <v>19.032599999999999</v>
      </c>
      <c r="BT127">
        <v>-6.0468099999999998</v>
      </c>
      <c r="BU127">
        <v>1799.99</v>
      </c>
      <c r="BV127">
        <v>0.91001200000000004</v>
      </c>
      <c r="BW127">
        <v>3.3998399999999998E-2</v>
      </c>
      <c r="BX127">
        <v>2.19963E-2</v>
      </c>
      <c r="BY127">
        <v>3.3993200000000001E-2</v>
      </c>
      <c r="BZ127">
        <v>26</v>
      </c>
      <c r="CA127">
        <v>33528.300000000003</v>
      </c>
      <c r="CB127">
        <v>1690381960.0999999</v>
      </c>
      <c r="CC127" t="s">
        <v>332</v>
      </c>
      <c r="CD127">
        <v>1690381960.0999999</v>
      </c>
      <c r="CE127">
        <v>1690381958.0999999</v>
      </c>
      <c r="CF127">
        <v>4</v>
      </c>
      <c r="CG127">
        <v>9.9000000000000005E-2</v>
      </c>
      <c r="CH127">
        <v>1.2E-2</v>
      </c>
      <c r="CI127">
        <v>-0.26300000000000001</v>
      </c>
      <c r="CJ127">
        <v>0.127</v>
      </c>
      <c r="CK127">
        <v>798</v>
      </c>
      <c r="CL127">
        <v>18</v>
      </c>
      <c r="CM127">
        <v>0.02</v>
      </c>
      <c r="CN127">
        <v>0.12</v>
      </c>
      <c r="CO127">
        <v>-307.3376829268293</v>
      </c>
      <c r="CP127">
        <v>-18.110801393728611</v>
      </c>
      <c r="CQ127">
        <v>1.786747630357058</v>
      </c>
      <c r="CR127">
        <v>-1</v>
      </c>
      <c r="CS127">
        <v>18.184241463414629</v>
      </c>
      <c r="CT127">
        <v>1.22651707317075</v>
      </c>
      <c r="CU127">
        <v>0.1220682275746818</v>
      </c>
      <c r="CV127">
        <v>-1</v>
      </c>
      <c r="CW127">
        <v>0</v>
      </c>
      <c r="CX127">
        <v>0</v>
      </c>
      <c r="CY127" t="s">
        <v>333</v>
      </c>
      <c r="CZ127">
        <v>2.3647300000000002</v>
      </c>
      <c r="DA127">
        <v>2.7138100000000001</v>
      </c>
      <c r="DB127">
        <v>0.103671</v>
      </c>
      <c r="DC127">
        <v>0.14549400000000001</v>
      </c>
      <c r="DD127">
        <v>0.10806399999999999</v>
      </c>
      <c r="DE127">
        <v>2.7791699999999999E-2</v>
      </c>
      <c r="DF127">
        <v>32733.4</v>
      </c>
      <c r="DG127">
        <v>27543.200000000001</v>
      </c>
      <c r="DH127">
        <v>31176.400000000001</v>
      </c>
      <c r="DI127">
        <v>28086.6</v>
      </c>
      <c r="DJ127">
        <v>37751.800000000003</v>
      </c>
      <c r="DK127">
        <v>38832.800000000003</v>
      </c>
      <c r="DL127">
        <v>44368.6</v>
      </c>
      <c r="DM127">
        <v>42569.4</v>
      </c>
      <c r="DN127">
        <v>1.4726300000000001</v>
      </c>
      <c r="DO127">
        <v>2.03478</v>
      </c>
      <c r="DP127">
        <v>0.175014</v>
      </c>
      <c r="DQ127">
        <v>0.15860399999999999</v>
      </c>
      <c r="DR127">
        <v>24.117799999999999</v>
      </c>
      <c r="DS127">
        <v>24.078800000000001</v>
      </c>
      <c r="DT127">
        <v>44.4</v>
      </c>
      <c r="DU127">
        <v>28.8</v>
      </c>
      <c r="DV127">
        <v>17.886900000000001</v>
      </c>
      <c r="DW127">
        <v>60.523000000000003</v>
      </c>
      <c r="DX127">
        <v>37.291699999999999</v>
      </c>
      <c r="DY127">
        <v>1</v>
      </c>
      <c r="DZ127">
        <v>-9.7431400000000001E-2</v>
      </c>
      <c r="EA127">
        <v>0.32207799999999998</v>
      </c>
      <c r="EB127">
        <v>20.189499999999999</v>
      </c>
      <c r="EC127">
        <v>5.2409499999999998</v>
      </c>
      <c r="ED127">
        <v>12.039899999999999</v>
      </c>
      <c r="EE127">
        <v>5.0166500000000003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</v>
      </c>
      <c r="EL127">
        <v>1.86463</v>
      </c>
      <c r="EM127">
        <v>1.8692</v>
      </c>
      <c r="EN127">
        <v>1.86724</v>
      </c>
      <c r="EO127">
        <v>1.8633999999999999</v>
      </c>
      <c r="EP127">
        <v>1.8644700000000001</v>
      </c>
      <c r="EQ127">
        <v>1.8702099999999999</v>
      </c>
      <c r="ER127">
        <v>1.8694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-4.4999999999999998E-2</v>
      </c>
      <c r="FG127">
        <v>0.17530000000000001</v>
      </c>
      <c r="FH127">
        <v>0.28746640474027818</v>
      </c>
      <c r="FI127">
        <v>-6.1462078757559423E-4</v>
      </c>
      <c r="FJ127">
        <v>-1.8861989874597051E-7</v>
      </c>
      <c r="FK127">
        <v>1.1980462299894961E-10</v>
      </c>
      <c r="FL127">
        <v>0.17524818673008091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27.8</v>
      </c>
      <c r="FU127">
        <v>27.8</v>
      </c>
      <c r="FV127">
        <v>1.7724599999999999</v>
      </c>
      <c r="FW127">
        <v>2.5842299999999998</v>
      </c>
      <c r="FX127">
        <v>1.5490699999999999</v>
      </c>
      <c r="FY127">
        <v>2.3303199999999999</v>
      </c>
      <c r="FZ127">
        <v>1.50146</v>
      </c>
      <c r="GA127">
        <v>2.3083499999999999</v>
      </c>
      <c r="GB127">
        <v>33.580399999999997</v>
      </c>
      <c r="GC127">
        <v>23.973700000000001</v>
      </c>
      <c r="GD127">
        <v>19</v>
      </c>
      <c r="GE127">
        <v>281.209</v>
      </c>
      <c r="GF127">
        <v>581.51199999999994</v>
      </c>
      <c r="GG127">
        <v>23.279399999999999</v>
      </c>
      <c r="GH127">
        <v>26.146699999999999</v>
      </c>
      <c r="GI127">
        <v>30</v>
      </c>
      <c r="GJ127">
        <v>26.3172</v>
      </c>
      <c r="GK127">
        <v>26.309000000000001</v>
      </c>
      <c r="GL127">
        <v>35.430799999999998</v>
      </c>
      <c r="GM127">
        <v>73.957300000000004</v>
      </c>
      <c r="GN127">
        <v>53.146000000000001</v>
      </c>
      <c r="GO127">
        <v>23.275600000000001</v>
      </c>
      <c r="GP127">
        <v>800</v>
      </c>
      <c r="GQ127">
        <v>3.7802199999999999</v>
      </c>
      <c r="GR127">
        <v>99.753299999999996</v>
      </c>
      <c r="GS127">
        <v>99.584699999999998</v>
      </c>
    </row>
    <row r="128" spans="1:201" x14ac:dyDescent="0.25">
      <c r="A128">
        <v>112</v>
      </c>
      <c r="B128">
        <v>1690383636</v>
      </c>
      <c r="C128">
        <v>1160.900000095367</v>
      </c>
      <c r="D128" t="s">
        <v>555</v>
      </c>
      <c r="E128" t="s">
        <v>556</v>
      </c>
      <c r="F128" t="s">
        <v>330</v>
      </c>
      <c r="H128">
        <v>1690383636</v>
      </c>
      <c r="I128">
        <f t="shared" si="30"/>
        <v>1.7555010411622995E-3</v>
      </c>
      <c r="J128">
        <f t="shared" si="31"/>
        <v>1.7555010411622995</v>
      </c>
      <c r="K128">
        <f t="shared" si="32"/>
        <v>27.939100340607489</v>
      </c>
      <c r="L128">
        <f t="shared" si="33"/>
        <v>486.59699999999998</v>
      </c>
      <c r="M128">
        <f t="shared" si="34"/>
        <v>132.46602626382455</v>
      </c>
      <c r="N128">
        <f t="shared" si="35"/>
        <v>13.085246554586647</v>
      </c>
      <c r="O128">
        <f t="shared" si="36"/>
        <v>48.066979113881992</v>
      </c>
      <c r="P128">
        <f t="shared" si="37"/>
        <v>0.13253039218174889</v>
      </c>
      <c r="Q128">
        <f t="shared" si="38"/>
        <v>2.1058159825702916</v>
      </c>
      <c r="R128">
        <f t="shared" si="39"/>
        <v>0.12806489992350076</v>
      </c>
      <c r="S128">
        <f t="shared" si="40"/>
        <v>8.0429234793233037E-2</v>
      </c>
      <c r="T128">
        <f t="shared" si="41"/>
        <v>276.11451908999999</v>
      </c>
      <c r="U128">
        <f t="shared" si="42"/>
        <v>26.759088009647726</v>
      </c>
      <c r="V128">
        <f t="shared" si="43"/>
        <v>26.759088009647726</v>
      </c>
      <c r="W128">
        <f t="shared" si="44"/>
        <v>3.5288285507790484</v>
      </c>
      <c r="X128">
        <f t="shared" si="45"/>
        <v>68.935552208165348</v>
      </c>
      <c r="Y128">
        <f t="shared" si="46"/>
        <v>2.2140976410839999</v>
      </c>
      <c r="Z128">
        <f t="shared" si="47"/>
        <v>3.2118371002499093</v>
      </c>
      <c r="AA128">
        <f t="shared" si="48"/>
        <v>1.3147309096950486</v>
      </c>
      <c r="AB128">
        <f t="shared" si="49"/>
        <v>-77.417595915257408</v>
      </c>
      <c r="AC128">
        <f t="shared" si="50"/>
        <v>-180.53205899173369</v>
      </c>
      <c r="AD128">
        <f t="shared" si="51"/>
        <v>-18.310696229951454</v>
      </c>
      <c r="AE128">
        <f t="shared" si="52"/>
        <v>-0.14583204694258711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52321.133724195453</v>
      </c>
      <c r="AK128">
        <f t="shared" si="56"/>
        <v>1800</v>
      </c>
      <c r="AL128">
        <f t="shared" si="57"/>
        <v>1499.1134399999999</v>
      </c>
      <c r="AM128">
        <f t="shared" si="58"/>
        <v>0.83284079999999994</v>
      </c>
      <c r="AN128">
        <f t="shared" si="59"/>
        <v>0.15339695505000001</v>
      </c>
      <c r="AO128">
        <v>32.700000000000003</v>
      </c>
      <c r="AP128">
        <v>0.5</v>
      </c>
      <c r="AQ128" t="s">
        <v>331</v>
      </c>
      <c r="AR128">
        <v>2</v>
      </c>
      <c r="AS128">
        <v>1690383636</v>
      </c>
      <c r="AT128">
        <v>486.59699999999998</v>
      </c>
      <c r="AU128">
        <v>800.16200000000003</v>
      </c>
      <c r="AV128">
        <v>22.414000000000001</v>
      </c>
      <c r="AW128">
        <v>3.7247499999999998</v>
      </c>
      <c r="AX128">
        <v>486.63900000000001</v>
      </c>
      <c r="AY128">
        <v>22.238700000000001</v>
      </c>
      <c r="AZ128">
        <v>300.27</v>
      </c>
      <c r="BA128">
        <v>98.681799999999996</v>
      </c>
      <c r="BB128">
        <v>0.100106</v>
      </c>
      <c r="BC128">
        <v>25.168900000000001</v>
      </c>
      <c r="BD128">
        <v>26.9831</v>
      </c>
      <c r="BE128">
        <v>26.6768</v>
      </c>
      <c r="BF128">
        <v>0</v>
      </c>
      <c r="BG128">
        <v>0</v>
      </c>
      <c r="BH128">
        <v>9964.3799999999992</v>
      </c>
      <c r="BI128">
        <v>1053.4100000000001</v>
      </c>
      <c r="BJ128">
        <v>2.2987099999999998</v>
      </c>
      <c r="BK128">
        <v>-313.565</v>
      </c>
      <c r="BL128">
        <v>497.75299999999999</v>
      </c>
      <c r="BM128">
        <v>803.154</v>
      </c>
      <c r="BN128">
        <v>18.6892</v>
      </c>
      <c r="BO128">
        <v>800.16200000000003</v>
      </c>
      <c r="BP128">
        <v>3.7247499999999998</v>
      </c>
      <c r="BQ128">
        <v>2.2118500000000001</v>
      </c>
      <c r="BR128">
        <v>0.36756499999999998</v>
      </c>
      <c r="BS128">
        <v>19.048400000000001</v>
      </c>
      <c r="BT128">
        <v>-6.8557300000000003</v>
      </c>
      <c r="BU128">
        <v>1800</v>
      </c>
      <c r="BV128">
        <v>0.91001500000000002</v>
      </c>
      <c r="BW128">
        <v>3.3997199999999998E-2</v>
      </c>
      <c r="BX128">
        <v>2.1995500000000001E-2</v>
      </c>
      <c r="BY128">
        <v>3.3992099999999997E-2</v>
      </c>
      <c r="BZ128">
        <v>26</v>
      </c>
      <c r="CA128">
        <v>33528.5</v>
      </c>
      <c r="CB128">
        <v>1690381960.0999999</v>
      </c>
      <c r="CC128" t="s">
        <v>332</v>
      </c>
      <c r="CD128">
        <v>1690381960.0999999</v>
      </c>
      <c r="CE128">
        <v>1690381958.0999999</v>
      </c>
      <c r="CF128">
        <v>4</v>
      </c>
      <c r="CG128">
        <v>9.9000000000000005E-2</v>
      </c>
      <c r="CH128">
        <v>1.2E-2</v>
      </c>
      <c r="CI128">
        <v>-0.26300000000000001</v>
      </c>
      <c r="CJ128">
        <v>0.127</v>
      </c>
      <c r="CK128">
        <v>798</v>
      </c>
      <c r="CL128">
        <v>18</v>
      </c>
      <c r="CM128">
        <v>0.02</v>
      </c>
      <c r="CN128">
        <v>0.12</v>
      </c>
      <c r="CO128">
        <v>-310.3104146341463</v>
      </c>
      <c r="CP128">
        <v>-17.697135888502672</v>
      </c>
      <c r="CQ128">
        <v>1.7457055178087131</v>
      </c>
      <c r="CR128">
        <v>-1</v>
      </c>
      <c r="CS128">
        <v>18.406670731707319</v>
      </c>
      <c r="CT128">
        <v>1.5037191637630569</v>
      </c>
      <c r="CU128">
        <v>0.14852419240222439</v>
      </c>
      <c r="CV128">
        <v>-1</v>
      </c>
      <c r="CW128">
        <v>0</v>
      </c>
      <c r="CX128">
        <v>0</v>
      </c>
      <c r="CY128" t="s">
        <v>333</v>
      </c>
      <c r="CZ128">
        <v>2.3649499999999999</v>
      </c>
      <c r="DA128">
        <v>2.71387</v>
      </c>
      <c r="DB128">
        <v>0.10322099999999999</v>
      </c>
      <c r="DC128">
        <v>0.14550199999999999</v>
      </c>
      <c r="DD128">
        <v>0.108141</v>
      </c>
      <c r="DE128">
        <v>2.6353499999999998E-2</v>
      </c>
      <c r="DF128">
        <v>32749.8</v>
      </c>
      <c r="DG128">
        <v>27543.3</v>
      </c>
      <c r="DH128">
        <v>31176.400000000001</v>
      </c>
      <c r="DI128">
        <v>28087</v>
      </c>
      <c r="DJ128">
        <v>37748.5</v>
      </c>
      <c r="DK128">
        <v>38891</v>
      </c>
      <c r="DL128">
        <v>44368.6</v>
      </c>
      <c r="DM128">
        <v>42570</v>
      </c>
      <c r="DN128">
        <v>1.4730300000000001</v>
      </c>
      <c r="DO128">
        <v>2.0348199999999999</v>
      </c>
      <c r="DP128">
        <v>0.17429500000000001</v>
      </c>
      <c r="DQ128">
        <v>0.15788199999999999</v>
      </c>
      <c r="DR128">
        <v>24.125900000000001</v>
      </c>
      <c r="DS128">
        <v>24.087900000000001</v>
      </c>
      <c r="DT128">
        <v>44</v>
      </c>
      <c r="DU128">
        <v>28.8</v>
      </c>
      <c r="DV128">
        <v>17.726700000000001</v>
      </c>
      <c r="DW128">
        <v>61.173000000000002</v>
      </c>
      <c r="DX128">
        <v>36.939100000000003</v>
      </c>
      <c r="DY128">
        <v>1</v>
      </c>
      <c r="DZ128">
        <v>-9.7461900000000004E-2</v>
      </c>
      <c r="EA128">
        <v>0.75685199999999997</v>
      </c>
      <c r="EB128">
        <v>20.1858</v>
      </c>
      <c r="EC128">
        <v>5.2404999999999999</v>
      </c>
      <c r="ED128">
        <v>12.039899999999999</v>
      </c>
      <c r="EE128">
        <v>5.0167999999999999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</v>
      </c>
      <c r="EL128">
        <v>1.8646199999999999</v>
      </c>
      <c r="EM128">
        <v>1.8692</v>
      </c>
      <c r="EN128">
        <v>1.8672299999999999</v>
      </c>
      <c r="EO128">
        <v>1.8633999999999999</v>
      </c>
      <c r="EP128">
        <v>1.8644700000000001</v>
      </c>
      <c r="EQ128">
        <v>1.87019</v>
      </c>
      <c r="ER128">
        <v>1.86941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-4.2000000000000003E-2</v>
      </c>
      <c r="FG128">
        <v>0.17530000000000001</v>
      </c>
      <c r="FH128">
        <v>0.28746640474027818</v>
      </c>
      <c r="FI128">
        <v>-6.1462078757559423E-4</v>
      </c>
      <c r="FJ128">
        <v>-1.8861989874597051E-7</v>
      </c>
      <c r="FK128">
        <v>1.1980462299894961E-10</v>
      </c>
      <c r="FL128">
        <v>0.17524818673008091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27.9</v>
      </c>
      <c r="FU128">
        <v>28</v>
      </c>
      <c r="FV128">
        <v>1.7712399999999999</v>
      </c>
      <c r="FW128">
        <v>2.5756800000000002</v>
      </c>
      <c r="FX128">
        <v>1.5490699999999999</v>
      </c>
      <c r="FY128">
        <v>2.3303199999999999</v>
      </c>
      <c r="FZ128">
        <v>1.50146</v>
      </c>
      <c r="GA128">
        <v>2.3132299999999999</v>
      </c>
      <c r="GB128">
        <v>33.580399999999997</v>
      </c>
      <c r="GC128">
        <v>23.973700000000001</v>
      </c>
      <c r="GD128">
        <v>19</v>
      </c>
      <c r="GE128">
        <v>281.363</v>
      </c>
      <c r="GF128">
        <v>581.51499999999999</v>
      </c>
      <c r="GG128">
        <v>23.284400000000002</v>
      </c>
      <c r="GH128">
        <v>26.142700000000001</v>
      </c>
      <c r="GI128">
        <v>30</v>
      </c>
      <c r="GJ128">
        <v>26.313500000000001</v>
      </c>
      <c r="GK128">
        <v>26.305800000000001</v>
      </c>
      <c r="GL128">
        <v>35.422800000000002</v>
      </c>
      <c r="GM128">
        <v>74.844499999999996</v>
      </c>
      <c r="GN128">
        <v>51.946300000000001</v>
      </c>
      <c r="GO128">
        <v>22.963100000000001</v>
      </c>
      <c r="GP128">
        <v>800</v>
      </c>
      <c r="GQ128">
        <v>3.5357400000000001</v>
      </c>
      <c r="GR128">
        <v>99.753399999999999</v>
      </c>
      <c r="GS128">
        <v>99.586200000000005</v>
      </c>
    </row>
    <row r="129" spans="1:201" x14ac:dyDescent="0.25">
      <c r="A129">
        <v>113</v>
      </c>
      <c r="B129">
        <v>1690383646</v>
      </c>
      <c r="C129">
        <v>1170.900000095367</v>
      </c>
      <c r="D129" t="s">
        <v>557</v>
      </c>
      <c r="E129" t="s">
        <v>558</v>
      </c>
      <c r="F129" t="s">
        <v>330</v>
      </c>
      <c r="H129">
        <v>1690383646</v>
      </c>
      <c r="I129">
        <f t="shared" si="30"/>
        <v>1.7755992212081413E-3</v>
      </c>
      <c r="J129">
        <f t="shared" si="31"/>
        <v>1.7755992212081413</v>
      </c>
      <c r="K129">
        <f t="shared" si="32"/>
        <v>28.190218312704033</v>
      </c>
      <c r="L129">
        <f t="shared" si="33"/>
        <v>483.62299999999999</v>
      </c>
      <c r="M129">
        <f t="shared" si="34"/>
        <v>130.66466501326843</v>
      </c>
      <c r="N129">
        <f t="shared" si="35"/>
        <v>12.907264490544147</v>
      </c>
      <c r="O129">
        <f t="shared" si="36"/>
        <v>47.773053059727808</v>
      </c>
      <c r="P129">
        <f t="shared" si="37"/>
        <v>0.1341964013120425</v>
      </c>
      <c r="Q129">
        <f t="shared" si="38"/>
        <v>2.1083320542183257</v>
      </c>
      <c r="R129">
        <f t="shared" si="39"/>
        <v>0.12962528116330047</v>
      </c>
      <c r="S129">
        <f t="shared" si="40"/>
        <v>8.141352622706001E-2</v>
      </c>
      <c r="T129">
        <f t="shared" si="41"/>
        <v>276.11448049800009</v>
      </c>
      <c r="U129">
        <f t="shared" si="42"/>
        <v>26.745684286340627</v>
      </c>
      <c r="V129">
        <f t="shared" si="43"/>
        <v>26.745684286340627</v>
      </c>
      <c r="W129">
        <f t="shared" si="44"/>
        <v>3.5260464936423377</v>
      </c>
      <c r="X129">
        <f t="shared" si="45"/>
        <v>68.896693470669646</v>
      </c>
      <c r="Y129">
        <f t="shared" si="46"/>
        <v>2.2122435351265799</v>
      </c>
      <c r="Z129">
        <f t="shared" si="47"/>
        <v>3.2109574838571389</v>
      </c>
      <c r="AA129">
        <f t="shared" si="48"/>
        <v>1.3138029585157578</v>
      </c>
      <c r="AB129">
        <f t="shared" si="49"/>
        <v>-78.303925655279031</v>
      </c>
      <c r="AC129">
        <f t="shared" si="50"/>
        <v>-179.74709245025034</v>
      </c>
      <c r="AD129">
        <f t="shared" si="51"/>
        <v>-18.207676897348364</v>
      </c>
      <c r="AE129">
        <f t="shared" si="52"/>
        <v>-0.14421450487762399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52432.041592286594</v>
      </c>
      <c r="AK129">
        <f t="shared" si="56"/>
        <v>1800</v>
      </c>
      <c r="AL129">
        <f t="shared" si="57"/>
        <v>1499.1135948000001</v>
      </c>
      <c r="AM129">
        <f t="shared" si="58"/>
        <v>0.83284088600000006</v>
      </c>
      <c r="AN129">
        <f t="shared" si="59"/>
        <v>0.15339693361000004</v>
      </c>
      <c r="AO129">
        <v>32.700000000000003</v>
      </c>
      <c r="AP129">
        <v>0.5</v>
      </c>
      <c r="AQ129" t="s">
        <v>331</v>
      </c>
      <c r="AR129">
        <v>2</v>
      </c>
      <c r="AS129">
        <v>1690383646</v>
      </c>
      <c r="AT129">
        <v>483.62299999999999</v>
      </c>
      <c r="AU129">
        <v>800.03599999999994</v>
      </c>
      <c r="AV129">
        <v>22.395299999999999</v>
      </c>
      <c r="AW129">
        <v>3.4878800000000001</v>
      </c>
      <c r="AX129">
        <v>483.66300000000001</v>
      </c>
      <c r="AY129">
        <v>22.22</v>
      </c>
      <c r="AZ129">
        <v>300.209</v>
      </c>
      <c r="BA129">
        <v>98.681600000000003</v>
      </c>
      <c r="BB129">
        <v>9.9998600000000007E-2</v>
      </c>
      <c r="BC129">
        <v>25.164300000000001</v>
      </c>
      <c r="BD129">
        <v>26.933</v>
      </c>
      <c r="BE129">
        <v>26.662500000000001</v>
      </c>
      <c r="BF129">
        <v>0</v>
      </c>
      <c r="BG129">
        <v>0</v>
      </c>
      <c r="BH129">
        <v>9986.25</v>
      </c>
      <c r="BI129">
        <v>1053.5999999999999</v>
      </c>
      <c r="BJ129">
        <v>2.2987099999999998</v>
      </c>
      <c r="BK129">
        <v>-316.41300000000001</v>
      </c>
      <c r="BL129">
        <v>494.702</v>
      </c>
      <c r="BM129">
        <v>802.83600000000001</v>
      </c>
      <c r="BN129">
        <v>18.907399999999999</v>
      </c>
      <c r="BO129">
        <v>800.03599999999994</v>
      </c>
      <c r="BP129">
        <v>3.4878800000000001</v>
      </c>
      <c r="BQ129">
        <v>2.21</v>
      </c>
      <c r="BR129">
        <v>0.34419</v>
      </c>
      <c r="BS129">
        <v>19.035</v>
      </c>
      <c r="BT129">
        <v>-7.70655</v>
      </c>
      <c r="BU129">
        <v>1800</v>
      </c>
      <c r="BV129">
        <v>0.91001600000000005</v>
      </c>
      <c r="BW129">
        <v>3.3996800000000001E-2</v>
      </c>
      <c r="BX129">
        <v>2.1995299999999999E-2</v>
      </c>
      <c r="BY129">
        <v>3.39917E-2</v>
      </c>
      <c r="BZ129">
        <v>26</v>
      </c>
      <c r="CA129">
        <v>33528.400000000001</v>
      </c>
      <c r="CB129">
        <v>1690381960.0999999</v>
      </c>
      <c r="CC129" t="s">
        <v>332</v>
      </c>
      <c r="CD129">
        <v>1690381960.0999999</v>
      </c>
      <c r="CE129">
        <v>1690381958.0999999</v>
      </c>
      <c r="CF129">
        <v>4</v>
      </c>
      <c r="CG129">
        <v>9.9000000000000005E-2</v>
      </c>
      <c r="CH129">
        <v>1.2E-2</v>
      </c>
      <c r="CI129">
        <v>-0.26300000000000001</v>
      </c>
      <c r="CJ129">
        <v>0.127</v>
      </c>
      <c r="CK129">
        <v>798</v>
      </c>
      <c r="CL129">
        <v>18</v>
      </c>
      <c r="CM129">
        <v>0.02</v>
      </c>
      <c r="CN129">
        <v>0.12</v>
      </c>
      <c r="CO129">
        <v>-313.15977500000002</v>
      </c>
      <c r="CP129">
        <v>-17.619973733583091</v>
      </c>
      <c r="CQ129">
        <v>1.6957070278721511</v>
      </c>
      <c r="CR129">
        <v>-1</v>
      </c>
      <c r="CS129">
        <v>18.653902500000001</v>
      </c>
      <c r="CT129">
        <v>1.5022097560975349</v>
      </c>
      <c r="CU129">
        <v>0.14468513311239009</v>
      </c>
      <c r="CV129">
        <v>-1</v>
      </c>
      <c r="CW129">
        <v>0</v>
      </c>
      <c r="CX129">
        <v>0</v>
      </c>
      <c r="CY129" t="s">
        <v>333</v>
      </c>
      <c r="CZ129">
        <v>2.3647499999999999</v>
      </c>
      <c r="DA129">
        <v>2.7137799999999999</v>
      </c>
      <c r="DB129">
        <v>0.102757</v>
      </c>
      <c r="DC129">
        <v>0.145483</v>
      </c>
      <c r="DD129">
        <v>0.10807799999999999</v>
      </c>
      <c r="DE129">
        <v>2.4902500000000001E-2</v>
      </c>
      <c r="DF129">
        <v>32766.7</v>
      </c>
      <c r="DG129">
        <v>27544.2</v>
      </c>
      <c r="DH129">
        <v>31176.3</v>
      </c>
      <c r="DI129">
        <v>28087.200000000001</v>
      </c>
      <c r="DJ129">
        <v>37750.800000000003</v>
      </c>
      <c r="DK129">
        <v>38949.5</v>
      </c>
      <c r="DL129">
        <v>44368.3</v>
      </c>
      <c r="DM129">
        <v>42570.5</v>
      </c>
      <c r="DN129">
        <v>1.4727300000000001</v>
      </c>
      <c r="DO129">
        <v>2.0345</v>
      </c>
      <c r="DP129">
        <v>0.170816</v>
      </c>
      <c r="DQ129">
        <v>0.15639500000000001</v>
      </c>
      <c r="DR129">
        <v>24.1328</v>
      </c>
      <c r="DS129">
        <v>24.097999999999999</v>
      </c>
      <c r="DT129">
        <v>43.5</v>
      </c>
      <c r="DU129">
        <v>28.8</v>
      </c>
      <c r="DV129">
        <v>17.526199999999999</v>
      </c>
      <c r="DW129">
        <v>60.982999999999997</v>
      </c>
      <c r="DX129">
        <v>36.718800000000002</v>
      </c>
      <c r="DY129">
        <v>1</v>
      </c>
      <c r="DZ129">
        <v>-9.7007099999999999E-2</v>
      </c>
      <c r="EA129">
        <v>0.65713500000000002</v>
      </c>
      <c r="EB129">
        <v>20.1873</v>
      </c>
      <c r="EC129">
        <v>5.24125</v>
      </c>
      <c r="ED129">
        <v>12.039899999999999</v>
      </c>
      <c r="EE129">
        <v>5.0171000000000001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</v>
      </c>
      <c r="EL129">
        <v>1.8646199999999999</v>
      </c>
      <c r="EM129">
        <v>1.8692</v>
      </c>
      <c r="EN129">
        <v>1.8672299999999999</v>
      </c>
      <c r="EO129">
        <v>1.8633900000000001</v>
      </c>
      <c r="EP129">
        <v>1.86446</v>
      </c>
      <c r="EQ129">
        <v>1.87015</v>
      </c>
      <c r="ER129">
        <v>1.8694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-0.04</v>
      </c>
      <c r="FG129">
        <v>0.17530000000000001</v>
      </c>
      <c r="FH129">
        <v>0.28746640474027818</v>
      </c>
      <c r="FI129">
        <v>-6.1462078757559423E-4</v>
      </c>
      <c r="FJ129">
        <v>-1.8861989874597051E-7</v>
      </c>
      <c r="FK129">
        <v>1.1980462299894961E-10</v>
      </c>
      <c r="FL129">
        <v>0.17524818673008091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28.1</v>
      </c>
      <c r="FU129">
        <v>28.1</v>
      </c>
      <c r="FV129">
        <v>1.7712399999999999</v>
      </c>
      <c r="FW129">
        <v>2.5817899999999998</v>
      </c>
      <c r="FX129">
        <v>1.5490699999999999</v>
      </c>
      <c r="FY129">
        <v>2.3315399999999999</v>
      </c>
      <c r="FZ129">
        <v>1.50146</v>
      </c>
      <c r="GA129">
        <v>2.32178</v>
      </c>
      <c r="GB129">
        <v>33.580399999999997</v>
      </c>
      <c r="GC129">
        <v>23.973700000000001</v>
      </c>
      <c r="GD129">
        <v>19</v>
      </c>
      <c r="GE129">
        <v>281.221</v>
      </c>
      <c r="GF129">
        <v>581.20100000000002</v>
      </c>
      <c r="GG129">
        <v>22.982099999999999</v>
      </c>
      <c r="GH129">
        <v>26.139500000000002</v>
      </c>
      <c r="GI129">
        <v>29.9999</v>
      </c>
      <c r="GJ129">
        <v>26.310300000000002</v>
      </c>
      <c r="GK129">
        <v>26.301600000000001</v>
      </c>
      <c r="GL129">
        <v>35.4223</v>
      </c>
      <c r="GM129">
        <v>76.054000000000002</v>
      </c>
      <c r="GN129">
        <v>51.146099999999997</v>
      </c>
      <c r="GO129">
        <v>23.0748</v>
      </c>
      <c r="GP129">
        <v>800</v>
      </c>
      <c r="GQ129">
        <v>3.3191899999999999</v>
      </c>
      <c r="GR129">
        <v>99.752799999999993</v>
      </c>
      <c r="GS129">
        <v>99.587199999999996</v>
      </c>
    </row>
    <row r="130" spans="1:201" x14ac:dyDescent="0.25">
      <c r="A130">
        <v>114</v>
      </c>
      <c r="B130">
        <v>1690383656</v>
      </c>
      <c r="C130">
        <v>1180.900000095367</v>
      </c>
      <c r="D130" t="s">
        <v>559</v>
      </c>
      <c r="E130" t="s">
        <v>560</v>
      </c>
      <c r="F130" t="s">
        <v>330</v>
      </c>
      <c r="H130">
        <v>1690383656</v>
      </c>
      <c r="I130">
        <f t="shared" si="30"/>
        <v>1.7968495777992385E-3</v>
      </c>
      <c r="J130">
        <f t="shared" si="31"/>
        <v>1.7968495777992384</v>
      </c>
      <c r="K130">
        <f t="shared" si="32"/>
        <v>28.455019801235469</v>
      </c>
      <c r="L130">
        <f t="shared" si="33"/>
        <v>480.77300000000002</v>
      </c>
      <c r="M130">
        <f t="shared" si="34"/>
        <v>129.66287780465353</v>
      </c>
      <c r="N130">
        <f t="shared" si="35"/>
        <v>12.808462903578794</v>
      </c>
      <c r="O130">
        <f t="shared" si="36"/>
        <v>47.492105989037995</v>
      </c>
      <c r="P130">
        <f t="shared" si="37"/>
        <v>0.13622280548730079</v>
      </c>
      <c r="Q130">
        <f t="shared" si="38"/>
        <v>2.1071214149818562</v>
      </c>
      <c r="R130">
        <f t="shared" si="39"/>
        <v>0.13151259402540599</v>
      </c>
      <c r="S130">
        <f t="shared" si="40"/>
        <v>8.2604996815649395E-2</v>
      </c>
      <c r="T130">
        <f t="shared" si="41"/>
        <v>276.11282862931893</v>
      </c>
      <c r="U130">
        <f t="shared" si="42"/>
        <v>26.732310514180515</v>
      </c>
      <c r="V130">
        <f t="shared" si="43"/>
        <v>26.732310514180515</v>
      </c>
      <c r="W130">
        <f t="shared" si="44"/>
        <v>3.5232725617629921</v>
      </c>
      <c r="X130">
        <f t="shared" si="45"/>
        <v>68.941340348967501</v>
      </c>
      <c r="Y130">
        <f t="shared" si="46"/>
        <v>2.2127941240836</v>
      </c>
      <c r="Z130">
        <f t="shared" si="47"/>
        <v>3.2096766800338834</v>
      </c>
      <c r="AA130">
        <f t="shared" si="48"/>
        <v>1.3104784376793921</v>
      </c>
      <c r="AB130">
        <f t="shared" si="49"/>
        <v>-79.241066380946421</v>
      </c>
      <c r="AC130">
        <f t="shared" si="50"/>
        <v>-178.8857439789295</v>
      </c>
      <c r="AD130">
        <f t="shared" si="51"/>
        <v>-18.129009565000093</v>
      </c>
      <c r="AE130">
        <f t="shared" si="52"/>
        <v>-0.14299129555709555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52380.244863044303</v>
      </c>
      <c r="AK130">
        <f t="shared" si="56"/>
        <v>1799.99</v>
      </c>
      <c r="AL130">
        <f t="shared" si="57"/>
        <v>1499.1054193902901</v>
      </c>
      <c r="AM130">
        <f t="shared" si="58"/>
        <v>0.83284097099999999</v>
      </c>
      <c r="AN130">
        <f t="shared" si="59"/>
        <v>0.15339686811000003</v>
      </c>
      <c r="AO130">
        <v>32.700000000000003</v>
      </c>
      <c r="AP130">
        <v>0.5</v>
      </c>
      <c r="AQ130" t="s">
        <v>331</v>
      </c>
      <c r="AR130">
        <v>2</v>
      </c>
      <c r="AS130">
        <v>1690383656</v>
      </c>
      <c r="AT130">
        <v>480.77300000000002</v>
      </c>
      <c r="AU130">
        <v>800.13499999999999</v>
      </c>
      <c r="AV130">
        <v>22.400600000000001</v>
      </c>
      <c r="AW130">
        <v>3.2664900000000001</v>
      </c>
      <c r="AX130">
        <v>480.81099999999998</v>
      </c>
      <c r="AY130">
        <v>22.2254</v>
      </c>
      <c r="AZ130">
        <v>300.20100000000002</v>
      </c>
      <c r="BA130">
        <v>98.682699999999997</v>
      </c>
      <c r="BB130">
        <v>0.100106</v>
      </c>
      <c r="BC130">
        <v>25.157599999999999</v>
      </c>
      <c r="BD130">
        <v>26.953900000000001</v>
      </c>
      <c r="BE130">
        <v>26.658100000000001</v>
      </c>
      <c r="BF130">
        <v>0</v>
      </c>
      <c r="BG130">
        <v>0</v>
      </c>
      <c r="BH130">
        <v>9975.6200000000008</v>
      </c>
      <c r="BI130">
        <v>1053.79</v>
      </c>
      <c r="BJ130">
        <v>2.2987099999999998</v>
      </c>
      <c r="BK130">
        <v>-319.36200000000002</v>
      </c>
      <c r="BL130">
        <v>491.78899999999999</v>
      </c>
      <c r="BM130">
        <v>802.75699999999995</v>
      </c>
      <c r="BN130">
        <v>19.1341</v>
      </c>
      <c r="BO130">
        <v>800.13499999999999</v>
      </c>
      <c r="BP130">
        <v>3.2664900000000001</v>
      </c>
      <c r="BQ130">
        <v>2.21055</v>
      </c>
      <c r="BR130">
        <v>0.32234600000000002</v>
      </c>
      <c r="BS130">
        <v>19.039000000000001</v>
      </c>
      <c r="BT130">
        <v>-8.5494400000000006</v>
      </c>
      <c r="BU130">
        <v>1799.99</v>
      </c>
      <c r="BV130">
        <v>0.91001799999999999</v>
      </c>
      <c r="BW130">
        <v>3.3995999999999998E-2</v>
      </c>
      <c r="BX130">
        <v>2.1994799999999998E-2</v>
      </c>
      <c r="BY130">
        <v>3.3990899999999998E-2</v>
      </c>
      <c r="BZ130">
        <v>26</v>
      </c>
      <c r="CA130">
        <v>33528.400000000001</v>
      </c>
      <c r="CB130">
        <v>1690381960.0999999</v>
      </c>
      <c r="CC130" t="s">
        <v>332</v>
      </c>
      <c r="CD130">
        <v>1690381960.0999999</v>
      </c>
      <c r="CE130">
        <v>1690381958.0999999</v>
      </c>
      <c r="CF130">
        <v>4</v>
      </c>
      <c r="CG130">
        <v>9.9000000000000005E-2</v>
      </c>
      <c r="CH130">
        <v>1.2E-2</v>
      </c>
      <c r="CI130">
        <v>-0.26300000000000001</v>
      </c>
      <c r="CJ130">
        <v>0.127</v>
      </c>
      <c r="CK130">
        <v>798</v>
      </c>
      <c r="CL130">
        <v>18</v>
      </c>
      <c r="CM130">
        <v>0.02</v>
      </c>
      <c r="CN130">
        <v>0.12</v>
      </c>
      <c r="CO130">
        <v>-316.12656097560978</v>
      </c>
      <c r="CP130">
        <v>-17.192425087107971</v>
      </c>
      <c r="CQ130">
        <v>1.696047371185829</v>
      </c>
      <c r="CR130">
        <v>-1</v>
      </c>
      <c r="CS130">
        <v>18.888890243902441</v>
      </c>
      <c r="CT130">
        <v>1.262027874564511</v>
      </c>
      <c r="CU130">
        <v>0.12463664810624531</v>
      </c>
      <c r="CV130">
        <v>-1</v>
      </c>
      <c r="CW130">
        <v>0</v>
      </c>
      <c r="CX130">
        <v>0</v>
      </c>
      <c r="CY130" t="s">
        <v>333</v>
      </c>
      <c r="CZ130">
        <v>2.3647200000000002</v>
      </c>
      <c r="DA130">
        <v>2.7138800000000001</v>
      </c>
      <c r="DB130">
        <v>0.102312</v>
      </c>
      <c r="DC130">
        <v>0.14549400000000001</v>
      </c>
      <c r="DD130">
        <v>0.108098</v>
      </c>
      <c r="DE130">
        <v>2.3525500000000001E-2</v>
      </c>
      <c r="DF130">
        <v>32783.699999999997</v>
      </c>
      <c r="DG130">
        <v>27544.799999999999</v>
      </c>
      <c r="DH130">
        <v>31177.1</v>
      </c>
      <c r="DI130">
        <v>28088.2</v>
      </c>
      <c r="DJ130">
        <v>37750.800000000003</v>
      </c>
      <c r="DK130">
        <v>39005.800000000003</v>
      </c>
      <c r="DL130">
        <v>44369.3</v>
      </c>
      <c r="DM130">
        <v>42571.7</v>
      </c>
      <c r="DN130">
        <v>1.4733799999999999</v>
      </c>
      <c r="DO130">
        <v>2.0339299999999998</v>
      </c>
      <c r="DP130">
        <v>0.17169100000000001</v>
      </c>
      <c r="DQ130">
        <v>0.15570600000000001</v>
      </c>
      <c r="DR130">
        <v>24.139399999999998</v>
      </c>
      <c r="DS130">
        <v>24.104900000000001</v>
      </c>
      <c r="DT130">
        <v>43.1</v>
      </c>
      <c r="DU130">
        <v>28.8</v>
      </c>
      <c r="DV130">
        <v>17.363600000000002</v>
      </c>
      <c r="DW130">
        <v>61.243000000000002</v>
      </c>
      <c r="DX130">
        <v>36.598599999999998</v>
      </c>
      <c r="DY130">
        <v>1</v>
      </c>
      <c r="DZ130">
        <v>-9.8305400000000001E-2</v>
      </c>
      <c r="EA130">
        <v>0.27004600000000001</v>
      </c>
      <c r="EB130">
        <v>20.189399999999999</v>
      </c>
      <c r="EC130">
        <v>5.2411000000000003</v>
      </c>
      <c r="ED130">
        <v>12.039899999999999</v>
      </c>
      <c r="EE130">
        <v>5.0168499999999998</v>
      </c>
      <c r="EF130">
        <v>3.2879700000000001</v>
      </c>
      <c r="EG130">
        <v>9999</v>
      </c>
      <c r="EH130">
        <v>9999</v>
      </c>
      <c r="EI130">
        <v>9999</v>
      </c>
      <c r="EJ130">
        <v>999.9</v>
      </c>
      <c r="EK130">
        <v>1.8689100000000001</v>
      </c>
      <c r="EL130">
        <v>1.86463</v>
      </c>
      <c r="EM130">
        <v>1.8692</v>
      </c>
      <c r="EN130">
        <v>1.86724</v>
      </c>
      <c r="EO130">
        <v>1.8633999999999999</v>
      </c>
      <c r="EP130">
        <v>1.86446</v>
      </c>
      <c r="EQ130">
        <v>1.8701700000000001</v>
      </c>
      <c r="ER130">
        <v>1.86941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-3.7999999999999999E-2</v>
      </c>
      <c r="FG130">
        <v>0.17519999999999999</v>
      </c>
      <c r="FH130">
        <v>0.28746640474027818</v>
      </c>
      <c r="FI130">
        <v>-6.1462078757559423E-4</v>
      </c>
      <c r="FJ130">
        <v>-1.8861989874597051E-7</v>
      </c>
      <c r="FK130">
        <v>1.1980462299894961E-10</v>
      </c>
      <c r="FL130">
        <v>0.17524818673008091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28.3</v>
      </c>
      <c r="FU130">
        <v>28.3</v>
      </c>
      <c r="FV130">
        <v>1.7712399999999999</v>
      </c>
      <c r="FW130">
        <v>2.5817899999999998</v>
      </c>
      <c r="FX130">
        <v>1.5490699999999999</v>
      </c>
      <c r="FY130">
        <v>2.3303199999999999</v>
      </c>
      <c r="FZ130">
        <v>1.50146</v>
      </c>
      <c r="GA130">
        <v>2.33643</v>
      </c>
      <c r="GB130">
        <v>33.580399999999997</v>
      </c>
      <c r="GC130">
        <v>23.982399999999998</v>
      </c>
      <c r="GD130">
        <v>19</v>
      </c>
      <c r="GE130">
        <v>281.47899999999998</v>
      </c>
      <c r="GF130">
        <v>580.68799999999999</v>
      </c>
      <c r="GG130">
        <v>23.092199999999998</v>
      </c>
      <c r="GH130">
        <v>26.135999999999999</v>
      </c>
      <c r="GI130">
        <v>29.999700000000001</v>
      </c>
      <c r="GJ130">
        <v>26.3062</v>
      </c>
      <c r="GK130">
        <v>26.298100000000002</v>
      </c>
      <c r="GL130">
        <v>35.412599999999998</v>
      </c>
      <c r="GM130">
        <v>77.194000000000003</v>
      </c>
      <c r="GN130">
        <v>50.341900000000003</v>
      </c>
      <c r="GO130">
        <v>23.154299999999999</v>
      </c>
      <c r="GP130">
        <v>800</v>
      </c>
      <c r="GQ130">
        <v>3.0784799999999999</v>
      </c>
      <c r="GR130">
        <v>99.755200000000002</v>
      </c>
      <c r="GS130">
        <v>99.590400000000002</v>
      </c>
    </row>
    <row r="131" spans="1:201" x14ac:dyDescent="0.25">
      <c r="A131">
        <v>115</v>
      </c>
      <c r="B131">
        <v>1690383666</v>
      </c>
      <c r="C131">
        <v>1190.900000095367</v>
      </c>
      <c r="D131" t="s">
        <v>561</v>
      </c>
      <c r="E131" t="s">
        <v>562</v>
      </c>
      <c r="F131" t="s">
        <v>330</v>
      </c>
      <c r="H131">
        <v>1690383666</v>
      </c>
      <c r="I131">
        <f t="shared" si="30"/>
        <v>1.8226446825608329E-3</v>
      </c>
      <c r="J131">
        <f t="shared" si="31"/>
        <v>1.8226446825608329</v>
      </c>
      <c r="K131">
        <f t="shared" si="32"/>
        <v>28.68791703818594</v>
      </c>
      <c r="L131">
        <f t="shared" si="33"/>
        <v>478.07499999999999</v>
      </c>
      <c r="M131">
        <f t="shared" si="34"/>
        <v>129.98501184982874</v>
      </c>
      <c r="N131">
        <f t="shared" si="35"/>
        <v>12.840386714649679</v>
      </c>
      <c r="O131">
        <f t="shared" si="36"/>
        <v>47.225966988394994</v>
      </c>
      <c r="P131">
        <f t="shared" si="37"/>
        <v>0.13860018861704082</v>
      </c>
      <c r="Q131">
        <f t="shared" si="38"/>
        <v>2.1105104174821854</v>
      </c>
      <c r="R131">
        <f t="shared" si="39"/>
        <v>0.13373482892311256</v>
      </c>
      <c r="S131">
        <f t="shared" si="40"/>
        <v>8.4007172591268151E-2</v>
      </c>
      <c r="T131">
        <f t="shared" si="41"/>
        <v>276.114418812</v>
      </c>
      <c r="U131">
        <f t="shared" si="42"/>
        <v>26.733721181766963</v>
      </c>
      <c r="V131">
        <f t="shared" si="43"/>
        <v>26.733721181766963</v>
      </c>
      <c r="W131">
        <f t="shared" si="44"/>
        <v>3.5235650666226217</v>
      </c>
      <c r="X131">
        <f t="shared" si="45"/>
        <v>69.000383941977589</v>
      </c>
      <c r="Y131">
        <f t="shared" si="46"/>
        <v>2.2163778769618196</v>
      </c>
      <c r="Z131">
        <f t="shared" si="47"/>
        <v>3.2121239772021726</v>
      </c>
      <c r="AA131">
        <f t="shared" si="48"/>
        <v>1.3071871896608021</v>
      </c>
      <c r="AB131">
        <f t="shared" si="49"/>
        <v>-80.378630500932729</v>
      </c>
      <c r="AC131">
        <f t="shared" si="50"/>
        <v>-177.87755686312661</v>
      </c>
      <c r="AD131">
        <f t="shared" si="51"/>
        <v>-17.999170304579383</v>
      </c>
      <c r="AE131">
        <f t="shared" si="52"/>
        <v>-0.1409388566387122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52526.460023524785</v>
      </c>
      <c r="AK131">
        <f t="shared" si="56"/>
        <v>1800</v>
      </c>
      <c r="AL131">
        <f t="shared" si="57"/>
        <v>1499.1149951999998</v>
      </c>
      <c r="AM131">
        <f t="shared" si="58"/>
        <v>0.83284166399999993</v>
      </c>
      <c r="AN131">
        <f t="shared" si="59"/>
        <v>0.15339689934</v>
      </c>
      <c r="AO131">
        <v>32.700000000000003</v>
      </c>
      <c r="AP131">
        <v>0.5</v>
      </c>
      <c r="AQ131" t="s">
        <v>331</v>
      </c>
      <c r="AR131">
        <v>2</v>
      </c>
      <c r="AS131">
        <v>1690383666</v>
      </c>
      <c r="AT131">
        <v>478.07499999999999</v>
      </c>
      <c r="AU131">
        <v>800.07899999999995</v>
      </c>
      <c r="AV131">
        <v>22.436699999999998</v>
      </c>
      <c r="AW131">
        <v>3.0272000000000001</v>
      </c>
      <c r="AX131">
        <v>478.11099999999999</v>
      </c>
      <c r="AY131">
        <v>22.261500000000002</v>
      </c>
      <c r="AZ131">
        <v>300.17899999999997</v>
      </c>
      <c r="BA131">
        <v>98.683599999999998</v>
      </c>
      <c r="BB131">
        <v>9.9994600000000003E-2</v>
      </c>
      <c r="BC131">
        <v>25.170400000000001</v>
      </c>
      <c r="BD131">
        <v>26.985600000000002</v>
      </c>
      <c r="BE131">
        <v>26.6541</v>
      </c>
      <c r="BF131">
        <v>0</v>
      </c>
      <c r="BG131">
        <v>0</v>
      </c>
      <c r="BH131">
        <v>10005</v>
      </c>
      <c r="BI131">
        <v>1053.98</v>
      </c>
      <c r="BJ131">
        <v>2.3547799999999999</v>
      </c>
      <c r="BK131">
        <v>-322.00400000000002</v>
      </c>
      <c r="BL131">
        <v>489.04700000000003</v>
      </c>
      <c r="BM131">
        <v>802.50800000000004</v>
      </c>
      <c r="BN131">
        <v>19.409500000000001</v>
      </c>
      <c r="BO131">
        <v>800.07899999999995</v>
      </c>
      <c r="BP131">
        <v>3.0272000000000001</v>
      </c>
      <c r="BQ131">
        <v>2.21414</v>
      </c>
      <c r="BR131">
        <v>0.29873499999999997</v>
      </c>
      <c r="BS131">
        <v>19.065000000000001</v>
      </c>
      <c r="BT131">
        <v>-9.5196699999999996</v>
      </c>
      <c r="BU131">
        <v>1800</v>
      </c>
      <c r="BV131">
        <v>0.91002099999999997</v>
      </c>
      <c r="BW131">
        <v>3.39951E-2</v>
      </c>
      <c r="BX131">
        <v>2.1994199999999998E-2</v>
      </c>
      <c r="BY131">
        <v>3.3989999999999999E-2</v>
      </c>
      <c r="BZ131">
        <v>26</v>
      </c>
      <c r="CA131">
        <v>33528.5</v>
      </c>
      <c r="CB131">
        <v>1690381960.0999999</v>
      </c>
      <c r="CC131" t="s">
        <v>332</v>
      </c>
      <c r="CD131">
        <v>1690381960.0999999</v>
      </c>
      <c r="CE131">
        <v>1690381958.0999999</v>
      </c>
      <c r="CF131">
        <v>4</v>
      </c>
      <c r="CG131">
        <v>9.9000000000000005E-2</v>
      </c>
      <c r="CH131">
        <v>1.2E-2</v>
      </c>
      <c r="CI131">
        <v>-0.26300000000000001</v>
      </c>
      <c r="CJ131">
        <v>0.127</v>
      </c>
      <c r="CK131">
        <v>798</v>
      </c>
      <c r="CL131">
        <v>18</v>
      </c>
      <c r="CM131">
        <v>0.02</v>
      </c>
      <c r="CN131">
        <v>0.12</v>
      </c>
      <c r="CO131">
        <v>-318.99114634146338</v>
      </c>
      <c r="CP131">
        <v>-17.077254355401411</v>
      </c>
      <c r="CQ131">
        <v>1.6844027900333109</v>
      </c>
      <c r="CR131">
        <v>-1</v>
      </c>
      <c r="CS131">
        <v>19.117934146341469</v>
      </c>
      <c r="CT131">
        <v>1.503294773519227</v>
      </c>
      <c r="CU131">
        <v>0.14851172017436651</v>
      </c>
      <c r="CV131">
        <v>-1</v>
      </c>
      <c r="CW131">
        <v>0</v>
      </c>
      <c r="CX131">
        <v>0</v>
      </c>
      <c r="CY131" t="s">
        <v>333</v>
      </c>
      <c r="CZ131">
        <v>2.3646500000000001</v>
      </c>
      <c r="DA131">
        <v>2.7137899999999999</v>
      </c>
      <c r="DB131">
        <v>0.10188999999999999</v>
      </c>
      <c r="DC131">
        <v>0.145485</v>
      </c>
      <c r="DD131">
        <v>0.108224</v>
      </c>
      <c r="DE131">
        <v>2.2013399999999999E-2</v>
      </c>
      <c r="DF131">
        <v>32799.300000000003</v>
      </c>
      <c r="DG131">
        <v>27545.599999999999</v>
      </c>
      <c r="DH131">
        <v>31177.200000000001</v>
      </c>
      <c r="DI131">
        <v>28088.7</v>
      </c>
      <c r="DJ131">
        <v>37745.9</v>
      </c>
      <c r="DK131">
        <v>39066.9</v>
      </c>
      <c r="DL131">
        <v>44370</v>
      </c>
      <c r="DM131">
        <v>42572.2</v>
      </c>
      <c r="DN131">
        <v>1.47357</v>
      </c>
      <c r="DO131">
        <v>2.03382</v>
      </c>
      <c r="DP131">
        <v>0.173286</v>
      </c>
      <c r="DQ131">
        <v>0.15509500000000001</v>
      </c>
      <c r="DR131">
        <v>24.145</v>
      </c>
      <c r="DS131">
        <v>24.111000000000001</v>
      </c>
      <c r="DT131">
        <v>42.7</v>
      </c>
      <c r="DU131">
        <v>28.8</v>
      </c>
      <c r="DV131">
        <v>17.200399999999998</v>
      </c>
      <c r="DW131">
        <v>61.023000000000003</v>
      </c>
      <c r="DX131">
        <v>36.462299999999999</v>
      </c>
      <c r="DY131">
        <v>1</v>
      </c>
      <c r="DZ131">
        <v>-9.8767800000000003E-2</v>
      </c>
      <c r="EA131">
        <v>0.30987199999999998</v>
      </c>
      <c r="EB131">
        <v>20.189399999999999</v>
      </c>
      <c r="EC131">
        <v>5.24125</v>
      </c>
      <c r="ED131">
        <v>12.039899999999999</v>
      </c>
      <c r="EE131">
        <v>5.0168499999999998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1.8689100000000001</v>
      </c>
      <c r="EL131">
        <v>1.8646199999999999</v>
      </c>
      <c r="EM131">
        <v>1.8692</v>
      </c>
      <c r="EN131">
        <v>1.8672299999999999</v>
      </c>
      <c r="EO131">
        <v>1.8633900000000001</v>
      </c>
      <c r="EP131">
        <v>1.8644700000000001</v>
      </c>
      <c r="EQ131">
        <v>1.87015</v>
      </c>
      <c r="ER131">
        <v>1.8694200000000001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-3.5999999999999997E-2</v>
      </c>
      <c r="FG131">
        <v>0.17519999999999999</v>
      </c>
      <c r="FH131">
        <v>0.28746640474027818</v>
      </c>
      <c r="FI131">
        <v>-6.1462078757559423E-4</v>
      </c>
      <c r="FJ131">
        <v>-1.8861989874597051E-7</v>
      </c>
      <c r="FK131">
        <v>1.1980462299894961E-10</v>
      </c>
      <c r="FL131">
        <v>0.17524818673008091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28.4</v>
      </c>
      <c r="FU131">
        <v>28.5</v>
      </c>
      <c r="FV131">
        <v>1.7712399999999999</v>
      </c>
      <c r="FW131">
        <v>2.5805699999999998</v>
      </c>
      <c r="FX131">
        <v>1.5490699999999999</v>
      </c>
      <c r="FY131">
        <v>2.3303199999999999</v>
      </c>
      <c r="FZ131">
        <v>1.50146</v>
      </c>
      <c r="GA131">
        <v>2.3852500000000001</v>
      </c>
      <c r="GB131">
        <v>33.580399999999997</v>
      </c>
      <c r="GC131">
        <v>23.982399999999998</v>
      </c>
      <c r="GD131">
        <v>19</v>
      </c>
      <c r="GE131">
        <v>281.55500000000001</v>
      </c>
      <c r="GF131">
        <v>580.56899999999996</v>
      </c>
      <c r="GG131">
        <v>23.183800000000002</v>
      </c>
      <c r="GH131">
        <v>26.132899999999999</v>
      </c>
      <c r="GI131">
        <v>30</v>
      </c>
      <c r="GJ131">
        <v>26.303999999999998</v>
      </c>
      <c r="GK131">
        <v>26.294799999999999</v>
      </c>
      <c r="GL131">
        <v>35.406999999999996</v>
      </c>
      <c r="GM131">
        <v>78.432500000000005</v>
      </c>
      <c r="GN131">
        <v>49.527799999999999</v>
      </c>
      <c r="GO131">
        <v>23.192599999999999</v>
      </c>
      <c r="GP131">
        <v>800</v>
      </c>
      <c r="GQ131">
        <v>2.8201900000000002</v>
      </c>
      <c r="GR131">
        <v>99.756200000000007</v>
      </c>
      <c r="GS131">
        <v>99.591700000000003</v>
      </c>
    </row>
    <row r="132" spans="1:201" x14ac:dyDescent="0.25">
      <c r="A132">
        <v>116</v>
      </c>
      <c r="B132">
        <v>1690383676</v>
      </c>
      <c r="C132">
        <v>1200.900000095367</v>
      </c>
      <c r="D132" t="s">
        <v>563</v>
      </c>
      <c r="E132" t="s">
        <v>564</v>
      </c>
      <c r="F132" t="s">
        <v>330</v>
      </c>
      <c r="H132">
        <v>1690383676</v>
      </c>
      <c r="I132">
        <f t="shared" si="30"/>
        <v>1.8486644833558971E-3</v>
      </c>
      <c r="J132">
        <f t="shared" si="31"/>
        <v>1.8486644833558969</v>
      </c>
      <c r="K132">
        <f t="shared" si="32"/>
        <v>28.940972588812841</v>
      </c>
      <c r="L132">
        <f t="shared" si="33"/>
        <v>475.262</v>
      </c>
      <c r="M132">
        <f t="shared" si="34"/>
        <v>129.6494582395444</v>
      </c>
      <c r="N132">
        <f t="shared" si="35"/>
        <v>12.806709049121451</v>
      </c>
      <c r="O132">
        <f t="shared" si="36"/>
        <v>46.946144154786005</v>
      </c>
      <c r="P132">
        <f t="shared" si="37"/>
        <v>0.14090118732012427</v>
      </c>
      <c r="Q132">
        <f t="shared" si="38"/>
        <v>2.108019981841518</v>
      </c>
      <c r="R132">
        <f t="shared" si="39"/>
        <v>0.13587038239330526</v>
      </c>
      <c r="S132">
        <f t="shared" si="40"/>
        <v>8.535602210139305E-2</v>
      </c>
      <c r="T132">
        <f t="shared" si="41"/>
        <v>276.1125928306289</v>
      </c>
      <c r="U132">
        <f t="shared" si="42"/>
        <v>26.73489779256392</v>
      </c>
      <c r="V132">
        <f t="shared" si="43"/>
        <v>26.73489779256392</v>
      </c>
      <c r="W132">
        <f t="shared" si="44"/>
        <v>3.5238090555360961</v>
      </c>
      <c r="X132">
        <f t="shared" si="45"/>
        <v>69.042322869406817</v>
      </c>
      <c r="Y132">
        <f t="shared" si="46"/>
        <v>2.2188740979387003</v>
      </c>
      <c r="Z132">
        <f t="shared" si="47"/>
        <v>3.2137883050888782</v>
      </c>
      <c r="AA132">
        <f t="shared" si="48"/>
        <v>1.3049349575973959</v>
      </c>
      <c r="AB132">
        <f t="shared" si="49"/>
        <v>-81.526103715995063</v>
      </c>
      <c r="AC132">
        <f t="shared" si="50"/>
        <v>-176.81264360977252</v>
      </c>
      <c r="AD132">
        <f t="shared" si="51"/>
        <v>-17.913436891572307</v>
      </c>
      <c r="AE132">
        <f t="shared" si="52"/>
        <v>-0.13959138671100391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52415.729944106635</v>
      </c>
      <c r="AK132">
        <f t="shared" si="56"/>
        <v>1799.99</v>
      </c>
      <c r="AL132">
        <f t="shared" si="57"/>
        <v>1499.1057253885901</v>
      </c>
      <c r="AM132">
        <f t="shared" si="58"/>
        <v>0.83284114100000006</v>
      </c>
      <c r="AN132">
        <f t="shared" si="59"/>
        <v>0.15339673710999999</v>
      </c>
      <c r="AO132">
        <v>32.700000000000003</v>
      </c>
      <c r="AP132">
        <v>0.5</v>
      </c>
      <c r="AQ132" t="s">
        <v>331</v>
      </c>
      <c r="AR132">
        <v>2</v>
      </c>
      <c r="AS132">
        <v>1690383676</v>
      </c>
      <c r="AT132">
        <v>475.262</v>
      </c>
      <c r="AU132">
        <v>800.12099999999998</v>
      </c>
      <c r="AV132">
        <v>22.462900000000001</v>
      </c>
      <c r="AW132">
        <v>2.7756599999999998</v>
      </c>
      <c r="AX132">
        <v>475.29700000000003</v>
      </c>
      <c r="AY132">
        <v>22.287600000000001</v>
      </c>
      <c r="AZ132">
        <v>300.161</v>
      </c>
      <c r="BA132">
        <v>98.679500000000004</v>
      </c>
      <c r="BB132">
        <v>0.10000299999999999</v>
      </c>
      <c r="BC132">
        <v>25.179099999999998</v>
      </c>
      <c r="BD132">
        <v>26.951000000000001</v>
      </c>
      <c r="BE132">
        <v>26.654299999999999</v>
      </c>
      <c r="BF132">
        <v>0</v>
      </c>
      <c r="BG132">
        <v>0</v>
      </c>
      <c r="BH132">
        <v>9983.75</v>
      </c>
      <c r="BI132">
        <v>1054.18</v>
      </c>
      <c r="BJ132">
        <v>2.3547799999999999</v>
      </c>
      <c r="BK132">
        <v>-324.858</v>
      </c>
      <c r="BL132">
        <v>486.18299999999999</v>
      </c>
      <c r="BM132">
        <v>802.34799999999996</v>
      </c>
      <c r="BN132">
        <v>19.687200000000001</v>
      </c>
      <c r="BO132">
        <v>800.12099999999998</v>
      </c>
      <c r="BP132">
        <v>2.7756599999999998</v>
      </c>
      <c r="BQ132">
        <v>2.2166299999999999</v>
      </c>
      <c r="BR132">
        <v>0.27390100000000001</v>
      </c>
      <c r="BS132">
        <v>19.082999999999998</v>
      </c>
      <c r="BT132">
        <v>-10.616899999999999</v>
      </c>
      <c r="BU132">
        <v>1799.99</v>
      </c>
      <c r="BV132">
        <v>0.910022</v>
      </c>
      <c r="BW132">
        <v>3.3994400000000001E-2</v>
      </c>
      <c r="BX132">
        <v>2.1993800000000001E-2</v>
      </c>
      <c r="BY132">
        <v>3.39893E-2</v>
      </c>
      <c r="BZ132">
        <v>26</v>
      </c>
      <c r="CA132">
        <v>33528.400000000001</v>
      </c>
      <c r="CB132">
        <v>1690381960.0999999</v>
      </c>
      <c r="CC132" t="s">
        <v>332</v>
      </c>
      <c r="CD132">
        <v>1690381960.0999999</v>
      </c>
      <c r="CE132">
        <v>1690381958.0999999</v>
      </c>
      <c r="CF132">
        <v>4</v>
      </c>
      <c r="CG132">
        <v>9.9000000000000005E-2</v>
      </c>
      <c r="CH132">
        <v>1.2E-2</v>
      </c>
      <c r="CI132">
        <v>-0.26300000000000001</v>
      </c>
      <c r="CJ132">
        <v>0.127</v>
      </c>
      <c r="CK132">
        <v>798</v>
      </c>
      <c r="CL132">
        <v>18</v>
      </c>
      <c r="CM132">
        <v>0.02</v>
      </c>
      <c r="CN132">
        <v>0.12</v>
      </c>
      <c r="CO132">
        <v>-322.04077500000011</v>
      </c>
      <c r="CP132">
        <v>-16.905917448405191</v>
      </c>
      <c r="CQ132">
        <v>1.627880592787748</v>
      </c>
      <c r="CR132">
        <v>-1</v>
      </c>
      <c r="CS132">
        <v>19.40531</v>
      </c>
      <c r="CT132">
        <v>1.6994926829267809</v>
      </c>
      <c r="CU132">
        <v>0.1635342178261171</v>
      </c>
      <c r="CV132">
        <v>-1</v>
      </c>
      <c r="CW132">
        <v>0</v>
      </c>
      <c r="CX132">
        <v>0</v>
      </c>
      <c r="CY132" t="s">
        <v>333</v>
      </c>
      <c r="CZ132">
        <v>2.3646199999999999</v>
      </c>
      <c r="DA132">
        <v>2.7137799999999999</v>
      </c>
      <c r="DB132">
        <v>0.10144499999999999</v>
      </c>
      <c r="DC132">
        <v>0.14548</v>
      </c>
      <c r="DD132">
        <v>0.10831</v>
      </c>
      <c r="DE132">
        <v>2.0394700000000002E-2</v>
      </c>
      <c r="DF132">
        <v>32815.699999999997</v>
      </c>
      <c r="DG132">
        <v>27545.599999999999</v>
      </c>
      <c r="DH132">
        <v>31177.4</v>
      </c>
      <c r="DI132">
        <v>28088.5</v>
      </c>
      <c r="DJ132">
        <v>37742.199999999997</v>
      </c>
      <c r="DK132">
        <v>39131.5</v>
      </c>
      <c r="DL132">
        <v>44370</v>
      </c>
      <c r="DM132">
        <v>42571.9</v>
      </c>
      <c r="DN132">
        <v>1.4736499999999999</v>
      </c>
      <c r="DO132">
        <v>2.0333999999999999</v>
      </c>
      <c r="DP132">
        <v>0.17086399999999999</v>
      </c>
      <c r="DQ132">
        <v>0.15479699999999999</v>
      </c>
      <c r="DR132">
        <v>24.15</v>
      </c>
      <c r="DS132">
        <v>24.116099999999999</v>
      </c>
      <c r="DT132">
        <v>42.2</v>
      </c>
      <c r="DU132">
        <v>28.8</v>
      </c>
      <c r="DV132">
        <v>17.0001</v>
      </c>
      <c r="DW132">
        <v>60.652999999999999</v>
      </c>
      <c r="DX132">
        <v>36.462299999999999</v>
      </c>
      <c r="DY132">
        <v>1</v>
      </c>
      <c r="DZ132">
        <v>-9.8617899999999994E-2</v>
      </c>
      <c r="EA132">
        <v>0.33976000000000001</v>
      </c>
      <c r="EB132">
        <v>20.189399999999999</v>
      </c>
      <c r="EC132">
        <v>5.2406499999999996</v>
      </c>
      <c r="ED132">
        <v>12.039899999999999</v>
      </c>
      <c r="EE132">
        <v>5.0166500000000003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1.8689100000000001</v>
      </c>
      <c r="EL132">
        <v>1.8646199999999999</v>
      </c>
      <c r="EM132">
        <v>1.8692</v>
      </c>
      <c r="EN132">
        <v>1.8672200000000001</v>
      </c>
      <c r="EO132">
        <v>1.8633999999999999</v>
      </c>
      <c r="EP132">
        <v>1.8644700000000001</v>
      </c>
      <c r="EQ132">
        <v>1.87015</v>
      </c>
      <c r="ER132">
        <v>1.86938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-3.5000000000000003E-2</v>
      </c>
      <c r="FG132">
        <v>0.17530000000000001</v>
      </c>
      <c r="FH132">
        <v>0.28746640474027818</v>
      </c>
      <c r="FI132">
        <v>-6.1462078757559423E-4</v>
      </c>
      <c r="FJ132">
        <v>-1.8861989874597051E-7</v>
      </c>
      <c r="FK132">
        <v>1.1980462299894961E-10</v>
      </c>
      <c r="FL132">
        <v>0.17524818673008091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28.6</v>
      </c>
      <c r="FU132">
        <v>28.6</v>
      </c>
      <c r="FV132">
        <v>1.7700199999999999</v>
      </c>
      <c r="FW132">
        <v>2.5769000000000002</v>
      </c>
      <c r="FX132">
        <v>1.5490699999999999</v>
      </c>
      <c r="FY132">
        <v>2.3303199999999999</v>
      </c>
      <c r="FZ132">
        <v>1.50146</v>
      </c>
      <c r="GA132">
        <v>2.3889200000000002</v>
      </c>
      <c r="GB132">
        <v>33.580399999999997</v>
      </c>
      <c r="GC132">
        <v>23.982399999999998</v>
      </c>
      <c r="GD132">
        <v>19</v>
      </c>
      <c r="GE132">
        <v>281.56799999999998</v>
      </c>
      <c r="GF132">
        <v>580.17200000000003</v>
      </c>
      <c r="GG132">
        <v>23.2179</v>
      </c>
      <c r="GH132">
        <v>26.1295</v>
      </c>
      <c r="GI132">
        <v>30.0001</v>
      </c>
      <c r="GJ132">
        <v>26.299700000000001</v>
      </c>
      <c r="GK132">
        <v>26.290700000000001</v>
      </c>
      <c r="GL132">
        <v>35.391599999999997</v>
      </c>
      <c r="GM132">
        <v>79.9161</v>
      </c>
      <c r="GN132">
        <v>48.707900000000002</v>
      </c>
      <c r="GO132">
        <v>23.2423</v>
      </c>
      <c r="GP132">
        <v>800</v>
      </c>
      <c r="GQ132">
        <v>2.5625100000000001</v>
      </c>
      <c r="GR132">
        <v>99.756500000000003</v>
      </c>
      <c r="GS132">
        <v>99.591099999999997</v>
      </c>
    </row>
    <row r="133" spans="1:201" x14ac:dyDescent="0.25">
      <c r="A133">
        <v>117</v>
      </c>
      <c r="B133">
        <v>1690383686</v>
      </c>
      <c r="C133">
        <v>1210.900000095367</v>
      </c>
      <c r="D133" t="s">
        <v>565</v>
      </c>
      <c r="E133" t="s">
        <v>566</v>
      </c>
      <c r="F133" t="s">
        <v>330</v>
      </c>
      <c r="H133">
        <v>1690383686</v>
      </c>
      <c r="I133">
        <f t="shared" si="30"/>
        <v>1.8730287867864466E-3</v>
      </c>
      <c r="J133">
        <f t="shared" si="31"/>
        <v>1.8730287867864466</v>
      </c>
      <c r="K133">
        <f t="shared" si="32"/>
        <v>29.181124271716484</v>
      </c>
      <c r="L133">
        <f t="shared" si="33"/>
        <v>472.58300000000003</v>
      </c>
      <c r="M133">
        <f t="shared" si="34"/>
        <v>128.8443623580213</v>
      </c>
      <c r="N133">
        <f t="shared" si="35"/>
        <v>12.727379725329108</v>
      </c>
      <c r="O133">
        <f t="shared" si="36"/>
        <v>46.682238808571007</v>
      </c>
      <c r="P133">
        <f t="shared" si="37"/>
        <v>0.14289275073686844</v>
      </c>
      <c r="Q133">
        <f t="shared" si="38"/>
        <v>2.1134852524112988</v>
      </c>
      <c r="R133">
        <f t="shared" si="39"/>
        <v>0.13773438586363659</v>
      </c>
      <c r="S133">
        <f t="shared" si="40"/>
        <v>8.6531935592662604E-2</v>
      </c>
      <c r="T133">
        <f t="shared" si="41"/>
        <v>276.11413268399997</v>
      </c>
      <c r="U133">
        <f t="shared" si="42"/>
        <v>26.736063985082158</v>
      </c>
      <c r="V133">
        <f t="shared" si="43"/>
        <v>26.736063985082158</v>
      </c>
      <c r="W133">
        <f t="shared" si="44"/>
        <v>3.5240508986089067</v>
      </c>
      <c r="X133">
        <f t="shared" si="45"/>
        <v>69.01597644562527</v>
      </c>
      <c r="Y133">
        <f t="shared" si="46"/>
        <v>2.2197975853603</v>
      </c>
      <c r="Z133">
        <f t="shared" si="47"/>
        <v>3.2163532267187196</v>
      </c>
      <c r="AA133">
        <f t="shared" si="48"/>
        <v>1.3042533132486067</v>
      </c>
      <c r="AB133">
        <f t="shared" si="49"/>
        <v>-82.600569497282294</v>
      </c>
      <c r="AC133">
        <f t="shared" si="50"/>
        <v>-175.87710243047633</v>
      </c>
      <c r="AD133">
        <f t="shared" si="51"/>
        <v>-17.773874031319981</v>
      </c>
      <c r="AE133">
        <f t="shared" si="52"/>
        <v>-0.13741327507861456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52653.031579527444</v>
      </c>
      <c r="AK133">
        <f t="shared" si="56"/>
        <v>1800</v>
      </c>
      <c r="AL133">
        <f t="shared" si="57"/>
        <v>1499.1154254</v>
      </c>
      <c r="AM133">
        <f t="shared" si="58"/>
        <v>0.83284190300000005</v>
      </c>
      <c r="AN133">
        <f t="shared" si="59"/>
        <v>0.15339674037999998</v>
      </c>
      <c r="AO133">
        <v>32.700000000000003</v>
      </c>
      <c r="AP133">
        <v>0.5</v>
      </c>
      <c r="AQ133" t="s">
        <v>331</v>
      </c>
      <c r="AR133">
        <v>2</v>
      </c>
      <c r="AS133">
        <v>1690383686</v>
      </c>
      <c r="AT133">
        <v>472.58300000000003</v>
      </c>
      <c r="AU133">
        <v>800.10900000000004</v>
      </c>
      <c r="AV133">
        <v>22.471900000000002</v>
      </c>
      <c r="AW133">
        <v>2.52664</v>
      </c>
      <c r="AX133">
        <v>472.61500000000001</v>
      </c>
      <c r="AY133">
        <v>22.296600000000002</v>
      </c>
      <c r="AZ133">
        <v>300.18</v>
      </c>
      <c r="BA133">
        <v>98.680999999999997</v>
      </c>
      <c r="BB133">
        <v>0.100037</v>
      </c>
      <c r="BC133">
        <v>25.192499999999999</v>
      </c>
      <c r="BD133">
        <v>26.978000000000002</v>
      </c>
      <c r="BE133">
        <v>26.6738</v>
      </c>
      <c r="BF133">
        <v>0</v>
      </c>
      <c r="BG133">
        <v>0</v>
      </c>
      <c r="BH133">
        <v>10031.200000000001</v>
      </c>
      <c r="BI133">
        <v>1054.3</v>
      </c>
      <c r="BJ133">
        <v>2.3547799999999999</v>
      </c>
      <c r="BK133">
        <v>-327.52699999999999</v>
      </c>
      <c r="BL133">
        <v>483.44600000000003</v>
      </c>
      <c r="BM133">
        <v>802.13599999999997</v>
      </c>
      <c r="BN133">
        <v>19.9452</v>
      </c>
      <c r="BO133">
        <v>800.10900000000004</v>
      </c>
      <c r="BP133">
        <v>2.52664</v>
      </c>
      <c r="BQ133">
        <v>2.2175500000000001</v>
      </c>
      <c r="BR133">
        <v>0.249331</v>
      </c>
      <c r="BS133">
        <v>19.089600000000001</v>
      </c>
      <c r="BT133">
        <v>-11.7933</v>
      </c>
      <c r="BU133">
        <v>1800</v>
      </c>
      <c r="BV133">
        <v>0.910026</v>
      </c>
      <c r="BW133">
        <v>3.3993200000000001E-2</v>
      </c>
      <c r="BX133">
        <v>2.1992899999999999E-2</v>
      </c>
      <c r="BY133">
        <v>3.3987999999999997E-2</v>
      </c>
      <c r="BZ133">
        <v>26</v>
      </c>
      <c r="CA133">
        <v>33528.5</v>
      </c>
      <c r="CB133">
        <v>1690381960.0999999</v>
      </c>
      <c r="CC133" t="s">
        <v>332</v>
      </c>
      <c r="CD133">
        <v>1690381960.0999999</v>
      </c>
      <c r="CE133">
        <v>1690381958.0999999</v>
      </c>
      <c r="CF133">
        <v>4</v>
      </c>
      <c r="CG133">
        <v>9.9000000000000005E-2</v>
      </c>
      <c r="CH133">
        <v>1.2E-2</v>
      </c>
      <c r="CI133">
        <v>-0.26300000000000001</v>
      </c>
      <c r="CJ133">
        <v>0.127</v>
      </c>
      <c r="CK133">
        <v>798</v>
      </c>
      <c r="CL133">
        <v>18</v>
      </c>
      <c r="CM133">
        <v>0.02</v>
      </c>
      <c r="CN133">
        <v>0.12</v>
      </c>
      <c r="CO133">
        <v>-324.76567499999999</v>
      </c>
      <c r="CP133">
        <v>-16.001347091932409</v>
      </c>
      <c r="CQ133">
        <v>1.54156044947157</v>
      </c>
      <c r="CR133">
        <v>-1</v>
      </c>
      <c r="CS133">
        <v>19.6795875</v>
      </c>
      <c r="CT133">
        <v>1.615133583489643</v>
      </c>
      <c r="CU133">
        <v>0.1555014456323475</v>
      </c>
      <c r="CV133">
        <v>-1</v>
      </c>
      <c r="CW133">
        <v>0</v>
      </c>
      <c r="CX133">
        <v>0</v>
      </c>
      <c r="CY133" t="s">
        <v>333</v>
      </c>
      <c r="CZ133">
        <v>2.3646799999999999</v>
      </c>
      <c r="DA133">
        <v>2.7138599999999999</v>
      </c>
      <c r="DB133">
        <v>0.101024</v>
      </c>
      <c r="DC133">
        <v>0.145477</v>
      </c>
      <c r="DD133">
        <v>0.108344</v>
      </c>
      <c r="DE133">
        <v>1.8763499999999999E-2</v>
      </c>
      <c r="DF133">
        <v>32831.4</v>
      </c>
      <c r="DG133">
        <v>27546</v>
      </c>
      <c r="DH133">
        <v>31177.599999999999</v>
      </c>
      <c r="DI133">
        <v>28088.9</v>
      </c>
      <c r="DJ133">
        <v>37741</v>
      </c>
      <c r="DK133">
        <v>39197.1</v>
      </c>
      <c r="DL133">
        <v>44370.3</v>
      </c>
      <c r="DM133">
        <v>42572.3</v>
      </c>
      <c r="DN133">
        <v>1.4742299999999999</v>
      </c>
      <c r="DO133">
        <v>2.0332499999999998</v>
      </c>
      <c r="DP133">
        <v>0.172239</v>
      </c>
      <c r="DQ133">
        <v>0.15564600000000001</v>
      </c>
      <c r="DR133">
        <v>24.154599999999999</v>
      </c>
      <c r="DS133">
        <v>24.121600000000001</v>
      </c>
      <c r="DT133">
        <v>41.8</v>
      </c>
      <c r="DU133">
        <v>28.8</v>
      </c>
      <c r="DV133">
        <v>16.839500000000001</v>
      </c>
      <c r="DW133">
        <v>60.343000000000004</v>
      </c>
      <c r="DX133">
        <v>36.8429</v>
      </c>
      <c r="DY133">
        <v>1</v>
      </c>
      <c r="DZ133">
        <v>-9.9192100000000005E-2</v>
      </c>
      <c r="EA133">
        <v>0.30756299999999998</v>
      </c>
      <c r="EB133">
        <v>20.189399999999999</v>
      </c>
      <c r="EC133">
        <v>5.24125</v>
      </c>
      <c r="ED133">
        <v>12.039899999999999</v>
      </c>
      <c r="EE133">
        <v>5.0170500000000002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</v>
      </c>
      <c r="EL133">
        <v>1.8646199999999999</v>
      </c>
      <c r="EM133">
        <v>1.8692</v>
      </c>
      <c r="EN133">
        <v>1.8672200000000001</v>
      </c>
      <c r="EO133">
        <v>1.8633900000000001</v>
      </c>
      <c r="EP133">
        <v>1.8644499999999999</v>
      </c>
      <c r="EQ133">
        <v>1.87015</v>
      </c>
      <c r="ER133">
        <v>1.86937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-3.2000000000000001E-2</v>
      </c>
      <c r="FG133">
        <v>0.17530000000000001</v>
      </c>
      <c r="FH133">
        <v>0.28746640474027818</v>
      </c>
      <c r="FI133">
        <v>-6.1462078757559423E-4</v>
      </c>
      <c r="FJ133">
        <v>-1.8861989874597051E-7</v>
      </c>
      <c r="FK133">
        <v>1.1980462299894961E-10</v>
      </c>
      <c r="FL133">
        <v>0.17524818673008091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28.8</v>
      </c>
      <c r="FU133">
        <v>28.8</v>
      </c>
      <c r="FV133">
        <v>1.7700199999999999</v>
      </c>
      <c r="FW133">
        <v>2.5756800000000002</v>
      </c>
      <c r="FX133">
        <v>1.5490699999999999</v>
      </c>
      <c r="FY133">
        <v>2.3315399999999999</v>
      </c>
      <c r="FZ133">
        <v>1.50146</v>
      </c>
      <c r="GA133">
        <v>2.3852500000000001</v>
      </c>
      <c r="GB133">
        <v>33.580399999999997</v>
      </c>
      <c r="GC133">
        <v>23.982399999999998</v>
      </c>
      <c r="GD133">
        <v>19</v>
      </c>
      <c r="GE133">
        <v>281.798</v>
      </c>
      <c r="GF133">
        <v>580.01</v>
      </c>
      <c r="GG133">
        <v>23.269300000000001</v>
      </c>
      <c r="GH133">
        <v>26.127300000000002</v>
      </c>
      <c r="GI133">
        <v>29.9999</v>
      </c>
      <c r="GJ133">
        <v>26.296500000000002</v>
      </c>
      <c r="GK133">
        <v>26.287099999999999</v>
      </c>
      <c r="GL133">
        <v>35.389099999999999</v>
      </c>
      <c r="GM133">
        <v>81.142899999999997</v>
      </c>
      <c r="GN133">
        <v>47.518799999999999</v>
      </c>
      <c r="GO133">
        <v>23.276299999999999</v>
      </c>
      <c r="GP133">
        <v>800</v>
      </c>
      <c r="GQ133">
        <v>2.3139699999999999</v>
      </c>
      <c r="GR133">
        <v>99.757199999999997</v>
      </c>
      <c r="GS133">
        <v>99.592100000000002</v>
      </c>
    </row>
    <row r="134" spans="1:201" x14ac:dyDescent="0.25">
      <c r="A134">
        <v>118</v>
      </c>
      <c r="B134">
        <v>1690383696</v>
      </c>
      <c r="C134">
        <v>1220.900000095367</v>
      </c>
      <c r="D134" t="s">
        <v>567</v>
      </c>
      <c r="E134" t="s">
        <v>568</v>
      </c>
      <c r="F134" t="s">
        <v>330</v>
      </c>
      <c r="H134">
        <v>1690383696</v>
      </c>
      <c r="I134">
        <f t="shared" si="30"/>
        <v>1.8960288577202849E-3</v>
      </c>
      <c r="J134">
        <f t="shared" si="31"/>
        <v>1.8960288577202848</v>
      </c>
      <c r="K134">
        <f t="shared" si="32"/>
        <v>29.407004257705097</v>
      </c>
      <c r="L134">
        <f t="shared" si="33"/>
        <v>469.85199999999998</v>
      </c>
      <c r="M134">
        <f t="shared" si="34"/>
        <v>127.33998003604273</v>
      </c>
      <c r="N134">
        <f t="shared" si="35"/>
        <v>12.578799346775826</v>
      </c>
      <c r="O134">
        <f t="shared" si="36"/>
        <v>46.412556598552001</v>
      </c>
      <c r="P134">
        <f t="shared" si="37"/>
        <v>0.14457009474687726</v>
      </c>
      <c r="Q134">
        <f t="shared" si="38"/>
        <v>2.1088300079003517</v>
      </c>
      <c r="R134">
        <f t="shared" si="39"/>
        <v>0.13928113023443736</v>
      </c>
      <c r="S134">
        <f t="shared" si="40"/>
        <v>8.7509778123211313E-2</v>
      </c>
      <c r="T134">
        <f t="shared" si="41"/>
        <v>276.11398580399998</v>
      </c>
      <c r="U134">
        <f t="shared" si="42"/>
        <v>26.747229327520799</v>
      </c>
      <c r="V134">
        <f t="shared" si="43"/>
        <v>26.747229327520799</v>
      </c>
      <c r="W134">
        <f t="shared" si="44"/>
        <v>3.5263670824498994</v>
      </c>
      <c r="X134">
        <f t="shared" si="45"/>
        <v>68.979958988362029</v>
      </c>
      <c r="Y134">
        <f t="shared" si="46"/>
        <v>2.2207797666868001</v>
      </c>
      <c r="Z134">
        <f t="shared" si="47"/>
        <v>3.2194564903430565</v>
      </c>
      <c r="AA134">
        <f t="shared" si="48"/>
        <v>1.3055873157630993</v>
      </c>
      <c r="AB134">
        <f t="shared" si="49"/>
        <v>-83.614872625464571</v>
      </c>
      <c r="AC134">
        <f t="shared" si="50"/>
        <v>-174.91731223154872</v>
      </c>
      <c r="AD134">
        <f t="shared" si="51"/>
        <v>-17.71833255234554</v>
      </c>
      <c r="AE134">
        <f t="shared" si="52"/>
        <v>-0.13653160535884012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52446.031922923299</v>
      </c>
      <c r="AK134">
        <f t="shared" si="56"/>
        <v>1800</v>
      </c>
      <c r="AL134">
        <f t="shared" si="57"/>
        <v>1499.1154523999999</v>
      </c>
      <c r="AM134">
        <f t="shared" si="58"/>
        <v>0.83284191799999996</v>
      </c>
      <c r="AN134">
        <f t="shared" si="59"/>
        <v>0.15339665878</v>
      </c>
      <c r="AO134">
        <v>32.700000000000003</v>
      </c>
      <c r="AP134">
        <v>0.5</v>
      </c>
      <c r="AQ134" t="s">
        <v>331</v>
      </c>
      <c r="AR134">
        <v>2</v>
      </c>
      <c r="AS134">
        <v>1690383696</v>
      </c>
      <c r="AT134">
        <v>469.85199999999998</v>
      </c>
      <c r="AU134">
        <v>800.00400000000002</v>
      </c>
      <c r="AV134">
        <v>22.4818</v>
      </c>
      <c r="AW134">
        <v>2.2854999999999999</v>
      </c>
      <c r="AX134">
        <v>469.88299999999998</v>
      </c>
      <c r="AY134">
        <v>22.3066</v>
      </c>
      <c r="AZ134">
        <v>300.08600000000001</v>
      </c>
      <c r="BA134">
        <v>98.681200000000004</v>
      </c>
      <c r="BB134">
        <v>0.100026</v>
      </c>
      <c r="BC134">
        <v>25.2087</v>
      </c>
      <c r="BD134">
        <v>26.984300000000001</v>
      </c>
      <c r="BE134">
        <v>26.6892</v>
      </c>
      <c r="BF134">
        <v>0</v>
      </c>
      <c r="BG134">
        <v>0</v>
      </c>
      <c r="BH134">
        <v>9990.6200000000008</v>
      </c>
      <c r="BI134">
        <v>1054.45</v>
      </c>
      <c r="BJ134">
        <v>2.3547799999999999</v>
      </c>
      <c r="BK134">
        <v>-330.15199999999999</v>
      </c>
      <c r="BL134">
        <v>480.65800000000002</v>
      </c>
      <c r="BM134">
        <v>801.83699999999999</v>
      </c>
      <c r="BN134">
        <v>20.196300000000001</v>
      </c>
      <c r="BO134">
        <v>800.00400000000002</v>
      </c>
      <c r="BP134">
        <v>2.2854999999999999</v>
      </c>
      <c r="BQ134">
        <v>2.21854</v>
      </c>
      <c r="BR134">
        <v>0.22553599999999999</v>
      </c>
      <c r="BS134">
        <v>19.096800000000002</v>
      </c>
      <c r="BT134">
        <v>-13.035600000000001</v>
      </c>
      <c r="BU134">
        <v>1800</v>
      </c>
      <c r="BV134">
        <v>0.91002799999999995</v>
      </c>
      <c r="BW134">
        <v>3.3992300000000003E-2</v>
      </c>
      <c r="BX134">
        <v>2.1992399999999999E-2</v>
      </c>
      <c r="BY134">
        <v>3.3987200000000002E-2</v>
      </c>
      <c r="BZ134">
        <v>26</v>
      </c>
      <c r="CA134">
        <v>33528.6</v>
      </c>
      <c r="CB134">
        <v>1690381960.0999999</v>
      </c>
      <c r="CC134" t="s">
        <v>332</v>
      </c>
      <c r="CD134">
        <v>1690381960.0999999</v>
      </c>
      <c r="CE134">
        <v>1690381958.0999999</v>
      </c>
      <c r="CF134">
        <v>4</v>
      </c>
      <c r="CG134">
        <v>9.9000000000000005E-2</v>
      </c>
      <c r="CH134">
        <v>1.2E-2</v>
      </c>
      <c r="CI134">
        <v>-0.26300000000000001</v>
      </c>
      <c r="CJ134">
        <v>0.127</v>
      </c>
      <c r="CK134">
        <v>798</v>
      </c>
      <c r="CL134">
        <v>18</v>
      </c>
      <c r="CM134">
        <v>0.02</v>
      </c>
      <c r="CN134">
        <v>0.12</v>
      </c>
      <c r="CO134">
        <v>-327.22051219512201</v>
      </c>
      <c r="CP134">
        <v>-16.087191637631399</v>
      </c>
      <c r="CQ134">
        <v>1.586881158381714</v>
      </c>
      <c r="CR134">
        <v>-1</v>
      </c>
      <c r="CS134">
        <v>19.92166341463415</v>
      </c>
      <c r="CT134">
        <v>1.5495052264808571</v>
      </c>
      <c r="CU134">
        <v>0.1528248810608637</v>
      </c>
      <c r="CV134">
        <v>-1</v>
      </c>
      <c r="CW134">
        <v>0</v>
      </c>
      <c r="CX134">
        <v>0</v>
      </c>
      <c r="CY134" t="s">
        <v>333</v>
      </c>
      <c r="CZ134">
        <v>2.3643999999999998</v>
      </c>
      <c r="DA134">
        <v>2.7138100000000001</v>
      </c>
      <c r="DB134">
        <v>0.100593</v>
      </c>
      <c r="DC134">
        <v>0.14546100000000001</v>
      </c>
      <c r="DD134">
        <v>0.108379</v>
      </c>
      <c r="DE134">
        <v>1.7153600000000001E-2</v>
      </c>
      <c r="DF134">
        <v>32846.9</v>
      </c>
      <c r="DG134">
        <v>27546.400000000001</v>
      </c>
      <c r="DH134">
        <v>31177.4</v>
      </c>
      <c r="DI134">
        <v>28088.7</v>
      </c>
      <c r="DJ134">
        <v>37739</v>
      </c>
      <c r="DK134">
        <v>39261.699999999997</v>
      </c>
      <c r="DL134">
        <v>44369.8</v>
      </c>
      <c r="DM134">
        <v>42572.4</v>
      </c>
      <c r="DN134">
        <v>1.474</v>
      </c>
      <c r="DO134">
        <v>2.0329999999999999</v>
      </c>
      <c r="DP134">
        <v>0.172265</v>
      </c>
      <c r="DQ134">
        <v>0.15628</v>
      </c>
      <c r="DR134">
        <v>24.160399999999999</v>
      </c>
      <c r="DS134">
        <v>24.1267</v>
      </c>
      <c r="DT134">
        <v>41.4</v>
      </c>
      <c r="DU134">
        <v>28.8</v>
      </c>
      <c r="DV134">
        <v>16.676600000000001</v>
      </c>
      <c r="DW134">
        <v>61.023000000000003</v>
      </c>
      <c r="DX134">
        <v>37.159500000000001</v>
      </c>
      <c r="DY134">
        <v>1</v>
      </c>
      <c r="DZ134">
        <v>-9.9390199999999998E-2</v>
      </c>
      <c r="EA134">
        <v>0.31590099999999999</v>
      </c>
      <c r="EB134">
        <v>20.189499999999999</v>
      </c>
      <c r="EC134">
        <v>5.2411000000000003</v>
      </c>
      <c r="ED134">
        <v>12.039899999999999</v>
      </c>
      <c r="EE134">
        <v>5.0169499999999996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</v>
      </c>
      <c r="EL134">
        <v>1.8646199999999999</v>
      </c>
      <c r="EM134">
        <v>1.8692</v>
      </c>
      <c r="EN134">
        <v>1.8672299999999999</v>
      </c>
      <c r="EO134">
        <v>1.86338</v>
      </c>
      <c r="EP134">
        <v>1.8644700000000001</v>
      </c>
      <c r="EQ134">
        <v>1.87016</v>
      </c>
      <c r="ER134">
        <v>1.8694200000000001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-3.1E-2</v>
      </c>
      <c r="FG134">
        <v>0.17519999999999999</v>
      </c>
      <c r="FH134">
        <v>0.28746640474027818</v>
      </c>
      <c r="FI134">
        <v>-6.1462078757559423E-4</v>
      </c>
      <c r="FJ134">
        <v>-1.8861989874597051E-7</v>
      </c>
      <c r="FK134">
        <v>1.1980462299894961E-10</v>
      </c>
      <c r="FL134">
        <v>0.17524818673008091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28.9</v>
      </c>
      <c r="FU134">
        <v>29</v>
      </c>
      <c r="FV134">
        <v>1.7700199999999999</v>
      </c>
      <c r="FW134">
        <v>2.5744600000000002</v>
      </c>
      <c r="FX134">
        <v>1.5490699999999999</v>
      </c>
      <c r="FY134">
        <v>2.3315399999999999</v>
      </c>
      <c r="FZ134">
        <v>1.50146</v>
      </c>
      <c r="GA134">
        <v>2.3840300000000001</v>
      </c>
      <c r="GB134">
        <v>33.580399999999997</v>
      </c>
      <c r="GC134">
        <v>23.982399999999998</v>
      </c>
      <c r="GD134">
        <v>19</v>
      </c>
      <c r="GE134">
        <v>281.68700000000001</v>
      </c>
      <c r="GF134">
        <v>579.76700000000005</v>
      </c>
      <c r="GG134">
        <v>23.3018</v>
      </c>
      <c r="GH134">
        <v>26.1235</v>
      </c>
      <c r="GI134">
        <v>29.9999</v>
      </c>
      <c r="GJ134">
        <v>26.292999999999999</v>
      </c>
      <c r="GK134">
        <v>26.283799999999999</v>
      </c>
      <c r="GL134">
        <v>35.387099999999997</v>
      </c>
      <c r="GM134">
        <v>82.720600000000005</v>
      </c>
      <c r="GN134">
        <v>46.728000000000002</v>
      </c>
      <c r="GO134">
        <v>23.3081</v>
      </c>
      <c r="GP134">
        <v>800</v>
      </c>
      <c r="GQ134">
        <v>2.0579700000000001</v>
      </c>
      <c r="GR134">
        <v>99.756299999999996</v>
      </c>
      <c r="GS134">
        <v>99.591999999999999</v>
      </c>
    </row>
    <row r="135" spans="1:201" x14ac:dyDescent="0.25">
      <c r="A135">
        <v>119</v>
      </c>
      <c r="B135">
        <v>1690383706</v>
      </c>
      <c r="C135">
        <v>1230.900000095367</v>
      </c>
      <c r="D135" t="s">
        <v>569</v>
      </c>
      <c r="E135" t="s">
        <v>570</v>
      </c>
      <c r="F135" t="s">
        <v>330</v>
      </c>
      <c r="H135">
        <v>1690383706</v>
      </c>
      <c r="I135">
        <f t="shared" si="30"/>
        <v>1.9214522160863252E-3</v>
      </c>
      <c r="J135">
        <f t="shared" si="31"/>
        <v>1.9214522160863252</v>
      </c>
      <c r="K135">
        <f t="shared" si="32"/>
        <v>29.673720399627808</v>
      </c>
      <c r="L135">
        <f t="shared" si="33"/>
        <v>466.99700000000001</v>
      </c>
      <c r="M135">
        <f t="shared" si="34"/>
        <v>126.68381764888814</v>
      </c>
      <c r="N135">
        <f t="shared" si="35"/>
        <v>12.514178978940855</v>
      </c>
      <c r="O135">
        <f t="shared" si="36"/>
        <v>46.131259296476799</v>
      </c>
      <c r="P135">
        <f t="shared" si="37"/>
        <v>0.14687616426238356</v>
      </c>
      <c r="Q135">
        <f t="shared" si="38"/>
        <v>2.1164468920829123</v>
      </c>
      <c r="R135">
        <f t="shared" si="39"/>
        <v>0.14143940040508968</v>
      </c>
      <c r="S135">
        <f t="shared" si="40"/>
        <v>8.8871329791109094E-2</v>
      </c>
      <c r="T135">
        <f t="shared" si="41"/>
        <v>276.11390649599997</v>
      </c>
      <c r="U135">
        <f t="shared" si="42"/>
        <v>26.745547048579564</v>
      </c>
      <c r="V135">
        <f t="shared" si="43"/>
        <v>26.745547048579564</v>
      </c>
      <c r="W135">
        <f t="shared" si="44"/>
        <v>3.5260180186802672</v>
      </c>
      <c r="X135">
        <f t="shared" si="45"/>
        <v>69.001688141826548</v>
      </c>
      <c r="Y135">
        <f t="shared" si="46"/>
        <v>2.2231063378719997</v>
      </c>
      <c r="Z135">
        <f t="shared" si="47"/>
        <v>3.2218144189495939</v>
      </c>
      <c r="AA135">
        <f t="shared" si="48"/>
        <v>1.3029116808082675</v>
      </c>
      <c r="AB135">
        <f t="shared" si="49"/>
        <v>-84.736042729406947</v>
      </c>
      <c r="AC135">
        <f t="shared" si="50"/>
        <v>-173.95369177929484</v>
      </c>
      <c r="AD135">
        <f t="shared" si="51"/>
        <v>-17.558240101932068</v>
      </c>
      <c r="AE135">
        <f t="shared" si="52"/>
        <v>-0.13406811463391932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52778.184225399506</v>
      </c>
      <c r="AK135">
        <f t="shared" si="56"/>
        <v>1800</v>
      </c>
      <c r="AL135">
        <f t="shared" si="57"/>
        <v>1499.1154505999998</v>
      </c>
      <c r="AM135">
        <f t="shared" si="58"/>
        <v>0.83284191699999988</v>
      </c>
      <c r="AN135">
        <f t="shared" si="59"/>
        <v>0.15339661471999999</v>
      </c>
      <c r="AO135">
        <v>32.700000000000003</v>
      </c>
      <c r="AP135">
        <v>0.5</v>
      </c>
      <c r="AQ135" t="s">
        <v>331</v>
      </c>
      <c r="AR135">
        <v>2</v>
      </c>
      <c r="AS135">
        <v>1690383706</v>
      </c>
      <c r="AT135">
        <v>466.99700000000001</v>
      </c>
      <c r="AU135">
        <v>800.10799999999995</v>
      </c>
      <c r="AV135">
        <v>22.504999999999999</v>
      </c>
      <c r="AW135">
        <v>2.0394700000000001</v>
      </c>
      <c r="AX135">
        <v>467.02600000000001</v>
      </c>
      <c r="AY135">
        <v>22.329799999999999</v>
      </c>
      <c r="AZ135">
        <v>300.10199999999998</v>
      </c>
      <c r="BA135">
        <v>98.6828</v>
      </c>
      <c r="BB135">
        <v>9.9974400000000005E-2</v>
      </c>
      <c r="BC135">
        <v>25.221</v>
      </c>
      <c r="BD135">
        <v>26.958400000000001</v>
      </c>
      <c r="BE135">
        <v>26.688700000000001</v>
      </c>
      <c r="BF135">
        <v>0</v>
      </c>
      <c r="BG135">
        <v>0</v>
      </c>
      <c r="BH135">
        <v>10056.9</v>
      </c>
      <c r="BI135">
        <v>1054.7</v>
      </c>
      <c r="BJ135">
        <v>2.3547799999999999</v>
      </c>
      <c r="BK135">
        <v>-333.11099999999999</v>
      </c>
      <c r="BL135">
        <v>477.74900000000002</v>
      </c>
      <c r="BM135">
        <v>801.74300000000005</v>
      </c>
      <c r="BN135">
        <v>20.465599999999998</v>
      </c>
      <c r="BO135">
        <v>800.10799999999995</v>
      </c>
      <c r="BP135">
        <v>2.0394700000000001</v>
      </c>
      <c r="BQ135">
        <v>2.2208600000000001</v>
      </c>
      <c r="BR135">
        <v>0.201261</v>
      </c>
      <c r="BS135">
        <v>19.113600000000002</v>
      </c>
      <c r="BT135">
        <v>-14.4299</v>
      </c>
      <c r="BU135">
        <v>1800</v>
      </c>
      <c r="BV135">
        <v>0.91002899999999998</v>
      </c>
      <c r="BW135">
        <v>3.3991899999999999E-2</v>
      </c>
      <c r="BX135">
        <v>2.1992100000000001E-2</v>
      </c>
      <c r="BY135">
        <v>3.3986799999999998E-2</v>
      </c>
      <c r="BZ135">
        <v>26</v>
      </c>
      <c r="CA135">
        <v>33528.6</v>
      </c>
      <c r="CB135">
        <v>1690381960.0999999</v>
      </c>
      <c r="CC135" t="s">
        <v>332</v>
      </c>
      <c r="CD135">
        <v>1690381960.0999999</v>
      </c>
      <c r="CE135">
        <v>1690381958.0999999</v>
      </c>
      <c r="CF135">
        <v>4</v>
      </c>
      <c r="CG135">
        <v>9.9000000000000005E-2</v>
      </c>
      <c r="CH135">
        <v>1.2E-2</v>
      </c>
      <c r="CI135">
        <v>-0.26300000000000001</v>
      </c>
      <c r="CJ135">
        <v>0.127</v>
      </c>
      <c r="CK135">
        <v>798</v>
      </c>
      <c r="CL135">
        <v>18</v>
      </c>
      <c r="CM135">
        <v>0.02</v>
      </c>
      <c r="CN135">
        <v>0.12</v>
      </c>
      <c r="CO135">
        <v>-330.17585000000003</v>
      </c>
      <c r="CP135">
        <v>-16.987992495309278</v>
      </c>
      <c r="CQ135">
        <v>1.6351911746031429</v>
      </c>
      <c r="CR135">
        <v>-1</v>
      </c>
      <c r="CS135">
        <v>20.195495000000001</v>
      </c>
      <c r="CT135">
        <v>1.53729230769231</v>
      </c>
      <c r="CU135">
        <v>0.14795856337164129</v>
      </c>
      <c r="CV135">
        <v>-1</v>
      </c>
      <c r="CW135">
        <v>0</v>
      </c>
      <c r="CX135">
        <v>0</v>
      </c>
      <c r="CY135" t="s">
        <v>333</v>
      </c>
      <c r="CZ135">
        <v>2.3644599999999998</v>
      </c>
      <c r="DA135">
        <v>2.7138100000000001</v>
      </c>
      <c r="DB135">
        <v>0.10014199999999999</v>
      </c>
      <c r="DC135">
        <v>0.14547199999999999</v>
      </c>
      <c r="DD135">
        <v>0.108461</v>
      </c>
      <c r="DE135">
        <v>1.5479100000000001E-2</v>
      </c>
      <c r="DF135">
        <v>32863.9</v>
      </c>
      <c r="DG135">
        <v>27546.400000000001</v>
      </c>
      <c r="DH135">
        <v>31177.9</v>
      </c>
      <c r="DI135">
        <v>28089.1</v>
      </c>
      <c r="DJ135">
        <v>37736.199999999997</v>
      </c>
      <c r="DK135">
        <v>39329</v>
      </c>
      <c r="DL135">
        <v>44370.7</v>
      </c>
      <c r="DM135">
        <v>42572.6</v>
      </c>
      <c r="DN135">
        <v>1.4741299999999999</v>
      </c>
      <c r="DO135">
        <v>2.0325000000000002</v>
      </c>
      <c r="DP135">
        <v>0.170264</v>
      </c>
      <c r="DQ135">
        <v>0.15592900000000001</v>
      </c>
      <c r="DR135">
        <v>24.167300000000001</v>
      </c>
      <c r="DS135">
        <v>24.132000000000001</v>
      </c>
      <c r="DT135">
        <v>41</v>
      </c>
      <c r="DU135">
        <v>28.8</v>
      </c>
      <c r="DV135">
        <v>16.516200000000001</v>
      </c>
      <c r="DW135">
        <v>60.652999999999999</v>
      </c>
      <c r="DX135">
        <v>37.463900000000002</v>
      </c>
      <c r="DY135">
        <v>1</v>
      </c>
      <c r="DZ135">
        <v>-9.9679900000000002E-2</v>
      </c>
      <c r="EA135">
        <v>0.33976600000000001</v>
      </c>
      <c r="EB135">
        <v>20.1892</v>
      </c>
      <c r="EC135">
        <v>5.24125</v>
      </c>
      <c r="ED135">
        <v>12.039899999999999</v>
      </c>
      <c r="EE135">
        <v>5.0168499999999998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1.8689100000000001</v>
      </c>
      <c r="EL135">
        <v>1.86463</v>
      </c>
      <c r="EM135">
        <v>1.8692</v>
      </c>
      <c r="EN135">
        <v>1.8672500000000001</v>
      </c>
      <c r="EO135">
        <v>1.8633999999999999</v>
      </c>
      <c r="EP135">
        <v>1.8644700000000001</v>
      </c>
      <c r="EQ135">
        <v>1.8701700000000001</v>
      </c>
      <c r="ER135">
        <v>1.8693900000000001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-2.9000000000000001E-2</v>
      </c>
      <c r="FG135">
        <v>0.17519999999999999</v>
      </c>
      <c r="FH135">
        <v>0.28746640474027818</v>
      </c>
      <c r="FI135">
        <v>-6.1462078757559423E-4</v>
      </c>
      <c r="FJ135">
        <v>-1.8861989874597051E-7</v>
      </c>
      <c r="FK135">
        <v>1.1980462299894961E-10</v>
      </c>
      <c r="FL135">
        <v>0.17524818673008091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29.1</v>
      </c>
      <c r="FU135">
        <v>29.1</v>
      </c>
      <c r="FV135">
        <v>1.7687999999999999</v>
      </c>
      <c r="FW135">
        <v>2.5695800000000002</v>
      </c>
      <c r="FX135">
        <v>1.5490699999999999</v>
      </c>
      <c r="FY135">
        <v>2.3303199999999999</v>
      </c>
      <c r="FZ135">
        <v>1.50146</v>
      </c>
      <c r="GA135">
        <v>2.3754900000000001</v>
      </c>
      <c r="GB135">
        <v>33.580399999999997</v>
      </c>
      <c r="GC135">
        <v>23.982399999999998</v>
      </c>
      <c r="GD135">
        <v>19</v>
      </c>
      <c r="GE135">
        <v>281.726</v>
      </c>
      <c r="GF135">
        <v>579.30899999999997</v>
      </c>
      <c r="GG135">
        <v>23.318000000000001</v>
      </c>
      <c r="GH135">
        <v>26.1206</v>
      </c>
      <c r="GI135">
        <v>29.9999</v>
      </c>
      <c r="GJ135">
        <v>26.2898</v>
      </c>
      <c r="GK135">
        <v>26.279699999999998</v>
      </c>
      <c r="GL135">
        <v>35.375599999999999</v>
      </c>
      <c r="GM135">
        <v>84.560500000000005</v>
      </c>
      <c r="GN135">
        <v>45.604100000000003</v>
      </c>
      <c r="GO135">
        <v>23.328700000000001</v>
      </c>
      <c r="GP135">
        <v>800</v>
      </c>
      <c r="GQ135">
        <v>1.7949900000000001</v>
      </c>
      <c r="GR135">
        <v>99.758099999999999</v>
      </c>
      <c r="GS135">
        <v>99.5929</v>
      </c>
    </row>
    <row r="136" spans="1:201" x14ac:dyDescent="0.25">
      <c r="A136">
        <v>120</v>
      </c>
      <c r="B136">
        <v>1690383716</v>
      </c>
      <c r="C136">
        <v>1240.900000095367</v>
      </c>
      <c r="D136" t="s">
        <v>571</v>
      </c>
      <c r="E136" t="s">
        <v>572</v>
      </c>
      <c r="F136" t="s">
        <v>330</v>
      </c>
      <c r="H136">
        <v>1690383716</v>
      </c>
      <c r="I136">
        <f t="shared" si="30"/>
        <v>1.9410380692424813E-3</v>
      </c>
      <c r="J136">
        <f t="shared" si="31"/>
        <v>1.9410380692424813</v>
      </c>
      <c r="K136">
        <f t="shared" si="32"/>
        <v>29.898744957849633</v>
      </c>
      <c r="L136">
        <f t="shared" si="33"/>
        <v>464.48399999999998</v>
      </c>
      <c r="M136">
        <f t="shared" si="34"/>
        <v>125.14234300072829</v>
      </c>
      <c r="N136">
        <f t="shared" si="35"/>
        <v>12.361546150128621</v>
      </c>
      <c r="O136">
        <f t="shared" si="36"/>
        <v>45.881675732752797</v>
      </c>
      <c r="P136">
        <f t="shared" si="37"/>
        <v>0.14848003110721666</v>
      </c>
      <c r="Q136">
        <f t="shared" si="38"/>
        <v>2.1046406454885398</v>
      </c>
      <c r="R136">
        <f t="shared" si="39"/>
        <v>0.14289640227359213</v>
      </c>
      <c r="S136">
        <f t="shared" si="40"/>
        <v>8.9794423757149716E-2</v>
      </c>
      <c r="T136">
        <f t="shared" si="41"/>
        <v>276.11244654544163</v>
      </c>
      <c r="U136">
        <f t="shared" si="42"/>
        <v>26.74898551362574</v>
      </c>
      <c r="V136">
        <f t="shared" si="43"/>
        <v>26.74898551362574</v>
      </c>
      <c r="W136">
        <f t="shared" si="44"/>
        <v>3.52673151374159</v>
      </c>
      <c r="X136">
        <f t="shared" si="45"/>
        <v>69.01903421292721</v>
      </c>
      <c r="Y136">
        <f t="shared" si="46"/>
        <v>2.22400933678616</v>
      </c>
      <c r="Z136">
        <f t="shared" si="47"/>
        <v>3.22231303603145</v>
      </c>
      <c r="AA136">
        <f t="shared" si="48"/>
        <v>1.30272217695543</v>
      </c>
      <c r="AB136">
        <f t="shared" si="49"/>
        <v>-85.599778853593421</v>
      </c>
      <c r="AC136">
        <f t="shared" si="50"/>
        <v>-173.07845683389434</v>
      </c>
      <c r="AD136">
        <f t="shared" si="51"/>
        <v>-17.568429069429094</v>
      </c>
      <c r="AE136">
        <f t="shared" si="52"/>
        <v>-0.13421821147522905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52260.125523387709</v>
      </c>
      <c r="AK136">
        <f t="shared" si="56"/>
        <v>1799.99</v>
      </c>
      <c r="AL136">
        <f t="shared" si="57"/>
        <v>1499.10581178811</v>
      </c>
      <c r="AM136">
        <f t="shared" si="58"/>
        <v>0.83284118900000004</v>
      </c>
      <c r="AN136">
        <f t="shared" si="59"/>
        <v>0.15339665584000001</v>
      </c>
      <c r="AO136">
        <v>32.700000000000003</v>
      </c>
      <c r="AP136">
        <v>0.5</v>
      </c>
      <c r="AQ136" t="s">
        <v>331</v>
      </c>
      <c r="AR136">
        <v>2</v>
      </c>
      <c r="AS136">
        <v>1690383716</v>
      </c>
      <c r="AT136">
        <v>464.48399999999998</v>
      </c>
      <c r="AU136">
        <v>800.12699999999995</v>
      </c>
      <c r="AV136">
        <v>22.514800000000001</v>
      </c>
      <c r="AW136">
        <v>1.8388</v>
      </c>
      <c r="AX136">
        <v>464.51100000000002</v>
      </c>
      <c r="AY136">
        <v>22.339600000000001</v>
      </c>
      <c r="AZ136">
        <v>300.072</v>
      </c>
      <c r="BA136">
        <v>98.679900000000004</v>
      </c>
      <c r="BB136">
        <v>9.9984199999999995E-2</v>
      </c>
      <c r="BC136">
        <v>25.223600000000001</v>
      </c>
      <c r="BD136">
        <v>26.958400000000001</v>
      </c>
      <c r="BE136">
        <v>26.690100000000001</v>
      </c>
      <c r="BF136">
        <v>0</v>
      </c>
      <c r="BG136">
        <v>0</v>
      </c>
      <c r="BH136">
        <v>9954.3799999999992</v>
      </c>
      <c r="BI136">
        <v>1054.8599999999999</v>
      </c>
      <c r="BJ136">
        <v>2.3547799999999999</v>
      </c>
      <c r="BK136">
        <v>-335.64299999999997</v>
      </c>
      <c r="BL136">
        <v>475.18299999999999</v>
      </c>
      <c r="BM136">
        <v>801.601</v>
      </c>
      <c r="BN136">
        <v>20.675999999999998</v>
      </c>
      <c r="BO136">
        <v>800.12699999999995</v>
      </c>
      <c r="BP136">
        <v>1.8388</v>
      </c>
      <c r="BQ136">
        <v>2.2217600000000002</v>
      </c>
      <c r="BR136">
        <v>0.181453</v>
      </c>
      <c r="BS136">
        <v>19.120100000000001</v>
      </c>
      <c r="BT136">
        <v>-15.6837</v>
      </c>
      <c r="BU136">
        <v>1799.99</v>
      </c>
      <c r="BV136">
        <v>0.91002400000000006</v>
      </c>
      <c r="BW136">
        <v>3.3998E-2</v>
      </c>
      <c r="BX136">
        <v>2.1991699999999999E-2</v>
      </c>
      <c r="BY136">
        <v>3.3986200000000001E-2</v>
      </c>
      <c r="BZ136">
        <v>26</v>
      </c>
      <c r="CA136">
        <v>33528.5</v>
      </c>
      <c r="CB136">
        <v>1690381960.0999999</v>
      </c>
      <c r="CC136" t="s">
        <v>332</v>
      </c>
      <c r="CD136">
        <v>1690381960.0999999</v>
      </c>
      <c r="CE136">
        <v>1690381958.0999999</v>
      </c>
      <c r="CF136">
        <v>4</v>
      </c>
      <c r="CG136">
        <v>9.9000000000000005E-2</v>
      </c>
      <c r="CH136">
        <v>1.2E-2</v>
      </c>
      <c r="CI136">
        <v>-0.26300000000000001</v>
      </c>
      <c r="CJ136">
        <v>0.127</v>
      </c>
      <c r="CK136">
        <v>798</v>
      </c>
      <c r="CL136">
        <v>18</v>
      </c>
      <c r="CM136">
        <v>0.02</v>
      </c>
      <c r="CN136">
        <v>0.12</v>
      </c>
      <c r="CO136">
        <v>-332.88330000000002</v>
      </c>
      <c r="CP136">
        <v>-15.64266416510252</v>
      </c>
      <c r="CQ136">
        <v>1.508937096104412</v>
      </c>
      <c r="CR136">
        <v>-1</v>
      </c>
      <c r="CS136">
        <v>20.4470475</v>
      </c>
      <c r="CT136">
        <v>1.4837234521575571</v>
      </c>
      <c r="CU136">
        <v>0.14309235302331841</v>
      </c>
      <c r="CV136">
        <v>-1</v>
      </c>
      <c r="CW136">
        <v>0</v>
      </c>
      <c r="CX136">
        <v>0</v>
      </c>
      <c r="CY136" t="s">
        <v>333</v>
      </c>
      <c r="CZ136">
        <v>2.3643800000000001</v>
      </c>
      <c r="DA136">
        <v>2.71373</v>
      </c>
      <c r="DB136">
        <v>9.9740200000000001E-2</v>
      </c>
      <c r="DC136">
        <v>0.14546700000000001</v>
      </c>
      <c r="DD136">
        <v>0.10849200000000001</v>
      </c>
      <c r="DE136">
        <v>1.40871E-2</v>
      </c>
      <c r="DF136">
        <v>32878.9</v>
      </c>
      <c r="DG136">
        <v>27547</v>
      </c>
      <c r="DH136">
        <v>31178.2</v>
      </c>
      <c r="DI136">
        <v>28089.7</v>
      </c>
      <c r="DJ136">
        <v>37735.199999999997</v>
      </c>
      <c r="DK136">
        <v>39385.4</v>
      </c>
      <c r="DL136">
        <v>44371.199999999997</v>
      </c>
      <c r="DM136">
        <v>42573.3</v>
      </c>
      <c r="DN136">
        <v>1.47448</v>
      </c>
      <c r="DO136">
        <v>2.03227</v>
      </c>
      <c r="DP136">
        <v>0.16985800000000001</v>
      </c>
      <c r="DQ136">
        <v>0.15571699999999999</v>
      </c>
      <c r="DR136">
        <v>24.1739</v>
      </c>
      <c r="DS136">
        <v>24.136800000000001</v>
      </c>
      <c r="DT136">
        <v>40.5</v>
      </c>
      <c r="DU136">
        <v>28.8</v>
      </c>
      <c r="DV136">
        <v>16.316700000000001</v>
      </c>
      <c r="DW136">
        <v>60.762999999999998</v>
      </c>
      <c r="DX136">
        <v>37.644199999999998</v>
      </c>
      <c r="DY136">
        <v>1</v>
      </c>
      <c r="DZ136">
        <v>-9.9933900000000006E-2</v>
      </c>
      <c r="EA136">
        <v>0.25982</v>
      </c>
      <c r="EB136">
        <v>20.189399999999999</v>
      </c>
      <c r="EC136">
        <v>5.24125</v>
      </c>
      <c r="ED136">
        <v>12.039899999999999</v>
      </c>
      <c r="EE136">
        <v>5.0168999999999997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1.8689199999999999</v>
      </c>
      <c r="EL136">
        <v>1.8646199999999999</v>
      </c>
      <c r="EM136">
        <v>1.8692</v>
      </c>
      <c r="EN136">
        <v>1.8672599999999999</v>
      </c>
      <c r="EO136">
        <v>1.8633999999999999</v>
      </c>
      <c r="EP136">
        <v>1.8644700000000001</v>
      </c>
      <c r="EQ136">
        <v>1.87018</v>
      </c>
      <c r="ER136">
        <v>1.86941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-2.7E-2</v>
      </c>
      <c r="FG136">
        <v>0.17519999999999999</v>
      </c>
      <c r="FH136">
        <v>0.28746640474027818</v>
      </c>
      <c r="FI136">
        <v>-6.1462078757559423E-4</v>
      </c>
      <c r="FJ136">
        <v>-1.8861989874597051E-7</v>
      </c>
      <c r="FK136">
        <v>1.1980462299894961E-10</v>
      </c>
      <c r="FL136">
        <v>0.17524818673008091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29.3</v>
      </c>
      <c r="FU136">
        <v>29.3</v>
      </c>
      <c r="FV136">
        <v>1.7687999999999999</v>
      </c>
      <c r="FW136">
        <v>2.5793499999999998</v>
      </c>
      <c r="FX136">
        <v>1.5490699999999999</v>
      </c>
      <c r="FY136">
        <v>2.3315399999999999</v>
      </c>
      <c r="FZ136">
        <v>1.50146</v>
      </c>
      <c r="GA136">
        <v>2.34741</v>
      </c>
      <c r="GB136">
        <v>33.580399999999997</v>
      </c>
      <c r="GC136">
        <v>23.982399999999998</v>
      </c>
      <c r="GD136">
        <v>19</v>
      </c>
      <c r="GE136">
        <v>281.85899999999998</v>
      </c>
      <c r="GF136">
        <v>579.08500000000004</v>
      </c>
      <c r="GG136">
        <v>23.355599999999999</v>
      </c>
      <c r="GH136">
        <v>26.118400000000001</v>
      </c>
      <c r="GI136">
        <v>29.9999</v>
      </c>
      <c r="GJ136">
        <v>26.286300000000001</v>
      </c>
      <c r="GK136">
        <v>26.2761</v>
      </c>
      <c r="GL136">
        <v>35.371200000000002</v>
      </c>
      <c r="GM136">
        <v>85.810699999999997</v>
      </c>
      <c r="GN136">
        <v>44.830399999999997</v>
      </c>
      <c r="GO136">
        <v>23.3719</v>
      </c>
      <c r="GP136">
        <v>800</v>
      </c>
      <c r="GQ136">
        <v>1.62927</v>
      </c>
      <c r="GR136">
        <v>99.759200000000007</v>
      </c>
      <c r="GS136">
        <v>99.5946</v>
      </c>
    </row>
    <row r="137" spans="1:201" x14ac:dyDescent="0.25">
      <c r="A137">
        <v>121</v>
      </c>
      <c r="B137">
        <v>1690383726</v>
      </c>
      <c r="C137">
        <v>1250.900000095367</v>
      </c>
      <c r="D137" t="s">
        <v>573</v>
      </c>
      <c r="E137" t="s">
        <v>574</v>
      </c>
      <c r="F137" t="s">
        <v>330</v>
      </c>
      <c r="H137">
        <v>1690383726</v>
      </c>
      <c r="I137">
        <f t="shared" si="30"/>
        <v>1.9632988808608921E-3</v>
      </c>
      <c r="J137">
        <f t="shared" si="31"/>
        <v>1.963298880860892</v>
      </c>
      <c r="K137">
        <f t="shared" si="32"/>
        <v>30.127012486705098</v>
      </c>
      <c r="L137">
        <f t="shared" si="33"/>
        <v>461.98399999999998</v>
      </c>
      <c r="M137">
        <f t="shared" si="34"/>
        <v>124.12098738614607</v>
      </c>
      <c r="N137">
        <f t="shared" si="35"/>
        <v>12.2604596442531</v>
      </c>
      <c r="O137">
        <f t="shared" si="36"/>
        <v>45.633992345462396</v>
      </c>
      <c r="P137">
        <f t="shared" si="37"/>
        <v>0.15031555993573176</v>
      </c>
      <c r="Q137">
        <f t="shared" si="38"/>
        <v>2.107503084224156</v>
      </c>
      <c r="R137">
        <f t="shared" si="39"/>
        <v>0.14460333785044238</v>
      </c>
      <c r="S137">
        <f t="shared" si="40"/>
        <v>9.0872220318168287E-2</v>
      </c>
      <c r="T137">
        <f t="shared" si="41"/>
        <v>276.11242148958081</v>
      </c>
      <c r="U137">
        <f t="shared" si="42"/>
        <v>26.754930464013295</v>
      </c>
      <c r="V137">
        <f t="shared" si="43"/>
        <v>26.754930464013295</v>
      </c>
      <c r="W137">
        <f t="shared" si="44"/>
        <v>3.527965411762231</v>
      </c>
      <c r="X137">
        <f t="shared" si="45"/>
        <v>69.01318523892904</v>
      </c>
      <c r="Y137">
        <f t="shared" si="46"/>
        <v>2.2258997578062298</v>
      </c>
      <c r="Z137">
        <f t="shared" si="47"/>
        <v>3.2253253492068086</v>
      </c>
      <c r="AA137">
        <f t="shared" si="48"/>
        <v>1.3020656539560012</v>
      </c>
      <c r="AB137">
        <f t="shared" si="49"/>
        <v>-86.581480645965343</v>
      </c>
      <c r="AC137">
        <f t="shared" si="50"/>
        <v>-172.20548814519807</v>
      </c>
      <c r="AD137">
        <f t="shared" si="51"/>
        <v>-17.457970752406389</v>
      </c>
      <c r="AE137">
        <f t="shared" si="52"/>
        <v>-0.13251805398897432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52382.501588175466</v>
      </c>
      <c r="AK137">
        <f t="shared" si="56"/>
        <v>1799.99</v>
      </c>
      <c r="AL137">
        <f t="shared" si="57"/>
        <v>1499.1028202047301</v>
      </c>
      <c r="AM137">
        <f t="shared" si="58"/>
        <v>0.83283952699999997</v>
      </c>
      <c r="AN137">
        <f t="shared" si="59"/>
        <v>0.15339664192000002</v>
      </c>
      <c r="AO137">
        <v>32.700000000000003</v>
      </c>
      <c r="AP137">
        <v>0.5</v>
      </c>
      <c r="AQ137" t="s">
        <v>331</v>
      </c>
      <c r="AR137">
        <v>2</v>
      </c>
      <c r="AS137">
        <v>1690383726</v>
      </c>
      <c r="AT137">
        <v>461.98399999999998</v>
      </c>
      <c r="AU137">
        <v>800.12300000000005</v>
      </c>
      <c r="AV137">
        <v>22.534300000000002</v>
      </c>
      <c r="AW137">
        <v>1.62473</v>
      </c>
      <c r="AX137">
        <v>462.00900000000001</v>
      </c>
      <c r="AY137">
        <v>22.359100000000002</v>
      </c>
      <c r="AZ137">
        <v>300.11700000000002</v>
      </c>
      <c r="BA137">
        <v>98.678299999999993</v>
      </c>
      <c r="BB137">
        <v>9.9996100000000004E-2</v>
      </c>
      <c r="BC137">
        <v>25.2393</v>
      </c>
      <c r="BD137">
        <v>26.961099999999998</v>
      </c>
      <c r="BE137">
        <v>26.681000000000001</v>
      </c>
      <c r="BF137">
        <v>0</v>
      </c>
      <c r="BG137">
        <v>0</v>
      </c>
      <c r="BH137">
        <v>9979.3799999999992</v>
      </c>
      <c r="BI137">
        <v>1055.0899999999999</v>
      </c>
      <c r="BJ137">
        <v>2.3547799999999999</v>
      </c>
      <c r="BK137">
        <v>-338.13900000000001</v>
      </c>
      <c r="BL137">
        <v>472.63499999999999</v>
      </c>
      <c r="BM137">
        <v>801.42499999999995</v>
      </c>
      <c r="BN137">
        <v>20.909600000000001</v>
      </c>
      <c r="BO137">
        <v>800.12300000000005</v>
      </c>
      <c r="BP137">
        <v>1.62473</v>
      </c>
      <c r="BQ137">
        <v>2.2236500000000001</v>
      </c>
      <c r="BR137">
        <v>0.160326</v>
      </c>
      <c r="BS137">
        <v>19.133700000000001</v>
      </c>
      <c r="BT137">
        <v>-17.163599999999999</v>
      </c>
      <c r="BU137">
        <v>1799.99</v>
      </c>
      <c r="BV137">
        <v>0.91001100000000001</v>
      </c>
      <c r="BW137">
        <v>3.40004E-2</v>
      </c>
      <c r="BX137">
        <v>2.19911E-2</v>
      </c>
      <c r="BY137">
        <v>3.3996999999999999E-2</v>
      </c>
      <c r="BZ137">
        <v>26</v>
      </c>
      <c r="CA137">
        <v>33528.400000000001</v>
      </c>
      <c r="CB137">
        <v>1690381960.0999999</v>
      </c>
      <c r="CC137" t="s">
        <v>332</v>
      </c>
      <c r="CD137">
        <v>1690381960.0999999</v>
      </c>
      <c r="CE137">
        <v>1690381958.0999999</v>
      </c>
      <c r="CF137">
        <v>4</v>
      </c>
      <c r="CG137">
        <v>9.9000000000000005E-2</v>
      </c>
      <c r="CH137">
        <v>1.2E-2</v>
      </c>
      <c r="CI137">
        <v>-0.26300000000000001</v>
      </c>
      <c r="CJ137">
        <v>0.127</v>
      </c>
      <c r="CK137">
        <v>798</v>
      </c>
      <c r="CL137">
        <v>18</v>
      </c>
      <c r="CM137">
        <v>0.02</v>
      </c>
      <c r="CN137">
        <v>0.12</v>
      </c>
      <c r="CO137">
        <v>-335.24369999999999</v>
      </c>
      <c r="CP137">
        <v>-15.406784240150539</v>
      </c>
      <c r="CQ137">
        <v>1.48466587486882</v>
      </c>
      <c r="CR137">
        <v>-1</v>
      </c>
      <c r="CS137">
        <v>20.655439999999999</v>
      </c>
      <c r="CT137">
        <v>1.275572983114482</v>
      </c>
      <c r="CU137">
        <v>0.12280480813062659</v>
      </c>
      <c r="CV137">
        <v>-1</v>
      </c>
      <c r="CW137">
        <v>0</v>
      </c>
      <c r="CX137">
        <v>0</v>
      </c>
      <c r="CY137" t="s">
        <v>333</v>
      </c>
      <c r="CZ137">
        <v>2.3645299999999998</v>
      </c>
      <c r="DA137">
        <v>2.7137699999999998</v>
      </c>
      <c r="DB137">
        <v>9.9340399999999995E-2</v>
      </c>
      <c r="DC137">
        <v>0.14546100000000001</v>
      </c>
      <c r="DD137">
        <v>0.108558</v>
      </c>
      <c r="DE137">
        <v>1.25755E-2</v>
      </c>
      <c r="DF137">
        <v>32893.800000000003</v>
      </c>
      <c r="DG137">
        <v>27547.3</v>
      </c>
      <c r="DH137">
        <v>31178.5</v>
      </c>
      <c r="DI137">
        <v>28089.7</v>
      </c>
      <c r="DJ137">
        <v>37732.699999999997</v>
      </c>
      <c r="DK137">
        <v>39446.199999999997</v>
      </c>
      <c r="DL137">
        <v>44371.6</v>
      </c>
      <c r="DM137">
        <v>42573.599999999999</v>
      </c>
      <c r="DN137">
        <v>1.47448</v>
      </c>
      <c r="DO137">
        <v>2.0319799999999999</v>
      </c>
      <c r="DP137">
        <v>0.16974700000000001</v>
      </c>
      <c r="DQ137">
        <v>0.154916</v>
      </c>
      <c r="DR137">
        <v>24.1785</v>
      </c>
      <c r="DS137">
        <v>24.140899999999998</v>
      </c>
      <c r="DT137">
        <v>40.1</v>
      </c>
      <c r="DU137">
        <v>28.8</v>
      </c>
      <c r="DV137">
        <v>16.153099999999998</v>
      </c>
      <c r="DW137">
        <v>61.113</v>
      </c>
      <c r="DX137">
        <v>37.656199999999998</v>
      </c>
      <c r="DY137">
        <v>1</v>
      </c>
      <c r="DZ137">
        <v>-0.100531</v>
      </c>
      <c r="EA137">
        <v>0.20769899999999999</v>
      </c>
      <c r="EB137">
        <v>20.189499999999999</v>
      </c>
      <c r="EC137">
        <v>5.24125</v>
      </c>
      <c r="ED137">
        <v>12.039899999999999</v>
      </c>
      <c r="EE137">
        <v>5.0170500000000002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1.8689100000000001</v>
      </c>
      <c r="EL137">
        <v>1.8646199999999999</v>
      </c>
      <c r="EM137">
        <v>1.8692</v>
      </c>
      <c r="EN137">
        <v>1.86724</v>
      </c>
      <c r="EO137">
        <v>1.8633999999999999</v>
      </c>
      <c r="EP137">
        <v>1.8644700000000001</v>
      </c>
      <c r="EQ137">
        <v>1.87019</v>
      </c>
      <c r="ER137">
        <v>1.8694299999999999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-2.5000000000000001E-2</v>
      </c>
      <c r="FG137">
        <v>0.17519999999999999</v>
      </c>
      <c r="FH137">
        <v>0.28746640474027818</v>
      </c>
      <c r="FI137">
        <v>-6.1462078757559423E-4</v>
      </c>
      <c r="FJ137">
        <v>-1.8861989874597051E-7</v>
      </c>
      <c r="FK137">
        <v>1.1980462299894961E-10</v>
      </c>
      <c r="FL137">
        <v>0.17524818673008091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29.4</v>
      </c>
      <c r="FU137">
        <v>29.5</v>
      </c>
      <c r="FV137">
        <v>1.7687999999999999</v>
      </c>
      <c r="FW137">
        <v>2.5695800000000002</v>
      </c>
      <c r="FX137">
        <v>1.5490699999999999</v>
      </c>
      <c r="FY137">
        <v>2.3315399999999999</v>
      </c>
      <c r="FZ137">
        <v>1.50146</v>
      </c>
      <c r="GA137">
        <v>2.3706100000000001</v>
      </c>
      <c r="GB137">
        <v>33.580399999999997</v>
      </c>
      <c r="GC137">
        <v>23.982399999999998</v>
      </c>
      <c r="GD137">
        <v>19</v>
      </c>
      <c r="GE137">
        <v>281.84800000000001</v>
      </c>
      <c r="GF137">
        <v>578.80499999999995</v>
      </c>
      <c r="GG137">
        <v>23.404</v>
      </c>
      <c r="GH137">
        <v>26.114799999999999</v>
      </c>
      <c r="GI137">
        <v>29.9998</v>
      </c>
      <c r="GJ137">
        <v>26.283799999999999</v>
      </c>
      <c r="GK137">
        <v>26.273099999999999</v>
      </c>
      <c r="GL137">
        <v>35.363300000000002</v>
      </c>
      <c r="GM137">
        <v>87.7363</v>
      </c>
      <c r="GN137">
        <v>43.703800000000001</v>
      </c>
      <c r="GO137">
        <v>23.429200000000002</v>
      </c>
      <c r="GP137">
        <v>800</v>
      </c>
      <c r="GQ137">
        <v>1.38225</v>
      </c>
      <c r="GR137">
        <v>99.76</v>
      </c>
      <c r="GS137">
        <v>99.594999999999999</v>
      </c>
    </row>
    <row r="138" spans="1:201" x14ac:dyDescent="0.25">
      <c r="A138">
        <v>122</v>
      </c>
      <c r="B138">
        <v>1690383736</v>
      </c>
      <c r="C138">
        <v>1260.900000095367</v>
      </c>
      <c r="D138" t="s">
        <v>575</v>
      </c>
      <c r="E138" t="s">
        <v>576</v>
      </c>
      <c r="F138" t="s">
        <v>330</v>
      </c>
      <c r="H138">
        <v>1690383736</v>
      </c>
      <c r="I138">
        <f t="shared" si="30"/>
        <v>1.9868477162830037E-3</v>
      </c>
      <c r="J138">
        <f t="shared" si="31"/>
        <v>1.9868477162830038</v>
      </c>
      <c r="K138">
        <f t="shared" si="32"/>
        <v>30.35419573121337</v>
      </c>
      <c r="L138">
        <f t="shared" si="33"/>
        <v>459.36</v>
      </c>
      <c r="M138">
        <f t="shared" si="34"/>
        <v>123.68340498164447</v>
      </c>
      <c r="N138">
        <f t="shared" si="35"/>
        <v>12.217566345939456</v>
      </c>
      <c r="O138">
        <f t="shared" si="36"/>
        <v>45.376025001119999</v>
      </c>
      <c r="P138">
        <f t="shared" si="37"/>
        <v>0.15249847701453159</v>
      </c>
      <c r="Q138">
        <f t="shared" si="38"/>
        <v>2.11041007686865</v>
      </c>
      <c r="R138">
        <f t="shared" si="39"/>
        <v>0.1466303883898897</v>
      </c>
      <c r="S138">
        <f t="shared" si="40"/>
        <v>9.2152403292707033E-2</v>
      </c>
      <c r="T138">
        <f t="shared" si="41"/>
        <v>276.11581677223779</v>
      </c>
      <c r="U138">
        <f t="shared" si="42"/>
        <v>26.754552670943323</v>
      </c>
      <c r="V138">
        <f t="shared" si="43"/>
        <v>26.754552670943323</v>
      </c>
      <c r="W138">
        <f t="shared" si="44"/>
        <v>3.5278869880998571</v>
      </c>
      <c r="X138">
        <f t="shared" si="45"/>
        <v>69.050417528518309</v>
      </c>
      <c r="Y138">
        <f t="shared" si="46"/>
        <v>2.2283998345530001</v>
      </c>
      <c r="Z138">
        <f t="shared" si="47"/>
        <v>3.2272068936189342</v>
      </c>
      <c r="AA138">
        <f t="shared" si="48"/>
        <v>1.2994871535468571</v>
      </c>
      <c r="AB138">
        <f t="shared" si="49"/>
        <v>-87.61998428808046</v>
      </c>
      <c r="AC138">
        <f t="shared" si="50"/>
        <v>-171.28502751955455</v>
      </c>
      <c r="AD138">
        <f t="shared" si="51"/>
        <v>-17.341554824320873</v>
      </c>
      <c r="AE138">
        <f t="shared" si="52"/>
        <v>-0.13074985971809383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52508.142904439323</v>
      </c>
      <c r="AK138">
        <f t="shared" si="56"/>
        <v>1800.01</v>
      </c>
      <c r="AL138">
        <f t="shared" si="57"/>
        <v>1499.1177327855798</v>
      </c>
      <c r="AM138">
        <f t="shared" si="58"/>
        <v>0.83283855799999995</v>
      </c>
      <c r="AN138">
        <f t="shared" si="59"/>
        <v>0.15339682378</v>
      </c>
      <c r="AO138">
        <v>32.700000000000003</v>
      </c>
      <c r="AP138">
        <v>0.5</v>
      </c>
      <c r="AQ138" t="s">
        <v>331</v>
      </c>
      <c r="AR138">
        <v>2</v>
      </c>
      <c r="AS138">
        <v>1690383736</v>
      </c>
      <c r="AT138">
        <v>459.36</v>
      </c>
      <c r="AU138">
        <v>800.11099999999999</v>
      </c>
      <c r="AV138">
        <v>22.559000000000001</v>
      </c>
      <c r="AW138">
        <v>1.3945099999999999</v>
      </c>
      <c r="AX138">
        <v>459.38299999999998</v>
      </c>
      <c r="AY138">
        <v>22.383700000000001</v>
      </c>
      <c r="AZ138">
        <v>300.05099999999999</v>
      </c>
      <c r="BA138">
        <v>98.680899999999994</v>
      </c>
      <c r="BB138">
        <v>0.100067</v>
      </c>
      <c r="BC138">
        <v>25.249099999999999</v>
      </c>
      <c r="BD138">
        <v>26.988099999999999</v>
      </c>
      <c r="BE138">
        <v>26.686599999999999</v>
      </c>
      <c r="BF138">
        <v>0</v>
      </c>
      <c r="BG138">
        <v>0</v>
      </c>
      <c r="BH138">
        <v>10004.4</v>
      </c>
      <c r="BI138">
        <v>1055.21</v>
      </c>
      <c r="BJ138">
        <v>2.3547799999999999</v>
      </c>
      <c r="BK138">
        <v>-340.75</v>
      </c>
      <c r="BL138">
        <v>469.96199999999999</v>
      </c>
      <c r="BM138">
        <v>801.22799999999995</v>
      </c>
      <c r="BN138">
        <v>21.1645</v>
      </c>
      <c r="BO138">
        <v>800.11099999999999</v>
      </c>
      <c r="BP138">
        <v>1.3945099999999999</v>
      </c>
      <c r="BQ138">
        <v>2.22614</v>
      </c>
      <c r="BR138">
        <v>0.13761200000000001</v>
      </c>
      <c r="BS138">
        <v>19.151700000000002</v>
      </c>
      <c r="BT138">
        <v>-18.9634</v>
      </c>
      <c r="BU138">
        <v>1800.01</v>
      </c>
      <c r="BV138">
        <v>0.909999</v>
      </c>
      <c r="BW138">
        <v>3.4008499999999997E-2</v>
      </c>
      <c r="BX138">
        <v>2.19904E-2</v>
      </c>
      <c r="BY138">
        <v>3.4002400000000002E-2</v>
      </c>
      <c r="BZ138">
        <v>26</v>
      </c>
      <c r="CA138">
        <v>33528.6</v>
      </c>
      <c r="CB138">
        <v>1690381960.0999999</v>
      </c>
      <c r="CC138" t="s">
        <v>332</v>
      </c>
      <c r="CD138">
        <v>1690381960.0999999</v>
      </c>
      <c r="CE138">
        <v>1690381958.0999999</v>
      </c>
      <c r="CF138">
        <v>4</v>
      </c>
      <c r="CG138">
        <v>9.9000000000000005E-2</v>
      </c>
      <c r="CH138">
        <v>1.2E-2</v>
      </c>
      <c r="CI138">
        <v>-0.26300000000000001</v>
      </c>
      <c r="CJ138">
        <v>0.127</v>
      </c>
      <c r="CK138">
        <v>798</v>
      </c>
      <c r="CL138">
        <v>18</v>
      </c>
      <c r="CM138">
        <v>0.02</v>
      </c>
      <c r="CN138">
        <v>0.12</v>
      </c>
      <c r="CO138">
        <v>-337.83429999999998</v>
      </c>
      <c r="CP138">
        <v>-15.35315572232661</v>
      </c>
      <c r="CQ138">
        <v>1.47779692786255</v>
      </c>
      <c r="CR138">
        <v>-1</v>
      </c>
      <c r="CS138">
        <v>20.8838325</v>
      </c>
      <c r="CT138">
        <v>1.4773924953095601</v>
      </c>
      <c r="CU138">
        <v>0.14221141899914361</v>
      </c>
      <c r="CV138">
        <v>-1</v>
      </c>
      <c r="CW138">
        <v>0</v>
      </c>
      <c r="CX138">
        <v>0</v>
      </c>
      <c r="CY138" t="s">
        <v>333</v>
      </c>
      <c r="CZ138">
        <v>2.3643200000000002</v>
      </c>
      <c r="DA138">
        <v>2.7138599999999999</v>
      </c>
      <c r="DB138">
        <v>9.8924399999999996E-2</v>
      </c>
      <c r="DC138">
        <v>0.14546000000000001</v>
      </c>
      <c r="DD138">
        <v>0.10864600000000001</v>
      </c>
      <c r="DE138">
        <v>1.09178E-2</v>
      </c>
      <c r="DF138">
        <v>32909</v>
      </c>
      <c r="DG138">
        <v>27547.200000000001</v>
      </c>
      <c r="DH138">
        <v>31178.400000000001</v>
      </c>
      <c r="DI138">
        <v>28089.599999999999</v>
      </c>
      <c r="DJ138">
        <v>37728.800000000003</v>
      </c>
      <c r="DK138">
        <v>39512.6</v>
      </c>
      <c r="DL138">
        <v>44371.5</v>
      </c>
      <c r="DM138">
        <v>42573.599999999999</v>
      </c>
      <c r="DN138">
        <v>1.47448</v>
      </c>
      <c r="DO138">
        <v>2.0318000000000001</v>
      </c>
      <c r="DP138">
        <v>0.17111699999999999</v>
      </c>
      <c r="DQ138">
        <v>0.15488299999999999</v>
      </c>
      <c r="DR138">
        <v>24.1831</v>
      </c>
      <c r="DS138">
        <v>24.146999999999998</v>
      </c>
      <c r="DT138">
        <v>39.700000000000003</v>
      </c>
      <c r="DU138">
        <v>28.8</v>
      </c>
      <c r="DV138">
        <v>15.995900000000001</v>
      </c>
      <c r="DW138">
        <v>60.713000000000001</v>
      </c>
      <c r="DX138">
        <v>37.548099999999998</v>
      </c>
      <c r="DY138">
        <v>1</v>
      </c>
      <c r="DZ138">
        <v>-0.101075</v>
      </c>
      <c r="EA138">
        <v>0.18065100000000001</v>
      </c>
      <c r="EB138">
        <v>20.189900000000002</v>
      </c>
      <c r="EC138">
        <v>5.24125</v>
      </c>
      <c r="ED138">
        <v>12.039899999999999</v>
      </c>
      <c r="EE138">
        <v>5.0170000000000003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1.8689100000000001</v>
      </c>
      <c r="EL138">
        <v>1.8646199999999999</v>
      </c>
      <c r="EM138">
        <v>1.8692</v>
      </c>
      <c r="EN138">
        <v>1.8672500000000001</v>
      </c>
      <c r="EO138">
        <v>1.8633999999999999</v>
      </c>
      <c r="EP138">
        <v>1.8644700000000001</v>
      </c>
      <c r="EQ138">
        <v>1.87019</v>
      </c>
      <c r="ER138">
        <v>1.8693900000000001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-2.3E-2</v>
      </c>
      <c r="FG138">
        <v>0.17530000000000001</v>
      </c>
      <c r="FH138">
        <v>0.28746640474027818</v>
      </c>
      <c r="FI138">
        <v>-6.1462078757559423E-4</v>
      </c>
      <c r="FJ138">
        <v>-1.8861989874597051E-7</v>
      </c>
      <c r="FK138">
        <v>1.1980462299894961E-10</v>
      </c>
      <c r="FL138">
        <v>0.17524818673008091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29.6</v>
      </c>
      <c r="FU138">
        <v>29.6</v>
      </c>
      <c r="FV138">
        <v>1.7687999999999999</v>
      </c>
      <c r="FW138">
        <v>2.5769000000000002</v>
      </c>
      <c r="FX138">
        <v>1.5490699999999999</v>
      </c>
      <c r="FY138">
        <v>2.3315399999999999</v>
      </c>
      <c r="FZ138">
        <v>1.50146</v>
      </c>
      <c r="GA138">
        <v>2.34009</v>
      </c>
      <c r="GB138">
        <v>33.580399999999997</v>
      </c>
      <c r="GC138">
        <v>23.982399999999998</v>
      </c>
      <c r="GD138">
        <v>19</v>
      </c>
      <c r="GE138">
        <v>281.83100000000002</v>
      </c>
      <c r="GF138">
        <v>578.61500000000001</v>
      </c>
      <c r="GG138">
        <v>23.460999999999999</v>
      </c>
      <c r="GH138">
        <v>26.111799999999999</v>
      </c>
      <c r="GI138">
        <v>29.999700000000001</v>
      </c>
      <c r="GJ138">
        <v>26.279900000000001</v>
      </c>
      <c r="GK138">
        <v>26.268999999999998</v>
      </c>
      <c r="GL138">
        <v>35.360199999999999</v>
      </c>
      <c r="GM138">
        <v>90.002200000000002</v>
      </c>
      <c r="GN138">
        <v>42.9465</v>
      </c>
      <c r="GO138">
        <v>23.480599999999999</v>
      </c>
      <c r="GP138">
        <v>800</v>
      </c>
      <c r="GQ138">
        <v>1.1254500000000001</v>
      </c>
      <c r="GR138">
        <v>99.759799999999998</v>
      </c>
      <c r="GS138">
        <v>99.594899999999996</v>
      </c>
    </row>
    <row r="139" spans="1:201" x14ac:dyDescent="0.25">
      <c r="A139">
        <v>123</v>
      </c>
      <c r="B139">
        <v>1690383746</v>
      </c>
      <c r="C139">
        <v>1270.900000095367</v>
      </c>
      <c r="D139" t="s">
        <v>577</v>
      </c>
      <c r="E139" t="s">
        <v>578</v>
      </c>
      <c r="F139" t="s">
        <v>330</v>
      </c>
      <c r="H139">
        <v>1690383746</v>
      </c>
      <c r="I139">
        <f t="shared" si="30"/>
        <v>2.0095286833476745E-3</v>
      </c>
      <c r="J139">
        <f t="shared" si="31"/>
        <v>2.0095286833476744</v>
      </c>
      <c r="K139">
        <f t="shared" si="32"/>
        <v>30.579078690004973</v>
      </c>
      <c r="L139">
        <f t="shared" si="33"/>
        <v>456.82100000000003</v>
      </c>
      <c r="M139">
        <f t="shared" si="34"/>
        <v>122.82421402638336</v>
      </c>
      <c r="N139">
        <f t="shared" si="35"/>
        <v>12.132731492087739</v>
      </c>
      <c r="O139">
        <f t="shared" si="36"/>
        <v>45.125357217889096</v>
      </c>
      <c r="P139">
        <f t="shared" si="37"/>
        <v>0.1544608540503071</v>
      </c>
      <c r="Q139">
        <f t="shared" si="38"/>
        <v>2.1105525395306253</v>
      </c>
      <c r="R139">
        <f t="shared" si="39"/>
        <v>0.14844436407437323</v>
      </c>
      <c r="S139">
        <f t="shared" si="40"/>
        <v>9.329875867231284E-2</v>
      </c>
      <c r="T139">
        <f t="shared" si="41"/>
        <v>276.11431397999996</v>
      </c>
      <c r="U139">
        <f t="shared" si="42"/>
        <v>26.756246837342744</v>
      </c>
      <c r="V139">
        <f t="shared" si="43"/>
        <v>26.756246837342744</v>
      </c>
      <c r="W139">
        <f t="shared" si="44"/>
        <v>3.528238681226548</v>
      </c>
      <c r="X139">
        <f t="shared" si="45"/>
        <v>69.059317677676333</v>
      </c>
      <c r="Y139">
        <f t="shared" si="46"/>
        <v>2.2299871047825</v>
      </c>
      <c r="Z139">
        <f t="shared" si="47"/>
        <v>3.2290893970175309</v>
      </c>
      <c r="AA139">
        <f t="shared" si="48"/>
        <v>1.2982515764440481</v>
      </c>
      <c r="AB139">
        <f t="shared" si="49"/>
        <v>-88.620214935632447</v>
      </c>
      <c r="AC139">
        <f t="shared" si="50"/>
        <v>-170.37427501907149</v>
      </c>
      <c r="AD139">
        <f t="shared" si="51"/>
        <v>-17.249175822700725</v>
      </c>
      <c r="AE139">
        <f t="shared" si="52"/>
        <v>-0.12935179740472336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52512.670292956442</v>
      </c>
      <c r="AK139">
        <f t="shared" si="56"/>
        <v>1800</v>
      </c>
      <c r="AL139">
        <f t="shared" si="57"/>
        <v>1499.1081659999998</v>
      </c>
      <c r="AM139">
        <f t="shared" si="58"/>
        <v>0.83283786999999987</v>
      </c>
      <c r="AN139">
        <f t="shared" si="59"/>
        <v>0.15339684109999999</v>
      </c>
      <c r="AO139">
        <v>32.700000000000003</v>
      </c>
      <c r="AP139">
        <v>0.5</v>
      </c>
      <c r="AQ139" t="s">
        <v>331</v>
      </c>
      <c r="AR139">
        <v>2</v>
      </c>
      <c r="AS139">
        <v>1690383746</v>
      </c>
      <c r="AT139">
        <v>456.82100000000003</v>
      </c>
      <c r="AU139">
        <v>800.04300000000001</v>
      </c>
      <c r="AV139">
        <v>22.574999999999999</v>
      </c>
      <c r="AW139">
        <v>1.17161</v>
      </c>
      <c r="AX139">
        <v>456.84199999999998</v>
      </c>
      <c r="AY139">
        <v>22.399699999999999</v>
      </c>
      <c r="AZ139">
        <v>300.084</v>
      </c>
      <c r="BA139">
        <v>98.681299999999993</v>
      </c>
      <c r="BB139">
        <v>9.9967100000000003E-2</v>
      </c>
      <c r="BC139">
        <v>25.258900000000001</v>
      </c>
      <c r="BD139">
        <v>26.988299999999999</v>
      </c>
      <c r="BE139">
        <v>26.700900000000001</v>
      </c>
      <c r="BF139">
        <v>0</v>
      </c>
      <c r="BG139">
        <v>0</v>
      </c>
      <c r="BH139">
        <v>10005.6</v>
      </c>
      <c r="BI139">
        <v>1055.3800000000001</v>
      </c>
      <c r="BJ139">
        <v>2.3547799999999999</v>
      </c>
      <c r="BK139">
        <v>-343.22199999999998</v>
      </c>
      <c r="BL139">
        <v>467.37200000000001</v>
      </c>
      <c r="BM139">
        <v>800.98099999999999</v>
      </c>
      <c r="BN139">
        <v>21.403400000000001</v>
      </c>
      <c r="BO139">
        <v>800.04300000000001</v>
      </c>
      <c r="BP139">
        <v>1.17161</v>
      </c>
      <c r="BQ139">
        <v>2.2277300000000002</v>
      </c>
      <c r="BR139">
        <v>0.115616</v>
      </c>
      <c r="BS139">
        <v>19.1631</v>
      </c>
      <c r="BT139">
        <v>-20.9802</v>
      </c>
      <c r="BU139">
        <v>1800</v>
      </c>
      <c r="BV139">
        <v>0.90999200000000002</v>
      </c>
      <c r="BW139">
        <v>3.4008700000000003E-2</v>
      </c>
      <c r="BX139">
        <v>2.1989999999999999E-2</v>
      </c>
      <c r="BY139">
        <v>3.4009600000000001E-2</v>
      </c>
      <c r="BZ139">
        <v>26</v>
      </c>
      <c r="CA139">
        <v>33528.400000000001</v>
      </c>
      <c r="CB139">
        <v>1690381960.0999999</v>
      </c>
      <c r="CC139" t="s">
        <v>332</v>
      </c>
      <c r="CD139">
        <v>1690381960.0999999</v>
      </c>
      <c r="CE139">
        <v>1690381958.0999999</v>
      </c>
      <c r="CF139">
        <v>4</v>
      </c>
      <c r="CG139">
        <v>9.9000000000000005E-2</v>
      </c>
      <c r="CH139">
        <v>1.2E-2</v>
      </c>
      <c r="CI139">
        <v>-0.26300000000000001</v>
      </c>
      <c r="CJ139">
        <v>0.127</v>
      </c>
      <c r="CK139">
        <v>798</v>
      </c>
      <c r="CL139">
        <v>18</v>
      </c>
      <c r="CM139">
        <v>0.02</v>
      </c>
      <c r="CN139">
        <v>0.12</v>
      </c>
      <c r="CO139">
        <v>-340.45375609756098</v>
      </c>
      <c r="CP139">
        <v>-15.45746341463464</v>
      </c>
      <c r="CQ139">
        <v>1.5249473686317749</v>
      </c>
      <c r="CR139">
        <v>-1</v>
      </c>
      <c r="CS139">
        <v>21.138373170731711</v>
      </c>
      <c r="CT139">
        <v>1.4995505226480981</v>
      </c>
      <c r="CU139">
        <v>0.14788230162480209</v>
      </c>
      <c r="CV139">
        <v>-1</v>
      </c>
      <c r="CW139">
        <v>0</v>
      </c>
      <c r="CX139">
        <v>0</v>
      </c>
      <c r="CY139" t="s">
        <v>333</v>
      </c>
      <c r="CZ139">
        <v>2.3644500000000002</v>
      </c>
      <c r="DA139">
        <v>2.7137600000000002</v>
      </c>
      <c r="DB139">
        <v>9.8518099999999997E-2</v>
      </c>
      <c r="DC139">
        <v>0.14544899999999999</v>
      </c>
      <c r="DD139">
        <v>0.10870199999999999</v>
      </c>
      <c r="DE139">
        <v>9.2780799999999993E-3</v>
      </c>
      <c r="DF139">
        <v>32923.699999999997</v>
      </c>
      <c r="DG139">
        <v>27547.4</v>
      </c>
      <c r="DH139">
        <v>31178.3</v>
      </c>
      <c r="DI139">
        <v>28089.5</v>
      </c>
      <c r="DJ139">
        <v>37726.300000000003</v>
      </c>
      <c r="DK139">
        <v>39578.1</v>
      </c>
      <c r="DL139">
        <v>44371.4</v>
      </c>
      <c r="DM139">
        <v>42573.3</v>
      </c>
      <c r="DN139">
        <v>1.4741299999999999</v>
      </c>
      <c r="DO139">
        <v>2.0314000000000001</v>
      </c>
      <c r="DP139">
        <v>0.17072599999999999</v>
      </c>
      <c r="DQ139">
        <v>0.155281</v>
      </c>
      <c r="DR139">
        <v>24.189699999999998</v>
      </c>
      <c r="DS139">
        <v>24.154900000000001</v>
      </c>
      <c r="DT139">
        <v>39.200000000000003</v>
      </c>
      <c r="DU139">
        <v>28.8</v>
      </c>
      <c r="DV139">
        <v>15.793799999999999</v>
      </c>
      <c r="DW139">
        <v>60.942999999999998</v>
      </c>
      <c r="DX139">
        <v>37.3277</v>
      </c>
      <c r="DY139">
        <v>1</v>
      </c>
      <c r="DZ139">
        <v>-9.9773899999999999E-2</v>
      </c>
      <c r="EA139">
        <v>0.99626899999999996</v>
      </c>
      <c r="EB139">
        <v>20.185600000000001</v>
      </c>
      <c r="EC139">
        <v>5.2413999999999996</v>
      </c>
      <c r="ED139">
        <v>12.039899999999999</v>
      </c>
      <c r="EE139">
        <v>5.0168499999999998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1.86893</v>
      </c>
      <c r="EL139">
        <v>1.8646199999999999</v>
      </c>
      <c r="EM139">
        <v>1.8692</v>
      </c>
      <c r="EN139">
        <v>1.8672299999999999</v>
      </c>
      <c r="EO139">
        <v>1.8633900000000001</v>
      </c>
      <c r="EP139">
        <v>1.8644499999999999</v>
      </c>
      <c r="EQ139">
        <v>1.87018</v>
      </c>
      <c r="ER139">
        <v>1.8693900000000001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-2.1000000000000001E-2</v>
      </c>
      <c r="FG139">
        <v>0.17530000000000001</v>
      </c>
      <c r="FH139">
        <v>0.28746640474027818</v>
      </c>
      <c r="FI139">
        <v>-6.1462078757559423E-4</v>
      </c>
      <c r="FJ139">
        <v>-1.8861989874597051E-7</v>
      </c>
      <c r="FK139">
        <v>1.1980462299894961E-10</v>
      </c>
      <c r="FL139">
        <v>0.17524818673008091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29.8</v>
      </c>
      <c r="FU139">
        <v>29.8</v>
      </c>
      <c r="FV139">
        <v>1.7675799999999999</v>
      </c>
      <c r="FW139">
        <v>2.5769000000000002</v>
      </c>
      <c r="FX139">
        <v>1.5490699999999999</v>
      </c>
      <c r="FY139">
        <v>2.3315399999999999</v>
      </c>
      <c r="FZ139">
        <v>1.50146</v>
      </c>
      <c r="GA139">
        <v>2.36084</v>
      </c>
      <c r="GB139">
        <v>33.580399999999997</v>
      </c>
      <c r="GC139">
        <v>23.982399999999998</v>
      </c>
      <c r="GD139">
        <v>19</v>
      </c>
      <c r="GE139">
        <v>281.67200000000003</v>
      </c>
      <c r="GF139">
        <v>578.25699999999995</v>
      </c>
      <c r="GG139">
        <v>23.310099999999998</v>
      </c>
      <c r="GH139">
        <v>26.1096</v>
      </c>
      <c r="GI139">
        <v>30.000800000000002</v>
      </c>
      <c r="GJ139">
        <v>26.2776</v>
      </c>
      <c r="GK139">
        <v>26.266200000000001</v>
      </c>
      <c r="GL139">
        <v>35.354399999999998</v>
      </c>
      <c r="GM139">
        <v>92.442099999999996</v>
      </c>
      <c r="GN139">
        <v>41.811</v>
      </c>
      <c r="GO139">
        <v>23.246300000000002</v>
      </c>
      <c r="GP139">
        <v>800</v>
      </c>
      <c r="GQ139">
        <v>0.87826499999999996</v>
      </c>
      <c r="GR139">
        <v>99.759600000000006</v>
      </c>
      <c r="GS139">
        <v>99.594300000000004</v>
      </c>
    </row>
    <row r="140" spans="1:201" x14ac:dyDescent="0.25">
      <c r="A140">
        <v>124</v>
      </c>
      <c r="B140">
        <v>1690383756</v>
      </c>
      <c r="C140">
        <v>1280.900000095367</v>
      </c>
      <c r="D140" t="s">
        <v>579</v>
      </c>
      <c r="E140" t="s">
        <v>580</v>
      </c>
      <c r="F140" t="s">
        <v>330</v>
      </c>
      <c r="H140">
        <v>1690383756</v>
      </c>
      <c r="I140">
        <f t="shared" si="30"/>
        <v>2.0259929124147912E-3</v>
      </c>
      <c r="J140">
        <f t="shared" si="31"/>
        <v>2.0259929124147913</v>
      </c>
      <c r="K140">
        <f t="shared" si="32"/>
        <v>30.815147536049341</v>
      </c>
      <c r="L140">
        <f t="shared" si="33"/>
        <v>454.25</v>
      </c>
      <c r="M140">
        <f t="shared" si="34"/>
        <v>120.85713688577916</v>
      </c>
      <c r="N140">
        <f t="shared" si="35"/>
        <v>11.938216653551228</v>
      </c>
      <c r="O140">
        <f t="shared" si="36"/>
        <v>44.870622080024994</v>
      </c>
      <c r="P140">
        <f t="shared" si="37"/>
        <v>0.1559629673400286</v>
      </c>
      <c r="Q140">
        <f t="shared" si="38"/>
        <v>2.1111756351342765</v>
      </c>
      <c r="R140">
        <f t="shared" si="39"/>
        <v>0.149833120247576</v>
      </c>
      <c r="S140">
        <f t="shared" si="40"/>
        <v>9.4176368187273748E-2</v>
      </c>
      <c r="T140">
        <f t="shared" si="41"/>
        <v>276.11464005000005</v>
      </c>
      <c r="U140">
        <f t="shared" si="42"/>
        <v>26.740863514990501</v>
      </c>
      <c r="V140">
        <f t="shared" si="43"/>
        <v>26.740863514990501</v>
      </c>
      <c r="W140">
        <f t="shared" si="44"/>
        <v>3.5250463697185861</v>
      </c>
      <c r="X140">
        <f t="shared" si="45"/>
        <v>69.044224709498366</v>
      </c>
      <c r="Y140">
        <f t="shared" si="46"/>
        <v>2.2282795375749296</v>
      </c>
      <c r="Z140">
        <f t="shared" si="47"/>
        <v>3.2273221213654777</v>
      </c>
      <c r="AA140">
        <f t="shared" si="48"/>
        <v>1.2967668321436565</v>
      </c>
      <c r="AB140">
        <f t="shared" si="49"/>
        <v>-89.346287437492293</v>
      </c>
      <c r="AC140">
        <f t="shared" si="50"/>
        <v>-169.72080285473828</v>
      </c>
      <c r="AD140">
        <f t="shared" si="51"/>
        <v>-17.175825767323953</v>
      </c>
      <c r="AE140">
        <f t="shared" si="52"/>
        <v>-0.12827600955446883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52541.568939614132</v>
      </c>
      <c r="AK140">
        <f t="shared" si="56"/>
        <v>1800</v>
      </c>
      <c r="AL140">
        <f t="shared" si="57"/>
        <v>1499.108013</v>
      </c>
      <c r="AM140">
        <f t="shared" si="58"/>
        <v>0.83283778500000005</v>
      </c>
      <c r="AN140">
        <f t="shared" si="59"/>
        <v>0.15339702225000001</v>
      </c>
      <c r="AO140">
        <v>32.700000000000003</v>
      </c>
      <c r="AP140">
        <v>0.5</v>
      </c>
      <c r="AQ140" t="s">
        <v>331</v>
      </c>
      <c r="AR140">
        <v>2</v>
      </c>
      <c r="AS140">
        <v>1690383756</v>
      </c>
      <c r="AT140">
        <v>454.25</v>
      </c>
      <c r="AU140">
        <v>800.08</v>
      </c>
      <c r="AV140">
        <v>22.5581</v>
      </c>
      <c r="AW140">
        <v>0.97833000000000003</v>
      </c>
      <c r="AX140">
        <v>454.27</v>
      </c>
      <c r="AY140">
        <v>22.3828</v>
      </c>
      <c r="AZ140">
        <v>300.07499999999999</v>
      </c>
      <c r="BA140">
        <v>98.679599999999994</v>
      </c>
      <c r="BB140">
        <v>9.9975300000000003E-2</v>
      </c>
      <c r="BC140">
        <v>25.249700000000001</v>
      </c>
      <c r="BD140">
        <v>26.974900000000002</v>
      </c>
      <c r="BE140">
        <v>26.6935</v>
      </c>
      <c r="BF140">
        <v>0</v>
      </c>
      <c r="BG140">
        <v>0</v>
      </c>
      <c r="BH140">
        <v>10011.200000000001</v>
      </c>
      <c r="BI140">
        <v>1055.5</v>
      </c>
      <c r="BJ140">
        <v>2.3547799999999999</v>
      </c>
      <c r="BK140">
        <v>-345.82900000000001</v>
      </c>
      <c r="BL140">
        <v>464.73399999999998</v>
      </c>
      <c r="BM140">
        <v>800.86300000000006</v>
      </c>
      <c r="BN140">
        <v>21.579699999999999</v>
      </c>
      <c r="BO140">
        <v>800.08</v>
      </c>
      <c r="BP140">
        <v>0.97833000000000003</v>
      </c>
      <c r="BQ140">
        <v>2.2260200000000001</v>
      </c>
      <c r="BR140">
        <v>9.6541199999999994E-2</v>
      </c>
      <c r="BS140">
        <v>19.1508</v>
      </c>
      <c r="BT140">
        <v>-23.03</v>
      </c>
      <c r="BU140">
        <v>1800</v>
      </c>
      <c r="BV140">
        <v>0.90998699999999999</v>
      </c>
      <c r="BW140">
        <v>3.4007700000000002E-2</v>
      </c>
      <c r="BX140">
        <v>2.1992000000000001E-2</v>
      </c>
      <c r="BY140">
        <v>3.4013700000000001E-2</v>
      </c>
      <c r="BZ140">
        <v>26</v>
      </c>
      <c r="CA140">
        <v>33528.400000000001</v>
      </c>
      <c r="CB140">
        <v>1690381960.0999999</v>
      </c>
      <c r="CC140" t="s">
        <v>332</v>
      </c>
      <c r="CD140">
        <v>1690381960.0999999</v>
      </c>
      <c r="CE140">
        <v>1690381958.0999999</v>
      </c>
      <c r="CF140">
        <v>4</v>
      </c>
      <c r="CG140">
        <v>9.9000000000000005E-2</v>
      </c>
      <c r="CH140">
        <v>1.2E-2</v>
      </c>
      <c r="CI140">
        <v>-0.26300000000000001</v>
      </c>
      <c r="CJ140">
        <v>0.127</v>
      </c>
      <c r="CK140">
        <v>798</v>
      </c>
      <c r="CL140">
        <v>18</v>
      </c>
      <c r="CM140">
        <v>0.02</v>
      </c>
      <c r="CN140">
        <v>0.12</v>
      </c>
      <c r="CO140">
        <v>-342.99692682926832</v>
      </c>
      <c r="CP140">
        <v>-15.215121951219791</v>
      </c>
      <c r="CQ140">
        <v>1.50078102252556</v>
      </c>
      <c r="CR140">
        <v>-1</v>
      </c>
      <c r="CS140">
        <v>21.36829512195122</v>
      </c>
      <c r="CT140">
        <v>1.266428571428585</v>
      </c>
      <c r="CU140">
        <v>0.12527088882082979</v>
      </c>
      <c r="CV140">
        <v>-1</v>
      </c>
      <c r="CW140">
        <v>0</v>
      </c>
      <c r="CX140">
        <v>0</v>
      </c>
      <c r="CY140" t="s">
        <v>333</v>
      </c>
      <c r="CZ140">
        <v>2.3644400000000001</v>
      </c>
      <c r="DA140">
        <v>2.7137799999999999</v>
      </c>
      <c r="DB140">
        <v>9.8103899999999994E-2</v>
      </c>
      <c r="DC140">
        <v>0.14544799999999999</v>
      </c>
      <c r="DD140">
        <v>0.108643</v>
      </c>
      <c r="DE140">
        <v>7.8270700000000002E-3</v>
      </c>
      <c r="DF140">
        <v>32938.699999999997</v>
      </c>
      <c r="DG140">
        <v>27547.7</v>
      </c>
      <c r="DH140">
        <v>31178.2</v>
      </c>
      <c r="DI140">
        <v>28089.7</v>
      </c>
      <c r="DJ140">
        <v>37728.699999999997</v>
      </c>
      <c r="DK140">
        <v>39636.199999999997</v>
      </c>
      <c r="DL140">
        <v>44371.4</v>
      </c>
      <c r="DM140">
        <v>42573.3</v>
      </c>
      <c r="DN140">
        <v>1.47458</v>
      </c>
      <c r="DO140">
        <v>2.0315699999999999</v>
      </c>
      <c r="DP140">
        <v>0.169542</v>
      </c>
      <c r="DQ140">
        <v>0.15432000000000001</v>
      </c>
      <c r="DR140">
        <v>24.195799999999998</v>
      </c>
      <c r="DS140">
        <v>24.1633</v>
      </c>
      <c r="DT140">
        <v>38.700000000000003</v>
      </c>
      <c r="DU140">
        <v>28.8</v>
      </c>
      <c r="DV140">
        <v>15.5921</v>
      </c>
      <c r="DW140">
        <v>60.933</v>
      </c>
      <c r="DX140">
        <v>37.227600000000002</v>
      </c>
      <c r="DY140">
        <v>1</v>
      </c>
      <c r="DZ140">
        <v>-0.10055600000000001</v>
      </c>
      <c r="EA140">
        <v>0.50023399999999996</v>
      </c>
      <c r="EB140">
        <v>20.188300000000002</v>
      </c>
      <c r="EC140">
        <v>5.2413999999999996</v>
      </c>
      <c r="ED140">
        <v>12.039899999999999</v>
      </c>
      <c r="EE140">
        <v>5.0169499999999996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</v>
      </c>
      <c r="EL140">
        <v>1.86463</v>
      </c>
      <c r="EM140">
        <v>1.86921</v>
      </c>
      <c r="EN140">
        <v>1.86724</v>
      </c>
      <c r="EO140">
        <v>1.86338</v>
      </c>
      <c r="EP140">
        <v>1.8644499999999999</v>
      </c>
      <c r="EQ140">
        <v>1.87018</v>
      </c>
      <c r="ER140">
        <v>1.8693900000000001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-0.02</v>
      </c>
      <c r="FG140">
        <v>0.17530000000000001</v>
      </c>
      <c r="FH140">
        <v>0.28746640474027818</v>
      </c>
      <c r="FI140">
        <v>-6.1462078757559423E-4</v>
      </c>
      <c r="FJ140">
        <v>-1.8861989874597051E-7</v>
      </c>
      <c r="FK140">
        <v>1.1980462299894961E-10</v>
      </c>
      <c r="FL140">
        <v>0.17524818673008091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29.9</v>
      </c>
      <c r="FU140">
        <v>30</v>
      </c>
      <c r="FV140">
        <v>1.7675799999999999</v>
      </c>
      <c r="FW140">
        <v>2.5732400000000002</v>
      </c>
      <c r="FX140">
        <v>1.5490699999999999</v>
      </c>
      <c r="FY140">
        <v>2.3315399999999999</v>
      </c>
      <c r="FZ140">
        <v>1.50146</v>
      </c>
      <c r="GA140">
        <v>2.4218799999999998</v>
      </c>
      <c r="GB140">
        <v>33.580399999999997</v>
      </c>
      <c r="GC140">
        <v>23.982399999999998</v>
      </c>
      <c r="GD140">
        <v>19</v>
      </c>
      <c r="GE140">
        <v>281.84300000000002</v>
      </c>
      <c r="GF140">
        <v>578.35400000000004</v>
      </c>
      <c r="GG140">
        <v>23.218699999999998</v>
      </c>
      <c r="GH140">
        <v>26.107399999999998</v>
      </c>
      <c r="GI140">
        <v>29.9999</v>
      </c>
      <c r="GJ140">
        <v>26.273099999999999</v>
      </c>
      <c r="GK140">
        <v>26.2621</v>
      </c>
      <c r="GL140">
        <v>35.346600000000002</v>
      </c>
      <c r="GM140">
        <v>95.593199999999996</v>
      </c>
      <c r="GN140">
        <v>41.055500000000002</v>
      </c>
      <c r="GO140">
        <v>23.267900000000001</v>
      </c>
      <c r="GP140">
        <v>800</v>
      </c>
      <c r="GQ140">
        <v>0.64630200000000004</v>
      </c>
      <c r="GR140">
        <v>99.759399999999999</v>
      </c>
      <c r="GS140">
        <v>99.594700000000003</v>
      </c>
    </row>
    <row r="141" spans="1:201" x14ac:dyDescent="0.25">
      <c r="A141">
        <v>125</v>
      </c>
      <c r="B141">
        <v>1690383766</v>
      </c>
      <c r="C141">
        <v>1290.900000095367</v>
      </c>
      <c r="D141" t="s">
        <v>581</v>
      </c>
      <c r="E141" t="s">
        <v>582</v>
      </c>
      <c r="F141" t="s">
        <v>330</v>
      </c>
      <c r="H141">
        <v>1690383766</v>
      </c>
      <c r="I141">
        <f t="shared" si="30"/>
        <v>2.0407573479357091E-3</v>
      </c>
      <c r="J141">
        <f t="shared" si="31"/>
        <v>2.0407573479357093</v>
      </c>
      <c r="K141">
        <f t="shared" si="32"/>
        <v>31.052283822916287</v>
      </c>
      <c r="L141">
        <f t="shared" si="33"/>
        <v>451.85</v>
      </c>
      <c r="M141">
        <f t="shared" si="34"/>
        <v>119.06673389727828</v>
      </c>
      <c r="N141">
        <f t="shared" si="35"/>
        <v>11.761373837298283</v>
      </c>
      <c r="O141">
        <f t="shared" si="36"/>
        <v>44.633598272444999</v>
      </c>
      <c r="P141">
        <f t="shared" si="37"/>
        <v>0.15747935479406339</v>
      </c>
      <c r="Q141">
        <f t="shared" si="38"/>
        <v>2.111544015194196</v>
      </c>
      <c r="R141">
        <f t="shared" si="39"/>
        <v>0.15123334112778075</v>
      </c>
      <c r="S141">
        <f t="shared" si="40"/>
        <v>9.5061375691383426E-2</v>
      </c>
      <c r="T141">
        <f t="shared" si="41"/>
        <v>276.11659535399997</v>
      </c>
      <c r="U141">
        <f t="shared" si="42"/>
        <v>26.735644775854041</v>
      </c>
      <c r="V141">
        <f t="shared" si="43"/>
        <v>26.735644775854041</v>
      </c>
      <c r="W141">
        <f t="shared" si="44"/>
        <v>3.5239639620253267</v>
      </c>
      <c r="X141">
        <f t="shared" si="45"/>
        <v>69.09183494920687</v>
      </c>
      <c r="Y141">
        <f t="shared" si="46"/>
        <v>2.2298426115798295</v>
      </c>
      <c r="Z141">
        <f t="shared" si="47"/>
        <v>3.2273605314131646</v>
      </c>
      <c r="AA141">
        <f t="shared" si="48"/>
        <v>1.2941213504454971</v>
      </c>
      <c r="AB141">
        <f t="shared" si="49"/>
        <v>-89.997399043964776</v>
      </c>
      <c r="AC141">
        <f t="shared" si="50"/>
        <v>-169.13356147319337</v>
      </c>
      <c r="AD141">
        <f t="shared" si="51"/>
        <v>-17.112978885273787</v>
      </c>
      <c r="AE141">
        <f t="shared" si="52"/>
        <v>-0.1273440484319508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52557.689734234176</v>
      </c>
      <c r="AK141">
        <f t="shared" si="56"/>
        <v>1800</v>
      </c>
      <c r="AL141">
        <f t="shared" si="57"/>
        <v>1499.1090803999998</v>
      </c>
      <c r="AM141">
        <f t="shared" si="58"/>
        <v>0.83283837799999993</v>
      </c>
      <c r="AN141">
        <f t="shared" si="59"/>
        <v>0.15339810852999999</v>
      </c>
      <c r="AO141">
        <v>32.700000000000003</v>
      </c>
      <c r="AP141">
        <v>0.5</v>
      </c>
      <c r="AQ141" t="s">
        <v>331</v>
      </c>
      <c r="AR141">
        <v>2</v>
      </c>
      <c r="AS141">
        <v>1690383766</v>
      </c>
      <c r="AT141">
        <v>451.85</v>
      </c>
      <c r="AU141">
        <v>800.22</v>
      </c>
      <c r="AV141">
        <v>22.573899999999998</v>
      </c>
      <c r="AW141">
        <v>0.84120200000000001</v>
      </c>
      <c r="AX141">
        <v>451.86700000000002</v>
      </c>
      <c r="AY141">
        <v>22.398700000000002</v>
      </c>
      <c r="AZ141">
        <v>300.13</v>
      </c>
      <c r="BA141">
        <v>98.679699999999997</v>
      </c>
      <c r="BB141">
        <v>9.9979700000000005E-2</v>
      </c>
      <c r="BC141">
        <v>25.2499</v>
      </c>
      <c r="BD141">
        <v>26.978200000000001</v>
      </c>
      <c r="BE141">
        <v>26.671800000000001</v>
      </c>
      <c r="BF141">
        <v>0</v>
      </c>
      <c r="BG141">
        <v>0</v>
      </c>
      <c r="BH141">
        <v>10014.4</v>
      </c>
      <c r="BI141">
        <v>1055.6199999999999</v>
      </c>
      <c r="BJ141">
        <v>2.3547799999999999</v>
      </c>
      <c r="BK141">
        <v>-348.37</v>
      </c>
      <c r="BL141">
        <v>462.28500000000003</v>
      </c>
      <c r="BM141">
        <v>800.89300000000003</v>
      </c>
      <c r="BN141">
        <v>21.732700000000001</v>
      </c>
      <c r="BO141">
        <v>800.22</v>
      </c>
      <c r="BP141">
        <v>0.84120200000000001</v>
      </c>
      <c r="BQ141">
        <v>2.2275900000000002</v>
      </c>
      <c r="BR141">
        <v>8.3009600000000003E-2</v>
      </c>
      <c r="BS141">
        <v>19.162099999999999</v>
      </c>
      <c r="BT141">
        <v>-24.717500000000001</v>
      </c>
      <c r="BU141">
        <v>1800</v>
      </c>
      <c r="BV141">
        <v>0.90997399999999995</v>
      </c>
      <c r="BW141">
        <v>3.4006700000000001E-2</v>
      </c>
      <c r="BX141">
        <v>2.2006899999999999E-2</v>
      </c>
      <c r="BY141">
        <v>3.40127E-2</v>
      </c>
      <c r="BZ141">
        <v>26</v>
      </c>
      <c r="CA141">
        <v>33528.1</v>
      </c>
      <c r="CB141">
        <v>1690381960.0999999</v>
      </c>
      <c r="CC141" t="s">
        <v>332</v>
      </c>
      <c r="CD141">
        <v>1690381960.0999999</v>
      </c>
      <c r="CE141">
        <v>1690381958.0999999</v>
      </c>
      <c r="CF141">
        <v>4</v>
      </c>
      <c r="CG141">
        <v>9.9000000000000005E-2</v>
      </c>
      <c r="CH141">
        <v>1.2E-2</v>
      </c>
      <c r="CI141">
        <v>-0.26300000000000001</v>
      </c>
      <c r="CJ141">
        <v>0.127</v>
      </c>
      <c r="CK141">
        <v>798</v>
      </c>
      <c r="CL141">
        <v>18</v>
      </c>
      <c r="CM141">
        <v>0.02</v>
      </c>
      <c r="CN141">
        <v>0.12</v>
      </c>
      <c r="CO141">
        <v>-345.42817500000001</v>
      </c>
      <c r="CP141">
        <v>-14.781399624764401</v>
      </c>
      <c r="CQ141">
        <v>1.4231776573481589</v>
      </c>
      <c r="CR141">
        <v>-1</v>
      </c>
      <c r="CS141">
        <v>21.554475</v>
      </c>
      <c r="CT141">
        <v>1.01299812382731</v>
      </c>
      <c r="CU141">
        <v>9.749942499830444E-2</v>
      </c>
      <c r="CV141">
        <v>-1</v>
      </c>
      <c r="CW141">
        <v>0</v>
      </c>
      <c r="CX141">
        <v>0</v>
      </c>
      <c r="CY141" t="s">
        <v>333</v>
      </c>
      <c r="CZ141">
        <v>2.3646500000000001</v>
      </c>
      <c r="DA141">
        <v>2.7137799999999999</v>
      </c>
      <c r="DB141">
        <v>9.7717499999999999E-2</v>
      </c>
      <c r="DC141">
        <v>0.14546300000000001</v>
      </c>
      <c r="DD141">
        <v>0.108698</v>
      </c>
      <c r="DE141">
        <v>6.7803200000000003E-3</v>
      </c>
      <c r="DF141">
        <v>32953.9</v>
      </c>
      <c r="DG141">
        <v>27547.200000000001</v>
      </c>
      <c r="DH141">
        <v>31179.200000000001</v>
      </c>
      <c r="DI141">
        <v>28089.7</v>
      </c>
      <c r="DJ141">
        <v>37727.300000000003</v>
      </c>
      <c r="DK141">
        <v>39678.1</v>
      </c>
      <c r="DL141">
        <v>44372.6</v>
      </c>
      <c r="DM141">
        <v>42573.2</v>
      </c>
      <c r="DN141">
        <v>1.4751300000000001</v>
      </c>
      <c r="DO141">
        <v>2.03023</v>
      </c>
      <c r="DP141">
        <v>0.16936999999999999</v>
      </c>
      <c r="DQ141">
        <v>0.15254699999999999</v>
      </c>
      <c r="DR141">
        <v>24.201899999999998</v>
      </c>
      <c r="DS141">
        <v>24.1706</v>
      </c>
      <c r="DT141">
        <v>38.200000000000003</v>
      </c>
      <c r="DU141">
        <v>28.8</v>
      </c>
      <c r="DV141">
        <v>15.390700000000001</v>
      </c>
      <c r="DW141">
        <v>60.953000000000003</v>
      </c>
      <c r="DX141">
        <v>36.822899999999997</v>
      </c>
      <c r="DY141">
        <v>1</v>
      </c>
      <c r="DZ141">
        <v>-0.100943</v>
      </c>
      <c r="EA141">
        <v>0.30997799999999998</v>
      </c>
      <c r="EB141">
        <v>20.189</v>
      </c>
      <c r="EC141">
        <v>5.2411000000000003</v>
      </c>
      <c r="ED141">
        <v>12.039899999999999</v>
      </c>
      <c r="EE141">
        <v>5.0166500000000003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</v>
      </c>
      <c r="EL141">
        <v>1.8646400000000001</v>
      </c>
      <c r="EM141">
        <v>1.8692</v>
      </c>
      <c r="EN141">
        <v>1.8672299999999999</v>
      </c>
      <c r="EO141">
        <v>1.8633999999999999</v>
      </c>
      <c r="EP141">
        <v>1.8644499999999999</v>
      </c>
      <c r="EQ141">
        <v>1.87018</v>
      </c>
      <c r="ER141">
        <v>1.86938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-1.7000000000000001E-2</v>
      </c>
      <c r="FG141">
        <v>0.17519999999999999</v>
      </c>
      <c r="FH141">
        <v>0.28746640474027818</v>
      </c>
      <c r="FI141">
        <v>-6.1462078757559423E-4</v>
      </c>
      <c r="FJ141">
        <v>-1.8861989874597051E-7</v>
      </c>
      <c r="FK141">
        <v>1.1980462299894961E-10</v>
      </c>
      <c r="FL141">
        <v>0.17524818673008091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30.1</v>
      </c>
      <c r="FU141">
        <v>30.1</v>
      </c>
      <c r="FV141">
        <v>1.7675799999999999</v>
      </c>
      <c r="FW141">
        <v>2.5732400000000002</v>
      </c>
      <c r="FX141">
        <v>1.5490699999999999</v>
      </c>
      <c r="FY141">
        <v>2.3327599999999999</v>
      </c>
      <c r="FZ141">
        <v>1.50146</v>
      </c>
      <c r="GA141">
        <v>2.3767100000000001</v>
      </c>
      <c r="GB141">
        <v>33.580399999999997</v>
      </c>
      <c r="GC141">
        <v>23.982399999999998</v>
      </c>
      <c r="GD141">
        <v>19</v>
      </c>
      <c r="GE141">
        <v>282.06700000000001</v>
      </c>
      <c r="GF141">
        <v>577.22400000000005</v>
      </c>
      <c r="GG141">
        <v>23.279299999999999</v>
      </c>
      <c r="GH141">
        <v>26.104800000000001</v>
      </c>
      <c r="GI141">
        <v>29.9998</v>
      </c>
      <c r="GJ141">
        <v>26.270900000000001</v>
      </c>
      <c r="GK141">
        <v>26.259899999999998</v>
      </c>
      <c r="GL141">
        <v>35.334800000000001</v>
      </c>
      <c r="GM141">
        <v>100</v>
      </c>
      <c r="GN141">
        <v>39.9133</v>
      </c>
      <c r="GO141">
        <v>23.3062</v>
      </c>
      <c r="GP141">
        <v>800</v>
      </c>
      <c r="GQ141">
        <v>0.39063999999999999</v>
      </c>
      <c r="GR141">
        <v>99.762299999999996</v>
      </c>
      <c r="GS141">
        <v>99.5946</v>
      </c>
    </row>
    <row r="142" spans="1:201" x14ac:dyDescent="0.25">
      <c r="A142">
        <v>126</v>
      </c>
      <c r="B142">
        <v>1690383776</v>
      </c>
      <c r="C142">
        <v>1300.900000095367</v>
      </c>
      <c r="D142" t="s">
        <v>583</v>
      </c>
      <c r="E142" t="s">
        <v>584</v>
      </c>
      <c r="F142" t="s">
        <v>330</v>
      </c>
      <c r="H142">
        <v>1690383776</v>
      </c>
      <c r="I142">
        <f t="shared" si="30"/>
        <v>2.0844759212655458E-3</v>
      </c>
      <c r="J142">
        <f t="shared" si="31"/>
        <v>2.0844759212655459</v>
      </c>
      <c r="K142">
        <f t="shared" si="32"/>
        <v>31.239531129225025</v>
      </c>
      <c r="L142">
        <f t="shared" si="33"/>
        <v>449.45100000000002</v>
      </c>
      <c r="M142">
        <f t="shared" si="34"/>
        <v>122.35319771374239</v>
      </c>
      <c r="N142">
        <f t="shared" si="35"/>
        <v>12.085942300528265</v>
      </c>
      <c r="O142">
        <f t="shared" si="36"/>
        <v>44.396378308179003</v>
      </c>
      <c r="P142">
        <f t="shared" si="37"/>
        <v>0.16137825788164398</v>
      </c>
      <c r="Q142">
        <f t="shared" si="38"/>
        <v>2.1080141611455705</v>
      </c>
      <c r="R142">
        <f t="shared" si="39"/>
        <v>0.15481556290183673</v>
      </c>
      <c r="S142">
        <f t="shared" si="40"/>
        <v>9.7327120352434598E-2</v>
      </c>
      <c r="T142">
        <f t="shared" si="41"/>
        <v>276.11682724799999</v>
      </c>
      <c r="U142">
        <f t="shared" si="42"/>
        <v>26.73297879973024</v>
      </c>
      <c r="V142">
        <f t="shared" si="43"/>
        <v>26.73297879973024</v>
      </c>
      <c r="W142">
        <f t="shared" si="44"/>
        <v>3.5234111295197015</v>
      </c>
      <c r="X142">
        <f t="shared" si="45"/>
        <v>69.120787600210647</v>
      </c>
      <c r="Y142">
        <f t="shared" si="46"/>
        <v>2.2321712454904001</v>
      </c>
      <c r="Z142">
        <f t="shared" si="47"/>
        <v>3.2293776199442461</v>
      </c>
      <c r="AA142">
        <f t="shared" si="48"/>
        <v>1.2912398840293013</v>
      </c>
      <c r="AB142">
        <f t="shared" si="49"/>
        <v>-91.925388127810564</v>
      </c>
      <c r="AC142">
        <f t="shared" si="50"/>
        <v>-167.3545449218764</v>
      </c>
      <c r="AD142">
        <f t="shared" si="51"/>
        <v>-16.961996434888597</v>
      </c>
      <c r="AE142">
        <f t="shared" si="52"/>
        <v>-0.1251022365755432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52401.176919460573</v>
      </c>
      <c r="AK142">
        <f t="shared" si="56"/>
        <v>1800</v>
      </c>
      <c r="AL142">
        <f t="shared" si="57"/>
        <v>1499.1089058</v>
      </c>
      <c r="AM142">
        <f t="shared" si="58"/>
        <v>0.83283828100000001</v>
      </c>
      <c r="AN142">
        <f t="shared" si="59"/>
        <v>0.15339823735999999</v>
      </c>
      <c r="AO142">
        <v>32.700000000000003</v>
      </c>
      <c r="AP142">
        <v>0.5</v>
      </c>
      <c r="AQ142" t="s">
        <v>331</v>
      </c>
      <c r="AR142">
        <v>2</v>
      </c>
      <c r="AS142">
        <v>1690383776</v>
      </c>
      <c r="AT142">
        <v>449.45100000000002</v>
      </c>
      <c r="AU142">
        <v>800.00199999999995</v>
      </c>
      <c r="AV142">
        <v>22.5976</v>
      </c>
      <c r="AW142">
        <v>0.40112399999999998</v>
      </c>
      <c r="AX142">
        <v>449.46699999999998</v>
      </c>
      <c r="AY142">
        <v>22.4223</v>
      </c>
      <c r="AZ142">
        <v>300.14699999999999</v>
      </c>
      <c r="BA142">
        <v>98.679000000000002</v>
      </c>
      <c r="BB142">
        <v>0.100129</v>
      </c>
      <c r="BC142">
        <v>25.260400000000001</v>
      </c>
      <c r="BD142">
        <v>26.9404</v>
      </c>
      <c r="BE142">
        <v>26.683700000000002</v>
      </c>
      <c r="BF142">
        <v>0</v>
      </c>
      <c r="BG142">
        <v>0</v>
      </c>
      <c r="BH142">
        <v>9983.75</v>
      </c>
      <c r="BI142">
        <v>1055.75</v>
      </c>
      <c r="BJ142">
        <v>2.3547799999999999</v>
      </c>
      <c r="BK142">
        <v>-350.55</v>
      </c>
      <c r="BL142">
        <v>459.84300000000002</v>
      </c>
      <c r="BM142">
        <v>800.32299999999998</v>
      </c>
      <c r="BN142">
        <v>22.196400000000001</v>
      </c>
      <c r="BO142">
        <v>800.00199999999995</v>
      </c>
      <c r="BP142">
        <v>0.40112399999999998</v>
      </c>
      <c r="BQ142">
        <v>2.2299000000000002</v>
      </c>
      <c r="BR142">
        <v>3.95825E-2</v>
      </c>
      <c r="BS142">
        <v>19.178799999999999</v>
      </c>
      <c r="BT142">
        <v>-32.628900000000002</v>
      </c>
      <c r="BU142">
        <v>1800</v>
      </c>
      <c r="BV142">
        <v>0.909972</v>
      </c>
      <c r="BW142">
        <v>3.4006300000000003E-2</v>
      </c>
      <c r="BX142">
        <v>2.2009299999999999E-2</v>
      </c>
      <c r="BY142">
        <v>3.4012399999999998E-2</v>
      </c>
      <c r="BZ142">
        <v>26</v>
      </c>
      <c r="CA142">
        <v>33528.199999999997</v>
      </c>
      <c r="CB142">
        <v>1690381960.0999999</v>
      </c>
      <c r="CC142" t="s">
        <v>332</v>
      </c>
      <c r="CD142">
        <v>1690381960.0999999</v>
      </c>
      <c r="CE142">
        <v>1690381958.0999999</v>
      </c>
      <c r="CF142">
        <v>4</v>
      </c>
      <c r="CG142">
        <v>9.9000000000000005E-2</v>
      </c>
      <c r="CH142">
        <v>1.2E-2</v>
      </c>
      <c r="CI142">
        <v>-0.26300000000000001</v>
      </c>
      <c r="CJ142">
        <v>0.127</v>
      </c>
      <c r="CK142">
        <v>798</v>
      </c>
      <c r="CL142">
        <v>18</v>
      </c>
      <c r="CM142">
        <v>0.02</v>
      </c>
      <c r="CN142">
        <v>0.12</v>
      </c>
      <c r="CO142">
        <v>-347.84307500000011</v>
      </c>
      <c r="CP142">
        <v>-13.501114446528531</v>
      </c>
      <c r="CQ142">
        <v>1.3120115355342701</v>
      </c>
      <c r="CR142">
        <v>-1</v>
      </c>
      <c r="CS142">
        <v>21.794664999999998</v>
      </c>
      <c r="CT142">
        <v>1.9401185741087621</v>
      </c>
      <c r="CU142">
        <v>0.19675646310858549</v>
      </c>
      <c r="CV142">
        <v>-1</v>
      </c>
      <c r="CW142">
        <v>0</v>
      </c>
      <c r="CX142">
        <v>0</v>
      </c>
      <c r="CY142" t="s">
        <v>333</v>
      </c>
      <c r="CZ142">
        <v>2.3647100000000001</v>
      </c>
      <c r="DA142">
        <v>2.7139099999999998</v>
      </c>
      <c r="DB142">
        <v>9.7330100000000003E-2</v>
      </c>
      <c r="DC142">
        <v>0.145429</v>
      </c>
      <c r="DD142">
        <v>0.108779</v>
      </c>
      <c r="DE142">
        <v>3.3152500000000001E-3</v>
      </c>
      <c r="DF142">
        <v>32968.199999999997</v>
      </c>
      <c r="DG142">
        <v>27549.200000000001</v>
      </c>
      <c r="DH142">
        <v>31179.4</v>
      </c>
      <c r="DI142">
        <v>28090.7</v>
      </c>
      <c r="DJ142">
        <v>37724.199999999997</v>
      </c>
      <c r="DK142">
        <v>39818</v>
      </c>
      <c r="DL142">
        <v>44373</v>
      </c>
      <c r="DM142">
        <v>42574.3</v>
      </c>
      <c r="DN142">
        <v>1.4754</v>
      </c>
      <c r="DO142">
        <v>2.03125</v>
      </c>
      <c r="DP142">
        <v>0.166655</v>
      </c>
      <c r="DQ142">
        <v>0.15285199999999999</v>
      </c>
      <c r="DR142">
        <v>24.208600000000001</v>
      </c>
      <c r="DS142">
        <v>24.177499999999998</v>
      </c>
      <c r="DT142">
        <v>37.799999999999997</v>
      </c>
      <c r="DU142">
        <v>28.9</v>
      </c>
      <c r="DV142">
        <v>15.316000000000001</v>
      </c>
      <c r="DW142">
        <v>60.883000000000003</v>
      </c>
      <c r="DX142">
        <v>36.786900000000003</v>
      </c>
      <c r="DY142">
        <v>1</v>
      </c>
      <c r="DZ142">
        <v>-0.10156999999999999</v>
      </c>
      <c r="EA142">
        <v>0.26068400000000003</v>
      </c>
      <c r="EB142">
        <v>20.189499999999999</v>
      </c>
      <c r="EC142">
        <v>5.24125</v>
      </c>
      <c r="ED142">
        <v>12.039899999999999</v>
      </c>
      <c r="EE142">
        <v>5.0167999999999999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1.8689100000000001</v>
      </c>
      <c r="EL142">
        <v>1.8646199999999999</v>
      </c>
      <c r="EM142">
        <v>1.8692</v>
      </c>
      <c r="EN142">
        <v>1.86724</v>
      </c>
      <c r="EO142">
        <v>1.8633900000000001</v>
      </c>
      <c r="EP142">
        <v>1.8644499999999999</v>
      </c>
      <c r="EQ142">
        <v>1.8701700000000001</v>
      </c>
      <c r="ER142">
        <v>1.86938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-1.6E-2</v>
      </c>
      <c r="FG142">
        <v>0.17530000000000001</v>
      </c>
      <c r="FH142">
        <v>0.28746640474027818</v>
      </c>
      <c r="FI142">
        <v>-6.1462078757559423E-4</v>
      </c>
      <c r="FJ142">
        <v>-1.8861989874597051E-7</v>
      </c>
      <c r="FK142">
        <v>1.1980462299894961E-10</v>
      </c>
      <c r="FL142">
        <v>0.17524818673008091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30.3</v>
      </c>
      <c r="FU142">
        <v>30.3</v>
      </c>
      <c r="FV142">
        <v>1.7675799999999999</v>
      </c>
      <c r="FW142">
        <v>2.5817899999999998</v>
      </c>
      <c r="FX142">
        <v>1.5490699999999999</v>
      </c>
      <c r="FY142">
        <v>2.3327599999999999</v>
      </c>
      <c r="FZ142">
        <v>1.50146</v>
      </c>
      <c r="GA142">
        <v>2.35107</v>
      </c>
      <c r="GB142">
        <v>33.580399999999997</v>
      </c>
      <c r="GC142">
        <v>23.982399999999998</v>
      </c>
      <c r="GD142">
        <v>19</v>
      </c>
      <c r="GE142">
        <v>282.17099999999999</v>
      </c>
      <c r="GF142">
        <v>577.98900000000003</v>
      </c>
      <c r="GG142">
        <v>23.3352</v>
      </c>
      <c r="GH142">
        <v>26.1021</v>
      </c>
      <c r="GI142">
        <v>29.9998</v>
      </c>
      <c r="GJ142">
        <v>26.267800000000001</v>
      </c>
      <c r="GK142">
        <v>26.253399999999999</v>
      </c>
      <c r="GL142">
        <v>35.343000000000004</v>
      </c>
      <c r="GM142">
        <v>100</v>
      </c>
      <c r="GN142">
        <v>39.117699999999999</v>
      </c>
      <c r="GO142">
        <v>23.369299999999999</v>
      </c>
      <c r="GP142">
        <v>800</v>
      </c>
      <c r="GQ142">
        <v>0.13350500000000001</v>
      </c>
      <c r="GR142">
        <v>99.763099999999994</v>
      </c>
      <c r="GS142">
        <v>99.597499999999997</v>
      </c>
    </row>
    <row r="143" spans="1:201" x14ac:dyDescent="0.25">
      <c r="A143">
        <v>127</v>
      </c>
      <c r="B143">
        <v>1690383786</v>
      </c>
      <c r="C143">
        <v>1310.900000095367</v>
      </c>
      <c r="D143" t="s">
        <v>585</v>
      </c>
      <c r="E143" t="s">
        <v>586</v>
      </c>
      <c r="F143" t="s">
        <v>330</v>
      </c>
      <c r="H143">
        <v>1690383786</v>
      </c>
      <c r="I143">
        <f t="shared" si="30"/>
        <v>2.0909667622568558E-3</v>
      </c>
      <c r="J143">
        <f t="shared" si="31"/>
        <v>2.0909667622568557</v>
      </c>
      <c r="K143">
        <f t="shared" si="32"/>
        <v>31.457894812346101</v>
      </c>
      <c r="L143">
        <f t="shared" si="33"/>
        <v>447.08</v>
      </c>
      <c r="M143">
        <f t="shared" si="34"/>
        <v>118.52129364227059</v>
      </c>
      <c r="N143">
        <f t="shared" si="35"/>
        <v>11.70761836575103</v>
      </c>
      <c r="O143">
        <f t="shared" si="36"/>
        <v>44.162882956359994</v>
      </c>
      <c r="P143">
        <f t="shared" si="37"/>
        <v>0.16175258702908238</v>
      </c>
      <c r="Q143">
        <f t="shared" si="38"/>
        <v>2.1079614592928815</v>
      </c>
      <c r="R143">
        <f t="shared" si="39"/>
        <v>0.15515992249969893</v>
      </c>
      <c r="S143">
        <f t="shared" si="40"/>
        <v>9.7544886028066977E-2</v>
      </c>
      <c r="T143">
        <f t="shared" si="41"/>
        <v>276.11514377645693</v>
      </c>
      <c r="U143">
        <f t="shared" si="42"/>
        <v>26.742594163436429</v>
      </c>
      <c r="V143">
        <f t="shared" si="43"/>
        <v>26.742594163436429</v>
      </c>
      <c r="W143">
        <f t="shared" si="44"/>
        <v>3.5254053839509045</v>
      </c>
      <c r="X143">
        <f t="shared" si="45"/>
        <v>69.098039017874314</v>
      </c>
      <c r="Y143">
        <f t="shared" si="46"/>
        <v>2.2330171323585994</v>
      </c>
      <c r="Z143">
        <f t="shared" si="47"/>
        <v>3.2316649851393922</v>
      </c>
      <c r="AA143">
        <f t="shared" si="48"/>
        <v>1.2923882515923051</v>
      </c>
      <c r="AB143">
        <f t="shared" si="49"/>
        <v>-92.21163421552734</v>
      </c>
      <c r="AC143">
        <f t="shared" si="50"/>
        <v>-167.09072477688142</v>
      </c>
      <c r="AD143">
        <f t="shared" si="51"/>
        <v>-16.937508440533374</v>
      </c>
      <c r="AE143">
        <f t="shared" si="52"/>
        <v>-0.12472365648517325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52396.816260727581</v>
      </c>
      <c r="AK143">
        <f t="shared" si="56"/>
        <v>1799.99</v>
      </c>
      <c r="AL143">
        <f t="shared" si="57"/>
        <v>1499.10127041334</v>
      </c>
      <c r="AM143">
        <f t="shared" si="58"/>
        <v>0.83283866600000001</v>
      </c>
      <c r="AN143">
        <f t="shared" si="59"/>
        <v>0.15339815431000001</v>
      </c>
      <c r="AO143">
        <v>32.700000000000003</v>
      </c>
      <c r="AP143">
        <v>0.5</v>
      </c>
      <c r="AQ143" t="s">
        <v>331</v>
      </c>
      <c r="AR143">
        <v>2</v>
      </c>
      <c r="AS143">
        <v>1690383786</v>
      </c>
      <c r="AT143">
        <v>447.08</v>
      </c>
      <c r="AU143">
        <v>799.99599999999998</v>
      </c>
      <c r="AV143">
        <v>22.605799999999999</v>
      </c>
      <c r="AW143">
        <v>0.33987400000000001</v>
      </c>
      <c r="AX143">
        <v>447.09399999999999</v>
      </c>
      <c r="AY143">
        <v>22.430599999999998</v>
      </c>
      <c r="AZ143">
        <v>300.14</v>
      </c>
      <c r="BA143">
        <v>98.680700000000002</v>
      </c>
      <c r="BB143">
        <v>0.10001699999999999</v>
      </c>
      <c r="BC143">
        <v>25.272300000000001</v>
      </c>
      <c r="BD143">
        <v>26.972799999999999</v>
      </c>
      <c r="BE143">
        <v>26.696200000000001</v>
      </c>
      <c r="BF143">
        <v>0</v>
      </c>
      <c r="BG143">
        <v>0</v>
      </c>
      <c r="BH143">
        <v>9983.1200000000008</v>
      </c>
      <c r="BI143">
        <v>1055.82</v>
      </c>
      <c r="BJ143">
        <v>2.3547799999999999</v>
      </c>
      <c r="BK143">
        <v>-352.916</v>
      </c>
      <c r="BL143">
        <v>457.42</v>
      </c>
      <c r="BM143">
        <v>800.26800000000003</v>
      </c>
      <c r="BN143">
        <v>22.265999999999998</v>
      </c>
      <c r="BO143">
        <v>799.99599999999998</v>
      </c>
      <c r="BP143">
        <v>0.33987400000000001</v>
      </c>
      <c r="BQ143">
        <v>2.2307600000000001</v>
      </c>
      <c r="BR143">
        <v>3.3538999999999999E-2</v>
      </c>
      <c r="BS143">
        <v>19.184899999999999</v>
      </c>
      <c r="BT143">
        <v>-34.3202</v>
      </c>
      <c r="BU143">
        <v>1799.99</v>
      </c>
      <c r="BV143">
        <v>0.90997600000000001</v>
      </c>
      <c r="BW143">
        <v>3.4004899999999998E-2</v>
      </c>
      <c r="BX143">
        <v>2.2008300000000001E-2</v>
      </c>
      <c r="BY143">
        <v>3.4010899999999997E-2</v>
      </c>
      <c r="BZ143">
        <v>26</v>
      </c>
      <c r="CA143">
        <v>33528</v>
      </c>
      <c r="CB143">
        <v>1690381960.0999999</v>
      </c>
      <c r="CC143" t="s">
        <v>332</v>
      </c>
      <c r="CD143">
        <v>1690381960.0999999</v>
      </c>
      <c r="CE143">
        <v>1690381958.0999999</v>
      </c>
      <c r="CF143">
        <v>4</v>
      </c>
      <c r="CG143">
        <v>9.9000000000000005E-2</v>
      </c>
      <c r="CH143">
        <v>1.2E-2</v>
      </c>
      <c r="CI143">
        <v>-0.26300000000000001</v>
      </c>
      <c r="CJ143">
        <v>0.127</v>
      </c>
      <c r="CK143">
        <v>798</v>
      </c>
      <c r="CL143">
        <v>18</v>
      </c>
      <c r="CM143">
        <v>0.02</v>
      </c>
      <c r="CN143">
        <v>0.12</v>
      </c>
      <c r="CO143">
        <v>-350.2906585365854</v>
      </c>
      <c r="CP143">
        <v>-14.034878048780209</v>
      </c>
      <c r="CQ143">
        <v>1.3980785701385969</v>
      </c>
      <c r="CR143">
        <v>-1</v>
      </c>
      <c r="CS143">
        <v>22.091263414634149</v>
      </c>
      <c r="CT143">
        <v>1.6588703832752929</v>
      </c>
      <c r="CU143">
        <v>0.1798857832152792</v>
      </c>
      <c r="CV143">
        <v>-1</v>
      </c>
      <c r="CW143">
        <v>0</v>
      </c>
      <c r="CX143">
        <v>0</v>
      </c>
      <c r="CY143" t="s">
        <v>333</v>
      </c>
      <c r="CZ143">
        <v>2.3647100000000001</v>
      </c>
      <c r="DA143">
        <v>2.7137899999999999</v>
      </c>
      <c r="DB143">
        <v>9.6948199999999998E-2</v>
      </c>
      <c r="DC143">
        <v>0.14543</v>
      </c>
      <c r="DD143">
        <v>0.10881</v>
      </c>
      <c r="DE143">
        <v>2.8194000000000001E-3</v>
      </c>
      <c r="DF143">
        <v>32982.1</v>
      </c>
      <c r="DG143">
        <v>27549.599999999999</v>
      </c>
      <c r="DH143">
        <v>31179.3</v>
      </c>
      <c r="DI143">
        <v>28091.1</v>
      </c>
      <c r="DJ143">
        <v>37722.699999999997</v>
      </c>
      <c r="DK143">
        <v>39838.199999999997</v>
      </c>
      <c r="DL143">
        <v>44372.800000000003</v>
      </c>
      <c r="DM143">
        <v>42574.8</v>
      </c>
      <c r="DN143">
        <v>1.4757199999999999</v>
      </c>
      <c r="DO143">
        <v>2.0308299999999999</v>
      </c>
      <c r="DP143">
        <v>0.168215</v>
      </c>
      <c r="DQ143">
        <v>0.15321699999999999</v>
      </c>
      <c r="DR143">
        <v>24.215399999999999</v>
      </c>
      <c r="DS143">
        <v>24.184100000000001</v>
      </c>
      <c r="DT143">
        <v>37.4</v>
      </c>
      <c r="DU143">
        <v>28.9</v>
      </c>
      <c r="DV143">
        <v>15.154400000000001</v>
      </c>
      <c r="DW143">
        <v>60.722999999999999</v>
      </c>
      <c r="DX143">
        <v>37.183500000000002</v>
      </c>
      <c r="DY143">
        <v>1</v>
      </c>
      <c r="DZ143">
        <v>-0.101756</v>
      </c>
      <c r="EA143">
        <v>0.21745400000000001</v>
      </c>
      <c r="EB143">
        <v>20.189499999999999</v>
      </c>
      <c r="EC143">
        <v>5.2415500000000002</v>
      </c>
      <c r="ED143">
        <v>12.039899999999999</v>
      </c>
      <c r="EE143">
        <v>5.0174500000000002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</v>
      </c>
      <c r="EL143">
        <v>1.8646199999999999</v>
      </c>
      <c r="EM143">
        <v>1.8692</v>
      </c>
      <c r="EN143">
        <v>1.8672299999999999</v>
      </c>
      <c r="EO143">
        <v>1.86338</v>
      </c>
      <c r="EP143">
        <v>1.8644700000000001</v>
      </c>
      <c r="EQ143">
        <v>1.87019</v>
      </c>
      <c r="ER143">
        <v>1.86938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-1.4E-2</v>
      </c>
      <c r="FG143">
        <v>0.17519999999999999</v>
      </c>
      <c r="FH143">
        <v>0.28746640474027818</v>
      </c>
      <c r="FI143">
        <v>-6.1462078757559423E-4</v>
      </c>
      <c r="FJ143">
        <v>-1.8861989874597051E-7</v>
      </c>
      <c r="FK143">
        <v>1.1980462299894961E-10</v>
      </c>
      <c r="FL143">
        <v>0.17524818673008091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30.4</v>
      </c>
      <c r="FU143">
        <v>30.5</v>
      </c>
      <c r="FV143">
        <v>1.7675799999999999</v>
      </c>
      <c r="FW143">
        <v>2.5842299999999998</v>
      </c>
      <c r="FX143">
        <v>1.5490699999999999</v>
      </c>
      <c r="FY143">
        <v>2.3315399999999999</v>
      </c>
      <c r="FZ143">
        <v>1.50146</v>
      </c>
      <c r="GA143">
        <v>2.3022499999999999</v>
      </c>
      <c r="GB143">
        <v>33.580399999999997</v>
      </c>
      <c r="GC143">
        <v>23.973700000000001</v>
      </c>
      <c r="GD143">
        <v>19</v>
      </c>
      <c r="GE143">
        <v>282.29500000000002</v>
      </c>
      <c r="GF143">
        <v>577.64099999999996</v>
      </c>
      <c r="GG143">
        <v>23.408799999999999</v>
      </c>
      <c r="GH143">
        <v>26.099299999999999</v>
      </c>
      <c r="GI143">
        <v>30</v>
      </c>
      <c r="GJ143">
        <v>26.264399999999998</v>
      </c>
      <c r="GK143">
        <v>26.253399999999999</v>
      </c>
      <c r="GL143">
        <v>35.341200000000001</v>
      </c>
      <c r="GM143">
        <v>100</v>
      </c>
      <c r="GN143">
        <v>38.3416</v>
      </c>
      <c r="GO143">
        <v>23.416699999999999</v>
      </c>
      <c r="GP143">
        <v>800</v>
      </c>
      <c r="GQ143">
        <v>0</v>
      </c>
      <c r="GR143">
        <v>99.762699999999995</v>
      </c>
      <c r="GS143">
        <v>99.598699999999994</v>
      </c>
    </row>
    <row r="144" spans="1:201" x14ac:dyDescent="0.25">
      <c r="A144">
        <v>128</v>
      </c>
      <c r="B144">
        <v>1690383796</v>
      </c>
      <c r="C144">
        <v>1320.900000095367</v>
      </c>
      <c r="D144" t="s">
        <v>587</v>
      </c>
      <c r="E144" t="s">
        <v>588</v>
      </c>
      <c r="F144" t="s">
        <v>330</v>
      </c>
      <c r="H144">
        <v>1690383796</v>
      </c>
      <c r="I144">
        <f t="shared" si="30"/>
        <v>2.0965167651284264E-3</v>
      </c>
      <c r="J144">
        <f t="shared" si="31"/>
        <v>2.0965167651284262</v>
      </c>
      <c r="K144">
        <f t="shared" si="32"/>
        <v>31.664429336723803</v>
      </c>
      <c r="L144">
        <f t="shared" si="33"/>
        <v>444.851</v>
      </c>
      <c r="M144">
        <f t="shared" si="34"/>
        <v>115.52865339045206</v>
      </c>
      <c r="N144">
        <f t="shared" si="35"/>
        <v>11.412152941088131</v>
      </c>
      <c r="O144">
        <f t="shared" si="36"/>
        <v>43.943277265063003</v>
      </c>
      <c r="P144">
        <f t="shared" si="37"/>
        <v>0.16241564781516143</v>
      </c>
      <c r="Q144">
        <f t="shared" si="38"/>
        <v>2.1099875633859004</v>
      </c>
      <c r="R144">
        <f t="shared" si="39"/>
        <v>0.15577611767202898</v>
      </c>
      <c r="S144">
        <f t="shared" si="40"/>
        <v>9.7933991840666978E-2</v>
      </c>
      <c r="T144">
        <f t="shared" si="41"/>
        <v>276.11503548905847</v>
      </c>
      <c r="U144">
        <f t="shared" si="42"/>
        <v>26.751938343433476</v>
      </c>
      <c r="V144">
        <f t="shared" si="43"/>
        <v>26.751938343433476</v>
      </c>
      <c r="W144">
        <f t="shared" si="44"/>
        <v>3.5273443381725476</v>
      </c>
      <c r="X144">
        <f t="shared" si="45"/>
        <v>69.159262897447249</v>
      </c>
      <c r="Y144">
        <f t="shared" si="46"/>
        <v>2.2366717293525</v>
      </c>
      <c r="Z144">
        <f t="shared" si="47"/>
        <v>3.2340884440442155</v>
      </c>
      <c r="AA144">
        <f t="shared" si="48"/>
        <v>1.2906726088200475</v>
      </c>
      <c r="AB144">
        <f t="shared" si="49"/>
        <v>-92.456389342163604</v>
      </c>
      <c r="AC144">
        <f t="shared" si="50"/>
        <v>-166.8809655473143</v>
      </c>
      <c r="AD144">
        <f t="shared" si="51"/>
        <v>-16.901862062378452</v>
      </c>
      <c r="AE144">
        <f t="shared" si="52"/>
        <v>-0.12418146279787834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52483.353322429124</v>
      </c>
      <c r="AK144">
        <f t="shared" si="56"/>
        <v>1799.99</v>
      </c>
      <c r="AL144">
        <f t="shared" si="57"/>
        <v>1499.1011426140501</v>
      </c>
      <c r="AM144">
        <f t="shared" si="58"/>
        <v>0.83283859500000001</v>
      </c>
      <c r="AN144">
        <f t="shared" si="59"/>
        <v>0.15339809415</v>
      </c>
      <c r="AO144">
        <v>32.700000000000003</v>
      </c>
      <c r="AP144">
        <v>0.5</v>
      </c>
      <c r="AQ144" t="s">
        <v>331</v>
      </c>
      <c r="AR144">
        <v>2</v>
      </c>
      <c r="AS144">
        <v>1690383796</v>
      </c>
      <c r="AT144">
        <v>444.851</v>
      </c>
      <c r="AU144">
        <v>800.04300000000001</v>
      </c>
      <c r="AV144">
        <v>22.642499999999998</v>
      </c>
      <c r="AW144">
        <v>0.31518800000000002</v>
      </c>
      <c r="AX144">
        <v>444.86399999999998</v>
      </c>
      <c r="AY144">
        <v>22.467300000000002</v>
      </c>
      <c r="AZ144">
        <v>300.09800000000001</v>
      </c>
      <c r="BA144">
        <v>98.682100000000005</v>
      </c>
      <c r="BB144">
        <v>9.9913000000000002E-2</v>
      </c>
      <c r="BC144">
        <v>25.2849</v>
      </c>
      <c r="BD144">
        <v>26.953700000000001</v>
      </c>
      <c r="BE144">
        <v>26.7044</v>
      </c>
      <c r="BF144">
        <v>0</v>
      </c>
      <c r="BG144">
        <v>0</v>
      </c>
      <c r="BH144">
        <v>10000.6</v>
      </c>
      <c r="BI144">
        <v>1055.98</v>
      </c>
      <c r="BJ144">
        <v>2.3547799999999999</v>
      </c>
      <c r="BK144">
        <v>-355.19200000000001</v>
      </c>
      <c r="BL144">
        <v>455.15699999999998</v>
      </c>
      <c r="BM144">
        <v>800.29499999999996</v>
      </c>
      <c r="BN144">
        <v>22.327400000000001</v>
      </c>
      <c r="BO144">
        <v>800.04300000000001</v>
      </c>
      <c r="BP144">
        <v>0.31518800000000002</v>
      </c>
      <c r="BQ144">
        <v>2.23441</v>
      </c>
      <c r="BR144">
        <v>3.11034E-2</v>
      </c>
      <c r="BS144">
        <v>19.211200000000002</v>
      </c>
      <c r="BT144">
        <v>-35.080800000000004</v>
      </c>
      <c r="BU144">
        <v>1799.99</v>
      </c>
      <c r="BV144">
        <v>0.90997700000000004</v>
      </c>
      <c r="BW144">
        <v>3.4004399999999997E-2</v>
      </c>
      <c r="BX144">
        <v>2.2008E-2</v>
      </c>
      <c r="BY144">
        <v>3.4010499999999999E-2</v>
      </c>
      <c r="BZ144">
        <v>26</v>
      </c>
      <c r="CA144">
        <v>33528</v>
      </c>
      <c r="CB144">
        <v>1690381960.0999999</v>
      </c>
      <c r="CC144" t="s">
        <v>332</v>
      </c>
      <c r="CD144">
        <v>1690381960.0999999</v>
      </c>
      <c r="CE144">
        <v>1690381958.0999999</v>
      </c>
      <c r="CF144">
        <v>4</v>
      </c>
      <c r="CG144">
        <v>9.9000000000000005E-2</v>
      </c>
      <c r="CH144">
        <v>1.2E-2</v>
      </c>
      <c r="CI144">
        <v>-0.26300000000000001</v>
      </c>
      <c r="CJ144">
        <v>0.127</v>
      </c>
      <c r="CK144">
        <v>798</v>
      </c>
      <c r="CL144">
        <v>18</v>
      </c>
      <c r="CM144">
        <v>0.02</v>
      </c>
      <c r="CN144">
        <v>0.12</v>
      </c>
      <c r="CO144">
        <v>-352.61592499999989</v>
      </c>
      <c r="CP144">
        <v>-14.166360225139879</v>
      </c>
      <c r="CQ144">
        <v>1.364191306003304</v>
      </c>
      <c r="CR144">
        <v>-1</v>
      </c>
      <c r="CS144">
        <v>22.255590000000002</v>
      </c>
      <c r="CT144">
        <v>0.38412607879925098</v>
      </c>
      <c r="CU144">
        <v>3.7053810870138253E-2</v>
      </c>
      <c r="CV144">
        <v>-1</v>
      </c>
      <c r="CW144">
        <v>0</v>
      </c>
      <c r="CX144">
        <v>0</v>
      </c>
      <c r="CY144" t="s">
        <v>333</v>
      </c>
      <c r="CZ144">
        <v>2.3645499999999999</v>
      </c>
      <c r="DA144">
        <v>2.7136999999999998</v>
      </c>
      <c r="DB144">
        <v>9.6588599999999997E-2</v>
      </c>
      <c r="DC144">
        <v>0.14543800000000001</v>
      </c>
      <c r="DD144">
        <v>0.10893799999999999</v>
      </c>
      <c r="DE144">
        <v>2.6185499999999999E-3</v>
      </c>
      <c r="DF144">
        <v>32996.1</v>
      </c>
      <c r="DG144">
        <v>27549.5</v>
      </c>
      <c r="DH144">
        <v>31180.1</v>
      </c>
      <c r="DI144">
        <v>28091.3</v>
      </c>
      <c r="DJ144">
        <v>37718.1</v>
      </c>
      <c r="DK144">
        <v>39846.699999999997</v>
      </c>
      <c r="DL144">
        <v>44373.9</v>
      </c>
      <c r="DM144">
        <v>42575.199999999997</v>
      </c>
      <c r="DN144">
        <v>1.47543</v>
      </c>
      <c r="DO144">
        <v>2.03085</v>
      </c>
      <c r="DP144">
        <v>0.16667699999999999</v>
      </c>
      <c r="DQ144">
        <v>0.153221</v>
      </c>
      <c r="DR144">
        <v>24.221499999999999</v>
      </c>
      <c r="DS144">
        <v>24.192299999999999</v>
      </c>
      <c r="DT144">
        <v>36.9</v>
      </c>
      <c r="DU144">
        <v>28.9</v>
      </c>
      <c r="DV144">
        <v>14.9519</v>
      </c>
      <c r="DW144">
        <v>60.832999999999998</v>
      </c>
      <c r="DX144">
        <v>37.8005</v>
      </c>
      <c r="DY144">
        <v>1</v>
      </c>
      <c r="DZ144">
        <v>-0.101664</v>
      </c>
      <c r="EA144">
        <v>0.23966000000000001</v>
      </c>
      <c r="EB144">
        <v>20.189399999999999</v>
      </c>
      <c r="EC144">
        <v>5.2415500000000002</v>
      </c>
      <c r="ED144">
        <v>12.039899999999999</v>
      </c>
      <c r="EE144">
        <v>5.0171000000000001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</v>
      </c>
      <c r="EL144">
        <v>1.86463</v>
      </c>
      <c r="EM144">
        <v>1.8692</v>
      </c>
      <c r="EN144">
        <v>1.8672500000000001</v>
      </c>
      <c r="EO144">
        <v>1.8633999999999999</v>
      </c>
      <c r="EP144">
        <v>1.86446</v>
      </c>
      <c r="EQ144">
        <v>1.8701700000000001</v>
      </c>
      <c r="ER144">
        <v>1.8694200000000001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-1.2999999999999999E-2</v>
      </c>
      <c r="FG144">
        <v>0.17519999999999999</v>
      </c>
      <c r="FH144">
        <v>0.28746640474027818</v>
      </c>
      <c r="FI144">
        <v>-6.1462078757559423E-4</v>
      </c>
      <c r="FJ144">
        <v>-1.8861989874597051E-7</v>
      </c>
      <c r="FK144">
        <v>1.1980462299894961E-10</v>
      </c>
      <c r="FL144">
        <v>0.17524818673008091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30.6</v>
      </c>
      <c r="FU144">
        <v>30.6</v>
      </c>
      <c r="FV144">
        <v>1.7675799999999999</v>
      </c>
      <c r="FW144">
        <v>2.5781200000000002</v>
      </c>
      <c r="FX144">
        <v>1.5490699999999999</v>
      </c>
      <c r="FY144">
        <v>2.3327599999999999</v>
      </c>
      <c r="FZ144">
        <v>1.50146</v>
      </c>
      <c r="GA144">
        <v>2.3046899999999999</v>
      </c>
      <c r="GB144">
        <v>33.580399999999997</v>
      </c>
      <c r="GC144">
        <v>23.982399999999998</v>
      </c>
      <c r="GD144">
        <v>19</v>
      </c>
      <c r="GE144">
        <v>282.15600000000001</v>
      </c>
      <c r="GF144">
        <v>577.63599999999997</v>
      </c>
      <c r="GG144">
        <v>23.442699999999999</v>
      </c>
      <c r="GH144">
        <v>26.097100000000001</v>
      </c>
      <c r="GI144">
        <v>30.0001</v>
      </c>
      <c r="GJ144">
        <v>26.2621</v>
      </c>
      <c r="GK144">
        <v>26.251200000000001</v>
      </c>
      <c r="GL144">
        <v>35.338299999999997</v>
      </c>
      <c r="GM144">
        <v>100</v>
      </c>
      <c r="GN144">
        <v>37.117899999999999</v>
      </c>
      <c r="GO144">
        <v>23.4678</v>
      </c>
      <c r="GP144">
        <v>800</v>
      </c>
      <c r="GQ144">
        <v>0</v>
      </c>
      <c r="GR144">
        <v>99.765199999999993</v>
      </c>
      <c r="GS144">
        <v>99.599500000000006</v>
      </c>
    </row>
    <row r="145" spans="1:201" x14ac:dyDescent="0.25">
      <c r="A145">
        <v>129</v>
      </c>
      <c r="B145">
        <v>1690383806</v>
      </c>
      <c r="C145">
        <v>1330.900000095367</v>
      </c>
      <c r="D145" t="s">
        <v>589</v>
      </c>
      <c r="E145" t="s">
        <v>590</v>
      </c>
      <c r="F145" t="s">
        <v>330</v>
      </c>
      <c r="H145">
        <v>1690383806</v>
      </c>
      <c r="I145">
        <f t="shared" ref="I145:I208" si="60">(J145)/1000</f>
        <v>2.102563299821177E-3</v>
      </c>
      <c r="J145">
        <f t="shared" ref="J145:J208" si="61">1000*AZ145*AH145*(AV145-AW145)/(100*AO145*(1000-AH145*AV145))</f>
        <v>2.1025632998211772</v>
      </c>
      <c r="K145">
        <f t="shared" ref="K145:K208" si="62">AZ145*AH145*(AU145-AT145*(1000-AH145*AW145)/(1000-AH145*AV145))/(100*AO145)</f>
        <v>31.85231668793238</v>
      </c>
      <c r="L145">
        <f t="shared" ref="L145:L208" si="63">AT145 - IF(AH145&gt;1, K145*AO145*100/(AJ145*BH145), 0)</f>
        <v>442.67200000000003</v>
      </c>
      <c r="M145">
        <f t="shared" ref="M145:M208" si="64">((S145-I145/2)*L145-K145)/(S145+I145/2)</f>
        <v>113.49246125793179</v>
      </c>
      <c r="N145">
        <f t="shared" ref="N145:N208" si="65">M145*(BA145+BB145)/1000</f>
        <v>11.210685529137317</v>
      </c>
      <c r="O145">
        <f t="shared" ref="O145:O208" si="66">(AT145 - IF(AH145&gt;1, K145*AO145*100/(AJ145*BH145), 0))*(BA145+BB145)/1000</f>
        <v>43.726750918510398</v>
      </c>
      <c r="P145">
        <f t="shared" ref="P145:P208" si="67">2/((1/R145-1/Q145)+SIGN(R145)*SQRT((1/R145-1/Q145)*(1/R145-1/Q145) + 4*AP145/((AP145+1)*(AP145+1))*(2*1/R145*1/Q145-1/Q145*1/Q145)))</f>
        <v>0.16345758448930989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2.109310280158744</v>
      </c>
      <c r="R145">
        <f t="shared" ref="R145:R208" si="69">I145*(1000-(1000*0.61365*EXP(17.502*V145/(240.97+V145))/(BA145+BB145)+AV145)/2)/(1000*0.61365*EXP(17.502*V145/(240.97+V145))/(BA145+BB145)-AV145)</f>
        <v>0.15673242528400186</v>
      </c>
      <c r="S145">
        <f t="shared" ref="S145:S208" si="70">1/((AP145+1)/(P145/1.6)+1/(Q145/1.37)) + AP145/((AP145+1)/(P145/1.6) + AP145/(Q145/1.37))</f>
        <v>9.853893806504653E-2</v>
      </c>
      <c r="T145">
        <f t="shared" ref="T145:T208" si="71">(AK145*AN145)</f>
        <v>276.11642322000006</v>
      </c>
      <c r="U145">
        <f t="shared" ref="U145:U208" si="72">(BC145+(T145+2*0.95*0.0000000567*(((BC145+$B$7)+273)^4-(BC145+273)^4)-44100*I145)/(1.84*29.3*Q145+8*0.95*0.0000000567*(BC145+273)^3))</f>
        <v>26.75723741458707</v>
      </c>
      <c r="V145">
        <f t="shared" ref="V145:V208" si="73">($C$7*BD145+$D$7*BE145+$E$7*U145)</f>
        <v>26.75723741458707</v>
      </c>
      <c r="W145">
        <f t="shared" ref="W145:W208" si="74">0.61365*EXP(17.502*V145/(240.97+V145))</f>
        <v>3.5284443299941182</v>
      </c>
      <c r="X145">
        <f t="shared" ref="X145:X208" si="75">(Y145/Z145*100)</f>
        <v>69.296056647351492</v>
      </c>
      <c r="Y145">
        <f t="shared" ref="Y145:Y208" si="76">AV145*(BA145+BB145)/1000</f>
        <v>2.2420292141761795</v>
      </c>
      <c r="Z145">
        <f t="shared" ref="Z145:Z208" si="77">0.61365*EXP(17.502*BC145/(240.97+BC145))</f>
        <v>3.2354354961147278</v>
      </c>
      <c r="AA145">
        <f t="shared" ref="AA145:AA208" si="78">(W145-AV145*(BA145+BB145)/1000)</f>
        <v>1.2864151158179387</v>
      </c>
      <c r="AB145">
        <f t="shared" ref="AB145:AB208" si="79">(-I145*44100)</f>
        <v>-92.723041522113903</v>
      </c>
      <c r="AC145">
        <f t="shared" ref="AC145:AC208" si="80">2*29.3*Q145*0.92*(BC145-V145)</f>
        <v>-166.63397380246724</v>
      </c>
      <c r="AD145">
        <f t="shared" ref="AD145:AD208" si="81">2*0.95*0.0000000567*(((BC145+$B$7)+273)^4-(V145+273)^4)</f>
        <v>-16.883306900502109</v>
      </c>
      <c r="AE145">
        <f t="shared" ref="AE145:AE208" si="82">T145+AD145+AB145+AC145</f>
        <v>-0.12389900508321716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52452.391291511296</v>
      </c>
      <c r="AK145">
        <f t="shared" ref="AK145:AK208" si="86">$B$11*BI145+$C$11*BJ145+$D$11*BU145</f>
        <v>1800</v>
      </c>
      <c r="AL145">
        <f t="shared" ref="AL145:AL208" si="87">AK145*AM145</f>
        <v>1499.1094889999999</v>
      </c>
      <c r="AM145">
        <f t="shared" ref="AM145:AM208" si="88">($B$11*$D$9+$C$11*$D$9+$D$11*(BV145*$E$9+BW145*$F$9+BX145*$G$9+BY145*$H$9))/($B$11+$C$11+$D$11)</f>
        <v>0.83283860499999995</v>
      </c>
      <c r="AN145">
        <f t="shared" ref="AN145:AN208" si="89">($B$11*$K$9+$C$11*$K$9+$D$11*(BV145*$L$9+BW145*$M$9+BX145*$N$9+BY145*$O$9))/($B$11+$C$11+$D$11)</f>
        <v>0.15339801290000002</v>
      </c>
      <c r="AO145">
        <v>32.700000000000003</v>
      </c>
      <c r="AP145">
        <v>0.5</v>
      </c>
      <c r="AQ145" t="s">
        <v>331</v>
      </c>
      <c r="AR145">
        <v>2</v>
      </c>
      <c r="AS145">
        <v>1690383806</v>
      </c>
      <c r="AT145">
        <v>442.67200000000003</v>
      </c>
      <c r="AU145">
        <v>800.005</v>
      </c>
      <c r="AV145">
        <v>22.697399999999998</v>
      </c>
      <c r="AW145">
        <v>0.29978700000000003</v>
      </c>
      <c r="AX145">
        <v>442.68299999999999</v>
      </c>
      <c r="AY145">
        <v>22.522200000000002</v>
      </c>
      <c r="AZ145">
        <v>300.00200000000001</v>
      </c>
      <c r="BA145">
        <v>98.679199999999994</v>
      </c>
      <c r="BB145">
        <v>9.9920700000000001E-2</v>
      </c>
      <c r="BC145">
        <v>25.291899999999998</v>
      </c>
      <c r="BD145">
        <v>26.949000000000002</v>
      </c>
      <c r="BE145">
        <v>26.703299999999999</v>
      </c>
      <c r="BF145">
        <v>0</v>
      </c>
      <c r="BG145">
        <v>0</v>
      </c>
      <c r="BH145">
        <v>9995</v>
      </c>
      <c r="BI145">
        <v>1056.08</v>
      </c>
      <c r="BJ145">
        <v>2.3547799999999999</v>
      </c>
      <c r="BK145">
        <v>-357.33300000000003</v>
      </c>
      <c r="BL145">
        <v>452.95299999999997</v>
      </c>
      <c r="BM145">
        <v>800.245</v>
      </c>
      <c r="BN145">
        <v>22.397600000000001</v>
      </c>
      <c r="BO145">
        <v>800.005</v>
      </c>
      <c r="BP145">
        <v>0.29978700000000003</v>
      </c>
      <c r="BQ145">
        <v>2.23976</v>
      </c>
      <c r="BR145">
        <v>2.95827E-2</v>
      </c>
      <c r="BS145">
        <v>19.249600000000001</v>
      </c>
      <c r="BT145">
        <v>-35.583399999999997</v>
      </c>
      <c r="BU145">
        <v>1800</v>
      </c>
      <c r="BV145">
        <v>0.90997899999999998</v>
      </c>
      <c r="BW145">
        <v>3.4003600000000002E-2</v>
      </c>
      <c r="BX145">
        <v>2.2007499999999999E-2</v>
      </c>
      <c r="BY145">
        <v>3.4009600000000001E-2</v>
      </c>
      <c r="BZ145">
        <v>26</v>
      </c>
      <c r="CA145">
        <v>33528.300000000003</v>
      </c>
      <c r="CB145">
        <v>1690381960.0999999</v>
      </c>
      <c r="CC145" t="s">
        <v>332</v>
      </c>
      <c r="CD145">
        <v>1690381960.0999999</v>
      </c>
      <c r="CE145">
        <v>1690381958.0999999</v>
      </c>
      <c r="CF145">
        <v>4</v>
      </c>
      <c r="CG145">
        <v>9.9000000000000005E-2</v>
      </c>
      <c r="CH145">
        <v>1.2E-2</v>
      </c>
      <c r="CI145">
        <v>-0.26300000000000001</v>
      </c>
      <c r="CJ145">
        <v>0.127</v>
      </c>
      <c r="CK145">
        <v>798</v>
      </c>
      <c r="CL145">
        <v>18</v>
      </c>
      <c r="CM145">
        <v>0.02</v>
      </c>
      <c r="CN145">
        <v>0.12</v>
      </c>
      <c r="CO145">
        <v>-354.9408292682927</v>
      </c>
      <c r="CP145">
        <v>-13.11271777003518</v>
      </c>
      <c r="CQ145">
        <v>1.2933188900416219</v>
      </c>
      <c r="CR145">
        <v>-1</v>
      </c>
      <c r="CS145">
        <v>22.321624390243901</v>
      </c>
      <c r="CT145">
        <v>0.38872264808360868</v>
      </c>
      <c r="CU145">
        <v>3.8363491158867662E-2</v>
      </c>
      <c r="CV145">
        <v>-1</v>
      </c>
      <c r="CW145">
        <v>0</v>
      </c>
      <c r="CX145">
        <v>0</v>
      </c>
      <c r="CY145" t="s">
        <v>333</v>
      </c>
      <c r="CZ145">
        <v>2.3642400000000001</v>
      </c>
      <c r="DA145">
        <v>2.7136999999999998</v>
      </c>
      <c r="DB145">
        <v>9.6232100000000001E-2</v>
      </c>
      <c r="DC145">
        <v>0.145429</v>
      </c>
      <c r="DD145">
        <v>0.109123</v>
      </c>
      <c r="DE145">
        <v>2.49285E-3</v>
      </c>
      <c r="DF145">
        <v>33009.300000000003</v>
      </c>
      <c r="DG145">
        <v>27549.9</v>
      </c>
      <c r="DH145">
        <v>31180.2</v>
      </c>
      <c r="DI145">
        <v>28091.4</v>
      </c>
      <c r="DJ145">
        <v>37710.400000000001</v>
      </c>
      <c r="DK145">
        <v>39851.699999999997</v>
      </c>
      <c r="DL145">
        <v>44374.2</v>
      </c>
      <c r="DM145">
        <v>42575.199999999997</v>
      </c>
      <c r="DN145">
        <v>1.4752000000000001</v>
      </c>
      <c r="DO145">
        <v>2.0308299999999999</v>
      </c>
      <c r="DP145">
        <v>0.16596900000000001</v>
      </c>
      <c r="DQ145">
        <v>0.152644</v>
      </c>
      <c r="DR145">
        <v>24.228400000000001</v>
      </c>
      <c r="DS145">
        <v>24.200700000000001</v>
      </c>
      <c r="DT145">
        <v>36.5</v>
      </c>
      <c r="DU145">
        <v>28.9</v>
      </c>
      <c r="DV145">
        <v>14.788600000000001</v>
      </c>
      <c r="DW145">
        <v>60.883000000000003</v>
      </c>
      <c r="DX145">
        <v>37.752400000000002</v>
      </c>
      <c r="DY145">
        <v>1</v>
      </c>
      <c r="DZ145">
        <v>-0.10247000000000001</v>
      </c>
      <c r="EA145">
        <v>0.13448499999999999</v>
      </c>
      <c r="EB145">
        <v>20.189800000000002</v>
      </c>
      <c r="EC145">
        <v>5.2413999999999996</v>
      </c>
      <c r="ED145">
        <v>12.039899999999999</v>
      </c>
      <c r="EE145">
        <v>5.0171000000000001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1.8689100000000001</v>
      </c>
      <c r="EL145">
        <v>1.8646499999999999</v>
      </c>
      <c r="EM145">
        <v>1.86921</v>
      </c>
      <c r="EN145">
        <v>1.86724</v>
      </c>
      <c r="EO145">
        <v>1.8633999999999999</v>
      </c>
      <c r="EP145">
        <v>1.8644700000000001</v>
      </c>
      <c r="EQ145">
        <v>1.87019</v>
      </c>
      <c r="ER145">
        <v>1.86941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-1.0999999999999999E-2</v>
      </c>
      <c r="FG145">
        <v>0.17519999999999999</v>
      </c>
      <c r="FH145">
        <v>0.28746640474027818</v>
      </c>
      <c r="FI145">
        <v>-6.1462078757559423E-4</v>
      </c>
      <c r="FJ145">
        <v>-1.8861989874597051E-7</v>
      </c>
      <c r="FK145">
        <v>1.1980462299894961E-10</v>
      </c>
      <c r="FL145">
        <v>0.17524818673008091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30.8</v>
      </c>
      <c r="FU145">
        <v>30.8</v>
      </c>
      <c r="FV145">
        <v>1.7675799999999999</v>
      </c>
      <c r="FW145">
        <v>2.5708000000000002</v>
      </c>
      <c r="FX145">
        <v>1.5490699999999999</v>
      </c>
      <c r="FY145">
        <v>2.3327599999999999</v>
      </c>
      <c r="FZ145">
        <v>1.50146</v>
      </c>
      <c r="GA145">
        <v>2.3706100000000001</v>
      </c>
      <c r="GB145">
        <v>33.580399999999997</v>
      </c>
      <c r="GC145">
        <v>23.982399999999998</v>
      </c>
      <c r="GD145">
        <v>19</v>
      </c>
      <c r="GE145">
        <v>282.05099999999999</v>
      </c>
      <c r="GF145">
        <v>577.59100000000001</v>
      </c>
      <c r="GG145">
        <v>23.5046</v>
      </c>
      <c r="GH145">
        <v>26.094899999999999</v>
      </c>
      <c r="GI145">
        <v>29.999700000000001</v>
      </c>
      <c r="GJ145">
        <v>26.259899999999998</v>
      </c>
      <c r="GK145">
        <v>26.248999999999999</v>
      </c>
      <c r="GL145">
        <v>35.336100000000002</v>
      </c>
      <c r="GM145">
        <v>100</v>
      </c>
      <c r="GN145">
        <v>36.340299999999999</v>
      </c>
      <c r="GO145">
        <v>23.550899999999999</v>
      </c>
      <c r="GP145">
        <v>800</v>
      </c>
      <c r="GQ145">
        <v>0</v>
      </c>
      <c r="GR145">
        <v>99.765799999999999</v>
      </c>
      <c r="GS145">
        <v>99.599699999999999</v>
      </c>
    </row>
    <row r="146" spans="1:201" x14ac:dyDescent="0.25">
      <c r="A146">
        <v>130</v>
      </c>
      <c r="B146">
        <v>1690383816</v>
      </c>
      <c r="C146">
        <v>1340.900000095367</v>
      </c>
      <c r="D146" t="s">
        <v>591</v>
      </c>
      <c r="E146" t="s">
        <v>592</v>
      </c>
      <c r="F146" t="s">
        <v>330</v>
      </c>
      <c r="H146">
        <v>1690383816</v>
      </c>
      <c r="I146">
        <f t="shared" si="60"/>
        <v>2.1115016637146991E-3</v>
      </c>
      <c r="J146">
        <f t="shared" si="61"/>
        <v>2.1115016637146993</v>
      </c>
      <c r="K146">
        <f t="shared" si="62"/>
        <v>32.068078448581758</v>
      </c>
      <c r="L146">
        <f t="shared" si="63"/>
        <v>440.42</v>
      </c>
      <c r="M146">
        <f t="shared" si="64"/>
        <v>111.53361108531227</v>
      </c>
      <c r="N146">
        <f t="shared" si="65"/>
        <v>11.017447677692887</v>
      </c>
      <c r="O146">
        <f t="shared" si="66"/>
        <v>43.505309825376003</v>
      </c>
      <c r="P146">
        <f t="shared" si="67"/>
        <v>0.16472117787060075</v>
      </c>
      <c r="Q146">
        <f t="shared" si="68"/>
        <v>2.1112780959633981</v>
      </c>
      <c r="R146">
        <f t="shared" si="69"/>
        <v>0.15790005512601171</v>
      </c>
      <c r="S146">
        <f t="shared" si="70"/>
        <v>9.9276847668820015E-2</v>
      </c>
      <c r="T146">
        <f t="shared" si="71"/>
        <v>276.11643171599997</v>
      </c>
      <c r="U146">
        <f t="shared" si="72"/>
        <v>26.773621615979536</v>
      </c>
      <c r="V146">
        <f t="shared" si="73"/>
        <v>26.773621615979536</v>
      </c>
      <c r="W146">
        <f t="shared" si="74"/>
        <v>3.5318472900776898</v>
      </c>
      <c r="X146">
        <f t="shared" si="75"/>
        <v>69.442812864893227</v>
      </c>
      <c r="Y146">
        <f t="shared" si="76"/>
        <v>2.2495589918356802</v>
      </c>
      <c r="Z146">
        <f t="shared" si="77"/>
        <v>3.2394410580867232</v>
      </c>
      <c r="AA146">
        <f t="shared" si="78"/>
        <v>1.2822882982420096</v>
      </c>
      <c r="AB146">
        <f t="shared" si="79"/>
        <v>-93.117223369818234</v>
      </c>
      <c r="AC146">
        <f t="shared" si="80"/>
        <v>-166.28680937871968</v>
      </c>
      <c r="AD146">
        <f t="shared" si="81"/>
        <v>-16.835568290726901</v>
      </c>
      <c r="AE146">
        <f t="shared" si="82"/>
        <v>-0.12316932326484675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52535.006170742672</v>
      </c>
      <c r="AK146">
        <f t="shared" si="86"/>
        <v>1800</v>
      </c>
      <c r="AL146">
        <f t="shared" si="87"/>
        <v>1499.1101946000001</v>
      </c>
      <c r="AM146">
        <f t="shared" si="88"/>
        <v>0.83283899700000008</v>
      </c>
      <c r="AN146">
        <f t="shared" si="89"/>
        <v>0.15339801761999999</v>
      </c>
      <c r="AO146">
        <v>32.700000000000003</v>
      </c>
      <c r="AP146">
        <v>0.5</v>
      </c>
      <c r="AQ146" t="s">
        <v>331</v>
      </c>
      <c r="AR146">
        <v>2</v>
      </c>
      <c r="AS146">
        <v>1690383816</v>
      </c>
      <c r="AT146">
        <v>440.42</v>
      </c>
      <c r="AU146">
        <v>799.99900000000002</v>
      </c>
      <c r="AV146">
        <v>22.773099999999999</v>
      </c>
      <c r="AW146">
        <v>0.28808400000000001</v>
      </c>
      <c r="AX146">
        <v>440.43</v>
      </c>
      <c r="AY146">
        <v>22.597899999999999</v>
      </c>
      <c r="AZ146">
        <v>300.08300000000003</v>
      </c>
      <c r="BA146">
        <v>98.6815</v>
      </c>
      <c r="BB146">
        <v>9.9912799999999996E-2</v>
      </c>
      <c r="BC146">
        <v>25.3127</v>
      </c>
      <c r="BD146">
        <v>26.957799999999999</v>
      </c>
      <c r="BE146">
        <v>26.716899999999999</v>
      </c>
      <c r="BF146">
        <v>0</v>
      </c>
      <c r="BG146">
        <v>0</v>
      </c>
      <c r="BH146">
        <v>10011.9</v>
      </c>
      <c r="BI146">
        <v>1056.26</v>
      </c>
      <c r="BJ146">
        <v>2.36178</v>
      </c>
      <c r="BK146">
        <v>-359.57799999999997</v>
      </c>
      <c r="BL146">
        <v>450.68400000000003</v>
      </c>
      <c r="BM146">
        <v>800.22900000000004</v>
      </c>
      <c r="BN146">
        <v>22.484999999999999</v>
      </c>
      <c r="BO146">
        <v>799.99900000000002</v>
      </c>
      <c r="BP146">
        <v>0.28808400000000001</v>
      </c>
      <c r="BQ146">
        <v>2.24729</v>
      </c>
      <c r="BR146">
        <v>2.8428599999999998E-2</v>
      </c>
      <c r="BS146">
        <v>19.3035</v>
      </c>
      <c r="BT146">
        <v>-35.980699999999999</v>
      </c>
      <c r="BU146">
        <v>1800</v>
      </c>
      <c r="BV146">
        <v>0.90998100000000004</v>
      </c>
      <c r="BW146">
        <v>3.4002900000000003E-2</v>
      </c>
      <c r="BX146">
        <v>2.2007100000000002E-2</v>
      </c>
      <c r="BY146">
        <v>3.4008999999999998E-2</v>
      </c>
      <c r="BZ146">
        <v>26</v>
      </c>
      <c r="CA146">
        <v>33528.199999999997</v>
      </c>
      <c r="CB146">
        <v>1690381960.0999999</v>
      </c>
      <c r="CC146" t="s">
        <v>332</v>
      </c>
      <c r="CD146">
        <v>1690381960.0999999</v>
      </c>
      <c r="CE146">
        <v>1690381958.0999999</v>
      </c>
      <c r="CF146">
        <v>4</v>
      </c>
      <c r="CG146">
        <v>9.9000000000000005E-2</v>
      </c>
      <c r="CH146">
        <v>1.2E-2</v>
      </c>
      <c r="CI146">
        <v>-0.26300000000000001</v>
      </c>
      <c r="CJ146">
        <v>0.127</v>
      </c>
      <c r="CK146">
        <v>798</v>
      </c>
      <c r="CL146">
        <v>18</v>
      </c>
      <c r="CM146">
        <v>0.02</v>
      </c>
      <c r="CN146">
        <v>0.12</v>
      </c>
      <c r="CO146">
        <v>-357.26605000000001</v>
      </c>
      <c r="CP146">
        <v>-13.001358348967941</v>
      </c>
      <c r="CQ146">
        <v>1.2515380527574891</v>
      </c>
      <c r="CR146">
        <v>-1</v>
      </c>
      <c r="CS146">
        <v>22.397275</v>
      </c>
      <c r="CT146">
        <v>0.45486754221384018</v>
      </c>
      <c r="CU146">
        <v>4.386970338399844E-2</v>
      </c>
      <c r="CV146">
        <v>-1</v>
      </c>
      <c r="CW146">
        <v>0</v>
      </c>
      <c r="CX146">
        <v>0</v>
      </c>
      <c r="CY146" t="s">
        <v>333</v>
      </c>
      <c r="CZ146">
        <v>2.3645100000000001</v>
      </c>
      <c r="DA146">
        <v>2.7137099999999998</v>
      </c>
      <c r="DB146">
        <v>9.5868400000000006E-2</v>
      </c>
      <c r="DC146">
        <v>0.14543300000000001</v>
      </c>
      <c r="DD146">
        <v>0.109385</v>
      </c>
      <c r="DE146">
        <v>2.3973100000000002E-3</v>
      </c>
      <c r="DF146">
        <v>33022</v>
      </c>
      <c r="DG146">
        <v>27549.8</v>
      </c>
      <c r="DH146">
        <v>31179.8</v>
      </c>
      <c r="DI146">
        <v>28091.4</v>
      </c>
      <c r="DJ146">
        <v>37698.5</v>
      </c>
      <c r="DK146">
        <v>39855.5</v>
      </c>
      <c r="DL146">
        <v>44373.5</v>
      </c>
      <c r="DM146">
        <v>42575.1</v>
      </c>
      <c r="DN146">
        <v>1.47553</v>
      </c>
      <c r="DO146">
        <v>2.03085</v>
      </c>
      <c r="DP146">
        <v>0.16619600000000001</v>
      </c>
      <c r="DQ146">
        <v>0.15299399999999999</v>
      </c>
      <c r="DR146">
        <v>24.233499999999999</v>
      </c>
      <c r="DS146">
        <v>24.208600000000001</v>
      </c>
      <c r="DT146">
        <v>36.1</v>
      </c>
      <c r="DU146">
        <v>28.9</v>
      </c>
      <c r="DV146">
        <v>14.6257</v>
      </c>
      <c r="DW146">
        <v>60.933</v>
      </c>
      <c r="DX146">
        <v>37.099400000000003</v>
      </c>
      <c r="DY146">
        <v>1</v>
      </c>
      <c r="DZ146">
        <v>-0.10287300000000001</v>
      </c>
      <c r="EA146">
        <v>0.11786199999999999</v>
      </c>
      <c r="EB146">
        <v>20.189699999999998</v>
      </c>
      <c r="EC146">
        <v>5.2404999999999999</v>
      </c>
      <c r="ED146">
        <v>12.039899999999999</v>
      </c>
      <c r="EE146">
        <v>5.0167999999999999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</v>
      </c>
      <c r="EL146">
        <v>1.8646199999999999</v>
      </c>
      <c r="EM146">
        <v>1.8692</v>
      </c>
      <c r="EN146">
        <v>1.86724</v>
      </c>
      <c r="EO146">
        <v>1.8633999999999999</v>
      </c>
      <c r="EP146">
        <v>1.8644700000000001</v>
      </c>
      <c r="EQ146">
        <v>1.87018</v>
      </c>
      <c r="ER146">
        <v>1.86938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-0.01</v>
      </c>
      <c r="FG146">
        <v>0.17519999999999999</v>
      </c>
      <c r="FH146">
        <v>0.28746640474027818</v>
      </c>
      <c r="FI146">
        <v>-6.1462078757559423E-4</v>
      </c>
      <c r="FJ146">
        <v>-1.8861989874597051E-7</v>
      </c>
      <c r="FK146">
        <v>1.1980462299894961E-10</v>
      </c>
      <c r="FL146">
        <v>0.17524818673008091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30.9</v>
      </c>
      <c r="FU146">
        <v>31</v>
      </c>
      <c r="FV146">
        <v>1.7675799999999999</v>
      </c>
      <c r="FW146">
        <v>2.5769000000000002</v>
      </c>
      <c r="FX146">
        <v>1.5490699999999999</v>
      </c>
      <c r="FY146">
        <v>2.3327599999999999</v>
      </c>
      <c r="FZ146">
        <v>1.50146</v>
      </c>
      <c r="GA146">
        <v>2.4023400000000001</v>
      </c>
      <c r="GB146">
        <v>33.580399999999997</v>
      </c>
      <c r="GC146">
        <v>23.982399999999998</v>
      </c>
      <c r="GD146">
        <v>19</v>
      </c>
      <c r="GE146">
        <v>282.18</v>
      </c>
      <c r="GF146">
        <v>577.58699999999999</v>
      </c>
      <c r="GG146">
        <v>23.587199999999999</v>
      </c>
      <c r="GH146">
        <v>26.093299999999999</v>
      </c>
      <c r="GI146">
        <v>30</v>
      </c>
      <c r="GJ146">
        <v>26.2577</v>
      </c>
      <c r="GK146">
        <v>26.2468</v>
      </c>
      <c r="GL146">
        <v>35.337699999999998</v>
      </c>
      <c r="GM146">
        <v>100</v>
      </c>
      <c r="GN146">
        <v>35.541499999999999</v>
      </c>
      <c r="GO146">
        <v>23.6036</v>
      </c>
      <c r="GP146">
        <v>800</v>
      </c>
      <c r="GQ146">
        <v>0</v>
      </c>
      <c r="GR146">
        <v>99.764200000000002</v>
      </c>
      <c r="GS146">
        <v>99.599599999999995</v>
      </c>
    </row>
    <row r="147" spans="1:201" x14ac:dyDescent="0.25">
      <c r="A147">
        <v>131</v>
      </c>
      <c r="B147">
        <v>1690383826</v>
      </c>
      <c r="C147">
        <v>1350.900000095367</v>
      </c>
      <c r="D147" t="s">
        <v>593</v>
      </c>
      <c r="E147" t="s">
        <v>594</v>
      </c>
      <c r="F147" t="s">
        <v>330</v>
      </c>
      <c r="H147">
        <v>1690383826</v>
      </c>
      <c r="I147">
        <f t="shared" si="60"/>
        <v>2.1202295015439643E-3</v>
      </c>
      <c r="J147">
        <f t="shared" si="61"/>
        <v>2.1202295015439643</v>
      </c>
      <c r="K147">
        <f t="shared" si="62"/>
        <v>32.257507461676738</v>
      </c>
      <c r="L147">
        <f t="shared" si="63"/>
        <v>438.39499999999998</v>
      </c>
      <c r="M147">
        <f t="shared" si="64"/>
        <v>110.38226228969916</v>
      </c>
      <c r="N147">
        <f t="shared" si="65"/>
        <v>10.903347129242372</v>
      </c>
      <c r="O147">
        <f t="shared" si="66"/>
        <v>43.303813181316492</v>
      </c>
      <c r="P147">
        <f t="shared" si="67"/>
        <v>0.16616455308958264</v>
      </c>
      <c r="Q147">
        <f t="shared" si="68"/>
        <v>2.1114565399995979</v>
      </c>
      <c r="R147">
        <f t="shared" si="69"/>
        <v>0.1592266330410656</v>
      </c>
      <c r="S147">
        <f t="shared" si="70"/>
        <v>0.10011585087077257</v>
      </c>
      <c r="T147">
        <f t="shared" si="71"/>
        <v>276.11624475000002</v>
      </c>
      <c r="U147">
        <f t="shared" si="72"/>
        <v>26.786314162254584</v>
      </c>
      <c r="V147">
        <f t="shared" si="73"/>
        <v>26.786314162254584</v>
      </c>
      <c r="W147">
        <f t="shared" si="74"/>
        <v>3.5344854713140186</v>
      </c>
      <c r="X147">
        <f t="shared" si="75"/>
        <v>69.629503465051229</v>
      </c>
      <c r="Y147">
        <f t="shared" si="76"/>
        <v>2.2577407742820901</v>
      </c>
      <c r="Z147">
        <f t="shared" si="77"/>
        <v>3.2425059233910898</v>
      </c>
      <c r="AA147">
        <f t="shared" si="78"/>
        <v>1.2767446970319285</v>
      </c>
      <c r="AB147">
        <f t="shared" si="79"/>
        <v>-93.502121018088829</v>
      </c>
      <c r="AC147">
        <f t="shared" si="80"/>
        <v>-165.93575026357541</v>
      </c>
      <c r="AD147">
        <f t="shared" si="81"/>
        <v>-16.801014721652681</v>
      </c>
      <c r="AE147">
        <f t="shared" si="82"/>
        <v>-0.12264125331688547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52539.954593028924</v>
      </c>
      <c r="AK147">
        <f t="shared" si="86"/>
        <v>1800</v>
      </c>
      <c r="AL147">
        <f t="shared" si="87"/>
        <v>1499.1100559999998</v>
      </c>
      <c r="AM147">
        <f t="shared" si="88"/>
        <v>0.83283891999999993</v>
      </c>
      <c r="AN147">
        <f t="shared" si="89"/>
        <v>0.15339791375</v>
      </c>
      <c r="AO147">
        <v>32.700000000000003</v>
      </c>
      <c r="AP147">
        <v>0.5</v>
      </c>
      <c r="AQ147" t="s">
        <v>331</v>
      </c>
      <c r="AR147">
        <v>2</v>
      </c>
      <c r="AS147">
        <v>1690383826</v>
      </c>
      <c r="AT147">
        <v>438.39499999999998</v>
      </c>
      <c r="AU147">
        <v>800.05499999999995</v>
      </c>
      <c r="AV147">
        <v>22.8567</v>
      </c>
      <c r="AW147">
        <v>0.27932000000000001</v>
      </c>
      <c r="AX147">
        <v>438.40300000000002</v>
      </c>
      <c r="AY147">
        <v>22.6815</v>
      </c>
      <c r="AZ147">
        <v>300.065</v>
      </c>
      <c r="BA147">
        <v>98.678100000000001</v>
      </c>
      <c r="BB147">
        <v>9.9972699999999998E-2</v>
      </c>
      <c r="BC147">
        <v>25.328600000000002</v>
      </c>
      <c r="BD147">
        <v>26.9925</v>
      </c>
      <c r="BE147">
        <v>26.7363</v>
      </c>
      <c r="BF147">
        <v>0</v>
      </c>
      <c r="BG147">
        <v>0</v>
      </c>
      <c r="BH147">
        <v>10013.799999999999</v>
      </c>
      <c r="BI147">
        <v>1056.49</v>
      </c>
      <c r="BJ147">
        <v>2.3547799999999999</v>
      </c>
      <c r="BK147">
        <v>-361.66</v>
      </c>
      <c r="BL147">
        <v>448.649</v>
      </c>
      <c r="BM147">
        <v>800.27800000000002</v>
      </c>
      <c r="BN147">
        <v>22.577400000000001</v>
      </c>
      <c r="BO147">
        <v>800.05499999999995</v>
      </c>
      <c r="BP147">
        <v>0.27932000000000001</v>
      </c>
      <c r="BQ147">
        <v>2.2554599999999998</v>
      </c>
      <c r="BR147">
        <v>2.7562799999999998E-2</v>
      </c>
      <c r="BS147">
        <v>19.361799999999999</v>
      </c>
      <c r="BT147">
        <v>-36.2883</v>
      </c>
      <c r="BU147">
        <v>1800</v>
      </c>
      <c r="BV147">
        <v>0.90998299999999999</v>
      </c>
      <c r="BW147">
        <v>3.40021E-2</v>
      </c>
      <c r="BX147">
        <v>2.2006499999999998E-2</v>
      </c>
      <c r="BY147">
        <v>3.4008099999999999E-2</v>
      </c>
      <c r="BZ147">
        <v>26</v>
      </c>
      <c r="CA147">
        <v>33528.199999999997</v>
      </c>
      <c r="CB147">
        <v>1690381960.0999999</v>
      </c>
      <c r="CC147" t="s">
        <v>332</v>
      </c>
      <c r="CD147">
        <v>1690381960.0999999</v>
      </c>
      <c r="CE147">
        <v>1690381958.0999999</v>
      </c>
      <c r="CF147">
        <v>4</v>
      </c>
      <c r="CG147">
        <v>9.9000000000000005E-2</v>
      </c>
      <c r="CH147">
        <v>1.2E-2</v>
      </c>
      <c r="CI147">
        <v>-0.26300000000000001</v>
      </c>
      <c r="CJ147">
        <v>0.127</v>
      </c>
      <c r="CK147">
        <v>798</v>
      </c>
      <c r="CL147">
        <v>18</v>
      </c>
      <c r="CM147">
        <v>0.02</v>
      </c>
      <c r="CN147">
        <v>0.12</v>
      </c>
      <c r="CO147">
        <v>-359.23217499999998</v>
      </c>
      <c r="CP147">
        <v>-13.287095684802219</v>
      </c>
      <c r="CQ147">
        <v>1.2791281188274291</v>
      </c>
      <c r="CR147">
        <v>-1</v>
      </c>
      <c r="CS147">
        <v>22.472190000000001</v>
      </c>
      <c r="CT147">
        <v>0.53912870544088032</v>
      </c>
      <c r="CU147">
        <v>5.1932012285294517E-2</v>
      </c>
      <c r="CV147">
        <v>-1</v>
      </c>
      <c r="CW147">
        <v>0</v>
      </c>
      <c r="CX147">
        <v>0</v>
      </c>
      <c r="CY147" t="s">
        <v>333</v>
      </c>
      <c r="CZ147">
        <v>2.3644599999999998</v>
      </c>
      <c r="DA147">
        <v>2.7137699999999998</v>
      </c>
      <c r="DB147">
        <v>9.5534800000000003E-2</v>
      </c>
      <c r="DC147">
        <v>0.14543500000000001</v>
      </c>
      <c r="DD147">
        <v>0.109666</v>
      </c>
      <c r="DE147">
        <v>2.32555E-3</v>
      </c>
      <c r="DF147">
        <v>33034</v>
      </c>
      <c r="DG147">
        <v>27549.9</v>
      </c>
      <c r="DH147">
        <v>31179.599999999999</v>
      </c>
      <c r="DI147">
        <v>28091.5</v>
      </c>
      <c r="DJ147">
        <v>37686.1</v>
      </c>
      <c r="DK147">
        <v>39858.6</v>
      </c>
      <c r="DL147">
        <v>44373.1</v>
      </c>
      <c r="DM147">
        <v>42575.4</v>
      </c>
      <c r="DN147">
        <v>1.4754499999999999</v>
      </c>
      <c r="DO147">
        <v>2.0306000000000002</v>
      </c>
      <c r="DP147">
        <v>0.16788400000000001</v>
      </c>
      <c r="DQ147">
        <v>0.153664</v>
      </c>
      <c r="DR147">
        <v>24.240600000000001</v>
      </c>
      <c r="DS147">
        <v>24.216899999999999</v>
      </c>
      <c r="DT147">
        <v>35.6</v>
      </c>
      <c r="DU147">
        <v>28.9</v>
      </c>
      <c r="DV147">
        <v>14.426500000000001</v>
      </c>
      <c r="DW147">
        <v>60.953000000000003</v>
      </c>
      <c r="DX147">
        <v>36.754800000000003</v>
      </c>
      <c r="DY147">
        <v>1</v>
      </c>
      <c r="DZ147">
        <v>-0.10297000000000001</v>
      </c>
      <c r="EA147">
        <v>0.10626099999999999</v>
      </c>
      <c r="EB147">
        <v>20.189900000000002</v>
      </c>
      <c r="EC147">
        <v>5.2408000000000001</v>
      </c>
      <c r="ED147">
        <v>12.039899999999999</v>
      </c>
      <c r="EE147">
        <v>5.0170500000000002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1.8689100000000001</v>
      </c>
      <c r="EL147">
        <v>1.86463</v>
      </c>
      <c r="EM147">
        <v>1.8692</v>
      </c>
      <c r="EN147">
        <v>1.86724</v>
      </c>
      <c r="EO147">
        <v>1.8633999999999999</v>
      </c>
      <c r="EP147">
        <v>1.8644700000000001</v>
      </c>
      <c r="EQ147">
        <v>1.8701700000000001</v>
      </c>
      <c r="ER147">
        <v>1.86941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-8.0000000000000002E-3</v>
      </c>
      <c r="FG147">
        <v>0.17519999999999999</v>
      </c>
      <c r="FH147">
        <v>0.28746640474027818</v>
      </c>
      <c r="FI147">
        <v>-6.1462078757559423E-4</v>
      </c>
      <c r="FJ147">
        <v>-1.8861989874597051E-7</v>
      </c>
      <c r="FK147">
        <v>1.1980462299894961E-10</v>
      </c>
      <c r="FL147">
        <v>0.17524818673008091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31.1</v>
      </c>
      <c r="FU147">
        <v>31.1</v>
      </c>
      <c r="FV147">
        <v>1.7675799999999999</v>
      </c>
      <c r="FW147">
        <v>2.5830099999999998</v>
      </c>
      <c r="FX147">
        <v>1.5490699999999999</v>
      </c>
      <c r="FY147">
        <v>2.3327599999999999</v>
      </c>
      <c r="FZ147">
        <v>1.50146</v>
      </c>
      <c r="GA147">
        <v>2.34375</v>
      </c>
      <c r="GB147">
        <v>33.580399999999997</v>
      </c>
      <c r="GC147">
        <v>23.982399999999998</v>
      </c>
      <c r="GD147">
        <v>19</v>
      </c>
      <c r="GE147">
        <v>282.13799999999998</v>
      </c>
      <c r="GF147">
        <v>577.35699999999997</v>
      </c>
      <c r="GG147">
        <v>23.640599999999999</v>
      </c>
      <c r="GH147">
        <v>26.091699999999999</v>
      </c>
      <c r="GI147">
        <v>30</v>
      </c>
      <c r="GJ147">
        <v>26.255500000000001</v>
      </c>
      <c r="GK147">
        <v>26.244499999999999</v>
      </c>
      <c r="GL147">
        <v>35.334499999999998</v>
      </c>
      <c r="GM147">
        <v>100</v>
      </c>
      <c r="GN147">
        <v>34.753599999999999</v>
      </c>
      <c r="GO147">
        <v>23.656099999999999</v>
      </c>
      <c r="GP147">
        <v>800</v>
      </c>
      <c r="GQ147">
        <v>0</v>
      </c>
      <c r="GR147">
        <v>99.763499999999993</v>
      </c>
      <c r="GS147">
        <v>99.600200000000001</v>
      </c>
    </row>
    <row r="148" spans="1:201" x14ac:dyDescent="0.25">
      <c r="A148">
        <v>132</v>
      </c>
      <c r="B148">
        <v>1690383836</v>
      </c>
      <c r="C148">
        <v>1360.900000095367</v>
      </c>
      <c r="D148" t="s">
        <v>595</v>
      </c>
      <c r="E148" t="s">
        <v>596</v>
      </c>
      <c r="F148" t="s">
        <v>330</v>
      </c>
      <c r="H148">
        <v>1690383836</v>
      </c>
      <c r="I148">
        <f t="shared" si="60"/>
        <v>2.1290703171702417E-3</v>
      </c>
      <c r="J148">
        <f t="shared" si="61"/>
        <v>2.1290703171702416</v>
      </c>
      <c r="K148">
        <f t="shared" si="62"/>
        <v>32.446269730694915</v>
      </c>
      <c r="L148">
        <f t="shared" si="63"/>
        <v>436.45100000000002</v>
      </c>
      <c r="M148">
        <f t="shared" si="64"/>
        <v>109.29589887329196</v>
      </c>
      <c r="N148">
        <f t="shared" si="65"/>
        <v>10.796123342504744</v>
      </c>
      <c r="O148">
        <f t="shared" si="66"/>
        <v>43.112128428736298</v>
      </c>
      <c r="P148">
        <f t="shared" si="67"/>
        <v>0.16761271207503511</v>
      </c>
      <c r="Q148">
        <f t="shared" si="68"/>
        <v>2.1091630993094235</v>
      </c>
      <c r="R148">
        <f t="shared" si="69"/>
        <v>0.16054876957702674</v>
      </c>
      <c r="S148">
        <f t="shared" si="70"/>
        <v>0.10095283973408929</v>
      </c>
      <c r="T148">
        <f t="shared" si="71"/>
        <v>276.11469091697285</v>
      </c>
      <c r="U148">
        <f t="shared" si="72"/>
        <v>26.796410830660808</v>
      </c>
      <c r="V148">
        <f t="shared" si="73"/>
        <v>26.796410830660808</v>
      </c>
      <c r="W148">
        <f t="shared" si="74"/>
        <v>3.5365853205231099</v>
      </c>
      <c r="X148">
        <f t="shared" si="75"/>
        <v>69.808307384636137</v>
      </c>
      <c r="Y148">
        <f t="shared" si="76"/>
        <v>2.2651274728156898</v>
      </c>
      <c r="Z148">
        <f t="shared" si="77"/>
        <v>3.2447821150211897</v>
      </c>
      <c r="AA148">
        <f t="shared" si="78"/>
        <v>1.2714578477074201</v>
      </c>
      <c r="AB148">
        <f t="shared" si="79"/>
        <v>-93.892000987207666</v>
      </c>
      <c r="AC148">
        <f t="shared" si="80"/>
        <v>-165.56182821630276</v>
      </c>
      <c r="AD148">
        <f t="shared" si="81"/>
        <v>-16.783225721109886</v>
      </c>
      <c r="AE148">
        <f t="shared" si="82"/>
        <v>-0.12236400764746236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52437.41330610287</v>
      </c>
      <c r="AK148">
        <f t="shared" si="86"/>
        <v>1799.99</v>
      </c>
      <c r="AL148">
        <f t="shared" si="87"/>
        <v>1499.1022982076302</v>
      </c>
      <c r="AM148">
        <f t="shared" si="88"/>
        <v>0.83283923700000007</v>
      </c>
      <c r="AN148">
        <f t="shared" si="89"/>
        <v>0.15339790272000003</v>
      </c>
      <c r="AO148">
        <v>32.700000000000003</v>
      </c>
      <c r="AP148">
        <v>0.5</v>
      </c>
      <c r="AQ148" t="s">
        <v>331</v>
      </c>
      <c r="AR148">
        <v>2</v>
      </c>
      <c r="AS148">
        <v>1690383836</v>
      </c>
      <c r="AT148">
        <v>436.45100000000002</v>
      </c>
      <c r="AU148">
        <v>799.99800000000005</v>
      </c>
      <c r="AV148">
        <v>22.9313</v>
      </c>
      <c r="AW148">
        <v>0.27193000000000001</v>
      </c>
      <c r="AX148">
        <v>436.45800000000003</v>
      </c>
      <c r="AY148">
        <v>22.756</v>
      </c>
      <c r="AZ148">
        <v>300.20299999999997</v>
      </c>
      <c r="BA148">
        <v>98.678899999999999</v>
      </c>
      <c r="BB148">
        <v>9.9951300000000007E-2</v>
      </c>
      <c r="BC148">
        <v>25.340399999999999</v>
      </c>
      <c r="BD148">
        <v>26.9954</v>
      </c>
      <c r="BE148">
        <v>26.743300000000001</v>
      </c>
      <c r="BF148">
        <v>0</v>
      </c>
      <c r="BG148">
        <v>0</v>
      </c>
      <c r="BH148">
        <v>9993.75</v>
      </c>
      <c r="BI148">
        <v>1056.71</v>
      </c>
      <c r="BJ148">
        <v>2.3898199999999998</v>
      </c>
      <c r="BK148">
        <v>-363.54700000000003</v>
      </c>
      <c r="BL148">
        <v>446.69400000000002</v>
      </c>
      <c r="BM148">
        <v>800.21600000000001</v>
      </c>
      <c r="BN148">
        <v>22.659400000000002</v>
      </c>
      <c r="BO148">
        <v>799.99800000000005</v>
      </c>
      <c r="BP148">
        <v>0.27193000000000001</v>
      </c>
      <c r="BQ148">
        <v>2.2628400000000002</v>
      </c>
      <c r="BR148">
        <v>2.6833800000000001E-2</v>
      </c>
      <c r="BS148">
        <v>19.414200000000001</v>
      </c>
      <c r="BT148">
        <v>-36.554299999999998</v>
      </c>
      <c r="BU148">
        <v>1799.99</v>
      </c>
      <c r="BV148">
        <v>0.90998500000000004</v>
      </c>
      <c r="BW148">
        <v>3.4001400000000001E-2</v>
      </c>
      <c r="BX148">
        <v>2.2006100000000001E-2</v>
      </c>
      <c r="BY148">
        <v>3.40074E-2</v>
      </c>
      <c r="BZ148">
        <v>26</v>
      </c>
      <c r="CA148">
        <v>33528.199999999997</v>
      </c>
      <c r="CB148">
        <v>1690381960.0999999</v>
      </c>
      <c r="CC148" t="s">
        <v>332</v>
      </c>
      <c r="CD148">
        <v>1690381960.0999999</v>
      </c>
      <c r="CE148">
        <v>1690381958.0999999</v>
      </c>
      <c r="CF148">
        <v>4</v>
      </c>
      <c r="CG148">
        <v>9.9000000000000005E-2</v>
      </c>
      <c r="CH148">
        <v>1.2E-2</v>
      </c>
      <c r="CI148">
        <v>-0.26300000000000001</v>
      </c>
      <c r="CJ148">
        <v>0.127</v>
      </c>
      <c r="CK148">
        <v>798</v>
      </c>
      <c r="CL148">
        <v>18</v>
      </c>
      <c r="CM148">
        <v>0.02</v>
      </c>
      <c r="CN148">
        <v>0.12</v>
      </c>
      <c r="CO148">
        <v>-361.30432500000001</v>
      </c>
      <c r="CP148">
        <v>-11.555043151968709</v>
      </c>
      <c r="CQ148">
        <v>1.1138823184587321</v>
      </c>
      <c r="CR148">
        <v>-1</v>
      </c>
      <c r="CS148">
        <v>22.561624999999999</v>
      </c>
      <c r="CT148">
        <v>0.52089681050652226</v>
      </c>
      <c r="CU148">
        <v>5.0163655917406992E-2</v>
      </c>
      <c r="CV148">
        <v>-1</v>
      </c>
      <c r="CW148">
        <v>0</v>
      </c>
      <c r="CX148">
        <v>0</v>
      </c>
      <c r="CY148" t="s">
        <v>333</v>
      </c>
      <c r="CZ148">
        <v>2.3649200000000001</v>
      </c>
      <c r="DA148">
        <v>2.71374</v>
      </c>
      <c r="DB148">
        <v>9.5218300000000006E-2</v>
      </c>
      <c r="DC148">
        <v>0.14543</v>
      </c>
      <c r="DD148">
        <v>0.10992200000000001</v>
      </c>
      <c r="DE148">
        <v>2.2650700000000001E-3</v>
      </c>
      <c r="DF148">
        <v>33045.9</v>
      </c>
      <c r="DG148">
        <v>27550.3</v>
      </c>
      <c r="DH148">
        <v>31179.8</v>
      </c>
      <c r="DI148">
        <v>28091.8</v>
      </c>
      <c r="DJ148">
        <v>37675.599999999999</v>
      </c>
      <c r="DK148">
        <v>39861.5</v>
      </c>
      <c r="DL148">
        <v>44373.599999999999</v>
      </c>
      <c r="DM148">
        <v>42575.9</v>
      </c>
      <c r="DN148">
        <v>1.4757199999999999</v>
      </c>
      <c r="DO148">
        <v>2.0305800000000001</v>
      </c>
      <c r="DP148">
        <v>0.16761599999999999</v>
      </c>
      <c r="DQ148">
        <v>0.153475</v>
      </c>
      <c r="DR148">
        <v>24.248000000000001</v>
      </c>
      <c r="DS148">
        <v>24.2271</v>
      </c>
      <c r="DT148">
        <v>35.200000000000003</v>
      </c>
      <c r="DU148">
        <v>28.9</v>
      </c>
      <c r="DV148">
        <v>14.2637</v>
      </c>
      <c r="DW148">
        <v>61.003</v>
      </c>
      <c r="DX148">
        <v>37.023200000000003</v>
      </c>
      <c r="DY148">
        <v>1</v>
      </c>
      <c r="DZ148">
        <v>-0.102876</v>
      </c>
      <c r="EA148">
        <v>0.45248899999999997</v>
      </c>
      <c r="EB148">
        <v>20.187999999999999</v>
      </c>
      <c r="EC148">
        <v>5.2408000000000001</v>
      </c>
      <c r="ED148">
        <v>12.039899999999999</v>
      </c>
      <c r="EE148">
        <v>5.0171000000000001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</v>
      </c>
      <c r="EL148">
        <v>1.86463</v>
      </c>
      <c r="EM148">
        <v>1.8692</v>
      </c>
      <c r="EN148">
        <v>1.86724</v>
      </c>
      <c r="EO148">
        <v>1.8633900000000001</v>
      </c>
      <c r="EP148">
        <v>1.8644700000000001</v>
      </c>
      <c r="EQ148">
        <v>1.8701399999999999</v>
      </c>
      <c r="ER148">
        <v>1.86938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-7.0000000000000001E-3</v>
      </c>
      <c r="FG148">
        <v>0.17530000000000001</v>
      </c>
      <c r="FH148">
        <v>0.28746640474027818</v>
      </c>
      <c r="FI148">
        <v>-6.1462078757559423E-4</v>
      </c>
      <c r="FJ148">
        <v>-1.8861989874597051E-7</v>
      </c>
      <c r="FK148">
        <v>1.1980462299894961E-10</v>
      </c>
      <c r="FL148">
        <v>0.17524818673008091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31.3</v>
      </c>
      <c r="FU148">
        <v>31.3</v>
      </c>
      <c r="FV148">
        <v>1.7675799999999999</v>
      </c>
      <c r="FW148">
        <v>2.5793499999999998</v>
      </c>
      <c r="FX148">
        <v>1.5490699999999999</v>
      </c>
      <c r="FY148">
        <v>2.3327599999999999</v>
      </c>
      <c r="FZ148">
        <v>1.50146</v>
      </c>
      <c r="GA148">
        <v>2.3559600000000001</v>
      </c>
      <c r="GB148">
        <v>33.580399999999997</v>
      </c>
      <c r="GC148">
        <v>23.973700000000001</v>
      </c>
      <c r="GD148">
        <v>19</v>
      </c>
      <c r="GE148">
        <v>282.245</v>
      </c>
      <c r="GF148">
        <v>577.30999999999995</v>
      </c>
      <c r="GG148">
        <v>23.666399999999999</v>
      </c>
      <c r="GH148">
        <v>26.089400000000001</v>
      </c>
      <c r="GI148">
        <v>30.0001</v>
      </c>
      <c r="GJ148">
        <v>26.2532</v>
      </c>
      <c r="GK148">
        <v>26.242100000000001</v>
      </c>
      <c r="GL148">
        <v>35.333500000000001</v>
      </c>
      <c r="GM148">
        <v>100</v>
      </c>
      <c r="GN148">
        <v>33.593600000000002</v>
      </c>
      <c r="GO148">
        <v>23.456800000000001</v>
      </c>
      <c r="GP148">
        <v>800</v>
      </c>
      <c r="GQ148">
        <v>0</v>
      </c>
      <c r="GR148">
        <v>99.764499999999998</v>
      </c>
      <c r="GS148">
        <v>99.601200000000006</v>
      </c>
    </row>
    <row r="149" spans="1:201" x14ac:dyDescent="0.25">
      <c r="A149">
        <v>133</v>
      </c>
      <c r="B149">
        <v>1690383846</v>
      </c>
      <c r="C149">
        <v>1370.900000095367</v>
      </c>
      <c r="D149" t="s">
        <v>597</v>
      </c>
      <c r="E149" t="s">
        <v>598</v>
      </c>
      <c r="F149" t="s">
        <v>330</v>
      </c>
      <c r="H149">
        <v>1690383846</v>
      </c>
      <c r="I149">
        <f t="shared" si="60"/>
        <v>2.1339893815283378E-3</v>
      </c>
      <c r="J149">
        <f t="shared" si="61"/>
        <v>2.1339893815283379</v>
      </c>
      <c r="K149">
        <f t="shared" si="62"/>
        <v>32.61339350870486</v>
      </c>
      <c r="L149">
        <f t="shared" si="63"/>
        <v>434.49599999999998</v>
      </c>
      <c r="M149">
        <f t="shared" si="64"/>
        <v>107.93600739914186</v>
      </c>
      <c r="N149">
        <f t="shared" si="65"/>
        <v>10.661937764450133</v>
      </c>
      <c r="O149">
        <f t="shared" si="66"/>
        <v>42.919591177497594</v>
      </c>
      <c r="P149">
        <f t="shared" si="67"/>
        <v>0.16879711024139113</v>
      </c>
      <c r="Q149">
        <f t="shared" si="68"/>
        <v>2.1101159474328823</v>
      </c>
      <c r="R149">
        <f t="shared" si="69"/>
        <v>0.16163836306757084</v>
      </c>
      <c r="S149">
        <f t="shared" si="70"/>
        <v>0.10164186162653985</v>
      </c>
      <c r="T149">
        <f t="shared" si="71"/>
        <v>276.116243634</v>
      </c>
      <c r="U149">
        <f t="shared" si="72"/>
        <v>26.795790944668397</v>
      </c>
      <c r="V149">
        <f t="shared" si="73"/>
        <v>26.795790944668397</v>
      </c>
      <c r="W149">
        <f t="shared" si="74"/>
        <v>3.5364563686921975</v>
      </c>
      <c r="X149">
        <f t="shared" si="75"/>
        <v>69.97203994340444</v>
      </c>
      <c r="Y149">
        <f t="shared" si="76"/>
        <v>2.2706697745347602</v>
      </c>
      <c r="Z149">
        <f t="shared" si="77"/>
        <v>3.245110155958506</v>
      </c>
      <c r="AA149">
        <f t="shared" si="78"/>
        <v>1.2657865941574373</v>
      </c>
      <c r="AB149">
        <f t="shared" si="79"/>
        <v>-94.1089317253997</v>
      </c>
      <c r="AC149">
        <f t="shared" si="80"/>
        <v>-165.37271186195369</v>
      </c>
      <c r="AD149">
        <f t="shared" si="81"/>
        <v>-16.756575191774864</v>
      </c>
      <c r="AE149">
        <f t="shared" si="82"/>
        <v>-0.12197514512826046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52478.875733622554</v>
      </c>
      <c r="AK149">
        <f t="shared" si="86"/>
        <v>1800</v>
      </c>
      <c r="AL149">
        <f t="shared" si="87"/>
        <v>1499.1110423999999</v>
      </c>
      <c r="AM149">
        <f t="shared" si="88"/>
        <v>0.83283946799999997</v>
      </c>
      <c r="AN149">
        <f t="shared" si="89"/>
        <v>0.15339791313000001</v>
      </c>
      <c r="AO149">
        <v>32.700000000000003</v>
      </c>
      <c r="AP149">
        <v>0.5</v>
      </c>
      <c r="AQ149" t="s">
        <v>331</v>
      </c>
      <c r="AR149">
        <v>2</v>
      </c>
      <c r="AS149">
        <v>1690383846</v>
      </c>
      <c r="AT149">
        <v>434.49599999999998</v>
      </c>
      <c r="AU149">
        <v>800.024</v>
      </c>
      <c r="AV149">
        <v>22.987100000000002</v>
      </c>
      <c r="AW149">
        <v>0.26532099999999997</v>
      </c>
      <c r="AX149">
        <v>434.50200000000001</v>
      </c>
      <c r="AY149">
        <v>22.811800000000002</v>
      </c>
      <c r="AZ149">
        <v>300.053</v>
      </c>
      <c r="BA149">
        <v>98.680300000000003</v>
      </c>
      <c r="BB149">
        <v>9.9875599999999995E-2</v>
      </c>
      <c r="BC149">
        <v>25.342099999999999</v>
      </c>
      <c r="BD149">
        <v>26.986999999999998</v>
      </c>
      <c r="BE149">
        <v>26.750399999999999</v>
      </c>
      <c r="BF149">
        <v>0</v>
      </c>
      <c r="BG149">
        <v>0</v>
      </c>
      <c r="BH149">
        <v>10001.9</v>
      </c>
      <c r="BI149">
        <v>1057.03</v>
      </c>
      <c r="BJ149">
        <v>2.4108399999999999</v>
      </c>
      <c r="BK149">
        <v>-365.52699999999999</v>
      </c>
      <c r="BL149">
        <v>444.71899999999999</v>
      </c>
      <c r="BM149">
        <v>800.23599999999999</v>
      </c>
      <c r="BN149">
        <v>22.721800000000002</v>
      </c>
      <c r="BO149">
        <v>800.024</v>
      </c>
      <c r="BP149">
        <v>0.26532099999999997</v>
      </c>
      <c r="BQ149">
        <v>2.26837</v>
      </c>
      <c r="BR149">
        <v>2.6181900000000001E-2</v>
      </c>
      <c r="BS149">
        <v>19.453499999999998</v>
      </c>
      <c r="BT149">
        <v>-36.797600000000003</v>
      </c>
      <c r="BU149">
        <v>1800</v>
      </c>
      <c r="BV149">
        <v>0.90998599999999996</v>
      </c>
      <c r="BW149">
        <v>3.4001099999999999E-2</v>
      </c>
      <c r="BX149">
        <v>2.2005899999999998E-2</v>
      </c>
      <c r="BY149">
        <v>3.4007099999999998E-2</v>
      </c>
      <c r="BZ149">
        <v>26</v>
      </c>
      <c r="CA149">
        <v>33528.300000000003</v>
      </c>
      <c r="CB149">
        <v>1690381960.0999999</v>
      </c>
      <c r="CC149" t="s">
        <v>332</v>
      </c>
      <c r="CD149">
        <v>1690381960.0999999</v>
      </c>
      <c r="CE149">
        <v>1690381958.0999999</v>
      </c>
      <c r="CF149">
        <v>4</v>
      </c>
      <c r="CG149">
        <v>9.9000000000000005E-2</v>
      </c>
      <c r="CH149">
        <v>1.2E-2</v>
      </c>
      <c r="CI149">
        <v>-0.26300000000000001</v>
      </c>
      <c r="CJ149">
        <v>0.127</v>
      </c>
      <c r="CK149">
        <v>798</v>
      </c>
      <c r="CL149">
        <v>18</v>
      </c>
      <c r="CM149">
        <v>0.02</v>
      </c>
      <c r="CN149">
        <v>0.12</v>
      </c>
      <c r="CO149">
        <v>-363.33458536585368</v>
      </c>
      <c r="CP149">
        <v>-11.989735191637759</v>
      </c>
      <c r="CQ149">
        <v>1.1846903470200281</v>
      </c>
      <c r="CR149">
        <v>-1</v>
      </c>
      <c r="CS149">
        <v>22.64859024390244</v>
      </c>
      <c r="CT149">
        <v>0.47586898954704832</v>
      </c>
      <c r="CU149">
        <v>4.7223453272340329E-2</v>
      </c>
      <c r="CV149">
        <v>-1</v>
      </c>
      <c r="CW149">
        <v>0</v>
      </c>
      <c r="CX149">
        <v>0</v>
      </c>
      <c r="CY149" t="s">
        <v>333</v>
      </c>
      <c r="CZ149">
        <v>2.36442</v>
      </c>
      <c r="DA149">
        <v>2.71367</v>
      </c>
      <c r="DB149">
        <v>9.4899600000000001E-2</v>
      </c>
      <c r="DC149">
        <v>0.14543600000000001</v>
      </c>
      <c r="DD149">
        <v>0.110113</v>
      </c>
      <c r="DE149">
        <v>2.2109600000000001E-3</v>
      </c>
      <c r="DF149">
        <v>33058.1</v>
      </c>
      <c r="DG149">
        <v>27549.9</v>
      </c>
      <c r="DH149">
        <v>31180.3</v>
      </c>
      <c r="DI149">
        <v>28091.599999999999</v>
      </c>
      <c r="DJ149">
        <v>37668</v>
      </c>
      <c r="DK149">
        <v>39863.4</v>
      </c>
      <c r="DL149">
        <v>44374.3</v>
      </c>
      <c r="DM149">
        <v>42575.5</v>
      </c>
      <c r="DN149">
        <v>1.47583</v>
      </c>
      <c r="DO149">
        <v>2.0305499999999999</v>
      </c>
      <c r="DP149">
        <v>0.166681</v>
      </c>
      <c r="DQ149">
        <v>0.15338499999999999</v>
      </c>
      <c r="DR149">
        <v>24.254899999999999</v>
      </c>
      <c r="DS149">
        <v>24.235800000000001</v>
      </c>
      <c r="DT149">
        <v>34.799999999999997</v>
      </c>
      <c r="DU149">
        <v>28.9</v>
      </c>
      <c r="DV149">
        <v>14.0997</v>
      </c>
      <c r="DW149">
        <v>60.722999999999999</v>
      </c>
      <c r="DX149">
        <v>37.772399999999998</v>
      </c>
      <c r="DY149">
        <v>1</v>
      </c>
      <c r="DZ149">
        <v>-0.102355</v>
      </c>
      <c r="EA149">
        <v>0.42003299999999999</v>
      </c>
      <c r="EB149">
        <v>20.188500000000001</v>
      </c>
      <c r="EC149">
        <v>5.2404999999999999</v>
      </c>
      <c r="ED149">
        <v>12.039899999999999</v>
      </c>
      <c r="EE149">
        <v>5.01675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</v>
      </c>
      <c r="EL149">
        <v>1.86463</v>
      </c>
      <c r="EM149">
        <v>1.8692</v>
      </c>
      <c r="EN149">
        <v>1.8672299999999999</v>
      </c>
      <c r="EO149">
        <v>1.8633900000000001</v>
      </c>
      <c r="EP149">
        <v>1.8644700000000001</v>
      </c>
      <c r="EQ149">
        <v>1.87018</v>
      </c>
      <c r="ER149">
        <v>1.86941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-6.0000000000000001E-3</v>
      </c>
      <c r="FG149">
        <v>0.17530000000000001</v>
      </c>
      <c r="FH149">
        <v>0.28746640474027818</v>
      </c>
      <c r="FI149">
        <v>-6.1462078757559423E-4</v>
      </c>
      <c r="FJ149">
        <v>-1.8861989874597051E-7</v>
      </c>
      <c r="FK149">
        <v>1.1980462299894961E-10</v>
      </c>
      <c r="FL149">
        <v>0.17524818673008091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31.4</v>
      </c>
      <c r="FU149">
        <v>31.5</v>
      </c>
      <c r="FV149">
        <v>1.7663599999999999</v>
      </c>
      <c r="FW149">
        <v>2.5805699999999998</v>
      </c>
      <c r="FX149">
        <v>1.5490699999999999</v>
      </c>
      <c r="FY149">
        <v>2.3327599999999999</v>
      </c>
      <c r="FZ149">
        <v>1.50146</v>
      </c>
      <c r="GA149">
        <v>2.2778299999999998</v>
      </c>
      <c r="GB149">
        <v>33.580399999999997</v>
      </c>
      <c r="GC149">
        <v>23.982399999999998</v>
      </c>
      <c r="GD149">
        <v>19</v>
      </c>
      <c r="GE149">
        <v>282.27800000000002</v>
      </c>
      <c r="GF149">
        <v>577.25199999999995</v>
      </c>
      <c r="GG149">
        <v>23.4725</v>
      </c>
      <c r="GH149">
        <v>26.086099999999998</v>
      </c>
      <c r="GI149">
        <v>30</v>
      </c>
      <c r="GJ149">
        <v>26.251100000000001</v>
      </c>
      <c r="GK149">
        <v>26.238800000000001</v>
      </c>
      <c r="GL149">
        <v>35.3292</v>
      </c>
      <c r="GM149">
        <v>100</v>
      </c>
      <c r="GN149">
        <v>32.835000000000001</v>
      </c>
      <c r="GO149">
        <v>23.508800000000001</v>
      </c>
      <c r="GP149">
        <v>800</v>
      </c>
      <c r="GQ149">
        <v>0</v>
      </c>
      <c r="GR149">
        <v>99.766099999999994</v>
      </c>
      <c r="GS149">
        <v>99.600399999999993</v>
      </c>
    </row>
    <row r="150" spans="1:201" x14ac:dyDescent="0.25">
      <c r="A150">
        <v>134</v>
      </c>
      <c r="B150">
        <v>1690383856</v>
      </c>
      <c r="C150">
        <v>1380.900000095367</v>
      </c>
      <c r="D150" t="s">
        <v>599</v>
      </c>
      <c r="E150" t="s">
        <v>600</v>
      </c>
      <c r="F150" t="s">
        <v>330</v>
      </c>
      <c r="H150">
        <v>1690383856</v>
      </c>
      <c r="I150">
        <f t="shared" si="60"/>
        <v>2.1411502917302351E-3</v>
      </c>
      <c r="J150">
        <f t="shared" si="61"/>
        <v>2.1411502917302352</v>
      </c>
      <c r="K150">
        <f t="shared" si="62"/>
        <v>32.782234390594496</v>
      </c>
      <c r="L150">
        <f t="shared" si="63"/>
        <v>432.637</v>
      </c>
      <c r="M150">
        <f t="shared" si="64"/>
        <v>107.58890591210118</v>
      </c>
      <c r="N150">
        <f t="shared" si="65"/>
        <v>10.627829444050798</v>
      </c>
      <c r="O150">
        <f t="shared" si="66"/>
        <v>42.736676316258006</v>
      </c>
      <c r="P150">
        <f t="shared" si="67"/>
        <v>0.17049891949599358</v>
      </c>
      <c r="Q150">
        <f t="shared" si="68"/>
        <v>2.1122808039154428</v>
      </c>
      <c r="R150">
        <f t="shared" si="69"/>
        <v>0.16320558998943149</v>
      </c>
      <c r="S150">
        <f t="shared" si="70"/>
        <v>0.10263277165869233</v>
      </c>
      <c r="T150">
        <f t="shared" si="71"/>
        <v>276.11618306399998</v>
      </c>
      <c r="U150">
        <f t="shared" si="72"/>
        <v>26.790218978666712</v>
      </c>
      <c r="V150">
        <f t="shared" si="73"/>
        <v>26.790218978666712</v>
      </c>
      <c r="W150">
        <f t="shared" si="74"/>
        <v>3.5352974443036089</v>
      </c>
      <c r="X150">
        <f t="shared" si="75"/>
        <v>70.188825358325403</v>
      </c>
      <c r="Y150">
        <f t="shared" si="76"/>
        <v>2.2774744519704</v>
      </c>
      <c r="Z150">
        <f t="shared" si="77"/>
        <v>3.2447821150211897</v>
      </c>
      <c r="AA150">
        <f t="shared" si="78"/>
        <v>1.2578229923332089</v>
      </c>
      <c r="AB150">
        <f t="shared" si="79"/>
        <v>-94.424727865303367</v>
      </c>
      <c r="AC150">
        <f t="shared" si="80"/>
        <v>-165.10144569845394</v>
      </c>
      <c r="AD150">
        <f t="shared" si="81"/>
        <v>-16.711333309724949</v>
      </c>
      <c r="AE150">
        <f t="shared" si="82"/>
        <v>-0.12132380948230548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52574.104114045716</v>
      </c>
      <c r="AK150">
        <f t="shared" si="86"/>
        <v>1800</v>
      </c>
      <c r="AL150">
        <f t="shared" si="87"/>
        <v>1499.1114563999997</v>
      </c>
      <c r="AM150">
        <f t="shared" si="88"/>
        <v>0.83283969799999991</v>
      </c>
      <c r="AN150">
        <f t="shared" si="89"/>
        <v>0.15339787948</v>
      </c>
      <c r="AO150">
        <v>32.700000000000003</v>
      </c>
      <c r="AP150">
        <v>0.5</v>
      </c>
      <c r="AQ150" t="s">
        <v>331</v>
      </c>
      <c r="AR150">
        <v>2</v>
      </c>
      <c r="AS150">
        <v>1690383856</v>
      </c>
      <c r="AT150">
        <v>432.637</v>
      </c>
      <c r="AU150">
        <v>799.98699999999997</v>
      </c>
      <c r="AV150">
        <v>23.055599999999998</v>
      </c>
      <c r="AW150">
        <v>0.25970500000000002</v>
      </c>
      <c r="AX150">
        <v>432.64100000000002</v>
      </c>
      <c r="AY150">
        <v>22.880400000000002</v>
      </c>
      <c r="AZ150">
        <v>300.06</v>
      </c>
      <c r="BA150">
        <v>98.681899999999999</v>
      </c>
      <c r="BB150">
        <v>9.9933999999999995E-2</v>
      </c>
      <c r="BC150">
        <v>25.340399999999999</v>
      </c>
      <c r="BD150">
        <v>26.9635</v>
      </c>
      <c r="BE150">
        <v>26.737400000000001</v>
      </c>
      <c r="BF150">
        <v>0</v>
      </c>
      <c r="BG150">
        <v>0</v>
      </c>
      <c r="BH150">
        <v>10020.6</v>
      </c>
      <c r="BI150">
        <v>1057.1099999999999</v>
      </c>
      <c r="BJ150">
        <v>2.3547799999999999</v>
      </c>
      <c r="BK150">
        <v>-367.351</v>
      </c>
      <c r="BL150">
        <v>442.84699999999998</v>
      </c>
      <c r="BM150">
        <v>800.19500000000005</v>
      </c>
      <c r="BN150">
        <v>22.7959</v>
      </c>
      <c r="BO150">
        <v>799.98699999999997</v>
      </c>
      <c r="BP150">
        <v>0.25970500000000002</v>
      </c>
      <c r="BQ150">
        <v>2.2751700000000001</v>
      </c>
      <c r="BR150">
        <v>2.5628100000000001E-2</v>
      </c>
      <c r="BS150">
        <v>19.5017</v>
      </c>
      <c r="BT150">
        <v>-37.008699999999997</v>
      </c>
      <c r="BU150">
        <v>1800</v>
      </c>
      <c r="BV150">
        <v>0.90998800000000002</v>
      </c>
      <c r="BW150">
        <v>3.40004E-2</v>
      </c>
      <c r="BX150">
        <v>2.2005400000000001E-2</v>
      </c>
      <c r="BY150">
        <v>3.4006399999999999E-2</v>
      </c>
      <c r="BZ150">
        <v>26</v>
      </c>
      <c r="CA150">
        <v>33528.199999999997</v>
      </c>
      <c r="CB150">
        <v>1690381960.0999999</v>
      </c>
      <c r="CC150" t="s">
        <v>332</v>
      </c>
      <c r="CD150">
        <v>1690381960.0999999</v>
      </c>
      <c r="CE150">
        <v>1690381958.0999999</v>
      </c>
      <c r="CF150">
        <v>4</v>
      </c>
      <c r="CG150">
        <v>9.9000000000000005E-2</v>
      </c>
      <c r="CH150">
        <v>1.2E-2</v>
      </c>
      <c r="CI150">
        <v>-0.26300000000000001</v>
      </c>
      <c r="CJ150">
        <v>0.127</v>
      </c>
      <c r="CK150">
        <v>798</v>
      </c>
      <c r="CL150">
        <v>18</v>
      </c>
      <c r="CM150">
        <v>0.02</v>
      </c>
      <c r="CN150">
        <v>0.12</v>
      </c>
      <c r="CO150">
        <v>-365.26265000000001</v>
      </c>
      <c r="CP150">
        <v>-11.350446529080671</v>
      </c>
      <c r="CQ150">
        <v>1.092704570092029</v>
      </c>
      <c r="CR150">
        <v>-1</v>
      </c>
      <c r="CS150">
        <v>22.718074999999999</v>
      </c>
      <c r="CT150">
        <v>0.36790243902431702</v>
      </c>
      <c r="CU150">
        <v>3.5630638150333467E-2</v>
      </c>
      <c r="CV150">
        <v>-1</v>
      </c>
      <c r="CW150">
        <v>0</v>
      </c>
      <c r="CX150">
        <v>0</v>
      </c>
      <c r="CY150" t="s">
        <v>333</v>
      </c>
      <c r="CZ150">
        <v>2.3644500000000002</v>
      </c>
      <c r="DA150">
        <v>2.71374</v>
      </c>
      <c r="DB150">
        <v>9.4596399999999997E-2</v>
      </c>
      <c r="DC150">
        <v>0.14543500000000001</v>
      </c>
      <c r="DD150">
        <v>0.110349</v>
      </c>
      <c r="DE150">
        <v>2.1649500000000001E-3</v>
      </c>
      <c r="DF150">
        <v>33069.4</v>
      </c>
      <c r="DG150">
        <v>27550.2</v>
      </c>
      <c r="DH150">
        <v>31180.5</v>
      </c>
      <c r="DI150">
        <v>28091.8</v>
      </c>
      <c r="DJ150">
        <v>37658.1</v>
      </c>
      <c r="DK150">
        <v>39865.4</v>
      </c>
      <c r="DL150">
        <v>44374.6</v>
      </c>
      <c r="DM150">
        <v>42575.8</v>
      </c>
      <c r="DN150">
        <v>1.4757199999999999</v>
      </c>
      <c r="DO150">
        <v>2.0302500000000001</v>
      </c>
      <c r="DP150">
        <v>0.16486999999999999</v>
      </c>
      <c r="DQ150">
        <v>0.15223</v>
      </c>
      <c r="DR150">
        <v>24.261099999999999</v>
      </c>
      <c r="DS150">
        <v>24.241700000000002</v>
      </c>
      <c r="DT150">
        <v>34.299999999999997</v>
      </c>
      <c r="DU150">
        <v>28.9</v>
      </c>
      <c r="DV150">
        <v>13.898400000000001</v>
      </c>
      <c r="DW150">
        <v>60.832999999999998</v>
      </c>
      <c r="DX150">
        <v>37.764400000000002</v>
      </c>
      <c r="DY150">
        <v>1</v>
      </c>
      <c r="DZ150">
        <v>-0.10248699999999999</v>
      </c>
      <c r="EA150">
        <v>0.26209700000000002</v>
      </c>
      <c r="EB150">
        <v>20.189399999999999</v>
      </c>
      <c r="EC150">
        <v>5.2408000000000001</v>
      </c>
      <c r="ED150">
        <v>12.039899999999999</v>
      </c>
      <c r="EE150">
        <v>5.0167999999999999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1.8689100000000001</v>
      </c>
      <c r="EL150">
        <v>1.8646199999999999</v>
      </c>
      <c r="EM150">
        <v>1.8692</v>
      </c>
      <c r="EN150">
        <v>1.86724</v>
      </c>
      <c r="EO150">
        <v>1.8633999999999999</v>
      </c>
      <c r="EP150">
        <v>1.8644700000000001</v>
      </c>
      <c r="EQ150">
        <v>1.87019</v>
      </c>
      <c r="ER150">
        <v>1.8694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-4.0000000000000001E-3</v>
      </c>
      <c r="FG150">
        <v>0.17519999999999999</v>
      </c>
      <c r="FH150">
        <v>0.28746640474027818</v>
      </c>
      <c r="FI150">
        <v>-6.1462078757559423E-4</v>
      </c>
      <c r="FJ150">
        <v>-1.8861989874597051E-7</v>
      </c>
      <c r="FK150">
        <v>1.1980462299894961E-10</v>
      </c>
      <c r="FL150">
        <v>0.17524818673008091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31.6</v>
      </c>
      <c r="FU150">
        <v>31.6</v>
      </c>
      <c r="FV150">
        <v>1.7663599999999999</v>
      </c>
      <c r="FW150">
        <v>2.5756800000000002</v>
      </c>
      <c r="FX150">
        <v>1.5490699999999999</v>
      </c>
      <c r="FY150">
        <v>2.3327599999999999</v>
      </c>
      <c r="FZ150">
        <v>1.50146</v>
      </c>
      <c r="GA150">
        <v>2.3547400000000001</v>
      </c>
      <c r="GB150">
        <v>33.580399999999997</v>
      </c>
      <c r="GC150">
        <v>23.982399999999998</v>
      </c>
      <c r="GD150">
        <v>19</v>
      </c>
      <c r="GE150">
        <v>282.22199999999998</v>
      </c>
      <c r="GF150">
        <v>576.97299999999996</v>
      </c>
      <c r="GG150">
        <v>23.502700000000001</v>
      </c>
      <c r="GH150">
        <v>26.083400000000001</v>
      </c>
      <c r="GI150">
        <v>29.9999</v>
      </c>
      <c r="GJ150">
        <v>26.247900000000001</v>
      </c>
      <c r="GK150">
        <v>26.235800000000001</v>
      </c>
      <c r="GL150">
        <v>35.329500000000003</v>
      </c>
      <c r="GM150">
        <v>100</v>
      </c>
      <c r="GN150">
        <v>32.0886</v>
      </c>
      <c r="GO150">
        <v>23.531099999999999</v>
      </c>
      <c r="GP150">
        <v>800</v>
      </c>
      <c r="GQ150">
        <v>0</v>
      </c>
      <c r="GR150">
        <v>99.7667</v>
      </c>
      <c r="GS150">
        <v>99.601200000000006</v>
      </c>
    </row>
    <row r="151" spans="1:201" x14ac:dyDescent="0.25">
      <c r="A151">
        <v>135</v>
      </c>
      <c r="B151">
        <v>1690383866</v>
      </c>
      <c r="C151">
        <v>1390.900000095367</v>
      </c>
      <c r="D151" t="s">
        <v>601</v>
      </c>
      <c r="E151" t="s">
        <v>602</v>
      </c>
      <c r="F151" t="s">
        <v>330</v>
      </c>
      <c r="H151">
        <v>1690383866</v>
      </c>
      <c r="I151">
        <f t="shared" si="60"/>
        <v>2.1491619981565801E-3</v>
      </c>
      <c r="J151">
        <f t="shared" si="61"/>
        <v>2.1491619981565799</v>
      </c>
      <c r="K151">
        <f t="shared" si="62"/>
        <v>32.946601576298065</v>
      </c>
      <c r="L151">
        <f t="shared" si="63"/>
        <v>430.83699999999999</v>
      </c>
      <c r="M151">
        <f t="shared" si="64"/>
        <v>107.04350497278199</v>
      </c>
      <c r="N151">
        <f t="shared" si="65"/>
        <v>10.573905012796061</v>
      </c>
      <c r="O151">
        <f t="shared" si="66"/>
        <v>42.558672898055597</v>
      </c>
      <c r="P151">
        <f t="shared" si="67"/>
        <v>0.17207265596877633</v>
      </c>
      <c r="Q151">
        <f t="shared" si="68"/>
        <v>2.1078982624951479</v>
      </c>
      <c r="R151">
        <f t="shared" si="69"/>
        <v>0.16463249874624561</v>
      </c>
      <c r="S151">
        <f t="shared" si="70"/>
        <v>0.10353697113000487</v>
      </c>
      <c r="T151">
        <f t="shared" si="71"/>
        <v>276.11623015200007</v>
      </c>
      <c r="U151">
        <f t="shared" si="72"/>
        <v>26.798322355067945</v>
      </c>
      <c r="V151">
        <f t="shared" si="73"/>
        <v>26.798322355067945</v>
      </c>
      <c r="W151">
        <f t="shared" si="74"/>
        <v>3.5369829913806257</v>
      </c>
      <c r="X151">
        <f t="shared" si="75"/>
        <v>70.400754746140905</v>
      </c>
      <c r="Y151">
        <f t="shared" si="76"/>
        <v>2.2854652487440803</v>
      </c>
      <c r="Z151">
        <f t="shared" si="77"/>
        <v>3.2463646973463174</v>
      </c>
      <c r="AA151">
        <f t="shared" si="78"/>
        <v>1.2515177426365454</v>
      </c>
      <c r="AB151">
        <f t="shared" si="79"/>
        <v>-94.778044118705182</v>
      </c>
      <c r="AC151">
        <f t="shared" si="80"/>
        <v>-164.74791428426244</v>
      </c>
      <c r="AD151">
        <f t="shared" si="81"/>
        <v>-16.711586019234907</v>
      </c>
      <c r="AE151">
        <f t="shared" si="82"/>
        <v>-0.12131427020244701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52380.66615980379</v>
      </c>
      <c r="AK151">
        <f t="shared" si="86"/>
        <v>1800</v>
      </c>
      <c r="AL151">
        <f t="shared" si="87"/>
        <v>1499.1120072000001</v>
      </c>
      <c r="AM151">
        <f t="shared" si="88"/>
        <v>0.83284000400000002</v>
      </c>
      <c r="AN151">
        <f t="shared" si="89"/>
        <v>0.15339790564000003</v>
      </c>
      <c r="AO151">
        <v>32.700000000000003</v>
      </c>
      <c r="AP151">
        <v>0.5</v>
      </c>
      <c r="AQ151" t="s">
        <v>331</v>
      </c>
      <c r="AR151">
        <v>2</v>
      </c>
      <c r="AS151">
        <v>1690383866</v>
      </c>
      <c r="AT151">
        <v>430.83699999999999</v>
      </c>
      <c r="AU151">
        <v>800.01199999999994</v>
      </c>
      <c r="AV151">
        <v>23.136600000000001</v>
      </c>
      <c r="AW151">
        <v>0.25494099999999997</v>
      </c>
      <c r="AX151">
        <v>430.84</v>
      </c>
      <c r="AY151">
        <v>22.961300000000001</v>
      </c>
      <c r="AZ151">
        <v>300.029</v>
      </c>
      <c r="BA151">
        <v>98.681399999999996</v>
      </c>
      <c r="BB151">
        <v>9.9978800000000007E-2</v>
      </c>
      <c r="BC151">
        <v>25.348600000000001</v>
      </c>
      <c r="BD151">
        <v>26.998799999999999</v>
      </c>
      <c r="BE151">
        <v>26.727799999999998</v>
      </c>
      <c r="BF151">
        <v>0</v>
      </c>
      <c r="BG151">
        <v>0</v>
      </c>
      <c r="BH151">
        <v>9982.5</v>
      </c>
      <c r="BI151">
        <v>1057.23</v>
      </c>
      <c r="BJ151">
        <v>2.3547799999999999</v>
      </c>
      <c r="BK151">
        <v>-369.17500000000001</v>
      </c>
      <c r="BL151">
        <v>441.041</v>
      </c>
      <c r="BM151">
        <v>800.21600000000001</v>
      </c>
      <c r="BN151">
        <v>22.881599999999999</v>
      </c>
      <c r="BO151">
        <v>800.01199999999994</v>
      </c>
      <c r="BP151">
        <v>0.25494099999999997</v>
      </c>
      <c r="BQ151">
        <v>2.28315</v>
      </c>
      <c r="BR151">
        <v>2.5158E-2</v>
      </c>
      <c r="BS151">
        <v>19.558</v>
      </c>
      <c r="BT151">
        <v>-37.191200000000002</v>
      </c>
      <c r="BU151">
        <v>1800</v>
      </c>
      <c r="BV151">
        <v>0.90998900000000005</v>
      </c>
      <c r="BW151">
        <v>3.4000099999999998E-2</v>
      </c>
      <c r="BX151">
        <v>2.2005199999999999E-2</v>
      </c>
      <c r="BY151">
        <v>3.40062E-2</v>
      </c>
      <c r="BZ151">
        <v>26</v>
      </c>
      <c r="CA151">
        <v>33528.300000000003</v>
      </c>
      <c r="CB151">
        <v>1690381960.0999999</v>
      </c>
      <c r="CC151" t="s">
        <v>332</v>
      </c>
      <c r="CD151">
        <v>1690381960.0999999</v>
      </c>
      <c r="CE151">
        <v>1690381958.0999999</v>
      </c>
      <c r="CF151">
        <v>4</v>
      </c>
      <c r="CG151">
        <v>9.9000000000000005E-2</v>
      </c>
      <c r="CH151">
        <v>1.2E-2</v>
      </c>
      <c r="CI151">
        <v>-0.26300000000000001</v>
      </c>
      <c r="CJ151">
        <v>0.127</v>
      </c>
      <c r="CK151">
        <v>798</v>
      </c>
      <c r="CL151">
        <v>18</v>
      </c>
      <c r="CM151">
        <v>0.02</v>
      </c>
      <c r="CN151">
        <v>0.12</v>
      </c>
      <c r="CO151">
        <v>-367.13459999999998</v>
      </c>
      <c r="CP151">
        <v>-11.01341088180062</v>
      </c>
      <c r="CQ151">
        <v>1.0599584142786</v>
      </c>
      <c r="CR151">
        <v>-1</v>
      </c>
      <c r="CS151">
        <v>22.788254999999999</v>
      </c>
      <c r="CT151">
        <v>0.47965328330200352</v>
      </c>
      <c r="CU151">
        <v>4.6212103122450367E-2</v>
      </c>
      <c r="CV151">
        <v>-1</v>
      </c>
      <c r="CW151">
        <v>0</v>
      </c>
      <c r="CX151">
        <v>0</v>
      </c>
      <c r="CY151" t="s">
        <v>333</v>
      </c>
      <c r="CZ151">
        <v>2.36436</v>
      </c>
      <c r="DA151">
        <v>2.7137500000000001</v>
      </c>
      <c r="DB151">
        <v>9.4300499999999995E-2</v>
      </c>
      <c r="DC151">
        <v>0.14543700000000001</v>
      </c>
      <c r="DD151">
        <v>0.110623</v>
      </c>
      <c r="DE151">
        <v>2.1258599999999998E-3</v>
      </c>
      <c r="DF151">
        <v>33080.300000000003</v>
      </c>
      <c r="DG151">
        <v>27550.6</v>
      </c>
      <c r="DH151">
        <v>31180.7</v>
      </c>
      <c r="DI151">
        <v>28092.3</v>
      </c>
      <c r="DJ151">
        <v>37646.699999999997</v>
      </c>
      <c r="DK151">
        <v>39867.699999999997</v>
      </c>
      <c r="DL151">
        <v>44375</v>
      </c>
      <c r="DM151">
        <v>42576.5</v>
      </c>
      <c r="DN151">
        <v>1.4759</v>
      </c>
      <c r="DO151">
        <v>2.0302699999999998</v>
      </c>
      <c r="DP151">
        <v>0.166684</v>
      </c>
      <c r="DQ151">
        <v>0.15133199999999999</v>
      </c>
      <c r="DR151">
        <v>24.2667</v>
      </c>
      <c r="DS151">
        <v>24.2468</v>
      </c>
      <c r="DT151">
        <v>33.9</v>
      </c>
      <c r="DU151">
        <v>28.9</v>
      </c>
      <c r="DV151">
        <v>13.736499999999999</v>
      </c>
      <c r="DW151">
        <v>61.183</v>
      </c>
      <c r="DX151">
        <v>37.508000000000003</v>
      </c>
      <c r="DY151">
        <v>1</v>
      </c>
      <c r="DZ151">
        <v>-0.103422</v>
      </c>
      <c r="EA151">
        <v>0.20749999999999999</v>
      </c>
      <c r="EB151">
        <v>20.189599999999999</v>
      </c>
      <c r="EC151">
        <v>5.2409499999999998</v>
      </c>
      <c r="ED151">
        <v>12.039899999999999</v>
      </c>
      <c r="EE151">
        <v>5.0168999999999997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1.8689199999999999</v>
      </c>
      <c r="EL151">
        <v>1.86463</v>
      </c>
      <c r="EM151">
        <v>1.8692</v>
      </c>
      <c r="EN151">
        <v>1.86724</v>
      </c>
      <c r="EO151">
        <v>1.8633999999999999</v>
      </c>
      <c r="EP151">
        <v>1.8644700000000001</v>
      </c>
      <c r="EQ151">
        <v>1.8702099999999999</v>
      </c>
      <c r="ER151">
        <v>1.8693900000000001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-3.0000000000000001E-3</v>
      </c>
      <c r="FG151">
        <v>0.17530000000000001</v>
      </c>
      <c r="FH151">
        <v>0.28746640474027818</v>
      </c>
      <c r="FI151">
        <v>-6.1462078757559423E-4</v>
      </c>
      <c r="FJ151">
        <v>-1.8861989874597051E-7</v>
      </c>
      <c r="FK151">
        <v>1.1980462299894961E-10</v>
      </c>
      <c r="FL151">
        <v>0.17524818673008091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31.8</v>
      </c>
      <c r="FU151">
        <v>31.8</v>
      </c>
      <c r="FV151">
        <v>1.7663599999999999</v>
      </c>
      <c r="FW151">
        <v>2.5720200000000002</v>
      </c>
      <c r="FX151">
        <v>1.5490699999999999</v>
      </c>
      <c r="FY151">
        <v>2.3327599999999999</v>
      </c>
      <c r="FZ151">
        <v>1.50024</v>
      </c>
      <c r="GA151">
        <v>2.35229</v>
      </c>
      <c r="GB151">
        <v>33.580399999999997</v>
      </c>
      <c r="GC151">
        <v>23.982399999999998</v>
      </c>
      <c r="GD151">
        <v>19</v>
      </c>
      <c r="GE151">
        <v>282.28899999999999</v>
      </c>
      <c r="GF151">
        <v>576.96900000000005</v>
      </c>
      <c r="GG151">
        <v>23.550799999999999</v>
      </c>
      <c r="GH151">
        <v>26.081199999999999</v>
      </c>
      <c r="GI151">
        <v>29.999700000000001</v>
      </c>
      <c r="GJ151">
        <v>26.246300000000002</v>
      </c>
      <c r="GK151">
        <v>26.233599999999999</v>
      </c>
      <c r="GL151">
        <v>35.325699999999998</v>
      </c>
      <c r="GM151">
        <v>100</v>
      </c>
      <c r="GN151">
        <v>31.2685</v>
      </c>
      <c r="GO151">
        <v>23.5623</v>
      </c>
      <c r="GP151">
        <v>800</v>
      </c>
      <c r="GQ151">
        <v>0</v>
      </c>
      <c r="GR151">
        <v>99.767499999999998</v>
      </c>
      <c r="GS151">
        <v>99.602800000000002</v>
      </c>
    </row>
    <row r="152" spans="1:201" x14ac:dyDescent="0.25">
      <c r="A152">
        <v>136</v>
      </c>
      <c r="B152">
        <v>1690383876</v>
      </c>
      <c r="C152">
        <v>1400.900000095367</v>
      </c>
      <c r="D152" t="s">
        <v>603</v>
      </c>
      <c r="E152" t="s">
        <v>604</v>
      </c>
      <c r="F152" t="s">
        <v>330</v>
      </c>
      <c r="H152">
        <v>1690383876</v>
      </c>
      <c r="I152">
        <f t="shared" si="60"/>
        <v>2.1578933044164197E-3</v>
      </c>
      <c r="J152">
        <f t="shared" si="61"/>
        <v>2.1578933044164197</v>
      </c>
      <c r="K152">
        <f t="shared" si="62"/>
        <v>33.112985988361999</v>
      </c>
      <c r="L152">
        <f t="shared" si="63"/>
        <v>429.08300000000003</v>
      </c>
      <c r="M152">
        <f t="shared" si="64"/>
        <v>107.0874025232547</v>
      </c>
      <c r="N152">
        <f t="shared" si="65"/>
        <v>10.578197699493611</v>
      </c>
      <c r="O152">
        <f t="shared" si="66"/>
        <v>42.385235765767696</v>
      </c>
      <c r="P152">
        <f t="shared" si="67"/>
        <v>0.1739532270645705</v>
      </c>
      <c r="Q152">
        <f t="shared" si="68"/>
        <v>2.111845964227919</v>
      </c>
      <c r="R152">
        <f t="shared" si="69"/>
        <v>0.16636695621278666</v>
      </c>
      <c r="S152">
        <f t="shared" si="70"/>
        <v>0.10463337236034977</v>
      </c>
      <c r="T152">
        <f t="shared" si="71"/>
        <v>276.11598585600001</v>
      </c>
      <c r="U152">
        <f t="shared" si="72"/>
        <v>26.798776883638382</v>
      </c>
      <c r="V152">
        <f t="shared" si="73"/>
        <v>26.798776883638382</v>
      </c>
      <c r="W152">
        <f t="shared" si="74"/>
        <v>3.5370775566118304</v>
      </c>
      <c r="X152">
        <f t="shared" si="75"/>
        <v>70.627207877809568</v>
      </c>
      <c r="Y152">
        <f t="shared" si="76"/>
        <v>2.2936348989348598</v>
      </c>
      <c r="Z152">
        <f t="shared" si="77"/>
        <v>3.2475231116357062</v>
      </c>
      <c r="AA152">
        <f t="shared" si="78"/>
        <v>1.2434426576769706</v>
      </c>
      <c r="AB152">
        <f t="shared" si="79"/>
        <v>-95.163094724764107</v>
      </c>
      <c r="AC152">
        <f t="shared" si="80"/>
        <v>-164.42508329766608</v>
      </c>
      <c r="AD152">
        <f t="shared" si="81"/>
        <v>-16.648199121041937</v>
      </c>
      <c r="AE152">
        <f t="shared" si="82"/>
        <v>-0.12039128747213113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52552.513095482995</v>
      </c>
      <c r="AK152">
        <f t="shared" si="86"/>
        <v>1800</v>
      </c>
      <c r="AL152">
        <f t="shared" si="87"/>
        <v>1499.1116075999998</v>
      </c>
      <c r="AM152">
        <f t="shared" si="88"/>
        <v>0.83283978199999997</v>
      </c>
      <c r="AN152">
        <f t="shared" si="89"/>
        <v>0.15339776992000001</v>
      </c>
      <c r="AO152">
        <v>32.700000000000003</v>
      </c>
      <c r="AP152">
        <v>0.5</v>
      </c>
      <c r="AQ152" t="s">
        <v>331</v>
      </c>
      <c r="AR152">
        <v>2</v>
      </c>
      <c r="AS152">
        <v>1690383876</v>
      </c>
      <c r="AT152">
        <v>429.08300000000003</v>
      </c>
      <c r="AU152">
        <v>800.01800000000003</v>
      </c>
      <c r="AV152">
        <v>23.2194</v>
      </c>
      <c r="AW152">
        <v>0.25002000000000002</v>
      </c>
      <c r="AX152">
        <v>429.08499999999998</v>
      </c>
      <c r="AY152">
        <v>23.0442</v>
      </c>
      <c r="AZ152">
        <v>300.072</v>
      </c>
      <c r="BA152">
        <v>98.680999999999997</v>
      </c>
      <c r="BB152">
        <v>9.9971900000000002E-2</v>
      </c>
      <c r="BC152">
        <v>25.354600000000001</v>
      </c>
      <c r="BD152">
        <v>27.0228</v>
      </c>
      <c r="BE152">
        <v>26.736499999999999</v>
      </c>
      <c r="BF152">
        <v>0</v>
      </c>
      <c r="BG152">
        <v>0</v>
      </c>
      <c r="BH152">
        <v>10016.9</v>
      </c>
      <c r="BI152">
        <v>1057.42</v>
      </c>
      <c r="BJ152">
        <v>2.1515399999999998</v>
      </c>
      <c r="BK152">
        <v>-370.935</v>
      </c>
      <c r="BL152">
        <v>439.28300000000002</v>
      </c>
      <c r="BM152">
        <v>800.21799999999996</v>
      </c>
      <c r="BN152">
        <v>22.9694</v>
      </c>
      <c r="BO152">
        <v>800.01800000000003</v>
      </c>
      <c r="BP152">
        <v>0.25002000000000002</v>
      </c>
      <c r="BQ152">
        <v>2.2913100000000002</v>
      </c>
      <c r="BR152">
        <v>2.4672199999999998E-2</v>
      </c>
      <c r="BS152">
        <v>19.615500000000001</v>
      </c>
      <c r="BT152">
        <v>-37.383000000000003</v>
      </c>
      <c r="BU152">
        <v>1800</v>
      </c>
      <c r="BV152">
        <v>0.90999099999999999</v>
      </c>
      <c r="BW152">
        <v>3.39992E-2</v>
      </c>
      <c r="BX152">
        <v>2.2004599999999999E-2</v>
      </c>
      <c r="BY152">
        <v>3.4005199999999999E-2</v>
      </c>
      <c r="BZ152">
        <v>26</v>
      </c>
      <c r="CA152">
        <v>33528.199999999997</v>
      </c>
      <c r="CB152">
        <v>1690381960.0999999</v>
      </c>
      <c r="CC152" t="s">
        <v>332</v>
      </c>
      <c r="CD152">
        <v>1690381960.0999999</v>
      </c>
      <c r="CE152">
        <v>1690381958.0999999</v>
      </c>
      <c r="CF152">
        <v>4</v>
      </c>
      <c r="CG152">
        <v>9.9000000000000005E-2</v>
      </c>
      <c r="CH152">
        <v>1.2E-2</v>
      </c>
      <c r="CI152">
        <v>-0.26300000000000001</v>
      </c>
      <c r="CJ152">
        <v>0.127</v>
      </c>
      <c r="CK152">
        <v>798</v>
      </c>
      <c r="CL152">
        <v>18</v>
      </c>
      <c r="CM152">
        <v>0.02</v>
      </c>
      <c r="CN152">
        <v>0.12</v>
      </c>
      <c r="CO152">
        <v>-368.9858536585366</v>
      </c>
      <c r="CP152">
        <v>-10.65077351916325</v>
      </c>
      <c r="CQ152">
        <v>1.050610776155666</v>
      </c>
      <c r="CR152">
        <v>-1</v>
      </c>
      <c r="CS152">
        <v>22.8738243902439</v>
      </c>
      <c r="CT152">
        <v>0.51474146341466442</v>
      </c>
      <c r="CU152">
        <v>5.0781914297810399E-2</v>
      </c>
      <c r="CV152">
        <v>-1</v>
      </c>
      <c r="CW152">
        <v>0</v>
      </c>
      <c r="CX152">
        <v>0</v>
      </c>
      <c r="CY152" t="s">
        <v>333</v>
      </c>
      <c r="CZ152">
        <v>2.3645</v>
      </c>
      <c r="DA152">
        <v>2.7137799999999999</v>
      </c>
      <c r="DB152">
        <v>9.4011800000000006E-2</v>
      </c>
      <c r="DC152">
        <v>0.14543800000000001</v>
      </c>
      <c r="DD152">
        <v>0.110904</v>
      </c>
      <c r="DE152">
        <v>2.08545E-3</v>
      </c>
      <c r="DF152">
        <v>33091</v>
      </c>
      <c r="DG152">
        <v>27550.5</v>
      </c>
      <c r="DH152">
        <v>31180.799999999999</v>
      </c>
      <c r="DI152">
        <v>28092.2</v>
      </c>
      <c r="DJ152">
        <v>37634.400000000001</v>
      </c>
      <c r="DK152">
        <v>39869.4</v>
      </c>
      <c r="DL152">
        <v>44374.8</v>
      </c>
      <c r="DM152">
        <v>42576.6</v>
      </c>
      <c r="DN152">
        <v>1.47583</v>
      </c>
      <c r="DO152">
        <v>2.0298799999999999</v>
      </c>
      <c r="DP152">
        <v>0.16781299999999999</v>
      </c>
      <c r="DQ152">
        <v>0.15148900000000001</v>
      </c>
      <c r="DR152">
        <v>24.272300000000001</v>
      </c>
      <c r="DS152">
        <v>24.2529</v>
      </c>
      <c r="DT152">
        <v>33.5</v>
      </c>
      <c r="DU152">
        <v>28.9</v>
      </c>
      <c r="DV152">
        <v>13.574</v>
      </c>
      <c r="DW152">
        <v>60.573</v>
      </c>
      <c r="DX152">
        <v>36.995199999999997</v>
      </c>
      <c r="DY152">
        <v>1</v>
      </c>
      <c r="DZ152">
        <v>-0.103161</v>
      </c>
      <c r="EA152">
        <v>0.39689799999999997</v>
      </c>
      <c r="EB152">
        <v>20.189</v>
      </c>
      <c r="EC152">
        <v>5.2408000000000001</v>
      </c>
      <c r="ED152">
        <v>12.039899999999999</v>
      </c>
      <c r="EE152">
        <v>5.0170000000000003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1.8689199999999999</v>
      </c>
      <c r="EL152">
        <v>1.8646199999999999</v>
      </c>
      <c r="EM152">
        <v>1.8692</v>
      </c>
      <c r="EN152">
        <v>1.8672500000000001</v>
      </c>
      <c r="EO152">
        <v>1.8633999999999999</v>
      </c>
      <c r="EP152">
        <v>1.8644700000000001</v>
      </c>
      <c r="EQ152">
        <v>1.8702099999999999</v>
      </c>
      <c r="ER152">
        <v>1.8694500000000001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-2E-3</v>
      </c>
      <c r="FG152">
        <v>0.17519999999999999</v>
      </c>
      <c r="FH152">
        <v>0.28746640474027818</v>
      </c>
      <c r="FI152">
        <v>-6.1462078757559423E-4</v>
      </c>
      <c r="FJ152">
        <v>-1.8861989874597051E-7</v>
      </c>
      <c r="FK152">
        <v>1.1980462299894961E-10</v>
      </c>
      <c r="FL152">
        <v>0.17524818673008091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31.9</v>
      </c>
      <c r="FU152">
        <v>32</v>
      </c>
      <c r="FV152">
        <v>1.7663599999999999</v>
      </c>
      <c r="FW152">
        <v>2.5744600000000002</v>
      </c>
      <c r="FX152">
        <v>1.5490699999999999</v>
      </c>
      <c r="FY152">
        <v>2.3327599999999999</v>
      </c>
      <c r="FZ152">
        <v>1.50146</v>
      </c>
      <c r="GA152">
        <v>2.4169900000000002</v>
      </c>
      <c r="GB152">
        <v>33.580399999999997</v>
      </c>
      <c r="GC152">
        <v>23.982399999999998</v>
      </c>
      <c r="GD152">
        <v>19</v>
      </c>
      <c r="GE152">
        <v>282.24200000000002</v>
      </c>
      <c r="GF152">
        <v>576.61699999999996</v>
      </c>
      <c r="GG152">
        <v>23.543199999999999</v>
      </c>
      <c r="GH152">
        <v>26.078800000000001</v>
      </c>
      <c r="GI152">
        <v>30.0001</v>
      </c>
      <c r="GJ152">
        <v>26.242999999999999</v>
      </c>
      <c r="GK152">
        <v>26.231400000000001</v>
      </c>
      <c r="GL152">
        <v>35.326300000000003</v>
      </c>
      <c r="GM152">
        <v>100</v>
      </c>
      <c r="GN152">
        <v>30.464500000000001</v>
      </c>
      <c r="GO152">
        <v>23.511199999999999</v>
      </c>
      <c r="GP152">
        <v>800</v>
      </c>
      <c r="GQ152">
        <v>0</v>
      </c>
      <c r="GR152">
        <v>99.767399999999995</v>
      </c>
      <c r="GS152">
        <v>99.602800000000002</v>
      </c>
    </row>
    <row r="153" spans="1:201" x14ac:dyDescent="0.25">
      <c r="A153">
        <v>137</v>
      </c>
      <c r="B153">
        <v>1690383886</v>
      </c>
      <c r="C153">
        <v>1410.900000095367</v>
      </c>
      <c r="D153" t="s">
        <v>605</v>
      </c>
      <c r="E153" t="s">
        <v>606</v>
      </c>
      <c r="F153" t="s">
        <v>330</v>
      </c>
      <c r="H153">
        <v>1690383886</v>
      </c>
      <c r="I153">
        <f t="shared" si="60"/>
        <v>2.1644782190499267E-3</v>
      </c>
      <c r="J153">
        <f t="shared" si="61"/>
        <v>2.1644782190499265</v>
      </c>
      <c r="K153">
        <f t="shared" si="62"/>
        <v>33.275541002699065</v>
      </c>
      <c r="L153">
        <f t="shared" si="63"/>
        <v>427.35399999999998</v>
      </c>
      <c r="M153">
        <f t="shared" si="64"/>
        <v>105.96541369838127</v>
      </c>
      <c r="N153">
        <f t="shared" si="65"/>
        <v>10.467776723835019</v>
      </c>
      <c r="O153">
        <f t="shared" si="66"/>
        <v>42.216097667215799</v>
      </c>
      <c r="P153">
        <f t="shared" si="67"/>
        <v>0.17517461330964645</v>
      </c>
      <c r="Q153">
        <f t="shared" si="68"/>
        <v>2.1077951507428496</v>
      </c>
      <c r="R153">
        <f t="shared" si="69"/>
        <v>0.16746988693615453</v>
      </c>
      <c r="S153">
        <f t="shared" si="70"/>
        <v>0.1053326769305431</v>
      </c>
      <c r="T153">
        <f t="shared" si="71"/>
        <v>276.1144030445721</v>
      </c>
      <c r="U153">
        <f t="shared" si="72"/>
        <v>26.807253034958961</v>
      </c>
      <c r="V153">
        <f t="shared" si="73"/>
        <v>26.807253034958961</v>
      </c>
      <c r="W153">
        <f t="shared" si="74"/>
        <v>3.5388414347973836</v>
      </c>
      <c r="X153">
        <f t="shared" si="75"/>
        <v>70.782717380432629</v>
      </c>
      <c r="Y153">
        <f t="shared" si="76"/>
        <v>2.2998198013829696</v>
      </c>
      <c r="Z153">
        <f t="shared" si="77"/>
        <v>3.2491261800846578</v>
      </c>
      <c r="AA153">
        <f t="shared" si="78"/>
        <v>1.239021633414414</v>
      </c>
      <c r="AB153">
        <f t="shared" si="79"/>
        <v>-95.453489460101764</v>
      </c>
      <c r="AC153">
        <f t="shared" si="80"/>
        <v>-164.12971021612157</v>
      </c>
      <c r="AD153">
        <f t="shared" si="81"/>
        <v>-16.651630763384158</v>
      </c>
      <c r="AE153">
        <f t="shared" si="82"/>
        <v>-0.12042739503539224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52373.71960161977</v>
      </c>
      <c r="AK153">
        <f t="shared" si="86"/>
        <v>1799.99</v>
      </c>
      <c r="AL153">
        <f t="shared" si="87"/>
        <v>1499.10372379971</v>
      </c>
      <c r="AM153">
        <f t="shared" si="88"/>
        <v>0.83284002899999998</v>
      </c>
      <c r="AN153">
        <f t="shared" si="89"/>
        <v>0.15339774279000001</v>
      </c>
      <c r="AO153">
        <v>32.700000000000003</v>
      </c>
      <c r="AP153">
        <v>0.5</v>
      </c>
      <c r="AQ153" t="s">
        <v>331</v>
      </c>
      <c r="AR153">
        <v>2</v>
      </c>
      <c r="AS153">
        <v>1690383886</v>
      </c>
      <c r="AT153">
        <v>427.35399999999998</v>
      </c>
      <c r="AU153">
        <v>800.00199999999995</v>
      </c>
      <c r="AV153">
        <v>23.281099999999999</v>
      </c>
      <c r="AW153">
        <v>0.24607699999999999</v>
      </c>
      <c r="AX153">
        <v>427.35500000000002</v>
      </c>
      <c r="AY153">
        <v>23.105799999999999</v>
      </c>
      <c r="AZ153">
        <v>300.11099999999999</v>
      </c>
      <c r="BA153">
        <v>98.684899999999999</v>
      </c>
      <c r="BB153">
        <v>9.9942699999999995E-2</v>
      </c>
      <c r="BC153">
        <v>25.3629</v>
      </c>
      <c r="BD153">
        <v>27.064599999999999</v>
      </c>
      <c r="BE153">
        <v>26.761199999999999</v>
      </c>
      <c r="BF153">
        <v>0</v>
      </c>
      <c r="BG153">
        <v>0</v>
      </c>
      <c r="BH153">
        <v>9981.25</v>
      </c>
      <c r="BI153">
        <v>1057.55</v>
      </c>
      <c r="BJ153">
        <v>1.9202600000000001</v>
      </c>
      <c r="BK153">
        <v>-372.64800000000002</v>
      </c>
      <c r="BL153">
        <v>437.541</v>
      </c>
      <c r="BM153">
        <v>800.19899999999996</v>
      </c>
      <c r="BN153">
        <v>23.035</v>
      </c>
      <c r="BO153">
        <v>800.00199999999995</v>
      </c>
      <c r="BP153">
        <v>0.24607699999999999</v>
      </c>
      <c r="BQ153">
        <v>2.2974899999999998</v>
      </c>
      <c r="BR153">
        <v>2.4284E-2</v>
      </c>
      <c r="BS153">
        <v>19.658799999999999</v>
      </c>
      <c r="BT153">
        <v>-37.538699999999999</v>
      </c>
      <c r="BU153">
        <v>1799.99</v>
      </c>
      <c r="BV153">
        <v>0.90999300000000005</v>
      </c>
      <c r="BW153">
        <v>3.3998399999999998E-2</v>
      </c>
      <c r="BX153">
        <v>2.2004200000000002E-2</v>
      </c>
      <c r="BY153">
        <v>3.40045E-2</v>
      </c>
      <c r="BZ153">
        <v>26</v>
      </c>
      <c r="CA153">
        <v>33528.199999999997</v>
      </c>
      <c r="CB153">
        <v>1690381960.0999999</v>
      </c>
      <c r="CC153" t="s">
        <v>332</v>
      </c>
      <c r="CD153">
        <v>1690381960.0999999</v>
      </c>
      <c r="CE153">
        <v>1690381958.0999999</v>
      </c>
      <c r="CF153">
        <v>4</v>
      </c>
      <c r="CG153">
        <v>9.9000000000000005E-2</v>
      </c>
      <c r="CH153">
        <v>1.2E-2</v>
      </c>
      <c r="CI153">
        <v>-0.26300000000000001</v>
      </c>
      <c r="CJ153">
        <v>0.127</v>
      </c>
      <c r="CK153">
        <v>798</v>
      </c>
      <c r="CL153">
        <v>18</v>
      </c>
      <c r="CM153">
        <v>0.02</v>
      </c>
      <c r="CN153">
        <v>0.12</v>
      </c>
      <c r="CO153">
        <v>-370.67922499999997</v>
      </c>
      <c r="CP153">
        <v>-10.150727954971281</v>
      </c>
      <c r="CQ153">
        <v>0.97713518735894611</v>
      </c>
      <c r="CR153">
        <v>-1</v>
      </c>
      <c r="CS153">
        <v>22.953779999999998</v>
      </c>
      <c r="CT153">
        <v>0.46959624765476632</v>
      </c>
      <c r="CU153">
        <v>4.5312284206382579E-2</v>
      </c>
      <c r="CV153">
        <v>-1</v>
      </c>
      <c r="CW153">
        <v>0</v>
      </c>
      <c r="CX153">
        <v>0</v>
      </c>
      <c r="CY153" t="s">
        <v>333</v>
      </c>
      <c r="CZ153">
        <v>2.36463</v>
      </c>
      <c r="DA153">
        <v>2.7137199999999999</v>
      </c>
      <c r="DB153">
        <v>9.3730499999999994E-2</v>
      </c>
      <c r="DC153">
        <v>0.14544199999999999</v>
      </c>
      <c r="DD153">
        <v>0.11111799999999999</v>
      </c>
      <c r="DE153">
        <v>2.0531400000000002E-3</v>
      </c>
      <c r="DF153">
        <v>33101.1</v>
      </c>
      <c r="DG153">
        <v>27550.400000000001</v>
      </c>
      <c r="DH153">
        <v>31180.6</v>
      </c>
      <c r="DI153">
        <v>28092.3</v>
      </c>
      <c r="DJ153">
        <v>37625.199999999997</v>
      </c>
      <c r="DK153">
        <v>39870.9</v>
      </c>
      <c r="DL153">
        <v>44374.8</v>
      </c>
      <c r="DM153">
        <v>42576.800000000003</v>
      </c>
      <c r="DN153">
        <v>1.4759500000000001</v>
      </c>
      <c r="DO153">
        <v>2.0301300000000002</v>
      </c>
      <c r="DP153">
        <v>0.17005600000000001</v>
      </c>
      <c r="DQ153">
        <v>0.15271799999999999</v>
      </c>
      <c r="DR153">
        <v>24.2774</v>
      </c>
      <c r="DS153">
        <v>24.2575</v>
      </c>
      <c r="DT153">
        <v>33.1</v>
      </c>
      <c r="DU153">
        <v>28.9</v>
      </c>
      <c r="DV153">
        <v>13.4131</v>
      </c>
      <c r="DW153">
        <v>60.773000000000003</v>
      </c>
      <c r="DX153">
        <v>36.758800000000001</v>
      </c>
      <c r="DY153">
        <v>1</v>
      </c>
      <c r="DZ153">
        <v>-0.103216</v>
      </c>
      <c r="EA153">
        <v>0.49684600000000001</v>
      </c>
      <c r="EB153">
        <v>20.188400000000001</v>
      </c>
      <c r="EC153">
        <v>5.2404999999999999</v>
      </c>
      <c r="ED153">
        <v>12.039899999999999</v>
      </c>
      <c r="EE153">
        <v>5.0165499999999996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1.8689100000000001</v>
      </c>
      <c r="EL153">
        <v>1.86463</v>
      </c>
      <c r="EM153">
        <v>1.86921</v>
      </c>
      <c r="EN153">
        <v>1.8672299999999999</v>
      </c>
      <c r="EO153">
        <v>1.8633900000000001</v>
      </c>
      <c r="EP153">
        <v>1.8644700000000001</v>
      </c>
      <c r="EQ153">
        <v>1.87018</v>
      </c>
      <c r="ER153">
        <v>1.8694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-1E-3</v>
      </c>
      <c r="FG153">
        <v>0.17530000000000001</v>
      </c>
      <c r="FH153">
        <v>0.28746640474027818</v>
      </c>
      <c r="FI153">
        <v>-6.1462078757559423E-4</v>
      </c>
      <c r="FJ153">
        <v>-1.8861989874597051E-7</v>
      </c>
      <c r="FK153">
        <v>1.1980462299894961E-10</v>
      </c>
      <c r="FL153">
        <v>0.17524818673008091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32.1</v>
      </c>
      <c r="FU153">
        <v>32.1</v>
      </c>
      <c r="FV153">
        <v>1.7663599999999999</v>
      </c>
      <c r="FW153">
        <v>2.5817899999999998</v>
      </c>
      <c r="FX153">
        <v>1.5490699999999999</v>
      </c>
      <c r="FY153">
        <v>2.3315399999999999</v>
      </c>
      <c r="FZ153">
        <v>1.50146</v>
      </c>
      <c r="GA153">
        <v>2.34131</v>
      </c>
      <c r="GB153">
        <v>33.580399999999997</v>
      </c>
      <c r="GC153">
        <v>23.982399999999998</v>
      </c>
      <c r="GD153">
        <v>19</v>
      </c>
      <c r="GE153">
        <v>282.28300000000002</v>
      </c>
      <c r="GF153">
        <v>576.79700000000003</v>
      </c>
      <c r="GG153">
        <v>23.486799999999999</v>
      </c>
      <c r="GH153">
        <v>26.076799999999999</v>
      </c>
      <c r="GI153">
        <v>30.0002</v>
      </c>
      <c r="GJ153">
        <v>26.240200000000002</v>
      </c>
      <c r="GK153">
        <v>26.229199999999999</v>
      </c>
      <c r="GL153">
        <v>35.325600000000001</v>
      </c>
      <c r="GM153">
        <v>100</v>
      </c>
      <c r="GN153">
        <v>29.667999999999999</v>
      </c>
      <c r="GO153">
        <v>23.4434</v>
      </c>
      <c r="GP153">
        <v>800</v>
      </c>
      <c r="GQ153">
        <v>0</v>
      </c>
      <c r="GR153">
        <v>99.766999999999996</v>
      </c>
      <c r="GS153">
        <v>99.603200000000001</v>
      </c>
    </row>
    <row r="154" spans="1:201" x14ac:dyDescent="0.25">
      <c r="A154">
        <v>138</v>
      </c>
      <c r="B154">
        <v>1690383896</v>
      </c>
      <c r="C154">
        <v>1420.900000095367</v>
      </c>
      <c r="D154" t="s">
        <v>607</v>
      </c>
      <c r="E154" t="s">
        <v>608</v>
      </c>
      <c r="F154" t="s">
        <v>330</v>
      </c>
      <c r="H154">
        <v>1690383896</v>
      </c>
      <c r="I154">
        <f t="shared" si="60"/>
        <v>2.1711081223238066E-3</v>
      </c>
      <c r="J154">
        <f t="shared" si="61"/>
        <v>2.1711081223238065</v>
      </c>
      <c r="K154">
        <f t="shared" si="62"/>
        <v>33.440301918387235</v>
      </c>
      <c r="L154">
        <f t="shared" si="63"/>
        <v>425.69499999999999</v>
      </c>
      <c r="M154">
        <f t="shared" si="64"/>
        <v>105.7583006860168</v>
      </c>
      <c r="N154">
        <f t="shared" si="65"/>
        <v>10.446852427241748</v>
      </c>
      <c r="O154">
        <f t="shared" si="66"/>
        <v>42.050343237055003</v>
      </c>
      <c r="P154">
        <f t="shared" si="67"/>
        <v>0.17688814859267138</v>
      </c>
      <c r="Q154">
        <f t="shared" si="68"/>
        <v>2.1083905556519378</v>
      </c>
      <c r="R154">
        <f t="shared" si="69"/>
        <v>0.16903769504173677</v>
      </c>
      <c r="S154">
        <f t="shared" si="70"/>
        <v>0.1063248551360487</v>
      </c>
      <c r="T154">
        <f t="shared" si="71"/>
        <v>276.11598474000004</v>
      </c>
      <c r="U154">
        <f t="shared" si="72"/>
        <v>26.798166676829876</v>
      </c>
      <c r="V154">
        <f t="shared" si="73"/>
        <v>26.798166676829876</v>
      </c>
      <c r="W154">
        <f t="shared" si="74"/>
        <v>3.5369506028381203</v>
      </c>
      <c r="X154">
        <f t="shared" si="75"/>
        <v>70.992031926757278</v>
      </c>
      <c r="Y154">
        <f t="shared" si="76"/>
        <v>2.3057431186028996</v>
      </c>
      <c r="Z154">
        <f t="shared" si="77"/>
        <v>3.2478900181104025</v>
      </c>
      <c r="AA154">
        <f t="shared" si="78"/>
        <v>1.2312074842352208</v>
      </c>
      <c r="AB154">
        <f t="shared" si="79"/>
        <v>-95.745868194479868</v>
      </c>
      <c r="AC154">
        <f t="shared" si="80"/>
        <v>-163.87072143090339</v>
      </c>
      <c r="AD154">
        <f t="shared" si="81"/>
        <v>-16.619369100981459</v>
      </c>
      <c r="AE154">
        <f t="shared" si="82"/>
        <v>-0.11997398636464141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52400.799465489057</v>
      </c>
      <c r="AK154">
        <f t="shared" si="86"/>
        <v>1800</v>
      </c>
      <c r="AL154">
        <f t="shared" si="87"/>
        <v>1499.1125939999999</v>
      </c>
      <c r="AM154">
        <f t="shared" si="88"/>
        <v>0.83284033000000002</v>
      </c>
      <c r="AN154">
        <f t="shared" si="89"/>
        <v>0.15339776930000001</v>
      </c>
      <c r="AO154">
        <v>32.700000000000003</v>
      </c>
      <c r="AP154">
        <v>0.5</v>
      </c>
      <c r="AQ154" t="s">
        <v>331</v>
      </c>
      <c r="AR154">
        <v>2</v>
      </c>
      <c r="AS154">
        <v>1690383896</v>
      </c>
      <c r="AT154">
        <v>425.69499999999999</v>
      </c>
      <c r="AU154">
        <v>800.06</v>
      </c>
      <c r="AV154">
        <v>23.342099999999999</v>
      </c>
      <c r="AW154">
        <v>0.24227299999999999</v>
      </c>
      <c r="AX154">
        <v>425.69400000000002</v>
      </c>
      <c r="AY154">
        <v>23.166899999999998</v>
      </c>
      <c r="AZ154">
        <v>300.16699999999997</v>
      </c>
      <c r="BA154">
        <v>98.680400000000006</v>
      </c>
      <c r="BB154">
        <v>0.100049</v>
      </c>
      <c r="BC154">
        <v>25.3565</v>
      </c>
      <c r="BD154">
        <v>27.004899999999999</v>
      </c>
      <c r="BE154">
        <v>26.7437</v>
      </c>
      <c r="BF154">
        <v>0</v>
      </c>
      <c r="BG154">
        <v>0</v>
      </c>
      <c r="BH154">
        <v>9986.8799999999992</v>
      </c>
      <c r="BI154">
        <v>1057.79</v>
      </c>
      <c r="BJ154">
        <v>2.4108399999999999</v>
      </c>
      <c r="BK154">
        <v>-374.36500000000001</v>
      </c>
      <c r="BL154">
        <v>435.86900000000003</v>
      </c>
      <c r="BM154">
        <v>800.25400000000002</v>
      </c>
      <c r="BN154">
        <v>23.099799999999998</v>
      </c>
      <c r="BO154">
        <v>800.06</v>
      </c>
      <c r="BP154">
        <v>0.24227299999999999</v>
      </c>
      <c r="BQ154">
        <v>2.30341</v>
      </c>
      <c r="BR154">
        <v>2.3907600000000001E-2</v>
      </c>
      <c r="BS154">
        <v>19.700299999999999</v>
      </c>
      <c r="BT154">
        <v>-37.691899999999997</v>
      </c>
      <c r="BU154">
        <v>1800</v>
      </c>
      <c r="BV154">
        <v>0.90999399999999997</v>
      </c>
      <c r="BW154">
        <v>3.3998199999999999E-2</v>
      </c>
      <c r="BX154">
        <v>2.2003999999999999E-2</v>
      </c>
      <c r="BY154">
        <v>3.4004199999999998E-2</v>
      </c>
      <c r="BZ154">
        <v>26</v>
      </c>
      <c r="CA154">
        <v>33528.199999999997</v>
      </c>
      <c r="CB154">
        <v>1690381960.0999999</v>
      </c>
      <c r="CC154" t="s">
        <v>332</v>
      </c>
      <c r="CD154">
        <v>1690381960.0999999</v>
      </c>
      <c r="CE154">
        <v>1690381958.0999999</v>
      </c>
      <c r="CF154">
        <v>4</v>
      </c>
      <c r="CG154">
        <v>9.9000000000000005E-2</v>
      </c>
      <c r="CH154">
        <v>1.2E-2</v>
      </c>
      <c r="CI154">
        <v>-0.26300000000000001</v>
      </c>
      <c r="CJ154">
        <v>0.127</v>
      </c>
      <c r="CK154">
        <v>798</v>
      </c>
      <c r="CL154">
        <v>18</v>
      </c>
      <c r="CM154">
        <v>0.02</v>
      </c>
      <c r="CN154">
        <v>0.12</v>
      </c>
      <c r="CO154">
        <v>-372.41712195121949</v>
      </c>
      <c r="CP154">
        <v>-10.097017421603161</v>
      </c>
      <c r="CQ154">
        <v>0.99740370756259267</v>
      </c>
      <c r="CR154">
        <v>-1</v>
      </c>
      <c r="CS154">
        <v>23.028039024390239</v>
      </c>
      <c r="CT154">
        <v>0.3961881533101102</v>
      </c>
      <c r="CU154">
        <v>3.9075922834779599E-2</v>
      </c>
      <c r="CV154">
        <v>-1</v>
      </c>
      <c r="CW154">
        <v>0</v>
      </c>
      <c r="CX154">
        <v>0</v>
      </c>
      <c r="CY154" t="s">
        <v>333</v>
      </c>
      <c r="CZ154">
        <v>2.3648199999999999</v>
      </c>
      <c r="DA154">
        <v>2.7138300000000002</v>
      </c>
      <c r="DB154">
        <v>9.3452400000000005E-2</v>
      </c>
      <c r="DC154">
        <v>0.14544399999999999</v>
      </c>
      <c r="DD154">
        <v>0.11132</v>
      </c>
      <c r="DE154">
        <v>2.0217999999999998E-3</v>
      </c>
      <c r="DF154">
        <v>33112.1</v>
      </c>
      <c r="DG154">
        <v>27550.2</v>
      </c>
      <c r="DH154">
        <v>31181.4</v>
      </c>
      <c r="DI154">
        <v>28092.2</v>
      </c>
      <c r="DJ154">
        <v>37617.4</v>
      </c>
      <c r="DK154">
        <v>39871.599999999999</v>
      </c>
      <c r="DL154">
        <v>44375.8</v>
      </c>
      <c r="DM154">
        <v>42576.2</v>
      </c>
      <c r="DN154">
        <v>1.47637</v>
      </c>
      <c r="DO154">
        <v>2.0304199999999999</v>
      </c>
      <c r="DP154">
        <v>0.16603200000000001</v>
      </c>
      <c r="DQ154">
        <v>0.15127699999999999</v>
      </c>
      <c r="DR154">
        <v>24.2835</v>
      </c>
      <c r="DS154">
        <v>24.2636</v>
      </c>
      <c r="DT154">
        <v>32.700000000000003</v>
      </c>
      <c r="DU154">
        <v>28.9</v>
      </c>
      <c r="DV154">
        <v>13.251899999999999</v>
      </c>
      <c r="DW154">
        <v>60.823</v>
      </c>
      <c r="DX154">
        <v>37.0032</v>
      </c>
      <c r="DY154">
        <v>1</v>
      </c>
      <c r="DZ154">
        <v>-0.103229</v>
      </c>
      <c r="EA154">
        <v>0.64734999999999998</v>
      </c>
      <c r="EB154">
        <v>20.1876</v>
      </c>
      <c r="EC154">
        <v>5.2411000000000003</v>
      </c>
      <c r="ED154">
        <v>12.039899999999999</v>
      </c>
      <c r="EE154">
        <v>5.0166500000000003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1.8689100000000001</v>
      </c>
      <c r="EL154">
        <v>1.8646400000000001</v>
      </c>
      <c r="EM154">
        <v>1.86921</v>
      </c>
      <c r="EN154">
        <v>1.8672299999999999</v>
      </c>
      <c r="EO154">
        <v>1.8633999999999999</v>
      </c>
      <c r="EP154">
        <v>1.8644700000000001</v>
      </c>
      <c r="EQ154">
        <v>1.87019</v>
      </c>
      <c r="ER154">
        <v>1.8694200000000001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1E-3</v>
      </c>
      <c r="FG154">
        <v>0.17519999999999999</v>
      </c>
      <c r="FH154">
        <v>0.28746640474027818</v>
      </c>
      <c r="FI154">
        <v>-6.1462078757559423E-4</v>
      </c>
      <c r="FJ154">
        <v>-1.8861989874597051E-7</v>
      </c>
      <c r="FK154">
        <v>1.1980462299894961E-10</v>
      </c>
      <c r="FL154">
        <v>0.17524818673008091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32.299999999999997</v>
      </c>
      <c r="FU154">
        <v>32.299999999999997</v>
      </c>
      <c r="FV154">
        <v>1.7663599999999999</v>
      </c>
      <c r="FW154">
        <v>2.5817899999999998</v>
      </c>
      <c r="FX154">
        <v>1.5490699999999999</v>
      </c>
      <c r="FY154">
        <v>2.3315399999999999</v>
      </c>
      <c r="FZ154">
        <v>1.50146</v>
      </c>
      <c r="GA154">
        <v>2.35229</v>
      </c>
      <c r="GB154">
        <v>33.580399999999997</v>
      </c>
      <c r="GC154">
        <v>23.973700000000001</v>
      </c>
      <c r="GD154">
        <v>19</v>
      </c>
      <c r="GE154">
        <v>282.45299999999997</v>
      </c>
      <c r="GF154">
        <v>577.01800000000003</v>
      </c>
      <c r="GG154">
        <v>23.384499999999999</v>
      </c>
      <c r="GH154">
        <v>26.075099999999999</v>
      </c>
      <c r="GI154">
        <v>30.0002</v>
      </c>
      <c r="GJ154">
        <v>26.2379</v>
      </c>
      <c r="GK154">
        <v>26.2271</v>
      </c>
      <c r="GL154">
        <v>35.321899999999999</v>
      </c>
      <c r="GM154">
        <v>100</v>
      </c>
      <c r="GN154">
        <v>28.877199999999998</v>
      </c>
      <c r="GO154">
        <v>23.354299999999999</v>
      </c>
      <c r="GP154">
        <v>800</v>
      </c>
      <c r="GQ154">
        <v>0</v>
      </c>
      <c r="GR154">
        <v>99.769499999999994</v>
      </c>
      <c r="GS154">
        <v>99.602199999999996</v>
      </c>
    </row>
    <row r="155" spans="1:201" x14ac:dyDescent="0.25">
      <c r="A155">
        <v>139</v>
      </c>
      <c r="B155">
        <v>1690383906</v>
      </c>
      <c r="C155">
        <v>1430.900000095367</v>
      </c>
      <c r="D155" t="s">
        <v>609</v>
      </c>
      <c r="E155" t="s">
        <v>610</v>
      </c>
      <c r="F155" t="s">
        <v>330</v>
      </c>
      <c r="H155">
        <v>1690383906</v>
      </c>
      <c r="I155">
        <f t="shared" si="60"/>
        <v>2.1763564353234587E-3</v>
      </c>
      <c r="J155">
        <f t="shared" si="61"/>
        <v>2.1763564353234588</v>
      </c>
      <c r="K155">
        <f t="shared" si="62"/>
        <v>33.597776365314381</v>
      </c>
      <c r="L155">
        <f t="shared" si="63"/>
        <v>423.98099999999999</v>
      </c>
      <c r="M155">
        <f t="shared" si="64"/>
        <v>104.96279297043692</v>
      </c>
      <c r="N155">
        <f t="shared" si="65"/>
        <v>10.368458336796913</v>
      </c>
      <c r="O155">
        <f t="shared" si="66"/>
        <v>41.881786961705998</v>
      </c>
      <c r="P155">
        <f t="shared" si="67"/>
        <v>0.17826402909203329</v>
      </c>
      <c r="Q155">
        <f t="shared" si="68"/>
        <v>2.108554139787874</v>
      </c>
      <c r="R155">
        <f t="shared" si="69"/>
        <v>0.17029452090859112</v>
      </c>
      <c r="S155">
        <f t="shared" si="70"/>
        <v>0.10712041108056687</v>
      </c>
      <c r="T155">
        <f t="shared" si="71"/>
        <v>276.11590543200003</v>
      </c>
      <c r="U155">
        <f t="shared" si="72"/>
        <v>26.793418321130115</v>
      </c>
      <c r="V155">
        <f t="shared" si="73"/>
        <v>26.793418321130115</v>
      </c>
      <c r="W155">
        <f t="shared" si="74"/>
        <v>3.5359628414219504</v>
      </c>
      <c r="X155">
        <f t="shared" si="75"/>
        <v>71.162397582567067</v>
      </c>
      <c r="Y155">
        <f t="shared" si="76"/>
        <v>2.3108916385987994</v>
      </c>
      <c r="Z155">
        <f t="shared" si="77"/>
        <v>3.2473493264719728</v>
      </c>
      <c r="AA155">
        <f t="shared" si="78"/>
        <v>1.225071202823151</v>
      </c>
      <c r="AB155">
        <f t="shared" si="79"/>
        <v>-95.977318797764525</v>
      </c>
      <c r="AC155">
        <f t="shared" si="80"/>
        <v>-163.66195369765609</v>
      </c>
      <c r="AD155">
        <f t="shared" si="81"/>
        <v>-16.59628009922325</v>
      </c>
      <c r="AE155">
        <f t="shared" si="82"/>
        <v>-0.11964716264381536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52408.489498976196</v>
      </c>
      <c r="AK155">
        <f t="shared" si="86"/>
        <v>1800</v>
      </c>
      <c r="AL155">
        <f t="shared" si="87"/>
        <v>1499.1125921999999</v>
      </c>
      <c r="AM155">
        <f t="shared" si="88"/>
        <v>0.83284032899999993</v>
      </c>
      <c r="AN155">
        <f t="shared" si="89"/>
        <v>0.15339772524</v>
      </c>
      <c r="AO155">
        <v>32.700000000000003</v>
      </c>
      <c r="AP155">
        <v>0.5</v>
      </c>
      <c r="AQ155" t="s">
        <v>331</v>
      </c>
      <c r="AR155">
        <v>2</v>
      </c>
      <c r="AS155">
        <v>1690383906</v>
      </c>
      <c r="AT155">
        <v>423.98099999999999</v>
      </c>
      <c r="AU155">
        <v>800.05899999999997</v>
      </c>
      <c r="AV155">
        <v>23.393799999999999</v>
      </c>
      <c r="AW155">
        <v>0.23851</v>
      </c>
      <c r="AX155">
        <v>423.97800000000001</v>
      </c>
      <c r="AY155">
        <v>23.218599999999999</v>
      </c>
      <c r="AZ155">
        <v>300.15600000000001</v>
      </c>
      <c r="BA155">
        <v>98.682199999999995</v>
      </c>
      <c r="BB155">
        <v>0.100026</v>
      </c>
      <c r="BC155">
        <v>25.3537</v>
      </c>
      <c r="BD155">
        <v>26.979299999999999</v>
      </c>
      <c r="BE155">
        <v>26.725100000000001</v>
      </c>
      <c r="BF155">
        <v>0</v>
      </c>
      <c r="BG155">
        <v>0</v>
      </c>
      <c r="BH155">
        <v>9988.1200000000008</v>
      </c>
      <c r="BI155">
        <v>1057.92</v>
      </c>
      <c r="BJ155">
        <v>2.4108399999999999</v>
      </c>
      <c r="BK155">
        <v>-376.07900000000001</v>
      </c>
      <c r="BL155">
        <v>434.137</v>
      </c>
      <c r="BM155">
        <v>800.25</v>
      </c>
      <c r="BN155">
        <v>23.1553</v>
      </c>
      <c r="BO155">
        <v>800.05899999999997</v>
      </c>
      <c r="BP155">
        <v>0.23851</v>
      </c>
      <c r="BQ155">
        <v>2.3085499999999999</v>
      </c>
      <c r="BR155">
        <v>2.3536700000000001E-2</v>
      </c>
      <c r="BS155">
        <v>19.7362</v>
      </c>
      <c r="BT155">
        <v>-37.844999999999999</v>
      </c>
      <c r="BU155">
        <v>1800</v>
      </c>
      <c r="BV155">
        <v>0.909995</v>
      </c>
      <c r="BW155">
        <v>3.3997800000000002E-2</v>
      </c>
      <c r="BX155">
        <v>2.2003700000000001E-2</v>
      </c>
      <c r="BY155">
        <v>3.4003800000000001E-2</v>
      </c>
      <c r="BZ155">
        <v>26</v>
      </c>
      <c r="CA155">
        <v>33528.400000000001</v>
      </c>
      <c r="CB155">
        <v>1690381960.0999999</v>
      </c>
      <c r="CC155" t="s">
        <v>332</v>
      </c>
      <c r="CD155">
        <v>1690381960.0999999</v>
      </c>
      <c r="CE155">
        <v>1690381958.0999999</v>
      </c>
      <c r="CF155">
        <v>4</v>
      </c>
      <c r="CG155">
        <v>9.9000000000000005E-2</v>
      </c>
      <c r="CH155">
        <v>1.2E-2</v>
      </c>
      <c r="CI155">
        <v>-0.26300000000000001</v>
      </c>
      <c r="CJ155">
        <v>0.127</v>
      </c>
      <c r="CK155">
        <v>798</v>
      </c>
      <c r="CL155">
        <v>18</v>
      </c>
      <c r="CM155">
        <v>0.02</v>
      </c>
      <c r="CN155">
        <v>0.12</v>
      </c>
      <c r="CO155">
        <v>-374.226</v>
      </c>
      <c r="CP155">
        <v>-10.116923076922861</v>
      </c>
      <c r="CQ155">
        <v>0.9753543971295745</v>
      </c>
      <c r="CR155">
        <v>-1</v>
      </c>
      <c r="CS155">
        <v>23.096164999999999</v>
      </c>
      <c r="CT155">
        <v>0.35528780487803108</v>
      </c>
      <c r="CU155">
        <v>3.4214723073554401E-2</v>
      </c>
      <c r="CV155">
        <v>-1</v>
      </c>
      <c r="CW155">
        <v>0</v>
      </c>
      <c r="CX155">
        <v>0</v>
      </c>
      <c r="CY155" t="s">
        <v>333</v>
      </c>
      <c r="CZ155">
        <v>2.36477</v>
      </c>
      <c r="DA155">
        <v>2.7138100000000001</v>
      </c>
      <c r="DB155">
        <v>9.3170199999999995E-2</v>
      </c>
      <c r="DC155">
        <v>0.14544699999999999</v>
      </c>
      <c r="DD155">
        <v>0.111497</v>
      </c>
      <c r="DE155">
        <v>1.9909099999999998E-3</v>
      </c>
      <c r="DF155">
        <v>33122.1</v>
      </c>
      <c r="DG155">
        <v>27550.5</v>
      </c>
      <c r="DH155">
        <v>31181.1</v>
      </c>
      <c r="DI155">
        <v>28092.6</v>
      </c>
      <c r="DJ155">
        <v>37609.300000000003</v>
      </c>
      <c r="DK155">
        <v>39873.4</v>
      </c>
      <c r="DL155">
        <v>44375.199999999997</v>
      </c>
      <c r="DM155">
        <v>42576.800000000003</v>
      </c>
      <c r="DN155">
        <v>1.4762</v>
      </c>
      <c r="DO155">
        <v>2.0303</v>
      </c>
      <c r="DP155">
        <v>0.16406200000000001</v>
      </c>
      <c r="DQ155">
        <v>0.14986099999999999</v>
      </c>
      <c r="DR155">
        <v>24.290199999999999</v>
      </c>
      <c r="DS155">
        <v>24.2682</v>
      </c>
      <c r="DT155">
        <v>32.4</v>
      </c>
      <c r="DU155">
        <v>28.9</v>
      </c>
      <c r="DV155">
        <v>13.129899999999999</v>
      </c>
      <c r="DW155">
        <v>61.082999999999998</v>
      </c>
      <c r="DX155">
        <v>37.407899999999998</v>
      </c>
      <c r="DY155">
        <v>1</v>
      </c>
      <c r="DZ155">
        <v>-0.103572</v>
      </c>
      <c r="EA155">
        <v>0.40459699999999998</v>
      </c>
      <c r="EB155">
        <v>20.188500000000001</v>
      </c>
      <c r="EC155">
        <v>5.2409499999999998</v>
      </c>
      <c r="ED155">
        <v>12.039899999999999</v>
      </c>
      <c r="EE155">
        <v>5.0169499999999996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</v>
      </c>
      <c r="EL155">
        <v>1.8646199999999999</v>
      </c>
      <c r="EM155">
        <v>1.8692</v>
      </c>
      <c r="EN155">
        <v>1.8672299999999999</v>
      </c>
      <c r="EO155">
        <v>1.8633900000000001</v>
      </c>
      <c r="EP155">
        <v>1.86446</v>
      </c>
      <c r="EQ155">
        <v>1.8702000000000001</v>
      </c>
      <c r="ER155">
        <v>1.8694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3.0000000000000001E-3</v>
      </c>
      <c r="FG155">
        <v>0.17519999999999999</v>
      </c>
      <c r="FH155">
        <v>0.28746640474027818</v>
      </c>
      <c r="FI155">
        <v>-6.1462078757559423E-4</v>
      </c>
      <c r="FJ155">
        <v>-1.8861989874597051E-7</v>
      </c>
      <c r="FK155">
        <v>1.1980462299894961E-10</v>
      </c>
      <c r="FL155">
        <v>0.17524818673008091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32.4</v>
      </c>
      <c r="FU155">
        <v>32.5</v>
      </c>
      <c r="FV155">
        <v>1.7663599999999999</v>
      </c>
      <c r="FW155">
        <v>2.5769000000000002</v>
      </c>
      <c r="FX155">
        <v>1.5490699999999999</v>
      </c>
      <c r="FY155">
        <v>2.3327599999999999</v>
      </c>
      <c r="FZ155">
        <v>1.50146</v>
      </c>
      <c r="GA155">
        <v>2.2802699999999998</v>
      </c>
      <c r="GB155">
        <v>33.580399999999997</v>
      </c>
      <c r="GC155">
        <v>23.973700000000001</v>
      </c>
      <c r="GD155">
        <v>19</v>
      </c>
      <c r="GE155">
        <v>282.36900000000003</v>
      </c>
      <c r="GF155">
        <v>576.89099999999996</v>
      </c>
      <c r="GG155">
        <v>23.328099999999999</v>
      </c>
      <c r="GH155">
        <v>26.074400000000001</v>
      </c>
      <c r="GI155">
        <v>29.9999</v>
      </c>
      <c r="GJ155">
        <v>26.235700000000001</v>
      </c>
      <c r="GK155">
        <v>26.224900000000002</v>
      </c>
      <c r="GL155">
        <v>35.319000000000003</v>
      </c>
      <c r="GM155">
        <v>100</v>
      </c>
      <c r="GN155">
        <v>28.1066</v>
      </c>
      <c r="GO155">
        <v>23.430700000000002</v>
      </c>
      <c r="GP155">
        <v>800</v>
      </c>
      <c r="GQ155">
        <v>0</v>
      </c>
      <c r="GR155">
        <v>99.768199999999993</v>
      </c>
      <c r="GS155">
        <v>99.6036</v>
      </c>
    </row>
    <row r="156" spans="1:201" x14ac:dyDescent="0.25">
      <c r="A156">
        <v>140</v>
      </c>
      <c r="B156">
        <v>1690383916</v>
      </c>
      <c r="C156">
        <v>1440.900000095367</v>
      </c>
      <c r="D156" t="s">
        <v>611</v>
      </c>
      <c r="E156" t="s">
        <v>612</v>
      </c>
      <c r="F156" t="s">
        <v>330</v>
      </c>
      <c r="H156">
        <v>1690383916</v>
      </c>
      <c r="I156">
        <f t="shared" si="60"/>
        <v>2.1850087055568985E-3</v>
      </c>
      <c r="J156">
        <f t="shared" si="61"/>
        <v>2.1850087055568985</v>
      </c>
      <c r="K156">
        <f t="shared" si="62"/>
        <v>33.750200560426947</v>
      </c>
      <c r="L156">
        <f t="shared" si="63"/>
        <v>422.40600000000001</v>
      </c>
      <c r="M156">
        <f t="shared" si="64"/>
        <v>105.54226631834901</v>
      </c>
      <c r="N156">
        <f t="shared" si="65"/>
        <v>10.426085760994734</v>
      </c>
      <c r="O156">
        <f t="shared" si="66"/>
        <v>41.727748849686002</v>
      </c>
      <c r="P156">
        <f t="shared" si="67"/>
        <v>0.18036890407674627</v>
      </c>
      <c r="Q156">
        <f t="shared" si="68"/>
        <v>2.1073025802408405</v>
      </c>
      <c r="R156">
        <f t="shared" si="69"/>
        <v>0.17221010184154381</v>
      </c>
      <c r="S156">
        <f t="shared" si="70"/>
        <v>0.10833359166912257</v>
      </c>
      <c r="T156">
        <f t="shared" si="71"/>
        <v>276.11576879400002</v>
      </c>
      <c r="U156">
        <f t="shared" si="72"/>
        <v>26.789045603380718</v>
      </c>
      <c r="V156">
        <f t="shared" si="73"/>
        <v>26.789045603380718</v>
      </c>
      <c r="W156">
        <f t="shared" si="74"/>
        <v>3.5350534338911093</v>
      </c>
      <c r="X156">
        <f t="shared" si="75"/>
        <v>71.414573413224204</v>
      </c>
      <c r="Y156">
        <f t="shared" si="76"/>
        <v>2.3187911061249</v>
      </c>
      <c r="Z156">
        <f t="shared" si="77"/>
        <v>3.2469438593545075</v>
      </c>
      <c r="AA156">
        <f t="shared" si="78"/>
        <v>1.2162623277662092</v>
      </c>
      <c r="AB156">
        <f t="shared" si="79"/>
        <v>-96.358883915059224</v>
      </c>
      <c r="AC156">
        <f t="shared" si="80"/>
        <v>-163.30660907489346</v>
      </c>
      <c r="AD156">
        <f t="shared" si="81"/>
        <v>-16.569543236924517</v>
      </c>
      <c r="AE156">
        <f t="shared" si="82"/>
        <v>-0.1192674328771659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52354.175019900344</v>
      </c>
      <c r="AK156">
        <f t="shared" si="86"/>
        <v>1800</v>
      </c>
      <c r="AL156">
        <f t="shared" si="87"/>
        <v>1499.1123293999999</v>
      </c>
      <c r="AM156">
        <f t="shared" si="88"/>
        <v>0.83284018299999996</v>
      </c>
      <c r="AN156">
        <f t="shared" si="89"/>
        <v>0.15339764933000002</v>
      </c>
      <c r="AO156">
        <v>32.700000000000003</v>
      </c>
      <c r="AP156">
        <v>0.5</v>
      </c>
      <c r="AQ156" t="s">
        <v>331</v>
      </c>
      <c r="AR156">
        <v>2</v>
      </c>
      <c r="AS156">
        <v>1690383916</v>
      </c>
      <c r="AT156">
        <v>422.40600000000001</v>
      </c>
      <c r="AU156">
        <v>800.02499999999998</v>
      </c>
      <c r="AV156">
        <v>23.472899999999999</v>
      </c>
      <c r="AW156">
        <v>0.23494699999999999</v>
      </c>
      <c r="AX156">
        <v>422.40300000000002</v>
      </c>
      <c r="AY156">
        <v>23.297699999999999</v>
      </c>
      <c r="AZ156">
        <v>300.25299999999999</v>
      </c>
      <c r="BA156">
        <v>98.6858</v>
      </c>
      <c r="BB156">
        <v>0.100081</v>
      </c>
      <c r="BC156">
        <v>25.351600000000001</v>
      </c>
      <c r="BD156">
        <v>27.0017</v>
      </c>
      <c r="BE156">
        <v>26.739799999999999</v>
      </c>
      <c r="BF156">
        <v>0</v>
      </c>
      <c r="BG156">
        <v>0</v>
      </c>
      <c r="BH156">
        <v>9976.8799999999992</v>
      </c>
      <c r="BI156">
        <v>1058.05</v>
      </c>
      <c r="BJ156">
        <v>2.4458799999999998</v>
      </c>
      <c r="BK156">
        <v>-377.62</v>
      </c>
      <c r="BL156">
        <v>432.55900000000003</v>
      </c>
      <c r="BM156">
        <v>800.21299999999997</v>
      </c>
      <c r="BN156">
        <v>23.238</v>
      </c>
      <c r="BO156">
        <v>800.02499999999998</v>
      </c>
      <c r="BP156">
        <v>0.23494699999999999</v>
      </c>
      <c r="BQ156">
        <v>2.3164400000000001</v>
      </c>
      <c r="BR156">
        <v>2.3185999999999998E-2</v>
      </c>
      <c r="BS156">
        <v>19.7912</v>
      </c>
      <c r="BT156">
        <v>-37.991799999999998</v>
      </c>
      <c r="BU156">
        <v>1800</v>
      </c>
      <c r="BV156">
        <v>0.90999600000000003</v>
      </c>
      <c r="BW156">
        <v>3.3997300000000001E-2</v>
      </c>
      <c r="BX156">
        <v>2.2003399999999999E-2</v>
      </c>
      <c r="BY156">
        <v>3.40033E-2</v>
      </c>
      <c r="BZ156">
        <v>26</v>
      </c>
      <c r="CA156">
        <v>33528.400000000001</v>
      </c>
      <c r="CB156">
        <v>1690381960.0999999</v>
      </c>
      <c r="CC156" t="s">
        <v>332</v>
      </c>
      <c r="CD156">
        <v>1690381960.0999999</v>
      </c>
      <c r="CE156">
        <v>1690381958.0999999</v>
      </c>
      <c r="CF156">
        <v>4</v>
      </c>
      <c r="CG156">
        <v>9.9000000000000005E-2</v>
      </c>
      <c r="CH156">
        <v>1.2E-2</v>
      </c>
      <c r="CI156">
        <v>-0.26300000000000001</v>
      </c>
      <c r="CJ156">
        <v>0.127</v>
      </c>
      <c r="CK156">
        <v>798</v>
      </c>
      <c r="CL156">
        <v>18</v>
      </c>
      <c r="CM156">
        <v>0.02</v>
      </c>
      <c r="CN156">
        <v>0.12</v>
      </c>
      <c r="CO156">
        <v>-375.91807499999999</v>
      </c>
      <c r="CP156">
        <v>-10.179545966228829</v>
      </c>
      <c r="CQ156">
        <v>0.98032202330407803</v>
      </c>
      <c r="CR156">
        <v>-1</v>
      </c>
      <c r="CS156">
        <v>23.158772500000001</v>
      </c>
      <c r="CT156">
        <v>0.39689493433391099</v>
      </c>
      <c r="CU156">
        <v>3.8462793629038448E-2</v>
      </c>
      <c r="CV156">
        <v>-1</v>
      </c>
      <c r="CW156">
        <v>0</v>
      </c>
      <c r="CX156">
        <v>0</v>
      </c>
      <c r="CY156" t="s">
        <v>333</v>
      </c>
      <c r="CZ156">
        <v>2.36511</v>
      </c>
      <c r="DA156">
        <v>2.7138499999999999</v>
      </c>
      <c r="DB156">
        <v>9.2912700000000001E-2</v>
      </c>
      <c r="DC156">
        <v>0.14544899999999999</v>
      </c>
      <c r="DD156">
        <v>0.11176800000000001</v>
      </c>
      <c r="DE156">
        <v>1.9616799999999999E-3</v>
      </c>
      <c r="DF156">
        <v>33131.4</v>
      </c>
      <c r="DG156">
        <v>27550.7</v>
      </c>
      <c r="DH156">
        <v>31181</v>
      </c>
      <c r="DI156">
        <v>28092.7</v>
      </c>
      <c r="DJ156">
        <v>37597.699999999997</v>
      </c>
      <c r="DK156">
        <v>39874.800000000003</v>
      </c>
      <c r="DL156">
        <v>44375.199999999997</v>
      </c>
      <c r="DM156">
        <v>42577</v>
      </c>
      <c r="DN156">
        <v>1.47695</v>
      </c>
      <c r="DO156">
        <v>2.03023</v>
      </c>
      <c r="DP156">
        <v>0.16503000000000001</v>
      </c>
      <c r="DQ156">
        <v>0.15049799999999999</v>
      </c>
      <c r="DR156">
        <v>24.296800000000001</v>
      </c>
      <c r="DS156">
        <v>24.272600000000001</v>
      </c>
      <c r="DT156">
        <v>32</v>
      </c>
      <c r="DU156">
        <v>29</v>
      </c>
      <c r="DV156">
        <v>13.041600000000001</v>
      </c>
      <c r="DW156">
        <v>61.042999999999999</v>
      </c>
      <c r="DX156">
        <v>37.740400000000001</v>
      </c>
      <c r="DY156">
        <v>1</v>
      </c>
      <c r="DZ156">
        <v>-0.104433</v>
      </c>
      <c r="EA156">
        <v>0.228184</v>
      </c>
      <c r="EB156">
        <v>20.189399999999999</v>
      </c>
      <c r="EC156">
        <v>5.24125</v>
      </c>
      <c r="ED156">
        <v>12.039899999999999</v>
      </c>
      <c r="EE156">
        <v>5.0169499999999996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1.8689100000000001</v>
      </c>
      <c r="EL156">
        <v>1.86463</v>
      </c>
      <c r="EM156">
        <v>1.8692</v>
      </c>
      <c r="EN156">
        <v>1.8672500000000001</v>
      </c>
      <c r="EO156">
        <v>1.8633900000000001</v>
      </c>
      <c r="EP156">
        <v>1.8644700000000001</v>
      </c>
      <c r="EQ156">
        <v>1.87018</v>
      </c>
      <c r="ER156">
        <v>1.8694299999999999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3.0000000000000001E-3</v>
      </c>
      <c r="FG156">
        <v>0.17519999999999999</v>
      </c>
      <c r="FH156">
        <v>0.28746640474027818</v>
      </c>
      <c r="FI156">
        <v>-6.1462078757559423E-4</v>
      </c>
      <c r="FJ156">
        <v>-1.8861989874597051E-7</v>
      </c>
      <c r="FK156">
        <v>1.1980462299894961E-10</v>
      </c>
      <c r="FL156">
        <v>0.17524818673008091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32.6</v>
      </c>
      <c r="FU156">
        <v>32.6</v>
      </c>
      <c r="FV156">
        <v>1.7663599999999999</v>
      </c>
      <c r="FW156">
        <v>2.5793499999999998</v>
      </c>
      <c r="FX156">
        <v>1.5490699999999999</v>
      </c>
      <c r="FY156">
        <v>2.3327599999999999</v>
      </c>
      <c r="FZ156">
        <v>1.50146</v>
      </c>
      <c r="GA156">
        <v>2.3046899999999999</v>
      </c>
      <c r="GB156">
        <v>33.580399999999997</v>
      </c>
      <c r="GC156">
        <v>23.982399999999998</v>
      </c>
      <c r="GD156">
        <v>19</v>
      </c>
      <c r="GE156">
        <v>282.67899999999997</v>
      </c>
      <c r="GF156">
        <v>576.80499999999995</v>
      </c>
      <c r="GG156">
        <v>23.4466</v>
      </c>
      <c r="GH156">
        <v>26.072199999999999</v>
      </c>
      <c r="GI156">
        <v>29.999700000000001</v>
      </c>
      <c r="GJ156">
        <v>26.2334</v>
      </c>
      <c r="GK156">
        <v>26.2227</v>
      </c>
      <c r="GL156">
        <v>35.319299999999998</v>
      </c>
      <c r="GM156">
        <v>100</v>
      </c>
      <c r="GN156">
        <v>27.347899999999999</v>
      </c>
      <c r="GO156">
        <v>23.462299999999999</v>
      </c>
      <c r="GP156">
        <v>800</v>
      </c>
      <c r="GQ156">
        <v>0</v>
      </c>
      <c r="GR156">
        <v>99.768199999999993</v>
      </c>
      <c r="GS156">
        <v>99.604200000000006</v>
      </c>
    </row>
    <row r="157" spans="1:201" x14ac:dyDescent="0.25">
      <c r="A157">
        <v>141</v>
      </c>
      <c r="B157">
        <v>1690383926</v>
      </c>
      <c r="C157">
        <v>1450.900000095367</v>
      </c>
      <c r="D157" t="s">
        <v>613</v>
      </c>
      <c r="E157" t="s">
        <v>614</v>
      </c>
      <c r="F157" t="s">
        <v>330</v>
      </c>
      <c r="H157">
        <v>1690383926</v>
      </c>
      <c r="I157">
        <f t="shared" si="60"/>
        <v>2.192297503378726E-3</v>
      </c>
      <c r="J157">
        <f t="shared" si="61"/>
        <v>2.1922975033787262</v>
      </c>
      <c r="K157">
        <f t="shared" si="62"/>
        <v>33.879805029917854</v>
      </c>
      <c r="L157">
        <f t="shared" si="63"/>
        <v>420.82799999999997</v>
      </c>
      <c r="M157">
        <f t="shared" si="64"/>
        <v>104.97168205071779</v>
      </c>
      <c r="N157">
        <f t="shared" si="65"/>
        <v>10.36906622282455</v>
      </c>
      <c r="O157">
        <f t="shared" si="66"/>
        <v>41.569243391855998</v>
      </c>
      <c r="P157">
        <f t="shared" si="67"/>
        <v>0.18169405559719295</v>
      </c>
      <c r="Q157">
        <f t="shared" si="68"/>
        <v>2.1022535381873557</v>
      </c>
      <c r="R157">
        <f t="shared" si="69"/>
        <v>0.17339898349789246</v>
      </c>
      <c r="S157">
        <f t="shared" si="70"/>
        <v>0.10908808131097483</v>
      </c>
      <c r="T157">
        <f t="shared" si="71"/>
        <v>276.11432262101891</v>
      </c>
      <c r="U157">
        <f t="shared" si="72"/>
        <v>26.805272913445293</v>
      </c>
      <c r="V157">
        <f t="shared" si="73"/>
        <v>26.805272913445293</v>
      </c>
      <c r="W157">
        <f t="shared" si="74"/>
        <v>3.5384293048625444</v>
      </c>
      <c r="X157">
        <f t="shared" si="75"/>
        <v>71.589023702124422</v>
      </c>
      <c r="Y157">
        <f t="shared" si="76"/>
        <v>2.3266262893123999</v>
      </c>
      <c r="Z157">
        <f t="shared" si="77"/>
        <v>3.2499762798739726</v>
      </c>
      <c r="AA157">
        <f t="shared" si="78"/>
        <v>1.2118030155501445</v>
      </c>
      <c r="AB157">
        <f t="shared" si="79"/>
        <v>-96.680319899001816</v>
      </c>
      <c r="AC157">
        <f t="shared" si="80"/>
        <v>-162.97509427505966</v>
      </c>
      <c r="AD157">
        <f t="shared" si="81"/>
        <v>-16.578276081808969</v>
      </c>
      <c r="AE157">
        <f t="shared" si="82"/>
        <v>-0.11936763485149982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52130.764143576402</v>
      </c>
      <c r="AK157">
        <f t="shared" si="86"/>
        <v>1799.99</v>
      </c>
      <c r="AL157">
        <f t="shared" si="87"/>
        <v>1499.1047083942401</v>
      </c>
      <c r="AM157">
        <f t="shared" si="88"/>
        <v>0.83284057600000005</v>
      </c>
      <c r="AN157">
        <f t="shared" si="89"/>
        <v>0.15339769811000001</v>
      </c>
      <c r="AO157">
        <v>32.700000000000003</v>
      </c>
      <c r="AP157">
        <v>0.5</v>
      </c>
      <c r="AQ157" t="s">
        <v>331</v>
      </c>
      <c r="AR157">
        <v>2</v>
      </c>
      <c r="AS157">
        <v>1690383926</v>
      </c>
      <c r="AT157">
        <v>420.82799999999997</v>
      </c>
      <c r="AU157">
        <v>799.99199999999996</v>
      </c>
      <c r="AV157">
        <v>23.553699999999999</v>
      </c>
      <c r="AW157">
        <v>0.23169200000000001</v>
      </c>
      <c r="AX157">
        <v>420.82299999999998</v>
      </c>
      <c r="AY157">
        <v>23.378499999999999</v>
      </c>
      <c r="AZ157">
        <v>300.14400000000001</v>
      </c>
      <c r="BA157">
        <v>98.679500000000004</v>
      </c>
      <c r="BB157">
        <v>0.100152</v>
      </c>
      <c r="BC157">
        <v>25.3673</v>
      </c>
      <c r="BD157">
        <v>26.992100000000001</v>
      </c>
      <c r="BE157">
        <v>26.732700000000001</v>
      </c>
      <c r="BF157">
        <v>0</v>
      </c>
      <c r="BG157">
        <v>0</v>
      </c>
      <c r="BH157">
        <v>9933.75</v>
      </c>
      <c r="BI157">
        <v>1058.1300000000001</v>
      </c>
      <c r="BJ157">
        <v>2.3337500000000002</v>
      </c>
      <c r="BK157">
        <v>-379.16399999999999</v>
      </c>
      <c r="BL157">
        <v>430.97899999999998</v>
      </c>
      <c r="BM157">
        <v>800.17700000000002</v>
      </c>
      <c r="BN157">
        <v>23.321999999999999</v>
      </c>
      <c r="BO157">
        <v>799.99199999999996</v>
      </c>
      <c r="BP157">
        <v>0.23169200000000001</v>
      </c>
      <c r="BQ157">
        <v>2.3242699999999998</v>
      </c>
      <c r="BR157">
        <v>2.28632E-2</v>
      </c>
      <c r="BS157">
        <v>19.845600000000001</v>
      </c>
      <c r="BT157">
        <v>-38.128599999999999</v>
      </c>
      <c r="BU157">
        <v>1799.99</v>
      </c>
      <c r="BV157">
        <v>0.90999699999999994</v>
      </c>
      <c r="BW157">
        <v>3.3996999999999999E-2</v>
      </c>
      <c r="BX157">
        <v>2.20033E-2</v>
      </c>
      <c r="BY157">
        <v>3.4003100000000001E-2</v>
      </c>
      <c r="BZ157">
        <v>26</v>
      </c>
      <c r="CA157">
        <v>33528.199999999997</v>
      </c>
      <c r="CB157">
        <v>1690381960.0999999</v>
      </c>
      <c r="CC157" t="s">
        <v>332</v>
      </c>
      <c r="CD157">
        <v>1690381960.0999999</v>
      </c>
      <c r="CE157">
        <v>1690381958.0999999</v>
      </c>
      <c r="CF157">
        <v>4</v>
      </c>
      <c r="CG157">
        <v>9.9000000000000005E-2</v>
      </c>
      <c r="CH157">
        <v>1.2E-2</v>
      </c>
      <c r="CI157">
        <v>-0.26300000000000001</v>
      </c>
      <c r="CJ157">
        <v>0.127</v>
      </c>
      <c r="CK157">
        <v>798</v>
      </c>
      <c r="CL157">
        <v>18</v>
      </c>
      <c r="CM157">
        <v>0.02</v>
      </c>
      <c r="CN157">
        <v>0.12</v>
      </c>
      <c r="CO157">
        <v>-377.41578048780491</v>
      </c>
      <c r="CP157">
        <v>-9.2386411149825207</v>
      </c>
      <c r="CQ157">
        <v>0.91184646525861757</v>
      </c>
      <c r="CR157">
        <v>-1</v>
      </c>
      <c r="CS157">
        <v>23.2288</v>
      </c>
      <c r="CT157">
        <v>0.5118104529616766</v>
      </c>
      <c r="CU157">
        <v>5.0503334833140151E-2</v>
      </c>
      <c r="CV157">
        <v>-1</v>
      </c>
      <c r="CW157">
        <v>0</v>
      </c>
      <c r="CX157">
        <v>0</v>
      </c>
      <c r="CY157" t="s">
        <v>333</v>
      </c>
      <c r="CZ157">
        <v>2.3647300000000002</v>
      </c>
      <c r="DA157">
        <v>2.7138800000000001</v>
      </c>
      <c r="DB157">
        <v>9.2645000000000005E-2</v>
      </c>
      <c r="DC157">
        <v>0.14543600000000001</v>
      </c>
      <c r="DD157">
        <v>0.11203399999999999</v>
      </c>
      <c r="DE157">
        <v>1.9347699999999999E-3</v>
      </c>
      <c r="DF157">
        <v>33141.199999999997</v>
      </c>
      <c r="DG157">
        <v>27551.5</v>
      </c>
      <c r="DH157">
        <v>31181</v>
      </c>
      <c r="DI157">
        <v>28093.1</v>
      </c>
      <c r="DJ157">
        <v>37586.400000000001</v>
      </c>
      <c r="DK157">
        <v>39876.400000000001</v>
      </c>
      <c r="DL157">
        <v>44375.3</v>
      </c>
      <c r="DM157">
        <v>42577.7</v>
      </c>
      <c r="DN157">
        <v>1.4764999999999999</v>
      </c>
      <c r="DO157">
        <v>2.0299499999999999</v>
      </c>
      <c r="DP157">
        <v>0.164103</v>
      </c>
      <c r="DQ157">
        <v>0.14980099999999999</v>
      </c>
      <c r="DR157">
        <v>24.302399999999999</v>
      </c>
      <c r="DS157">
        <v>24.276900000000001</v>
      </c>
      <c r="DT157">
        <v>31.6</v>
      </c>
      <c r="DU157">
        <v>29</v>
      </c>
      <c r="DV157">
        <v>12.8789</v>
      </c>
      <c r="DW157">
        <v>61.453000000000003</v>
      </c>
      <c r="DX157">
        <v>37.712299999999999</v>
      </c>
      <c r="DY157">
        <v>1</v>
      </c>
      <c r="DZ157">
        <v>-0.10390199999999999</v>
      </c>
      <c r="EA157">
        <v>0.40079500000000001</v>
      </c>
      <c r="EB157">
        <v>20.188800000000001</v>
      </c>
      <c r="EC157">
        <v>5.2411000000000003</v>
      </c>
      <c r="ED157">
        <v>12.039899999999999</v>
      </c>
      <c r="EE157">
        <v>5.0168999999999997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1.8689100000000001</v>
      </c>
      <c r="EL157">
        <v>1.86463</v>
      </c>
      <c r="EM157">
        <v>1.8692</v>
      </c>
      <c r="EN157">
        <v>1.86724</v>
      </c>
      <c r="EO157">
        <v>1.8633999999999999</v>
      </c>
      <c r="EP157">
        <v>1.8644700000000001</v>
      </c>
      <c r="EQ157">
        <v>1.8701700000000001</v>
      </c>
      <c r="ER157">
        <v>1.86941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5.0000000000000001E-3</v>
      </c>
      <c r="FG157">
        <v>0.17519999999999999</v>
      </c>
      <c r="FH157">
        <v>0.28746640474027818</v>
      </c>
      <c r="FI157">
        <v>-6.1462078757559423E-4</v>
      </c>
      <c r="FJ157">
        <v>-1.8861989874597051E-7</v>
      </c>
      <c r="FK157">
        <v>1.1980462299894961E-10</v>
      </c>
      <c r="FL157">
        <v>0.17524818673008091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32.799999999999997</v>
      </c>
      <c r="FU157">
        <v>32.799999999999997</v>
      </c>
      <c r="FV157">
        <v>1.7663599999999999</v>
      </c>
      <c r="FW157">
        <v>2.5756800000000002</v>
      </c>
      <c r="FX157">
        <v>1.5490699999999999</v>
      </c>
      <c r="FY157">
        <v>2.3327599999999999</v>
      </c>
      <c r="FZ157">
        <v>1.50146</v>
      </c>
      <c r="GA157">
        <v>2.3742700000000001</v>
      </c>
      <c r="GB157">
        <v>33.580399999999997</v>
      </c>
      <c r="GC157">
        <v>23.982399999999998</v>
      </c>
      <c r="GD157">
        <v>19</v>
      </c>
      <c r="GE157">
        <v>282.48099999999999</v>
      </c>
      <c r="GF157">
        <v>576.55499999999995</v>
      </c>
      <c r="GG157">
        <v>23.4619</v>
      </c>
      <c r="GH157">
        <v>26.07</v>
      </c>
      <c r="GI157">
        <v>30.0002</v>
      </c>
      <c r="GJ157">
        <v>26.2319</v>
      </c>
      <c r="GK157">
        <v>26.220500000000001</v>
      </c>
      <c r="GL157">
        <v>35.320399999999999</v>
      </c>
      <c r="GM157">
        <v>100</v>
      </c>
      <c r="GN157">
        <v>26.561699999999998</v>
      </c>
      <c r="GO157">
        <v>23.441099999999999</v>
      </c>
      <c r="GP157">
        <v>800</v>
      </c>
      <c r="GQ157">
        <v>0</v>
      </c>
      <c r="GR157">
        <v>99.768199999999993</v>
      </c>
      <c r="GS157">
        <v>99.605599999999995</v>
      </c>
    </row>
    <row r="158" spans="1:201" x14ac:dyDescent="0.25">
      <c r="A158">
        <v>142</v>
      </c>
      <c r="B158">
        <v>1690383936</v>
      </c>
      <c r="C158">
        <v>1460.900000095367</v>
      </c>
      <c r="D158" t="s">
        <v>615</v>
      </c>
      <c r="E158" t="s">
        <v>616</v>
      </c>
      <c r="F158" t="s">
        <v>330</v>
      </c>
      <c r="H158">
        <v>1690383936</v>
      </c>
      <c r="I158">
        <f t="shared" si="60"/>
        <v>2.1976741485391525E-3</v>
      </c>
      <c r="J158">
        <f t="shared" si="61"/>
        <v>2.1976741485391527</v>
      </c>
      <c r="K158">
        <f t="shared" si="62"/>
        <v>34.01309315187553</v>
      </c>
      <c r="L158">
        <f t="shared" si="63"/>
        <v>419.32</v>
      </c>
      <c r="M158">
        <f t="shared" si="64"/>
        <v>104.87228278973566</v>
      </c>
      <c r="N158">
        <f t="shared" si="65"/>
        <v>10.359154073313887</v>
      </c>
      <c r="O158">
        <f t="shared" si="66"/>
        <v>41.419909727063995</v>
      </c>
      <c r="P158">
        <f t="shared" si="67"/>
        <v>0.18323409253418477</v>
      </c>
      <c r="Q158">
        <f t="shared" si="68"/>
        <v>2.1136097153201909</v>
      </c>
      <c r="R158">
        <f t="shared" si="69"/>
        <v>0.17484439242613653</v>
      </c>
      <c r="S158">
        <f t="shared" si="70"/>
        <v>0.10999951080300552</v>
      </c>
      <c r="T158">
        <f t="shared" si="71"/>
        <v>276.11569798200003</v>
      </c>
      <c r="U158">
        <f t="shared" si="72"/>
        <v>26.799667812680003</v>
      </c>
      <c r="V158">
        <f t="shared" si="73"/>
        <v>26.799667812680003</v>
      </c>
      <c r="W158">
        <f t="shared" si="74"/>
        <v>3.5372629219042473</v>
      </c>
      <c r="X158">
        <f t="shared" si="75"/>
        <v>71.757875096368124</v>
      </c>
      <c r="Y158">
        <f t="shared" si="76"/>
        <v>2.3325715212388198</v>
      </c>
      <c r="Z158">
        <f t="shared" si="77"/>
        <v>3.2506139822371614</v>
      </c>
      <c r="AA158">
        <f t="shared" si="78"/>
        <v>1.2046914006654275</v>
      </c>
      <c r="AB158">
        <f t="shared" si="79"/>
        <v>-96.917429950576619</v>
      </c>
      <c r="AC158">
        <f t="shared" si="80"/>
        <v>-162.84074382559842</v>
      </c>
      <c r="AD158">
        <f t="shared" si="81"/>
        <v>-16.475418234874891</v>
      </c>
      <c r="AE158">
        <f t="shared" si="82"/>
        <v>-0.11789402904989288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52627.018126223615</v>
      </c>
      <c r="AK158">
        <f t="shared" si="86"/>
        <v>1800</v>
      </c>
      <c r="AL158">
        <f t="shared" si="87"/>
        <v>1499.1130332</v>
      </c>
      <c r="AM158">
        <f t="shared" si="88"/>
        <v>0.832840574</v>
      </c>
      <c r="AN158">
        <f t="shared" si="89"/>
        <v>0.15339760999000002</v>
      </c>
      <c r="AO158">
        <v>32.700000000000003</v>
      </c>
      <c r="AP158">
        <v>0.5</v>
      </c>
      <c r="AQ158" t="s">
        <v>331</v>
      </c>
      <c r="AR158">
        <v>2</v>
      </c>
      <c r="AS158">
        <v>1690383936</v>
      </c>
      <c r="AT158">
        <v>419.32</v>
      </c>
      <c r="AU158">
        <v>800.04899999999998</v>
      </c>
      <c r="AV158">
        <v>23.614100000000001</v>
      </c>
      <c r="AW158">
        <v>0.22870499999999999</v>
      </c>
      <c r="AX158">
        <v>419.31400000000002</v>
      </c>
      <c r="AY158">
        <v>23.4389</v>
      </c>
      <c r="AZ158">
        <v>300.04599999999999</v>
      </c>
      <c r="BA158">
        <v>98.678899999999999</v>
      </c>
      <c r="BB158">
        <v>9.9860199999999996E-2</v>
      </c>
      <c r="BC158">
        <v>25.3706</v>
      </c>
      <c r="BD158">
        <v>26.986899999999999</v>
      </c>
      <c r="BE158">
        <v>26.7392</v>
      </c>
      <c r="BF158">
        <v>0</v>
      </c>
      <c r="BG158">
        <v>0</v>
      </c>
      <c r="BH158">
        <v>10032.5</v>
      </c>
      <c r="BI158">
        <v>1058.29</v>
      </c>
      <c r="BJ158">
        <v>2.0744500000000001</v>
      </c>
      <c r="BK158">
        <v>-380.72899999999998</v>
      </c>
      <c r="BL158">
        <v>429.46100000000001</v>
      </c>
      <c r="BM158">
        <v>800.23199999999997</v>
      </c>
      <c r="BN158">
        <v>23.385400000000001</v>
      </c>
      <c r="BO158">
        <v>800.04899999999998</v>
      </c>
      <c r="BP158">
        <v>0.22870499999999999</v>
      </c>
      <c r="BQ158">
        <v>2.3302200000000002</v>
      </c>
      <c r="BR158">
        <v>2.2568299999999999E-2</v>
      </c>
      <c r="BS158">
        <v>19.886800000000001</v>
      </c>
      <c r="BT158">
        <v>-38.255200000000002</v>
      </c>
      <c r="BU158">
        <v>1800</v>
      </c>
      <c r="BV158">
        <v>0.909999</v>
      </c>
      <c r="BW158">
        <v>3.3996199999999997E-2</v>
      </c>
      <c r="BX158">
        <v>2.20027E-2</v>
      </c>
      <c r="BY158">
        <v>3.4002299999999999E-2</v>
      </c>
      <c r="BZ158">
        <v>26</v>
      </c>
      <c r="CA158">
        <v>33528.400000000001</v>
      </c>
      <c r="CB158">
        <v>1690381960.0999999</v>
      </c>
      <c r="CC158" t="s">
        <v>332</v>
      </c>
      <c r="CD158">
        <v>1690381960.0999999</v>
      </c>
      <c r="CE158">
        <v>1690381958.0999999</v>
      </c>
      <c r="CF158">
        <v>4</v>
      </c>
      <c r="CG158">
        <v>9.9000000000000005E-2</v>
      </c>
      <c r="CH158">
        <v>1.2E-2</v>
      </c>
      <c r="CI158">
        <v>-0.26300000000000001</v>
      </c>
      <c r="CJ158">
        <v>0.127</v>
      </c>
      <c r="CK158">
        <v>798</v>
      </c>
      <c r="CL158">
        <v>18</v>
      </c>
      <c r="CM158">
        <v>0.02</v>
      </c>
      <c r="CN158">
        <v>0.12</v>
      </c>
      <c r="CO158">
        <v>-378.95392682926831</v>
      </c>
      <c r="CP158">
        <v>-9.2442857142858159</v>
      </c>
      <c r="CQ158">
        <v>0.91236533627772431</v>
      </c>
      <c r="CR158">
        <v>-1</v>
      </c>
      <c r="CS158">
        <v>23.30995121951219</v>
      </c>
      <c r="CT158">
        <v>0.45340348432053612</v>
      </c>
      <c r="CU158">
        <v>4.4831707648805119E-2</v>
      </c>
      <c r="CV158">
        <v>-1</v>
      </c>
      <c r="CW158">
        <v>0</v>
      </c>
      <c r="CX158">
        <v>0</v>
      </c>
      <c r="CY158" t="s">
        <v>333</v>
      </c>
      <c r="CZ158">
        <v>2.36443</v>
      </c>
      <c r="DA158">
        <v>2.7136800000000001</v>
      </c>
      <c r="DB158">
        <v>9.2393500000000003E-2</v>
      </c>
      <c r="DC158">
        <v>0.14544299999999999</v>
      </c>
      <c r="DD158">
        <v>0.112236</v>
      </c>
      <c r="DE158">
        <v>1.91018E-3</v>
      </c>
      <c r="DF158">
        <v>33150.6</v>
      </c>
      <c r="DG158">
        <v>27551.200000000001</v>
      </c>
      <c r="DH158">
        <v>31181.200000000001</v>
      </c>
      <c r="DI158">
        <v>28093.1</v>
      </c>
      <c r="DJ158">
        <v>37577.800000000003</v>
      </c>
      <c r="DK158">
        <v>39877.4</v>
      </c>
      <c r="DL158">
        <v>44375.5</v>
      </c>
      <c r="DM158">
        <v>42577.7</v>
      </c>
      <c r="DN158">
        <v>1.47618</v>
      </c>
      <c r="DO158">
        <v>2.0302699999999998</v>
      </c>
      <c r="DP158">
        <v>0.163443</v>
      </c>
      <c r="DQ158">
        <v>0.14991699999999999</v>
      </c>
      <c r="DR158">
        <v>24.308</v>
      </c>
      <c r="DS158">
        <v>24.281500000000001</v>
      </c>
      <c r="DT158">
        <v>31.3</v>
      </c>
      <c r="DU158">
        <v>28.9</v>
      </c>
      <c r="DV158">
        <v>12.683199999999999</v>
      </c>
      <c r="DW158">
        <v>60.662999999999997</v>
      </c>
      <c r="DX158">
        <v>37.179499999999997</v>
      </c>
      <c r="DY158">
        <v>1</v>
      </c>
      <c r="DZ158">
        <v>-0.103417</v>
      </c>
      <c r="EA158">
        <v>0.37830599999999998</v>
      </c>
      <c r="EB158">
        <v>20.188800000000001</v>
      </c>
      <c r="EC158">
        <v>5.24125</v>
      </c>
      <c r="ED158">
        <v>12.039899999999999</v>
      </c>
      <c r="EE158">
        <v>5.0170000000000003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</v>
      </c>
      <c r="EL158">
        <v>1.8646199999999999</v>
      </c>
      <c r="EM158">
        <v>1.8692</v>
      </c>
      <c r="EN158">
        <v>1.8672200000000001</v>
      </c>
      <c r="EO158">
        <v>1.8633999999999999</v>
      </c>
      <c r="EP158">
        <v>1.8644700000000001</v>
      </c>
      <c r="EQ158">
        <v>1.8701399999999999</v>
      </c>
      <c r="ER158">
        <v>1.8693900000000001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6.0000000000000001E-3</v>
      </c>
      <c r="FG158">
        <v>0.17519999999999999</v>
      </c>
      <c r="FH158">
        <v>0.28746640474027818</v>
      </c>
      <c r="FI158">
        <v>-6.1462078757559423E-4</v>
      </c>
      <c r="FJ158">
        <v>-1.8861989874597051E-7</v>
      </c>
      <c r="FK158">
        <v>1.1980462299894961E-10</v>
      </c>
      <c r="FL158">
        <v>0.17524818673008091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32.9</v>
      </c>
      <c r="FU158">
        <v>33</v>
      </c>
      <c r="FV158">
        <v>1.7663599999999999</v>
      </c>
      <c r="FW158">
        <v>2.5732400000000002</v>
      </c>
      <c r="FX158">
        <v>1.5490699999999999</v>
      </c>
      <c r="FY158">
        <v>2.3327599999999999</v>
      </c>
      <c r="FZ158">
        <v>1.50146</v>
      </c>
      <c r="GA158">
        <v>2.3999000000000001</v>
      </c>
      <c r="GB158">
        <v>33.580399999999997</v>
      </c>
      <c r="GC158">
        <v>23.982399999999998</v>
      </c>
      <c r="GD158">
        <v>19</v>
      </c>
      <c r="GE158">
        <v>282.33800000000002</v>
      </c>
      <c r="GF158">
        <v>576.79700000000003</v>
      </c>
      <c r="GG158">
        <v>23.449100000000001</v>
      </c>
      <c r="GH158">
        <v>26.07</v>
      </c>
      <c r="GI158">
        <v>30.000299999999999</v>
      </c>
      <c r="GJ158">
        <v>26.230799999999999</v>
      </c>
      <c r="GK158">
        <v>26.218299999999999</v>
      </c>
      <c r="GL158">
        <v>35.316400000000002</v>
      </c>
      <c r="GM158">
        <v>100</v>
      </c>
      <c r="GN158">
        <v>25.7729</v>
      </c>
      <c r="GO158">
        <v>23.452400000000001</v>
      </c>
      <c r="GP158">
        <v>800</v>
      </c>
      <c r="GQ158">
        <v>0</v>
      </c>
      <c r="GR158">
        <v>99.768799999999999</v>
      </c>
      <c r="GS158">
        <v>99.605599999999995</v>
      </c>
    </row>
    <row r="159" spans="1:201" x14ac:dyDescent="0.25">
      <c r="A159">
        <v>143</v>
      </c>
      <c r="B159">
        <v>1690383946</v>
      </c>
      <c r="C159">
        <v>1470.900000095367</v>
      </c>
      <c r="D159" t="s">
        <v>617</v>
      </c>
      <c r="E159" t="s">
        <v>618</v>
      </c>
      <c r="F159" t="s">
        <v>330</v>
      </c>
      <c r="H159">
        <v>1690383946</v>
      </c>
      <c r="I159">
        <f t="shared" si="60"/>
        <v>2.2042387882980205E-3</v>
      </c>
      <c r="J159">
        <f t="shared" si="61"/>
        <v>2.2042387882980203</v>
      </c>
      <c r="K159">
        <f t="shared" si="62"/>
        <v>34.152242050190004</v>
      </c>
      <c r="L159">
        <f t="shared" si="63"/>
        <v>417.959</v>
      </c>
      <c r="M159">
        <f t="shared" si="64"/>
        <v>104.2516312982489</v>
      </c>
      <c r="N159">
        <f t="shared" si="65"/>
        <v>10.297851767444886</v>
      </c>
      <c r="O159">
        <f t="shared" si="66"/>
        <v>41.285491394912995</v>
      </c>
      <c r="P159">
        <f t="shared" si="67"/>
        <v>0.18448048079731821</v>
      </c>
      <c r="Q159">
        <f t="shared" si="68"/>
        <v>2.1054928584505843</v>
      </c>
      <c r="R159">
        <f t="shared" si="69"/>
        <v>0.17594795732816534</v>
      </c>
      <c r="S159">
        <f t="shared" si="70"/>
        <v>0.11070119474238779</v>
      </c>
      <c r="T159">
        <f t="shared" si="71"/>
        <v>276.115767678</v>
      </c>
      <c r="U159">
        <f t="shared" si="72"/>
        <v>26.808747671871163</v>
      </c>
      <c r="V159">
        <f t="shared" si="73"/>
        <v>26.808747671871163</v>
      </c>
      <c r="W159">
        <f t="shared" si="74"/>
        <v>3.5391525467994187</v>
      </c>
      <c r="X159">
        <f t="shared" si="75"/>
        <v>71.912564290214689</v>
      </c>
      <c r="Y159">
        <f t="shared" si="76"/>
        <v>2.3384894769180002</v>
      </c>
      <c r="Z159">
        <f t="shared" si="77"/>
        <v>3.251851049950953</v>
      </c>
      <c r="AA159">
        <f t="shared" si="78"/>
        <v>1.2006630698814185</v>
      </c>
      <c r="AB159">
        <f t="shared" si="79"/>
        <v>-97.206930563942706</v>
      </c>
      <c r="AC159">
        <f t="shared" si="80"/>
        <v>-162.51958386846729</v>
      </c>
      <c r="AD159">
        <f t="shared" si="81"/>
        <v>-16.507595627319706</v>
      </c>
      <c r="AE159">
        <f t="shared" si="82"/>
        <v>-0.11834238172968981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52270.460315406097</v>
      </c>
      <c r="AK159">
        <f t="shared" si="86"/>
        <v>1800</v>
      </c>
      <c r="AL159">
        <f t="shared" si="87"/>
        <v>1499.1133158</v>
      </c>
      <c r="AM159">
        <f t="shared" si="88"/>
        <v>0.832840731</v>
      </c>
      <c r="AN159">
        <f t="shared" si="89"/>
        <v>0.15339764871</v>
      </c>
      <c r="AO159">
        <v>32.700000000000003</v>
      </c>
      <c r="AP159">
        <v>0.5</v>
      </c>
      <c r="AQ159" t="s">
        <v>331</v>
      </c>
      <c r="AR159">
        <v>2</v>
      </c>
      <c r="AS159">
        <v>1690383946</v>
      </c>
      <c r="AT159">
        <v>417.959</v>
      </c>
      <c r="AU159">
        <v>800.10500000000002</v>
      </c>
      <c r="AV159">
        <v>23.673999999999999</v>
      </c>
      <c r="AW159">
        <v>0.226129</v>
      </c>
      <c r="AX159">
        <v>417.952</v>
      </c>
      <c r="AY159">
        <v>23.498699999999999</v>
      </c>
      <c r="AZ159">
        <v>300.12200000000001</v>
      </c>
      <c r="BA159">
        <v>98.678799999999995</v>
      </c>
      <c r="BB159">
        <v>0.100007</v>
      </c>
      <c r="BC159">
        <v>25.376999999999999</v>
      </c>
      <c r="BD159">
        <v>26.988700000000001</v>
      </c>
      <c r="BE159">
        <v>26.744499999999999</v>
      </c>
      <c r="BF159">
        <v>0</v>
      </c>
      <c r="BG159">
        <v>0</v>
      </c>
      <c r="BH159">
        <v>9961.8799999999992</v>
      </c>
      <c r="BI159">
        <v>1058.3399999999999</v>
      </c>
      <c r="BJ159">
        <v>2.0744500000000001</v>
      </c>
      <c r="BK159">
        <v>-382.14600000000002</v>
      </c>
      <c r="BL159">
        <v>428.09399999999999</v>
      </c>
      <c r="BM159">
        <v>800.28599999999994</v>
      </c>
      <c r="BN159">
        <v>23.447800000000001</v>
      </c>
      <c r="BO159">
        <v>800.10500000000002</v>
      </c>
      <c r="BP159">
        <v>0.226129</v>
      </c>
      <c r="BQ159">
        <v>2.3361200000000002</v>
      </c>
      <c r="BR159">
        <v>2.23141E-2</v>
      </c>
      <c r="BS159">
        <v>19.927700000000002</v>
      </c>
      <c r="BT159">
        <v>-38.365499999999997</v>
      </c>
      <c r="BU159">
        <v>1800</v>
      </c>
      <c r="BV159">
        <v>0.909999</v>
      </c>
      <c r="BW159">
        <v>3.39963E-2</v>
      </c>
      <c r="BX159">
        <v>2.2002799999999999E-2</v>
      </c>
      <c r="BY159">
        <v>3.4002299999999999E-2</v>
      </c>
      <c r="BZ159">
        <v>26</v>
      </c>
      <c r="CA159">
        <v>33528.300000000003</v>
      </c>
      <c r="CB159">
        <v>1690381960.0999999</v>
      </c>
      <c r="CC159" t="s">
        <v>332</v>
      </c>
      <c r="CD159">
        <v>1690381960.0999999</v>
      </c>
      <c r="CE159">
        <v>1690381958.0999999</v>
      </c>
      <c r="CF159">
        <v>4</v>
      </c>
      <c r="CG159">
        <v>9.9000000000000005E-2</v>
      </c>
      <c r="CH159">
        <v>1.2E-2</v>
      </c>
      <c r="CI159">
        <v>-0.26300000000000001</v>
      </c>
      <c r="CJ159">
        <v>0.127</v>
      </c>
      <c r="CK159">
        <v>798</v>
      </c>
      <c r="CL159">
        <v>18</v>
      </c>
      <c r="CM159">
        <v>0.02</v>
      </c>
      <c r="CN159">
        <v>0.12</v>
      </c>
      <c r="CO159">
        <v>-380.42835000000002</v>
      </c>
      <c r="CP159">
        <v>-8.7206904315184435</v>
      </c>
      <c r="CQ159">
        <v>0.84053526249646759</v>
      </c>
      <c r="CR159">
        <v>-1</v>
      </c>
      <c r="CS159">
        <v>23.378084999999999</v>
      </c>
      <c r="CT159">
        <v>0.37811482176362721</v>
      </c>
      <c r="CU159">
        <v>3.6382966825150298E-2</v>
      </c>
      <c r="CV159">
        <v>-1</v>
      </c>
      <c r="CW159">
        <v>0</v>
      </c>
      <c r="CX159">
        <v>0</v>
      </c>
      <c r="CY159" t="s">
        <v>333</v>
      </c>
      <c r="CZ159">
        <v>2.3646799999999999</v>
      </c>
      <c r="DA159">
        <v>2.7137600000000002</v>
      </c>
      <c r="DB159">
        <v>9.2166899999999996E-2</v>
      </c>
      <c r="DC159">
        <v>0.14545</v>
      </c>
      <c r="DD159">
        <v>0.112438</v>
      </c>
      <c r="DE159">
        <v>1.88898E-3</v>
      </c>
      <c r="DF159">
        <v>33158.9</v>
      </c>
      <c r="DG159">
        <v>27551.3</v>
      </c>
      <c r="DH159">
        <v>31181.200000000001</v>
      </c>
      <c r="DI159">
        <v>28093.4</v>
      </c>
      <c r="DJ159">
        <v>37569.300000000003</v>
      </c>
      <c r="DK159">
        <v>39878.6</v>
      </c>
      <c r="DL159">
        <v>44375.7</v>
      </c>
      <c r="DM159">
        <v>42578</v>
      </c>
      <c r="DN159">
        <v>1.47665</v>
      </c>
      <c r="DO159">
        <v>2.0304000000000002</v>
      </c>
      <c r="DP159">
        <v>0.163242</v>
      </c>
      <c r="DQ159">
        <v>0.14999100000000001</v>
      </c>
      <c r="DR159">
        <v>24.313199999999998</v>
      </c>
      <c r="DS159">
        <v>24.285599999999999</v>
      </c>
      <c r="DT159">
        <v>30.9</v>
      </c>
      <c r="DU159">
        <v>29</v>
      </c>
      <c r="DV159">
        <v>12.5936</v>
      </c>
      <c r="DW159">
        <v>60.863</v>
      </c>
      <c r="DX159">
        <v>36.742800000000003</v>
      </c>
      <c r="DY159">
        <v>1</v>
      </c>
      <c r="DZ159">
        <v>-0.104047</v>
      </c>
      <c r="EA159">
        <v>0.32089099999999998</v>
      </c>
      <c r="EB159">
        <v>20.1889</v>
      </c>
      <c r="EC159">
        <v>5.2415500000000002</v>
      </c>
      <c r="ED159">
        <v>12.039899999999999</v>
      </c>
      <c r="EE159">
        <v>5.0171000000000001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</v>
      </c>
      <c r="EL159">
        <v>1.8646199999999999</v>
      </c>
      <c r="EM159">
        <v>1.8692</v>
      </c>
      <c r="EN159">
        <v>1.8672200000000001</v>
      </c>
      <c r="EO159">
        <v>1.8633900000000001</v>
      </c>
      <c r="EP159">
        <v>1.8644700000000001</v>
      </c>
      <c r="EQ159">
        <v>1.8701700000000001</v>
      </c>
      <c r="ER159">
        <v>1.86941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7.0000000000000001E-3</v>
      </c>
      <c r="FG159">
        <v>0.17530000000000001</v>
      </c>
      <c r="FH159">
        <v>0.28746640474027818</v>
      </c>
      <c r="FI159">
        <v>-6.1462078757559423E-4</v>
      </c>
      <c r="FJ159">
        <v>-1.8861989874597051E-7</v>
      </c>
      <c r="FK159">
        <v>1.1980462299894961E-10</v>
      </c>
      <c r="FL159">
        <v>0.17524818673008091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33.1</v>
      </c>
      <c r="FU159">
        <v>33.1</v>
      </c>
      <c r="FV159">
        <v>1.7663599999999999</v>
      </c>
      <c r="FW159">
        <v>2.5769000000000002</v>
      </c>
      <c r="FX159">
        <v>1.5490699999999999</v>
      </c>
      <c r="FY159">
        <v>2.3327599999999999</v>
      </c>
      <c r="FZ159">
        <v>1.50146</v>
      </c>
      <c r="GA159">
        <v>2.3803700000000001</v>
      </c>
      <c r="GB159">
        <v>33.580399999999997</v>
      </c>
      <c r="GC159">
        <v>23.982399999999998</v>
      </c>
      <c r="GD159">
        <v>19</v>
      </c>
      <c r="GE159">
        <v>282.52999999999997</v>
      </c>
      <c r="GF159">
        <v>576.875</v>
      </c>
      <c r="GG159">
        <v>23.461200000000002</v>
      </c>
      <c r="GH159">
        <v>26.067799999999998</v>
      </c>
      <c r="GI159">
        <v>30.0001</v>
      </c>
      <c r="GJ159">
        <v>26.2286</v>
      </c>
      <c r="GK159">
        <v>26.216100000000001</v>
      </c>
      <c r="GL159">
        <v>35.315399999999997</v>
      </c>
      <c r="GM159">
        <v>100</v>
      </c>
      <c r="GN159">
        <v>24.9725</v>
      </c>
      <c r="GO159">
        <v>23.486000000000001</v>
      </c>
      <c r="GP159">
        <v>800</v>
      </c>
      <c r="GQ159">
        <v>0</v>
      </c>
      <c r="GR159">
        <v>99.769000000000005</v>
      </c>
      <c r="GS159">
        <v>99.6066</v>
      </c>
    </row>
    <row r="160" spans="1:201" x14ac:dyDescent="0.25">
      <c r="A160">
        <v>144</v>
      </c>
      <c r="B160">
        <v>1690383956</v>
      </c>
      <c r="C160">
        <v>1480.900000095367</v>
      </c>
      <c r="D160" t="s">
        <v>619</v>
      </c>
      <c r="E160" t="s">
        <v>620</v>
      </c>
      <c r="F160" t="s">
        <v>330</v>
      </c>
      <c r="H160">
        <v>1690383956</v>
      </c>
      <c r="I160">
        <f t="shared" si="60"/>
        <v>2.2108808478736937E-3</v>
      </c>
      <c r="J160">
        <f t="shared" si="61"/>
        <v>2.2108808478736939</v>
      </c>
      <c r="K160">
        <f t="shared" si="62"/>
        <v>34.267794793095725</v>
      </c>
      <c r="L160">
        <f t="shared" si="63"/>
        <v>416.53</v>
      </c>
      <c r="M160">
        <f t="shared" si="64"/>
        <v>104.7255703575903</v>
      </c>
      <c r="N160">
        <f t="shared" si="65"/>
        <v>10.344666692866191</v>
      </c>
      <c r="O160">
        <f t="shared" si="66"/>
        <v>41.144335646649999</v>
      </c>
      <c r="P160">
        <f t="shared" si="67"/>
        <v>0.18626128537182207</v>
      </c>
      <c r="Q160">
        <f t="shared" si="68"/>
        <v>2.1161831391671293</v>
      </c>
      <c r="R160">
        <f t="shared" si="69"/>
        <v>0.17760913422845095</v>
      </c>
      <c r="S160">
        <f t="shared" si="70"/>
        <v>0.11174957267839916</v>
      </c>
      <c r="T160">
        <f t="shared" si="71"/>
        <v>276.11553299400003</v>
      </c>
      <c r="U160">
        <f t="shared" si="72"/>
        <v>26.805332083385924</v>
      </c>
      <c r="V160">
        <f t="shared" si="73"/>
        <v>26.805332083385924</v>
      </c>
      <c r="W160">
        <f t="shared" si="74"/>
        <v>3.5384416195113904</v>
      </c>
      <c r="X160">
        <f t="shared" si="75"/>
        <v>72.103439085536365</v>
      </c>
      <c r="Y160">
        <f t="shared" si="76"/>
        <v>2.3454632132029998</v>
      </c>
      <c r="Z160">
        <f t="shared" si="77"/>
        <v>3.2529144836220292</v>
      </c>
      <c r="AA160">
        <f t="shared" si="78"/>
        <v>1.1929784063083906</v>
      </c>
      <c r="AB160">
        <f t="shared" si="79"/>
        <v>-97.499845391229897</v>
      </c>
      <c r="AC160">
        <f t="shared" si="80"/>
        <v>-162.32759064797986</v>
      </c>
      <c r="AD160">
        <f t="shared" si="81"/>
        <v>-16.404972049075248</v>
      </c>
      <c r="AE160">
        <f t="shared" si="82"/>
        <v>-0.11687509428494991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52737.935133791616</v>
      </c>
      <c r="AK160">
        <f t="shared" si="86"/>
        <v>1800</v>
      </c>
      <c r="AL160">
        <f t="shared" si="87"/>
        <v>1499.1126353999998</v>
      </c>
      <c r="AM160">
        <f t="shared" si="88"/>
        <v>0.83284035299999992</v>
      </c>
      <c r="AN160">
        <f t="shared" si="89"/>
        <v>0.15339751833000001</v>
      </c>
      <c r="AO160">
        <v>32.700000000000003</v>
      </c>
      <c r="AP160">
        <v>0.5</v>
      </c>
      <c r="AQ160" t="s">
        <v>331</v>
      </c>
      <c r="AR160">
        <v>2</v>
      </c>
      <c r="AS160">
        <v>1690383956</v>
      </c>
      <c r="AT160">
        <v>416.53</v>
      </c>
      <c r="AU160">
        <v>799.99599999999998</v>
      </c>
      <c r="AV160">
        <v>23.744599999999998</v>
      </c>
      <c r="AW160">
        <v>0.223777</v>
      </c>
      <c r="AX160">
        <v>416.52300000000002</v>
      </c>
      <c r="AY160">
        <v>23.569299999999998</v>
      </c>
      <c r="AZ160">
        <v>300.07100000000003</v>
      </c>
      <c r="BA160">
        <v>98.678799999999995</v>
      </c>
      <c r="BB160">
        <v>0.100005</v>
      </c>
      <c r="BC160">
        <v>25.3825</v>
      </c>
      <c r="BD160">
        <v>27.039000000000001</v>
      </c>
      <c r="BE160">
        <v>26.7562</v>
      </c>
      <c r="BF160">
        <v>0</v>
      </c>
      <c r="BG160">
        <v>0</v>
      </c>
      <c r="BH160">
        <v>10055</v>
      </c>
      <c r="BI160">
        <v>1058.49</v>
      </c>
      <c r="BJ160">
        <v>2.0113699999999999</v>
      </c>
      <c r="BK160">
        <v>-383.46499999999997</v>
      </c>
      <c r="BL160">
        <v>426.661</v>
      </c>
      <c r="BM160">
        <v>800.17499999999995</v>
      </c>
      <c r="BN160">
        <v>23.520800000000001</v>
      </c>
      <c r="BO160">
        <v>799.99599999999998</v>
      </c>
      <c r="BP160">
        <v>0.223777</v>
      </c>
      <c r="BQ160">
        <v>2.3430900000000001</v>
      </c>
      <c r="BR160">
        <v>2.2082000000000001E-2</v>
      </c>
      <c r="BS160">
        <v>19.9757</v>
      </c>
      <c r="BT160">
        <v>-38.467199999999998</v>
      </c>
      <c r="BU160">
        <v>1800</v>
      </c>
      <c r="BV160">
        <v>0.91</v>
      </c>
      <c r="BW160">
        <v>3.3995699999999997E-2</v>
      </c>
      <c r="BX160">
        <v>2.2002399999999998E-2</v>
      </c>
      <c r="BY160">
        <v>3.4001700000000003E-2</v>
      </c>
      <c r="BZ160">
        <v>26</v>
      </c>
      <c r="CA160">
        <v>33528.300000000003</v>
      </c>
      <c r="CB160">
        <v>1690381960.0999999</v>
      </c>
      <c r="CC160" t="s">
        <v>332</v>
      </c>
      <c r="CD160">
        <v>1690381960.0999999</v>
      </c>
      <c r="CE160">
        <v>1690381958.0999999</v>
      </c>
      <c r="CF160">
        <v>4</v>
      </c>
      <c r="CG160">
        <v>9.9000000000000005E-2</v>
      </c>
      <c r="CH160">
        <v>1.2E-2</v>
      </c>
      <c r="CI160">
        <v>-0.26300000000000001</v>
      </c>
      <c r="CJ160">
        <v>0.127</v>
      </c>
      <c r="CK160">
        <v>798</v>
      </c>
      <c r="CL160">
        <v>18</v>
      </c>
      <c r="CM160">
        <v>0.02</v>
      </c>
      <c r="CN160">
        <v>0.12</v>
      </c>
      <c r="CO160">
        <v>-381.90412500000002</v>
      </c>
      <c r="CP160">
        <v>-8.7004165103174937</v>
      </c>
      <c r="CQ160">
        <v>0.83881494346190244</v>
      </c>
      <c r="CR160">
        <v>-1</v>
      </c>
      <c r="CS160">
        <v>23.442252499999999</v>
      </c>
      <c r="CT160">
        <v>0.39634559099434602</v>
      </c>
      <c r="CU160">
        <v>3.8176962867022213E-2</v>
      </c>
      <c r="CV160">
        <v>-1</v>
      </c>
      <c r="CW160">
        <v>0</v>
      </c>
      <c r="CX160">
        <v>0</v>
      </c>
      <c r="CY160" t="s">
        <v>333</v>
      </c>
      <c r="CZ160">
        <v>2.3645100000000001</v>
      </c>
      <c r="DA160">
        <v>2.7138399999999998</v>
      </c>
      <c r="DB160">
        <v>9.1928599999999999E-2</v>
      </c>
      <c r="DC160">
        <v>0.14543700000000001</v>
      </c>
      <c r="DD160">
        <v>0.112675</v>
      </c>
      <c r="DE160">
        <v>1.8696100000000001E-3</v>
      </c>
      <c r="DF160">
        <v>33167.5</v>
      </c>
      <c r="DG160">
        <v>27551.5</v>
      </c>
      <c r="DH160">
        <v>31181.1</v>
      </c>
      <c r="DI160">
        <v>28093.200000000001</v>
      </c>
      <c r="DJ160">
        <v>37559</v>
      </c>
      <c r="DK160">
        <v>39879.300000000003</v>
      </c>
      <c r="DL160">
        <v>44375.5</v>
      </c>
      <c r="DM160">
        <v>42577.9</v>
      </c>
      <c r="DN160">
        <v>1.47607</v>
      </c>
      <c r="DO160">
        <v>2.03023</v>
      </c>
      <c r="DP160">
        <v>0.16596900000000001</v>
      </c>
      <c r="DQ160">
        <v>0.15032999999999999</v>
      </c>
      <c r="DR160">
        <v>24.3188</v>
      </c>
      <c r="DS160">
        <v>24.291699999999999</v>
      </c>
      <c r="DT160">
        <v>30.5</v>
      </c>
      <c r="DU160">
        <v>29</v>
      </c>
      <c r="DV160">
        <v>12.430099999999999</v>
      </c>
      <c r="DW160">
        <v>60.732999999999997</v>
      </c>
      <c r="DX160">
        <v>36.935099999999998</v>
      </c>
      <c r="DY160">
        <v>1</v>
      </c>
      <c r="DZ160">
        <v>-0.10407</v>
      </c>
      <c r="EA160">
        <v>0.35402800000000001</v>
      </c>
      <c r="EB160">
        <v>20.1891</v>
      </c>
      <c r="EC160">
        <v>5.2411000000000003</v>
      </c>
      <c r="ED160">
        <v>12.039899999999999</v>
      </c>
      <c r="EE160">
        <v>5.0164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</v>
      </c>
      <c r="EL160">
        <v>1.86463</v>
      </c>
      <c r="EM160">
        <v>1.8692</v>
      </c>
      <c r="EN160">
        <v>1.8672299999999999</v>
      </c>
      <c r="EO160">
        <v>1.8633999999999999</v>
      </c>
      <c r="EP160">
        <v>1.86446</v>
      </c>
      <c r="EQ160">
        <v>1.87015</v>
      </c>
      <c r="ER160">
        <v>1.86938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7.0000000000000001E-3</v>
      </c>
      <c r="FG160">
        <v>0.17530000000000001</v>
      </c>
      <c r="FH160">
        <v>0.28746640474027818</v>
      </c>
      <c r="FI160">
        <v>-6.1462078757559423E-4</v>
      </c>
      <c r="FJ160">
        <v>-1.8861989874597051E-7</v>
      </c>
      <c r="FK160">
        <v>1.1980462299894961E-10</v>
      </c>
      <c r="FL160">
        <v>0.17524818673008091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33.299999999999997</v>
      </c>
      <c r="FU160">
        <v>33.299999999999997</v>
      </c>
      <c r="FV160">
        <v>1.7663599999999999</v>
      </c>
      <c r="FW160">
        <v>2.5854499999999998</v>
      </c>
      <c r="FX160">
        <v>1.5490699999999999</v>
      </c>
      <c r="FY160">
        <v>2.3327599999999999</v>
      </c>
      <c r="FZ160">
        <v>1.50146</v>
      </c>
      <c r="GA160">
        <v>2.3034699999999999</v>
      </c>
      <c r="GB160">
        <v>33.580399999999997</v>
      </c>
      <c r="GC160">
        <v>23.973700000000001</v>
      </c>
      <c r="GD160">
        <v>19</v>
      </c>
      <c r="GE160">
        <v>282.27699999999999</v>
      </c>
      <c r="GF160">
        <v>576.70699999999999</v>
      </c>
      <c r="GG160">
        <v>23.489899999999999</v>
      </c>
      <c r="GH160">
        <v>26.065799999999999</v>
      </c>
      <c r="GI160">
        <v>30</v>
      </c>
      <c r="GJ160">
        <v>26.226800000000001</v>
      </c>
      <c r="GK160">
        <v>26.213899999999999</v>
      </c>
      <c r="GL160">
        <v>35.316200000000002</v>
      </c>
      <c r="GM160">
        <v>100</v>
      </c>
      <c r="GN160">
        <v>24.5778</v>
      </c>
      <c r="GO160">
        <v>23.4695</v>
      </c>
      <c r="GP160">
        <v>800</v>
      </c>
      <c r="GQ160">
        <v>0</v>
      </c>
      <c r="GR160">
        <v>99.768699999999995</v>
      </c>
      <c r="GS160">
        <v>99.605999999999995</v>
      </c>
    </row>
    <row r="161" spans="1:201" x14ac:dyDescent="0.25">
      <c r="A161">
        <v>145</v>
      </c>
      <c r="B161">
        <v>1690383966</v>
      </c>
      <c r="C161">
        <v>1490.900000095367</v>
      </c>
      <c r="D161" t="s">
        <v>621</v>
      </c>
      <c r="E161" t="s">
        <v>622</v>
      </c>
      <c r="F161" t="s">
        <v>330</v>
      </c>
      <c r="H161">
        <v>1690383966</v>
      </c>
      <c r="I161">
        <f t="shared" si="60"/>
        <v>2.2180976819213723E-3</v>
      </c>
      <c r="J161">
        <f t="shared" si="61"/>
        <v>2.2180976819213725</v>
      </c>
      <c r="K161">
        <f t="shared" si="62"/>
        <v>34.420850517196968</v>
      </c>
      <c r="L161">
        <f t="shared" si="63"/>
        <v>414.97500000000002</v>
      </c>
      <c r="M161">
        <f t="shared" si="64"/>
        <v>104.12460334269238</v>
      </c>
      <c r="N161">
        <f t="shared" si="65"/>
        <v>10.285577945246157</v>
      </c>
      <c r="O161">
        <f t="shared" si="66"/>
        <v>40.991826819075001</v>
      </c>
      <c r="P161">
        <f t="shared" si="67"/>
        <v>0.18772446861332748</v>
      </c>
      <c r="Q161">
        <f t="shared" si="68"/>
        <v>2.1120685545544506</v>
      </c>
      <c r="R161">
        <f t="shared" si="69"/>
        <v>0.17892304149074009</v>
      </c>
      <c r="S161">
        <f t="shared" si="70"/>
        <v>0.11258328027552356</v>
      </c>
      <c r="T161">
        <f t="shared" si="71"/>
        <v>276.11402625266538</v>
      </c>
      <c r="U161">
        <f t="shared" si="72"/>
        <v>26.813488260774935</v>
      </c>
      <c r="V161">
        <f t="shared" si="73"/>
        <v>26.813488260774935</v>
      </c>
      <c r="W161">
        <f t="shared" si="74"/>
        <v>3.540139468914103</v>
      </c>
      <c r="X161">
        <f t="shared" si="75"/>
        <v>72.271455974475359</v>
      </c>
      <c r="Y161">
        <f t="shared" si="76"/>
        <v>2.3520749182633001</v>
      </c>
      <c r="Z161">
        <f t="shared" si="77"/>
        <v>3.2545005307406556</v>
      </c>
      <c r="AA161">
        <f t="shared" si="78"/>
        <v>1.188064550650803</v>
      </c>
      <c r="AB161">
        <f t="shared" si="79"/>
        <v>-97.818107772732517</v>
      </c>
      <c r="AC161">
        <f t="shared" si="80"/>
        <v>-162.00698033169317</v>
      </c>
      <c r="AD161">
        <f t="shared" si="81"/>
        <v>-16.405812445094277</v>
      </c>
      <c r="AE161">
        <f t="shared" si="82"/>
        <v>-0.11687429685457573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52555.923436706937</v>
      </c>
      <c r="AK161">
        <f t="shared" si="86"/>
        <v>1799.99</v>
      </c>
      <c r="AL161">
        <f t="shared" si="87"/>
        <v>1499.1054283902399</v>
      </c>
      <c r="AM161">
        <f t="shared" si="88"/>
        <v>0.83284097599999996</v>
      </c>
      <c r="AN161">
        <f t="shared" si="89"/>
        <v>0.15339753345999999</v>
      </c>
      <c r="AO161">
        <v>32.700000000000003</v>
      </c>
      <c r="AP161">
        <v>0.5</v>
      </c>
      <c r="AQ161" t="s">
        <v>331</v>
      </c>
      <c r="AR161">
        <v>2</v>
      </c>
      <c r="AS161">
        <v>1690383966</v>
      </c>
      <c r="AT161">
        <v>414.97500000000002</v>
      </c>
      <c r="AU161">
        <v>800.00400000000002</v>
      </c>
      <c r="AV161">
        <v>23.8109</v>
      </c>
      <c r="AW161">
        <v>0.22103400000000001</v>
      </c>
      <c r="AX161">
        <v>414.96699999999998</v>
      </c>
      <c r="AY161">
        <v>23.6357</v>
      </c>
      <c r="AZ161">
        <v>300.149</v>
      </c>
      <c r="BA161">
        <v>98.681399999999996</v>
      </c>
      <c r="BB161">
        <v>0.100037</v>
      </c>
      <c r="BC161">
        <v>25.390699999999999</v>
      </c>
      <c r="BD161">
        <v>26.9864</v>
      </c>
      <c r="BE161">
        <v>26.758900000000001</v>
      </c>
      <c r="BF161">
        <v>0</v>
      </c>
      <c r="BG161">
        <v>0</v>
      </c>
      <c r="BH161">
        <v>10018.799999999999</v>
      </c>
      <c r="BI161">
        <v>1058.57</v>
      </c>
      <c r="BJ161">
        <v>1.9553100000000001</v>
      </c>
      <c r="BK161">
        <v>-385.029</v>
      </c>
      <c r="BL161">
        <v>425.09699999999998</v>
      </c>
      <c r="BM161">
        <v>800.18100000000004</v>
      </c>
      <c r="BN161">
        <v>23.5899</v>
      </c>
      <c r="BO161">
        <v>800.00400000000002</v>
      </c>
      <c r="BP161">
        <v>0.22103400000000001</v>
      </c>
      <c r="BQ161">
        <v>2.3496999999999999</v>
      </c>
      <c r="BR161">
        <v>2.1812000000000002E-2</v>
      </c>
      <c r="BS161">
        <v>20.0212</v>
      </c>
      <c r="BT161">
        <v>-38.586799999999997</v>
      </c>
      <c r="BU161">
        <v>1799.99</v>
      </c>
      <c r="BV161">
        <v>0.91000300000000001</v>
      </c>
      <c r="BW161">
        <v>3.3994700000000003E-2</v>
      </c>
      <c r="BX161">
        <v>2.2001799999999998E-2</v>
      </c>
      <c r="BY161">
        <v>3.4000799999999998E-2</v>
      </c>
      <c r="BZ161">
        <v>26</v>
      </c>
      <c r="CA161">
        <v>33528.199999999997</v>
      </c>
      <c r="CB161">
        <v>1690381960.0999999</v>
      </c>
      <c r="CC161" t="s">
        <v>332</v>
      </c>
      <c r="CD161">
        <v>1690381960.0999999</v>
      </c>
      <c r="CE161">
        <v>1690381958.0999999</v>
      </c>
      <c r="CF161">
        <v>4</v>
      </c>
      <c r="CG161">
        <v>9.9000000000000005E-2</v>
      </c>
      <c r="CH161">
        <v>1.2E-2</v>
      </c>
      <c r="CI161">
        <v>-0.26300000000000001</v>
      </c>
      <c r="CJ161">
        <v>0.127</v>
      </c>
      <c r="CK161">
        <v>798</v>
      </c>
      <c r="CL161">
        <v>18</v>
      </c>
      <c r="CM161">
        <v>0.02</v>
      </c>
      <c r="CN161">
        <v>0.12</v>
      </c>
      <c r="CO161">
        <v>-383.40348780487813</v>
      </c>
      <c r="CP161">
        <v>-8.8670801393722076</v>
      </c>
      <c r="CQ161">
        <v>0.87558137123636748</v>
      </c>
      <c r="CR161">
        <v>-1</v>
      </c>
      <c r="CS161">
        <v>23.51251219512195</v>
      </c>
      <c r="CT161">
        <v>0.4286278745644812</v>
      </c>
      <c r="CU161">
        <v>4.2279270104239937E-2</v>
      </c>
      <c r="CV161">
        <v>-1</v>
      </c>
      <c r="CW161">
        <v>0</v>
      </c>
      <c r="CX161">
        <v>0</v>
      </c>
      <c r="CY161" t="s">
        <v>333</v>
      </c>
      <c r="CZ161">
        <v>2.3647499999999999</v>
      </c>
      <c r="DA161">
        <v>2.7138499999999999</v>
      </c>
      <c r="DB161">
        <v>9.1671100000000005E-2</v>
      </c>
      <c r="DC161">
        <v>0.14544299999999999</v>
      </c>
      <c r="DD161">
        <v>0.112901</v>
      </c>
      <c r="DE161">
        <v>1.8470699999999999E-3</v>
      </c>
      <c r="DF161">
        <v>33177.300000000003</v>
      </c>
      <c r="DG161">
        <v>27551.5</v>
      </c>
      <c r="DH161">
        <v>31181.5</v>
      </c>
      <c r="DI161">
        <v>28093.4</v>
      </c>
      <c r="DJ161">
        <v>37549.9</v>
      </c>
      <c r="DK161">
        <v>39880.400000000001</v>
      </c>
      <c r="DL161">
        <v>44376.2</v>
      </c>
      <c r="DM161">
        <v>42578.1</v>
      </c>
      <c r="DN161">
        <v>1.47685</v>
      </c>
      <c r="DO161">
        <v>2.0303499999999999</v>
      </c>
      <c r="DP161">
        <v>0.162352</v>
      </c>
      <c r="DQ161">
        <v>0.15015899999999999</v>
      </c>
      <c r="DR161">
        <v>24.325500000000002</v>
      </c>
      <c r="DS161">
        <v>24.2973</v>
      </c>
      <c r="DT161">
        <v>30.2</v>
      </c>
      <c r="DU161">
        <v>29</v>
      </c>
      <c r="DV161">
        <v>12.308299999999999</v>
      </c>
      <c r="DW161">
        <v>60.512999999999998</v>
      </c>
      <c r="DX161">
        <v>37.439900000000002</v>
      </c>
      <c r="DY161">
        <v>1</v>
      </c>
      <c r="DZ161">
        <v>-0.104258</v>
      </c>
      <c r="EA161">
        <v>0.49459399999999998</v>
      </c>
      <c r="EB161">
        <v>20.188700000000001</v>
      </c>
      <c r="EC161">
        <v>5.2408000000000001</v>
      </c>
      <c r="ED161">
        <v>12.039899999999999</v>
      </c>
      <c r="EE161">
        <v>5.0170000000000003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</v>
      </c>
      <c r="EL161">
        <v>1.8646199999999999</v>
      </c>
      <c r="EM161">
        <v>1.8692</v>
      </c>
      <c r="EN161">
        <v>1.8672200000000001</v>
      </c>
      <c r="EO161">
        <v>1.8633999999999999</v>
      </c>
      <c r="EP161">
        <v>1.8644700000000001</v>
      </c>
      <c r="EQ161">
        <v>1.87015</v>
      </c>
      <c r="ER161">
        <v>1.86941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8.0000000000000002E-3</v>
      </c>
      <c r="FG161">
        <v>0.17519999999999999</v>
      </c>
      <c r="FH161">
        <v>0.28746640474027818</v>
      </c>
      <c r="FI161">
        <v>-6.1462078757559423E-4</v>
      </c>
      <c r="FJ161">
        <v>-1.8861989874597051E-7</v>
      </c>
      <c r="FK161">
        <v>1.1980462299894961E-10</v>
      </c>
      <c r="FL161">
        <v>0.17524818673008091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33.4</v>
      </c>
      <c r="FU161">
        <v>33.5</v>
      </c>
      <c r="FV161">
        <v>1.7663599999999999</v>
      </c>
      <c r="FW161">
        <v>2.5842299999999998</v>
      </c>
      <c r="FX161">
        <v>1.5490699999999999</v>
      </c>
      <c r="FY161">
        <v>2.3327599999999999</v>
      </c>
      <c r="FZ161">
        <v>1.50146</v>
      </c>
      <c r="GA161">
        <v>2.2936999999999999</v>
      </c>
      <c r="GB161">
        <v>33.580399999999997</v>
      </c>
      <c r="GC161">
        <v>23.973700000000001</v>
      </c>
      <c r="GD161">
        <v>19</v>
      </c>
      <c r="GE161">
        <v>282.59699999999998</v>
      </c>
      <c r="GF161">
        <v>576.78399999999999</v>
      </c>
      <c r="GG161">
        <v>23.444800000000001</v>
      </c>
      <c r="GH161">
        <v>26.0656</v>
      </c>
      <c r="GI161">
        <v>29.9999</v>
      </c>
      <c r="GJ161">
        <v>26.224599999999999</v>
      </c>
      <c r="GK161">
        <v>26.2117</v>
      </c>
      <c r="GL161">
        <v>35.312800000000003</v>
      </c>
      <c r="GM161">
        <v>100</v>
      </c>
      <c r="GN161">
        <v>23.798999999999999</v>
      </c>
      <c r="GO161">
        <v>23.434000000000001</v>
      </c>
      <c r="GP161">
        <v>800</v>
      </c>
      <c r="GQ161">
        <v>0</v>
      </c>
      <c r="GR161">
        <v>99.770200000000003</v>
      </c>
      <c r="GS161">
        <v>99.6066</v>
      </c>
    </row>
    <row r="162" spans="1:201" x14ac:dyDescent="0.25">
      <c r="A162">
        <v>146</v>
      </c>
      <c r="B162">
        <v>1690383976</v>
      </c>
      <c r="C162">
        <v>1500.900000095367</v>
      </c>
      <c r="D162" t="s">
        <v>623</v>
      </c>
      <c r="E162" t="s">
        <v>624</v>
      </c>
      <c r="F162" t="s">
        <v>330</v>
      </c>
      <c r="H162">
        <v>1690383976</v>
      </c>
      <c r="I162">
        <f t="shared" si="60"/>
        <v>2.2240125183210693E-3</v>
      </c>
      <c r="J162">
        <f t="shared" si="61"/>
        <v>2.2240125183210693</v>
      </c>
      <c r="K162">
        <f t="shared" si="62"/>
        <v>34.560035170705007</v>
      </c>
      <c r="L162">
        <f t="shared" si="63"/>
        <v>413.51</v>
      </c>
      <c r="M162">
        <f t="shared" si="64"/>
        <v>104.06199316828295</v>
      </c>
      <c r="N162">
        <f t="shared" si="65"/>
        <v>10.27965389754006</v>
      </c>
      <c r="O162">
        <f t="shared" si="66"/>
        <v>40.848147856419999</v>
      </c>
      <c r="P162">
        <f t="shared" si="67"/>
        <v>0.18941254754610207</v>
      </c>
      <c r="Q162">
        <f t="shared" si="68"/>
        <v>2.106704647454694</v>
      </c>
      <c r="R162">
        <f t="shared" si="69"/>
        <v>0.18043453336842263</v>
      </c>
      <c r="S162">
        <f t="shared" si="70"/>
        <v>0.11354275254964444</v>
      </c>
      <c r="T162">
        <f t="shared" si="71"/>
        <v>276.11394694510602</v>
      </c>
      <c r="U162">
        <f t="shared" si="72"/>
        <v>26.808400411232061</v>
      </c>
      <c r="V162">
        <f t="shared" si="73"/>
        <v>26.808400411232061</v>
      </c>
      <c r="W162">
        <f t="shared" si="74"/>
        <v>3.5390802615946915</v>
      </c>
      <c r="X162">
        <f t="shared" si="75"/>
        <v>72.47525963000686</v>
      </c>
      <c r="Y162">
        <f t="shared" si="76"/>
        <v>2.357824519627</v>
      </c>
      <c r="Z162">
        <f t="shared" si="77"/>
        <v>3.2532819222227283</v>
      </c>
      <c r="AA162">
        <f t="shared" si="78"/>
        <v>1.1812557419676915</v>
      </c>
      <c r="AB162">
        <f t="shared" si="79"/>
        <v>-98.078952057959157</v>
      </c>
      <c r="AC162">
        <f t="shared" si="80"/>
        <v>-161.73321190425872</v>
      </c>
      <c r="AD162">
        <f t="shared" si="81"/>
        <v>-16.418851888768174</v>
      </c>
      <c r="AE162">
        <f t="shared" si="82"/>
        <v>-0.11706890588004626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52322.233552086916</v>
      </c>
      <c r="AK162">
        <f t="shared" si="86"/>
        <v>1799.99</v>
      </c>
      <c r="AL162">
        <f t="shared" si="87"/>
        <v>1499.1054265902501</v>
      </c>
      <c r="AM162">
        <f t="shared" si="88"/>
        <v>0.83284097499999998</v>
      </c>
      <c r="AN162">
        <f t="shared" si="89"/>
        <v>0.1533974894</v>
      </c>
      <c r="AO162">
        <v>32.700000000000003</v>
      </c>
      <c r="AP162">
        <v>0.5</v>
      </c>
      <c r="AQ162" t="s">
        <v>331</v>
      </c>
      <c r="AR162">
        <v>2</v>
      </c>
      <c r="AS162">
        <v>1690383976</v>
      </c>
      <c r="AT162">
        <v>413.51</v>
      </c>
      <c r="AU162">
        <v>800.02599999999995</v>
      </c>
      <c r="AV162">
        <v>23.868500000000001</v>
      </c>
      <c r="AW162">
        <v>0.218385</v>
      </c>
      <c r="AX162">
        <v>413.5</v>
      </c>
      <c r="AY162">
        <v>23.693200000000001</v>
      </c>
      <c r="AZ162">
        <v>300.16500000000002</v>
      </c>
      <c r="BA162">
        <v>98.683899999999994</v>
      </c>
      <c r="BB162">
        <v>0.10004200000000001</v>
      </c>
      <c r="BC162">
        <v>25.384399999999999</v>
      </c>
      <c r="BD162">
        <v>26.991399999999999</v>
      </c>
      <c r="BE162">
        <v>26.736599999999999</v>
      </c>
      <c r="BF162">
        <v>0</v>
      </c>
      <c r="BG162">
        <v>0</v>
      </c>
      <c r="BH162">
        <v>9971.8799999999992</v>
      </c>
      <c r="BI162">
        <v>1058.57</v>
      </c>
      <c r="BJ162">
        <v>1.8501799999999999</v>
      </c>
      <c r="BK162">
        <v>-386.51600000000002</v>
      </c>
      <c r="BL162">
        <v>423.62099999999998</v>
      </c>
      <c r="BM162">
        <v>800.20100000000002</v>
      </c>
      <c r="BN162">
        <v>23.650099999999998</v>
      </c>
      <c r="BO162">
        <v>800.02599999999995</v>
      </c>
      <c r="BP162">
        <v>0.218385</v>
      </c>
      <c r="BQ162">
        <v>2.3554400000000002</v>
      </c>
      <c r="BR162">
        <v>2.1551000000000001E-2</v>
      </c>
      <c r="BS162">
        <v>20.060600000000001</v>
      </c>
      <c r="BT162">
        <v>-38.703600000000002</v>
      </c>
      <c r="BU162">
        <v>1799.99</v>
      </c>
      <c r="BV162">
        <v>0.91000400000000004</v>
      </c>
      <c r="BW162">
        <v>3.3994299999999998E-2</v>
      </c>
      <c r="BX162">
        <v>2.20015E-2</v>
      </c>
      <c r="BY162">
        <v>3.40004E-2</v>
      </c>
      <c r="BZ162">
        <v>26</v>
      </c>
      <c r="CA162">
        <v>33528.300000000003</v>
      </c>
      <c r="CB162">
        <v>1690381960.0999999</v>
      </c>
      <c r="CC162" t="s">
        <v>332</v>
      </c>
      <c r="CD162">
        <v>1690381960.0999999</v>
      </c>
      <c r="CE162">
        <v>1690381958.0999999</v>
      </c>
      <c r="CF162">
        <v>4</v>
      </c>
      <c r="CG162">
        <v>9.9000000000000005E-2</v>
      </c>
      <c r="CH162">
        <v>1.2E-2</v>
      </c>
      <c r="CI162">
        <v>-0.26300000000000001</v>
      </c>
      <c r="CJ162">
        <v>0.127</v>
      </c>
      <c r="CK162">
        <v>798</v>
      </c>
      <c r="CL162">
        <v>18</v>
      </c>
      <c r="CM162">
        <v>0.02</v>
      </c>
      <c r="CN162">
        <v>0.12</v>
      </c>
      <c r="CO162">
        <v>-384.86772500000001</v>
      </c>
      <c r="CP162">
        <v>-9.3557110694170653</v>
      </c>
      <c r="CQ162">
        <v>0.90037533805352021</v>
      </c>
      <c r="CR162">
        <v>-1</v>
      </c>
      <c r="CS162">
        <v>23.579622499999999</v>
      </c>
      <c r="CT162">
        <v>0.39331069418384002</v>
      </c>
      <c r="CU162">
        <v>3.7866135843917008E-2</v>
      </c>
      <c r="CV162">
        <v>-1</v>
      </c>
      <c r="CW162">
        <v>0</v>
      </c>
      <c r="CX162">
        <v>0</v>
      </c>
      <c r="CY162" t="s">
        <v>333</v>
      </c>
      <c r="CZ162">
        <v>2.3647999999999998</v>
      </c>
      <c r="DA162">
        <v>2.7138100000000001</v>
      </c>
      <c r="DB162">
        <v>9.1428300000000004E-2</v>
      </c>
      <c r="DC162">
        <v>0.14545</v>
      </c>
      <c r="DD162">
        <v>0.113097</v>
      </c>
      <c r="DE162">
        <v>1.8252800000000001E-3</v>
      </c>
      <c r="DF162">
        <v>33185.599999999999</v>
      </c>
      <c r="DG162">
        <v>27551</v>
      </c>
      <c r="DH162">
        <v>31180.9</v>
      </c>
      <c r="DI162">
        <v>28093.1</v>
      </c>
      <c r="DJ162">
        <v>37540.800000000003</v>
      </c>
      <c r="DK162">
        <v>39880.800000000003</v>
      </c>
      <c r="DL162">
        <v>44375.4</v>
      </c>
      <c r="DM162">
        <v>42577.599999999999</v>
      </c>
      <c r="DN162">
        <v>1.4765299999999999</v>
      </c>
      <c r="DO162">
        <v>2.0301</v>
      </c>
      <c r="DP162">
        <v>0.16228100000000001</v>
      </c>
      <c r="DQ162">
        <v>0.148483</v>
      </c>
      <c r="DR162">
        <v>24.331600000000002</v>
      </c>
      <c r="DS162">
        <v>24.302399999999999</v>
      </c>
      <c r="DT162">
        <v>29.8</v>
      </c>
      <c r="DU162">
        <v>29</v>
      </c>
      <c r="DV162">
        <v>12.1433</v>
      </c>
      <c r="DW162">
        <v>61.012999999999998</v>
      </c>
      <c r="DX162">
        <v>37.748399999999997</v>
      </c>
      <c r="DY162">
        <v>1</v>
      </c>
      <c r="DZ162">
        <v>-0.10466200000000001</v>
      </c>
      <c r="EA162">
        <v>0.35330099999999998</v>
      </c>
      <c r="EB162">
        <v>20.188800000000001</v>
      </c>
      <c r="EC162">
        <v>5.2408000000000001</v>
      </c>
      <c r="ED162">
        <v>12.039899999999999</v>
      </c>
      <c r="EE162">
        <v>5.0168499999999998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</v>
      </c>
      <c r="EL162">
        <v>1.8646199999999999</v>
      </c>
      <c r="EM162">
        <v>1.86921</v>
      </c>
      <c r="EN162">
        <v>1.8672200000000001</v>
      </c>
      <c r="EO162">
        <v>1.8633999999999999</v>
      </c>
      <c r="EP162">
        <v>1.8644700000000001</v>
      </c>
      <c r="EQ162">
        <v>1.8701399999999999</v>
      </c>
      <c r="ER162">
        <v>1.8694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0.01</v>
      </c>
      <c r="FG162">
        <v>0.17530000000000001</v>
      </c>
      <c r="FH162">
        <v>0.28746640474027818</v>
      </c>
      <c r="FI162">
        <v>-6.1462078757559423E-4</v>
      </c>
      <c r="FJ162">
        <v>-1.8861989874597051E-7</v>
      </c>
      <c r="FK162">
        <v>1.1980462299894961E-10</v>
      </c>
      <c r="FL162">
        <v>0.17524818673008091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33.6</v>
      </c>
      <c r="FU162">
        <v>33.6</v>
      </c>
      <c r="FV162">
        <v>1.7663599999999999</v>
      </c>
      <c r="FW162">
        <v>2.5817899999999998</v>
      </c>
      <c r="FX162">
        <v>1.5490699999999999</v>
      </c>
      <c r="FY162">
        <v>2.3315399999999999</v>
      </c>
      <c r="FZ162">
        <v>1.50146</v>
      </c>
      <c r="GA162">
        <v>2.2644000000000002</v>
      </c>
      <c r="GB162">
        <v>33.580399999999997</v>
      </c>
      <c r="GC162">
        <v>23.982399999999998</v>
      </c>
      <c r="GD162">
        <v>19</v>
      </c>
      <c r="GE162">
        <v>282.45</v>
      </c>
      <c r="GF162">
        <v>576.55600000000004</v>
      </c>
      <c r="GG162">
        <v>23.441700000000001</v>
      </c>
      <c r="GH162">
        <v>26.063400000000001</v>
      </c>
      <c r="GI162">
        <v>30.0001</v>
      </c>
      <c r="GJ162">
        <v>26.2224</v>
      </c>
      <c r="GK162">
        <v>26.209499999999998</v>
      </c>
      <c r="GL162">
        <v>35.311900000000001</v>
      </c>
      <c r="GM162">
        <v>100</v>
      </c>
      <c r="GN162">
        <v>23.0335</v>
      </c>
      <c r="GO162">
        <v>23.4572</v>
      </c>
      <c r="GP162">
        <v>800</v>
      </c>
      <c r="GQ162">
        <v>0</v>
      </c>
      <c r="GR162">
        <v>99.768199999999993</v>
      </c>
      <c r="GS162">
        <v>99.605400000000003</v>
      </c>
    </row>
    <row r="163" spans="1:201" x14ac:dyDescent="0.25">
      <c r="A163">
        <v>147</v>
      </c>
      <c r="B163">
        <v>1690383986</v>
      </c>
      <c r="C163">
        <v>1510.900000095367</v>
      </c>
      <c r="D163" t="s">
        <v>625</v>
      </c>
      <c r="E163" t="s">
        <v>626</v>
      </c>
      <c r="F163" t="s">
        <v>330</v>
      </c>
      <c r="H163">
        <v>1690383986</v>
      </c>
      <c r="I163">
        <f t="shared" si="60"/>
        <v>2.2301106074538494E-3</v>
      </c>
      <c r="J163">
        <f t="shared" si="61"/>
        <v>2.2301106074538493</v>
      </c>
      <c r="K163">
        <f t="shared" si="62"/>
        <v>34.68687413830984</v>
      </c>
      <c r="L163">
        <f t="shared" si="63"/>
        <v>412.11900000000003</v>
      </c>
      <c r="M163">
        <f t="shared" si="64"/>
        <v>103.88094035996093</v>
      </c>
      <c r="N163">
        <f t="shared" si="65"/>
        <v>10.26161867946502</v>
      </c>
      <c r="O163">
        <f t="shared" si="66"/>
        <v>40.710143881143004</v>
      </c>
      <c r="P163">
        <f t="shared" si="67"/>
        <v>0.19088253825483409</v>
      </c>
      <c r="Q163">
        <f t="shared" si="68"/>
        <v>2.1119310909286315</v>
      </c>
      <c r="R163">
        <f t="shared" si="69"/>
        <v>0.18178963386754485</v>
      </c>
      <c r="S163">
        <f t="shared" si="70"/>
        <v>0.11439937900501415</v>
      </c>
      <c r="T163">
        <f t="shared" si="71"/>
        <v>276.11523662399998</v>
      </c>
      <c r="U163">
        <f t="shared" si="72"/>
        <v>26.810053379088423</v>
      </c>
      <c r="V163">
        <f t="shared" si="73"/>
        <v>26.810053379088423</v>
      </c>
      <c r="W163">
        <f t="shared" si="74"/>
        <v>3.53942435220553</v>
      </c>
      <c r="X163">
        <f t="shared" si="75"/>
        <v>72.629190904890436</v>
      </c>
      <c r="Y163">
        <f t="shared" si="76"/>
        <v>2.3638157619615003</v>
      </c>
      <c r="Z163">
        <f t="shared" si="77"/>
        <v>3.2546359563016063</v>
      </c>
      <c r="AA163">
        <f t="shared" si="78"/>
        <v>1.1756085902440296</v>
      </c>
      <c r="AB163">
        <f t="shared" si="79"/>
        <v>-98.347877788714754</v>
      </c>
      <c r="AC163">
        <f t="shared" si="80"/>
        <v>-161.52564500186901</v>
      </c>
      <c r="AD163">
        <f t="shared" si="81"/>
        <v>-16.357909273137647</v>
      </c>
      <c r="AE163">
        <f t="shared" si="82"/>
        <v>-0.1161954397214231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52549.794914162732</v>
      </c>
      <c r="AK163">
        <f t="shared" si="86"/>
        <v>1800</v>
      </c>
      <c r="AL163">
        <f t="shared" si="87"/>
        <v>1499.1133554</v>
      </c>
      <c r="AM163">
        <f t="shared" si="88"/>
        <v>0.83284075300000004</v>
      </c>
      <c r="AN163">
        <f t="shared" si="89"/>
        <v>0.15339735367999999</v>
      </c>
      <c r="AO163">
        <v>32.700000000000003</v>
      </c>
      <c r="AP163">
        <v>0.5</v>
      </c>
      <c r="AQ163" t="s">
        <v>331</v>
      </c>
      <c r="AR163">
        <v>2</v>
      </c>
      <c r="AS163">
        <v>1690383986</v>
      </c>
      <c r="AT163">
        <v>412.11900000000003</v>
      </c>
      <c r="AU163">
        <v>800.00400000000002</v>
      </c>
      <c r="AV163">
        <v>23.929500000000001</v>
      </c>
      <c r="AW163">
        <v>0.216415</v>
      </c>
      <c r="AX163">
        <v>412.108</v>
      </c>
      <c r="AY163">
        <v>23.754200000000001</v>
      </c>
      <c r="AZ163">
        <v>300.17</v>
      </c>
      <c r="BA163">
        <v>98.682400000000001</v>
      </c>
      <c r="BB163">
        <v>0.10009700000000001</v>
      </c>
      <c r="BC163">
        <v>25.391400000000001</v>
      </c>
      <c r="BD163">
        <v>27.025200000000002</v>
      </c>
      <c r="BE163">
        <v>26.753</v>
      </c>
      <c r="BF163">
        <v>0</v>
      </c>
      <c r="BG163">
        <v>0</v>
      </c>
      <c r="BH163">
        <v>10017.5</v>
      </c>
      <c r="BI163">
        <v>1058.6099999999999</v>
      </c>
      <c r="BJ163">
        <v>1.8852199999999999</v>
      </c>
      <c r="BK163">
        <v>-387.88499999999999</v>
      </c>
      <c r="BL163">
        <v>422.22300000000001</v>
      </c>
      <c r="BM163">
        <v>800.17700000000002</v>
      </c>
      <c r="BN163">
        <v>23.713000000000001</v>
      </c>
      <c r="BO163">
        <v>800.00400000000002</v>
      </c>
      <c r="BP163">
        <v>0.216415</v>
      </c>
      <c r="BQ163">
        <v>2.3614199999999999</v>
      </c>
      <c r="BR163">
        <v>2.1356400000000001E-2</v>
      </c>
      <c r="BS163">
        <v>20.101600000000001</v>
      </c>
      <c r="BT163">
        <v>-38.791600000000003</v>
      </c>
      <c r="BU163">
        <v>1800</v>
      </c>
      <c r="BV163">
        <v>0.91000599999999998</v>
      </c>
      <c r="BW163">
        <v>3.39934E-2</v>
      </c>
      <c r="BX163">
        <v>2.20009E-2</v>
      </c>
      <c r="BY163">
        <v>3.3999399999999999E-2</v>
      </c>
      <c r="BZ163">
        <v>26</v>
      </c>
      <c r="CA163">
        <v>33528.400000000001</v>
      </c>
      <c r="CB163">
        <v>1690381960.0999999</v>
      </c>
      <c r="CC163" t="s">
        <v>332</v>
      </c>
      <c r="CD163">
        <v>1690381960.0999999</v>
      </c>
      <c r="CE163">
        <v>1690381958.0999999</v>
      </c>
      <c r="CF163">
        <v>4</v>
      </c>
      <c r="CG163">
        <v>9.9000000000000005E-2</v>
      </c>
      <c r="CH163">
        <v>1.2E-2</v>
      </c>
      <c r="CI163">
        <v>-0.26300000000000001</v>
      </c>
      <c r="CJ163">
        <v>0.127</v>
      </c>
      <c r="CK163">
        <v>798</v>
      </c>
      <c r="CL163">
        <v>18</v>
      </c>
      <c r="CM163">
        <v>0.02</v>
      </c>
      <c r="CN163">
        <v>0.12</v>
      </c>
      <c r="CO163">
        <v>-386.34836585365849</v>
      </c>
      <c r="CP163">
        <v>-8.2487665505227188</v>
      </c>
      <c r="CQ163">
        <v>0.81523220561870113</v>
      </c>
      <c r="CR163">
        <v>-1</v>
      </c>
      <c r="CS163">
        <v>23.644319512195121</v>
      </c>
      <c r="CT163">
        <v>0.36115191637635902</v>
      </c>
      <c r="CU163">
        <v>3.5616830904285919E-2</v>
      </c>
      <c r="CV163">
        <v>-1</v>
      </c>
      <c r="CW163">
        <v>0</v>
      </c>
      <c r="CX163">
        <v>0</v>
      </c>
      <c r="CY163" t="s">
        <v>333</v>
      </c>
      <c r="CZ163">
        <v>2.36483</v>
      </c>
      <c r="DA163">
        <v>2.7139000000000002</v>
      </c>
      <c r="DB163">
        <v>9.1193800000000005E-2</v>
      </c>
      <c r="DC163">
        <v>0.14544599999999999</v>
      </c>
      <c r="DD163">
        <v>0.1133</v>
      </c>
      <c r="DE163">
        <v>1.8090199999999999E-3</v>
      </c>
      <c r="DF163">
        <v>33194.5</v>
      </c>
      <c r="DG163">
        <v>27551.200000000001</v>
      </c>
      <c r="DH163">
        <v>31181.3</v>
      </c>
      <c r="DI163">
        <v>28093.200000000001</v>
      </c>
      <c r="DJ163">
        <v>37532.400000000001</v>
      </c>
      <c r="DK163">
        <v>39881.9</v>
      </c>
      <c r="DL163">
        <v>44375.8</v>
      </c>
      <c r="DM163">
        <v>42578.1</v>
      </c>
      <c r="DN163">
        <v>1.47688</v>
      </c>
      <c r="DO163">
        <v>2.0304000000000002</v>
      </c>
      <c r="DP163">
        <v>0.164136</v>
      </c>
      <c r="DQ163">
        <v>0.14918699999999999</v>
      </c>
      <c r="DR163">
        <v>24.335100000000001</v>
      </c>
      <c r="DS163">
        <v>24.307300000000001</v>
      </c>
      <c r="DT163">
        <v>29.5</v>
      </c>
      <c r="DU163">
        <v>29</v>
      </c>
      <c r="DV163">
        <v>12.0245</v>
      </c>
      <c r="DW163">
        <v>60.762999999999998</v>
      </c>
      <c r="DX163">
        <v>37.716299999999997</v>
      </c>
      <c r="DY163">
        <v>1</v>
      </c>
      <c r="DZ163">
        <v>-0.10456600000000001</v>
      </c>
      <c r="EA163">
        <v>0.40359800000000001</v>
      </c>
      <c r="EB163">
        <v>20.1889</v>
      </c>
      <c r="EC163">
        <v>5.2416999999999998</v>
      </c>
      <c r="ED163">
        <v>12.039899999999999</v>
      </c>
      <c r="EE163">
        <v>5.0168499999999998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</v>
      </c>
      <c r="EL163">
        <v>1.8646199999999999</v>
      </c>
      <c r="EM163">
        <v>1.8692</v>
      </c>
      <c r="EN163">
        <v>1.8672299999999999</v>
      </c>
      <c r="EO163">
        <v>1.8633900000000001</v>
      </c>
      <c r="EP163">
        <v>1.8644700000000001</v>
      </c>
      <c r="EQ163">
        <v>1.8701399999999999</v>
      </c>
      <c r="ER163">
        <v>1.8693900000000001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1.0999999999999999E-2</v>
      </c>
      <c r="FG163">
        <v>0.17530000000000001</v>
      </c>
      <c r="FH163">
        <v>0.28746640474027818</v>
      </c>
      <c r="FI163">
        <v>-6.1462078757559423E-4</v>
      </c>
      <c r="FJ163">
        <v>-1.8861989874597051E-7</v>
      </c>
      <c r="FK163">
        <v>1.1980462299894961E-10</v>
      </c>
      <c r="FL163">
        <v>0.17524818673008091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33.799999999999997</v>
      </c>
      <c r="FU163">
        <v>33.799999999999997</v>
      </c>
      <c r="FV163">
        <v>1.7663599999999999</v>
      </c>
      <c r="FW163">
        <v>2.5781200000000002</v>
      </c>
      <c r="FX163">
        <v>1.5490699999999999</v>
      </c>
      <c r="FY163">
        <v>2.3315399999999999</v>
      </c>
      <c r="FZ163">
        <v>1.50146</v>
      </c>
      <c r="GA163">
        <v>2.34375</v>
      </c>
      <c r="GB163">
        <v>33.580399999999997</v>
      </c>
      <c r="GC163">
        <v>23.982399999999998</v>
      </c>
      <c r="GD163">
        <v>19</v>
      </c>
      <c r="GE163">
        <v>282.58800000000002</v>
      </c>
      <c r="GF163">
        <v>576.77700000000004</v>
      </c>
      <c r="GG163">
        <v>23.453600000000002</v>
      </c>
      <c r="GH163">
        <v>26.0625</v>
      </c>
      <c r="GI163">
        <v>30</v>
      </c>
      <c r="GJ163">
        <v>26.220199999999998</v>
      </c>
      <c r="GK163">
        <v>26.2073</v>
      </c>
      <c r="GL163">
        <v>35.308599999999998</v>
      </c>
      <c r="GM163">
        <v>100</v>
      </c>
      <c r="GN163">
        <v>22.272200000000002</v>
      </c>
      <c r="GO163">
        <v>23.439599999999999</v>
      </c>
      <c r="GP163">
        <v>800</v>
      </c>
      <c r="GQ163">
        <v>0</v>
      </c>
      <c r="GR163">
        <v>99.769199999999998</v>
      </c>
      <c r="GS163">
        <v>99.606200000000001</v>
      </c>
    </row>
    <row r="164" spans="1:201" x14ac:dyDescent="0.25">
      <c r="A164">
        <v>148</v>
      </c>
      <c r="B164">
        <v>1690383996</v>
      </c>
      <c r="C164">
        <v>1520.900000095367</v>
      </c>
      <c r="D164" t="s">
        <v>627</v>
      </c>
      <c r="E164" t="s">
        <v>628</v>
      </c>
      <c r="F164" t="s">
        <v>330</v>
      </c>
      <c r="H164">
        <v>1690383996</v>
      </c>
      <c r="I164">
        <f t="shared" si="60"/>
        <v>2.2350972880515983E-3</v>
      </c>
      <c r="J164">
        <f t="shared" si="61"/>
        <v>2.2350972880515982</v>
      </c>
      <c r="K164">
        <f t="shared" si="62"/>
        <v>34.795823441092288</v>
      </c>
      <c r="L164">
        <f t="shared" si="63"/>
        <v>410.98099999999999</v>
      </c>
      <c r="M164">
        <f t="shared" si="64"/>
        <v>103.71796966617387</v>
      </c>
      <c r="N164">
        <f t="shared" si="65"/>
        <v>10.245325348765848</v>
      </c>
      <c r="O164">
        <f t="shared" si="66"/>
        <v>40.596957988219998</v>
      </c>
      <c r="P164">
        <f t="shared" si="67"/>
        <v>0.19214653970519005</v>
      </c>
      <c r="Q164">
        <f t="shared" si="68"/>
        <v>2.1078175999941031</v>
      </c>
      <c r="R164">
        <f t="shared" si="69"/>
        <v>0.18291888683142468</v>
      </c>
      <c r="S164">
        <f t="shared" si="70"/>
        <v>0.11511643473116608</v>
      </c>
      <c r="T164">
        <f t="shared" si="71"/>
        <v>276.115226382</v>
      </c>
      <c r="U164">
        <f t="shared" si="72"/>
        <v>26.812208529404352</v>
      </c>
      <c r="V164">
        <f t="shared" si="73"/>
        <v>26.812208529404352</v>
      </c>
      <c r="W164">
        <f t="shared" si="74"/>
        <v>3.5398730236607783</v>
      </c>
      <c r="X164">
        <f t="shared" si="75"/>
        <v>72.781398556446405</v>
      </c>
      <c r="Y164">
        <f t="shared" si="76"/>
        <v>2.3689667069019995</v>
      </c>
      <c r="Z164">
        <f t="shared" si="77"/>
        <v>3.2549068221940276</v>
      </c>
      <c r="AA164">
        <f t="shared" si="78"/>
        <v>1.1709063167587788</v>
      </c>
      <c r="AB164">
        <f t="shared" si="79"/>
        <v>-98.567790403075492</v>
      </c>
      <c r="AC164">
        <f t="shared" si="80"/>
        <v>-161.2968479358251</v>
      </c>
      <c r="AD164">
        <f t="shared" si="81"/>
        <v>-16.366908503459683</v>
      </c>
      <c r="AE164">
        <f t="shared" si="82"/>
        <v>-0.11632046036027077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52369.361355995316</v>
      </c>
      <c r="AK164">
        <f t="shared" si="86"/>
        <v>1800</v>
      </c>
      <c r="AL164">
        <f t="shared" si="87"/>
        <v>1499.1136451999998</v>
      </c>
      <c r="AM164">
        <f t="shared" si="88"/>
        <v>0.83284091399999993</v>
      </c>
      <c r="AN164">
        <f t="shared" si="89"/>
        <v>0.15339734798999999</v>
      </c>
      <c r="AO164">
        <v>32.700000000000003</v>
      </c>
      <c r="AP164">
        <v>0.5</v>
      </c>
      <c r="AQ164" t="s">
        <v>331</v>
      </c>
      <c r="AR164">
        <v>2</v>
      </c>
      <c r="AS164">
        <v>1690383996</v>
      </c>
      <c r="AT164">
        <v>410.98099999999999</v>
      </c>
      <c r="AU164">
        <v>800.10199999999998</v>
      </c>
      <c r="AV164">
        <v>23.982099999999999</v>
      </c>
      <c r="AW164">
        <v>0.213946</v>
      </c>
      <c r="AX164">
        <v>410.97</v>
      </c>
      <c r="AY164">
        <v>23.806899999999999</v>
      </c>
      <c r="AZ164">
        <v>300.12799999999999</v>
      </c>
      <c r="BA164">
        <v>98.680599999999998</v>
      </c>
      <c r="BB164">
        <v>0.10002</v>
      </c>
      <c r="BC164">
        <v>25.392800000000001</v>
      </c>
      <c r="BD164">
        <v>27.023299999999999</v>
      </c>
      <c r="BE164">
        <v>26.7578</v>
      </c>
      <c r="BF164">
        <v>0</v>
      </c>
      <c r="BG164">
        <v>0</v>
      </c>
      <c r="BH164">
        <v>9981.8799999999992</v>
      </c>
      <c r="BI164">
        <v>1058.68</v>
      </c>
      <c r="BJ164">
        <v>2.08846</v>
      </c>
      <c r="BK164">
        <v>-389.12</v>
      </c>
      <c r="BL164">
        <v>421.08</v>
      </c>
      <c r="BM164">
        <v>800.27300000000002</v>
      </c>
      <c r="BN164">
        <v>23.7682</v>
      </c>
      <c r="BO164">
        <v>800.10199999999998</v>
      </c>
      <c r="BP164">
        <v>0.213946</v>
      </c>
      <c r="BQ164">
        <v>2.3665699999999998</v>
      </c>
      <c r="BR164">
        <v>2.1112300000000001E-2</v>
      </c>
      <c r="BS164">
        <v>20.136800000000001</v>
      </c>
      <c r="BT164">
        <v>-38.902900000000002</v>
      </c>
      <c r="BU164">
        <v>1800</v>
      </c>
      <c r="BV164">
        <v>0.91000700000000001</v>
      </c>
      <c r="BW164">
        <v>3.3993000000000002E-2</v>
      </c>
      <c r="BX164">
        <v>2.2000700000000002E-2</v>
      </c>
      <c r="BY164">
        <v>3.3999099999999997E-2</v>
      </c>
      <c r="BZ164">
        <v>26</v>
      </c>
      <c r="CA164">
        <v>33528.400000000001</v>
      </c>
      <c r="CB164">
        <v>1690381960.0999999</v>
      </c>
      <c r="CC164" t="s">
        <v>332</v>
      </c>
      <c r="CD164">
        <v>1690381960.0999999</v>
      </c>
      <c r="CE164">
        <v>1690381958.0999999</v>
      </c>
      <c r="CF164">
        <v>4</v>
      </c>
      <c r="CG164">
        <v>9.9000000000000005E-2</v>
      </c>
      <c r="CH164">
        <v>1.2E-2</v>
      </c>
      <c r="CI164">
        <v>-0.26300000000000001</v>
      </c>
      <c r="CJ164">
        <v>0.127</v>
      </c>
      <c r="CK164">
        <v>798</v>
      </c>
      <c r="CL164">
        <v>18</v>
      </c>
      <c r="CM164">
        <v>0.02</v>
      </c>
      <c r="CN164">
        <v>0.12</v>
      </c>
      <c r="CO164">
        <v>-387.77257500000002</v>
      </c>
      <c r="CP164">
        <v>-7.7914108817998864</v>
      </c>
      <c r="CQ164">
        <v>0.75090335221984261</v>
      </c>
      <c r="CR164">
        <v>-1</v>
      </c>
      <c r="CS164">
        <v>23.711202499999999</v>
      </c>
      <c r="CT164">
        <v>0.37666829268289609</v>
      </c>
      <c r="CU164">
        <v>3.631184026939429E-2</v>
      </c>
      <c r="CV164">
        <v>-1</v>
      </c>
      <c r="CW164">
        <v>0</v>
      </c>
      <c r="CX164">
        <v>0</v>
      </c>
      <c r="CY164" t="s">
        <v>333</v>
      </c>
      <c r="CZ164">
        <v>2.3647</v>
      </c>
      <c r="DA164">
        <v>2.7137899999999999</v>
      </c>
      <c r="DB164">
        <v>9.1001399999999996E-2</v>
      </c>
      <c r="DC164">
        <v>0.145456</v>
      </c>
      <c r="DD164">
        <v>0.11347500000000001</v>
      </c>
      <c r="DE164">
        <v>1.78863E-3</v>
      </c>
      <c r="DF164">
        <v>33201.699999999997</v>
      </c>
      <c r="DG164">
        <v>27551.4</v>
      </c>
      <c r="DH164">
        <v>31181.4</v>
      </c>
      <c r="DI164">
        <v>28093.599999999999</v>
      </c>
      <c r="DJ164">
        <v>37525</v>
      </c>
      <c r="DK164">
        <v>39883.199999999997</v>
      </c>
      <c r="DL164">
        <v>44375.9</v>
      </c>
      <c r="DM164">
        <v>42578.6</v>
      </c>
      <c r="DN164">
        <v>1.47668</v>
      </c>
      <c r="DO164">
        <v>2.03023</v>
      </c>
      <c r="DP164">
        <v>0.16384599999999999</v>
      </c>
      <c r="DQ164">
        <v>0.14935799999999999</v>
      </c>
      <c r="DR164">
        <v>24.338000000000001</v>
      </c>
      <c r="DS164">
        <v>24.3093</v>
      </c>
      <c r="DT164">
        <v>29.2</v>
      </c>
      <c r="DU164">
        <v>29</v>
      </c>
      <c r="DV164">
        <v>11.901400000000001</v>
      </c>
      <c r="DW164">
        <v>61.292999999999999</v>
      </c>
      <c r="DX164">
        <v>37.748399999999997</v>
      </c>
      <c r="DY164">
        <v>1</v>
      </c>
      <c r="DZ164">
        <v>-0.104606</v>
      </c>
      <c r="EA164">
        <v>0.48754399999999998</v>
      </c>
      <c r="EB164">
        <v>20.188600000000001</v>
      </c>
      <c r="EC164">
        <v>5.2411000000000003</v>
      </c>
      <c r="ED164">
        <v>12.039899999999999</v>
      </c>
      <c r="EE164">
        <v>5.01675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</v>
      </c>
      <c r="EL164">
        <v>1.8646199999999999</v>
      </c>
      <c r="EM164">
        <v>1.8692</v>
      </c>
      <c r="EN164">
        <v>1.8672299999999999</v>
      </c>
      <c r="EO164">
        <v>1.8633999999999999</v>
      </c>
      <c r="EP164">
        <v>1.8644700000000001</v>
      </c>
      <c r="EQ164">
        <v>1.87015</v>
      </c>
      <c r="ER164">
        <v>1.86941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1.0999999999999999E-2</v>
      </c>
      <c r="FG164">
        <v>0.17519999999999999</v>
      </c>
      <c r="FH164">
        <v>0.28746640474027818</v>
      </c>
      <c r="FI164">
        <v>-6.1462078757559423E-4</v>
      </c>
      <c r="FJ164">
        <v>-1.8861989874597051E-7</v>
      </c>
      <c r="FK164">
        <v>1.1980462299894961E-10</v>
      </c>
      <c r="FL164">
        <v>0.17524818673008091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33.9</v>
      </c>
      <c r="FU164">
        <v>34</v>
      </c>
      <c r="FV164">
        <v>1.7651399999999999</v>
      </c>
      <c r="FW164">
        <v>2.5769000000000002</v>
      </c>
      <c r="FX164">
        <v>1.5490699999999999</v>
      </c>
      <c r="FY164">
        <v>2.3327599999999999</v>
      </c>
      <c r="FZ164">
        <v>1.50146</v>
      </c>
      <c r="GA164">
        <v>2.3596200000000001</v>
      </c>
      <c r="GB164">
        <v>33.580399999999997</v>
      </c>
      <c r="GC164">
        <v>23.982399999999998</v>
      </c>
      <c r="GD164">
        <v>19</v>
      </c>
      <c r="GE164">
        <v>282.49400000000003</v>
      </c>
      <c r="GF164">
        <v>576.60900000000004</v>
      </c>
      <c r="GG164">
        <v>23.424399999999999</v>
      </c>
      <c r="GH164">
        <v>26.061199999999999</v>
      </c>
      <c r="GI164">
        <v>30.0001</v>
      </c>
      <c r="GJ164">
        <v>26.2182</v>
      </c>
      <c r="GK164">
        <v>26.205200000000001</v>
      </c>
      <c r="GL164">
        <v>35.305300000000003</v>
      </c>
      <c r="GM164">
        <v>100</v>
      </c>
      <c r="GN164">
        <v>21.526</v>
      </c>
      <c r="GO164">
        <v>23.4068</v>
      </c>
      <c r="GP164">
        <v>800</v>
      </c>
      <c r="GQ164">
        <v>0</v>
      </c>
      <c r="GR164">
        <v>99.769599999999997</v>
      </c>
      <c r="GS164">
        <v>99.607699999999994</v>
      </c>
    </row>
    <row r="165" spans="1:201" x14ac:dyDescent="0.25">
      <c r="A165">
        <v>149</v>
      </c>
      <c r="B165">
        <v>1690384006</v>
      </c>
      <c r="C165">
        <v>1530.900000095367</v>
      </c>
      <c r="D165" t="s">
        <v>629</v>
      </c>
      <c r="E165" t="s">
        <v>630</v>
      </c>
      <c r="F165" t="s">
        <v>330</v>
      </c>
      <c r="H165">
        <v>1690384006</v>
      </c>
      <c r="I165">
        <f t="shared" si="60"/>
        <v>2.2396559536368211E-3</v>
      </c>
      <c r="J165">
        <f t="shared" si="61"/>
        <v>2.239655953636821</v>
      </c>
      <c r="K165">
        <f t="shared" si="62"/>
        <v>34.898167959411019</v>
      </c>
      <c r="L165">
        <f t="shared" si="63"/>
        <v>409.68099999999998</v>
      </c>
      <c r="M165">
        <f t="shared" si="64"/>
        <v>103.90275682906822</v>
      </c>
      <c r="N165">
        <f t="shared" si="65"/>
        <v>10.263487491883545</v>
      </c>
      <c r="O165">
        <f t="shared" si="66"/>
        <v>40.468183400365803</v>
      </c>
      <c r="P165">
        <f t="shared" si="67"/>
        <v>0.19368033977017199</v>
      </c>
      <c r="Q165">
        <f t="shared" si="68"/>
        <v>2.1134025403508687</v>
      </c>
      <c r="R165">
        <f t="shared" si="69"/>
        <v>0.18433212206856564</v>
      </c>
      <c r="S165">
        <f t="shared" si="70"/>
        <v>0.11600986731720458</v>
      </c>
      <c r="T165">
        <f t="shared" si="71"/>
        <v>276.11526385799993</v>
      </c>
      <c r="U165">
        <f t="shared" si="72"/>
        <v>26.803901298514585</v>
      </c>
      <c r="V165">
        <f t="shared" si="73"/>
        <v>26.803901298514585</v>
      </c>
      <c r="W165">
        <f t="shared" si="74"/>
        <v>3.5381438501946447</v>
      </c>
      <c r="X165">
        <f t="shared" si="75"/>
        <v>72.946495948003616</v>
      </c>
      <c r="Y165">
        <f t="shared" si="76"/>
        <v>2.3738747549375998</v>
      </c>
      <c r="Z165">
        <f t="shared" si="77"/>
        <v>3.2542683840903091</v>
      </c>
      <c r="AA165">
        <f t="shared" si="78"/>
        <v>1.1642690952570449</v>
      </c>
      <c r="AB165">
        <f t="shared" si="79"/>
        <v>-98.768827555383808</v>
      </c>
      <c r="AC165">
        <f t="shared" si="80"/>
        <v>-161.15371251907223</v>
      </c>
      <c r="AD165">
        <f t="shared" si="81"/>
        <v>-16.308221165073871</v>
      </c>
      <c r="AE165">
        <f t="shared" si="82"/>
        <v>-0.11549738152996269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52614.613346465936</v>
      </c>
      <c r="AK165">
        <f t="shared" si="86"/>
        <v>1800</v>
      </c>
      <c r="AL165">
        <f t="shared" si="87"/>
        <v>1499.1144767999999</v>
      </c>
      <c r="AM165">
        <f t="shared" si="88"/>
        <v>0.83284137599999997</v>
      </c>
      <c r="AN165">
        <f t="shared" si="89"/>
        <v>0.15339736880999996</v>
      </c>
      <c r="AO165">
        <v>32.700000000000003</v>
      </c>
      <c r="AP165">
        <v>0.5</v>
      </c>
      <c r="AQ165" t="s">
        <v>331</v>
      </c>
      <c r="AR165">
        <v>2</v>
      </c>
      <c r="AS165">
        <v>1690384006</v>
      </c>
      <c r="AT165">
        <v>409.68099999999998</v>
      </c>
      <c r="AU165">
        <v>799.98900000000003</v>
      </c>
      <c r="AV165">
        <v>24.032</v>
      </c>
      <c r="AW165">
        <v>0.211507</v>
      </c>
      <c r="AX165">
        <v>409.66899999999998</v>
      </c>
      <c r="AY165">
        <v>23.8568</v>
      </c>
      <c r="AZ165">
        <v>300.06400000000002</v>
      </c>
      <c r="BA165">
        <v>98.6798</v>
      </c>
      <c r="BB165">
        <v>9.9941799999999997E-2</v>
      </c>
      <c r="BC165">
        <v>25.389500000000002</v>
      </c>
      <c r="BD165">
        <v>26.995899999999999</v>
      </c>
      <c r="BE165">
        <v>26.753799999999998</v>
      </c>
      <c r="BF165">
        <v>0</v>
      </c>
      <c r="BG165">
        <v>0</v>
      </c>
      <c r="BH165">
        <v>10030.6</v>
      </c>
      <c r="BI165">
        <v>1058.71</v>
      </c>
      <c r="BJ165">
        <v>1.9482999999999999</v>
      </c>
      <c r="BK165">
        <v>-390.30799999999999</v>
      </c>
      <c r="BL165">
        <v>419.76900000000001</v>
      </c>
      <c r="BM165">
        <v>800.15800000000002</v>
      </c>
      <c r="BN165">
        <v>23.820499999999999</v>
      </c>
      <c r="BO165">
        <v>799.98900000000003</v>
      </c>
      <c r="BP165">
        <v>0.211507</v>
      </c>
      <c r="BQ165">
        <v>2.37148</v>
      </c>
      <c r="BR165">
        <v>2.0871500000000001E-2</v>
      </c>
      <c r="BS165">
        <v>20.170300000000001</v>
      </c>
      <c r="BT165">
        <v>-39.0139</v>
      </c>
      <c r="BU165">
        <v>1800</v>
      </c>
      <c r="BV165">
        <v>0.91000899999999996</v>
      </c>
      <c r="BW165">
        <v>3.3992399999999999E-2</v>
      </c>
      <c r="BX165">
        <v>2.20003E-2</v>
      </c>
      <c r="BY165">
        <v>3.3998500000000001E-2</v>
      </c>
      <c r="BZ165">
        <v>26</v>
      </c>
      <c r="CA165">
        <v>33528.5</v>
      </c>
      <c r="CB165">
        <v>1690381960.0999999</v>
      </c>
      <c r="CC165" t="s">
        <v>332</v>
      </c>
      <c r="CD165">
        <v>1690381960.0999999</v>
      </c>
      <c r="CE165">
        <v>1690381958.0999999</v>
      </c>
      <c r="CF165">
        <v>4</v>
      </c>
      <c r="CG165">
        <v>9.9000000000000005E-2</v>
      </c>
      <c r="CH165">
        <v>1.2E-2</v>
      </c>
      <c r="CI165">
        <v>-0.26300000000000001</v>
      </c>
      <c r="CJ165">
        <v>0.127</v>
      </c>
      <c r="CK165">
        <v>798</v>
      </c>
      <c r="CL165">
        <v>18</v>
      </c>
      <c r="CM165">
        <v>0.02</v>
      </c>
      <c r="CN165">
        <v>0.12</v>
      </c>
      <c r="CO165">
        <v>-388.96312499999999</v>
      </c>
      <c r="CP165">
        <v>-7.7882589118190912</v>
      </c>
      <c r="CQ165">
        <v>0.75064319711497918</v>
      </c>
      <c r="CR165">
        <v>-1</v>
      </c>
      <c r="CS165">
        <v>23.763940000000002</v>
      </c>
      <c r="CT165">
        <v>0.32473170731701317</v>
      </c>
      <c r="CU165">
        <v>3.1322115190389167E-2</v>
      </c>
      <c r="CV165">
        <v>-1</v>
      </c>
      <c r="CW165">
        <v>0</v>
      </c>
      <c r="CX165">
        <v>0</v>
      </c>
      <c r="CY165" t="s">
        <v>333</v>
      </c>
      <c r="CZ165">
        <v>2.3645</v>
      </c>
      <c r="DA165">
        <v>2.7137600000000002</v>
      </c>
      <c r="DB165">
        <v>9.0782000000000002E-2</v>
      </c>
      <c r="DC165">
        <v>0.14544099999999999</v>
      </c>
      <c r="DD165">
        <v>0.11364100000000001</v>
      </c>
      <c r="DE165">
        <v>1.7685000000000001E-3</v>
      </c>
      <c r="DF165">
        <v>33210</v>
      </c>
      <c r="DG165">
        <v>27552.3</v>
      </c>
      <c r="DH165">
        <v>31181.7</v>
      </c>
      <c r="DI165">
        <v>28094.1</v>
      </c>
      <c r="DJ165">
        <v>37518.1</v>
      </c>
      <c r="DK165">
        <v>39884.5</v>
      </c>
      <c r="DL165">
        <v>44376.2</v>
      </c>
      <c r="DM165">
        <v>42579.1</v>
      </c>
      <c r="DN165">
        <v>1.47655</v>
      </c>
      <c r="DO165">
        <v>2.0300500000000001</v>
      </c>
      <c r="DP165">
        <v>0.161998</v>
      </c>
      <c r="DQ165">
        <v>0.148974</v>
      </c>
      <c r="DR165">
        <v>24.340800000000002</v>
      </c>
      <c r="DS165">
        <v>24.311599999999999</v>
      </c>
      <c r="DT165">
        <v>28.9</v>
      </c>
      <c r="DU165">
        <v>29</v>
      </c>
      <c r="DV165">
        <v>11.777699999999999</v>
      </c>
      <c r="DW165">
        <v>60.893000000000001</v>
      </c>
      <c r="DX165">
        <v>37.463900000000002</v>
      </c>
      <c r="DY165">
        <v>1</v>
      </c>
      <c r="DZ165">
        <v>-0.10480399999999999</v>
      </c>
      <c r="EA165">
        <v>0.43001899999999998</v>
      </c>
      <c r="EB165">
        <v>20.188600000000001</v>
      </c>
      <c r="EC165">
        <v>5.24125</v>
      </c>
      <c r="ED165">
        <v>12.039899999999999</v>
      </c>
      <c r="EE165">
        <v>5.0167999999999999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</v>
      </c>
      <c r="EL165">
        <v>1.8646199999999999</v>
      </c>
      <c r="EM165">
        <v>1.8692</v>
      </c>
      <c r="EN165">
        <v>1.8672200000000001</v>
      </c>
      <c r="EO165">
        <v>1.8633900000000001</v>
      </c>
      <c r="EP165">
        <v>1.86446</v>
      </c>
      <c r="EQ165">
        <v>1.8701300000000001</v>
      </c>
      <c r="ER165">
        <v>1.86941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1.2E-2</v>
      </c>
      <c r="FG165">
        <v>0.17519999999999999</v>
      </c>
      <c r="FH165">
        <v>0.28746640474027818</v>
      </c>
      <c r="FI165">
        <v>-6.1462078757559423E-4</v>
      </c>
      <c r="FJ165">
        <v>-1.8861989874597051E-7</v>
      </c>
      <c r="FK165">
        <v>1.1980462299894961E-10</v>
      </c>
      <c r="FL165">
        <v>0.17524818673008091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34.1</v>
      </c>
      <c r="FU165">
        <v>34.1</v>
      </c>
      <c r="FV165">
        <v>1.7651399999999999</v>
      </c>
      <c r="FW165">
        <v>2.5793499999999998</v>
      </c>
      <c r="FX165">
        <v>1.5490699999999999</v>
      </c>
      <c r="FY165">
        <v>2.3315399999999999</v>
      </c>
      <c r="FZ165">
        <v>1.50146</v>
      </c>
      <c r="GA165">
        <v>2.3571800000000001</v>
      </c>
      <c r="GB165">
        <v>33.580399999999997</v>
      </c>
      <c r="GC165">
        <v>23.982399999999998</v>
      </c>
      <c r="GD165">
        <v>19</v>
      </c>
      <c r="GE165">
        <v>282.43400000000003</v>
      </c>
      <c r="GF165">
        <v>576.44500000000005</v>
      </c>
      <c r="GG165">
        <v>23.3993</v>
      </c>
      <c r="GH165">
        <v>26.059100000000001</v>
      </c>
      <c r="GI165">
        <v>29.9999</v>
      </c>
      <c r="GJ165">
        <v>26.2166</v>
      </c>
      <c r="GK165">
        <v>26.203199999999999</v>
      </c>
      <c r="GL165">
        <v>35.3063</v>
      </c>
      <c r="GM165">
        <v>100</v>
      </c>
      <c r="GN165">
        <v>21.125599999999999</v>
      </c>
      <c r="GO165">
        <v>23.425699999999999</v>
      </c>
      <c r="GP165">
        <v>800</v>
      </c>
      <c r="GQ165">
        <v>0</v>
      </c>
      <c r="GR165">
        <v>99.770300000000006</v>
      </c>
      <c r="GS165">
        <v>99.608999999999995</v>
      </c>
    </row>
    <row r="166" spans="1:201" x14ac:dyDescent="0.25">
      <c r="A166">
        <v>150</v>
      </c>
      <c r="B166">
        <v>1690384016</v>
      </c>
      <c r="C166">
        <v>1540.900000095367</v>
      </c>
      <c r="D166" t="s">
        <v>631</v>
      </c>
      <c r="E166" t="s">
        <v>632</v>
      </c>
      <c r="F166" t="s">
        <v>330</v>
      </c>
      <c r="H166">
        <v>1690384016</v>
      </c>
      <c r="I166">
        <f t="shared" si="60"/>
        <v>2.2455583849342689E-3</v>
      </c>
      <c r="J166">
        <f t="shared" si="61"/>
        <v>2.2455583849342688</v>
      </c>
      <c r="K166">
        <f t="shared" si="62"/>
        <v>35.025566393509465</v>
      </c>
      <c r="L166">
        <f t="shared" si="63"/>
        <v>408.44099999999997</v>
      </c>
      <c r="M166">
        <f t="shared" si="64"/>
        <v>103.26350899976399</v>
      </c>
      <c r="N166">
        <f t="shared" si="65"/>
        <v>10.200653600173455</v>
      </c>
      <c r="O166">
        <f t="shared" si="66"/>
        <v>40.346926009632</v>
      </c>
      <c r="P166">
        <f t="shared" si="67"/>
        <v>0.19482102045520797</v>
      </c>
      <c r="Q166">
        <f t="shared" si="68"/>
        <v>2.108704873832822</v>
      </c>
      <c r="R166">
        <f t="shared" si="69"/>
        <v>0.18534528951823756</v>
      </c>
      <c r="S166">
        <f t="shared" si="70"/>
        <v>0.11665374616006158</v>
      </c>
      <c r="T166">
        <f t="shared" si="71"/>
        <v>276.11507689199999</v>
      </c>
      <c r="U166">
        <f t="shared" si="72"/>
        <v>26.813870314912439</v>
      </c>
      <c r="V166">
        <f t="shared" si="73"/>
        <v>26.813870314912439</v>
      </c>
      <c r="W166">
        <f t="shared" si="74"/>
        <v>3.5402190175262493</v>
      </c>
      <c r="X166">
        <f t="shared" si="75"/>
        <v>73.072359137588236</v>
      </c>
      <c r="Y166">
        <f t="shared" si="76"/>
        <v>2.3792714863967999</v>
      </c>
      <c r="Z166">
        <f t="shared" si="77"/>
        <v>3.2560485448634005</v>
      </c>
      <c r="AA166">
        <f t="shared" si="78"/>
        <v>1.1609475311294495</v>
      </c>
      <c r="AB166">
        <f t="shared" si="79"/>
        <v>-99.029124775601261</v>
      </c>
      <c r="AC166">
        <f t="shared" si="80"/>
        <v>-160.88292564385526</v>
      </c>
      <c r="AD166">
        <f t="shared" si="81"/>
        <v>-16.318656798295589</v>
      </c>
      <c r="AE166">
        <f t="shared" si="82"/>
        <v>-0.11563032575210741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52407.193493811908</v>
      </c>
      <c r="AK166">
        <f t="shared" si="86"/>
        <v>1800</v>
      </c>
      <c r="AL166">
        <f t="shared" si="87"/>
        <v>1499.1143382</v>
      </c>
      <c r="AM166">
        <f t="shared" si="88"/>
        <v>0.83284129900000003</v>
      </c>
      <c r="AN166">
        <f t="shared" si="89"/>
        <v>0.15339726494</v>
      </c>
      <c r="AO166">
        <v>32.700000000000003</v>
      </c>
      <c r="AP166">
        <v>0.5</v>
      </c>
      <c r="AQ166" t="s">
        <v>331</v>
      </c>
      <c r="AR166">
        <v>2</v>
      </c>
      <c r="AS166">
        <v>1690384016</v>
      </c>
      <c r="AT166">
        <v>408.44099999999997</v>
      </c>
      <c r="AU166">
        <v>800.04200000000003</v>
      </c>
      <c r="AV166">
        <v>24.085899999999999</v>
      </c>
      <c r="AW166">
        <v>0.20951900000000001</v>
      </c>
      <c r="AX166">
        <v>408.428</v>
      </c>
      <c r="AY166">
        <v>23.910699999999999</v>
      </c>
      <c r="AZ166">
        <v>300.13400000000001</v>
      </c>
      <c r="BA166">
        <v>98.682699999999997</v>
      </c>
      <c r="BB166">
        <v>0.100052</v>
      </c>
      <c r="BC166">
        <v>25.398700000000002</v>
      </c>
      <c r="BD166">
        <v>27.0138</v>
      </c>
      <c r="BE166">
        <v>26.744499999999999</v>
      </c>
      <c r="BF166">
        <v>0</v>
      </c>
      <c r="BG166">
        <v>0</v>
      </c>
      <c r="BH166">
        <v>9989.3799999999992</v>
      </c>
      <c r="BI166">
        <v>1058.79</v>
      </c>
      <c r="BJ166">
        <v>1.8501799999999999</v>
      </c>
      <c r="BK166">
        <v>-391.601</v>
      </c>
      <c r="BL166">
        <v>418.52100000000002</v>
      </c>
      <c r="BM166">
        <v>800.20899999999995</v>
      </c>
      <c r="BN166">
        <v>23.8764</v>
      </c>
      <c r="BO166">
        <v>800.04200000000003</v>
      </c>
      <c r="BP166">
        <v>0.20951900000000001</v>
      </c>
      <c r="BQ166">
        <v>2.3768600000000002</v>
      </c>
      <c r="BR166">
        <v>2.0675900000000001E-2</v>
      </c>
      <c r="BS166">
        <v>20.207000000000001</v>
      </c>
      <c r="BT166">
        <v>-39.104900000000001</v>
      </c>
      <c r="BU166">
        <v>1800</v>
      </c>
      <c r="BV166">
        <v>0.91001100000000001</v>
      </c>
      <c r="BW166">
        <v>3.3991599999999997E-2</v>
      </c>
      <c r="BX166">
        <v>2.1999700000000001E-2</v>
      </c>
      <c r="BY166">
        <v>3.3997600000000003E-2</v>
      </c>
      <c r="BZ166">
        <v>26</v>
      </c>
      <c r="CA166">
        <v>33528.400000000001</v>
      </c>
      <c r="CB166">
        <v>1690381960.0999999</v>
      </c>
      <c r="CC166" t="s">
        <v>332</v>
      </c>
      <c r="CD166">
        <v>1690381960.0999999</v>
      </c>
      <c r="CE166">
        <v>1690381958.0999999</v>
      </c>
      <c r="CF166">
        <v>4</v>
      </c>
      <c r="CG166">
        <v>9.9000000000000005E-2</v>
      </c>
      <c r="CH166">
        <v>1.2E-2</v>
      </c>
      <c r="CI166">
        <v>-0.26300000000000001</v>
      </c>
      <c r="CJ166">
        <v>0.127</v>
      </c>
      <c r="CK166">
        <v>798</v>
      </c>
      <c r="CL166">
        <v>18</v>
      </c>
      <c r="CM166">
        <v>0.02</v>
      </c>
      <c r="CN166">
        <v>0.12</v>
      </c>
      <c r="CO166">
        <v>-390.29336585365849</v>
      </c>
      <c r="CP166">
        <v>-7.9363902439031779</v>
      </c>
      <c r="CQ166">
        <v>0.78559425250299686</v>
      </c>
      <c r="CR166">
        <v>-1</v>
      </c>
      <c r="CS166">
        <v>23.816912195121951</v>
      </c>
      <c r="CT166">
        <v>0.31348222996516389</v>
      </c>
      <c r="CU166">
        <v>3.0974089841719059E-2</v>
      </c>
      <c r="CV166">
        <v>-1</v>
      </c>
      <c r="CW166">
        <v>0</v>
      </c>
      <c r="CX166">
        <v>0</v>
      </c>
      <c r="CY166" t="s">
        <v>333</v>
      </c>
      <c r="CZ166">
        <v>2.3647300000000002</v>
      </c>
      <c r="DA166">
        <v>2.7138300000000002</v>
      </c>
      <c r="DB166">
        <v>9.0575199999999995E-2</v>
      </c>
      <c r="DC166">
        <v>0.145451</v>
      </c>
      <c r="DD166">
        <v>0.11382299999999999</v>
      </c>
      <c r="DE166">
        <v>1.7521399999999999E-3</v>
      </c>
      <c r="DF166">
        <v>33217.800000000003</v>
      </c>
      <c r="DG166">
        <v>27552.5</v>
      </c>
      <c r="DH166">
        <v>31181.8</v>
      </c>
      <c r="DI166">
        <v>28094.7</v>
      </c>
      <c r="DJ166">
        <v>37510.400000000001</v>
      </c>
      <c r="DK166">
        <v>39885.800000000003</v>
      </c>
      <c r="DL166">
        <v>44376.3</v>
      </c>
      <c r="DM166">
        <v>42579.9</v>
      </c>
      <c r="DN166">
        <v>1.4767699999999999</v>
      </c>
      <c r="DO166">
        <v>2.0299200000000002</v>
      </c>
      <c r="DP166">
        <v>0.16281000000000001</v>
      </c>
      <c r="DQ166">
        <v>0.148095</v>
      </c>
      <c r="DR166">
        <v>24.345400000000001</v>
      </c>
      <c r="DS166">
        <v>24.316700000000001</v>
      </c>
      <c r="DT166">
        <v>28.6</v>
      </c>
      <c r="DU166">
        <v>29</v>
      </c>
      <c r="DV166">
        <v>11.6577</v>
      </c>
      <c r="DW166">
        <v>60.792999999999999</v>
      </c>
      <c r="DX166">
        <v>37.1875</v>
      </c>
      <c r="DY166">
        <v>1</v>
      </c>
      <c r="DZ166">
        <v>-0.104848</v>
      </c>
      <c r="EA166">
        <v>0.43002499999999999</v>
      </c>
      <c r="EB166">
        <v>20.188700000000001</v>
      </c>
      <c r="EC166">
        <v>5.24125</v>
      </c>
      <c r="ED166">
        <v>12.039899999999999</v>
      </c>
      <c r="EE166">
        <v>5.0167000000000002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1.8689100000000001</v>
      </c>
      <c r="EL166">
        <v>1.8646199999999999</v>
      </c>
      <c r="EM166">
        <v>1.8692</v>
      </c>
      <c r="EN166">
        <v>1.86724</v>
      </c>
      <c r="EO166">
        <v>1.8633900000000001</v>
      </c>
      <c r="EP166">
        <v>1.86446</v>
      </c>
      <c r="EQ166">
        <v>1.8701399999999999</v>
      </c>
      <c r="ER166">
        <v>1.8693900000000001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1.2999999999999999E-2</v>
      </c>
      <c r="FG166">
        <v>0.17519999999999999</v>
      </c>
      <c r="FH166">
        <v>0.28746640474027818</v>
      </c>
      <c r="FI166">
        <v>-6.1462078757559423E-4</v>
      </c>
      <c r="FJ166">
        <v>-1.8861989874597051E-7</v>
      </c>
      <c r="FK166">
        <v>1.1980462299894961E-10</v>
      </c>
      <c r="FL166">
        <v>0.17524818673008091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34.299999999999997</v>
      </c>
      <c r="FU166">
        <v>34.299999999999997</v>
      </c>
      <c r="FV166">
        <v>1.7663599999999999</v>
      </c>
      <c r="FW166">
        <v>2.5720200000000002</v>
      </c>
      <c r="FX166">
        <v>1.5490699999999999</v>
      </c>
      <c r="FY166">
        <v>2.3315399999999999</v>
      </c>
      <c r="FZ166">
        <v>1.50146</v>
      </c>
      <c r="GA166">
        <v>2.36328</v>
      </c>
      <c r="GB166">
        <v>33.580399999999997</v>
      </c>
      <c r="GC166">
        <v>23.982399999999998</v>
      </c>
      <c r="GD166">
        <v>19</v>
      </c>
      <c r="GE166">
        <v>282.52300000000002</v>
      </c>
      <c r="GF166">
        <v>576.31899999999996</v>
      </c>
      <c r="GG166">
        <v>23.419699999999999</v>
      </c>
      <c r="GH166">
        <v>26.0581</v>
      </c>
      <c r="GI166">
        <v>30</v>
      </c>
      <c r="GJ166">
        <v>26.2149</v>
      </c>
      <c r="GK166">
        <v>26.2011</v>
      </c>
      <c r="GL166">
        <v>35.303899999999999</v>
      </c>
      <c r="GM166">
        <v>100</v>
      </c>
      <c r="GN166">
        <v>20.327000000000002</v>
      </c>
      <c r="GO166">
        <v>23.400600000000001</v>
      </c>
      <c r="GP166">
        <v>800</v>
      </c>
      <c r="GQ166">
        <v>0</v>
      </c>
      <c r="GR166">
        <v>99.770700000000005</v>
      </c>
      <c r="GS166">
        <v>99.610900000000001</v>
      </c>
    </row>
    <row r="167" spans="1:201" x14ac:dyDescent="0.25">
      <c r="A167">
        <v>151</v>
      </c>
      <c r="B167">
        <v>1690384026</v>
      </c>
      <c r="C167">
        <v>1550.900000095367</v>
      </c>
      <c r="D167" t="s">
        <v>633</v>
      </c>
      <c r="E167" t="s">
        <v>634</v>
      </c>
      <c r="F167" t="s">
        <v>330</v>
      </c>
      <c r="H167">
        <v>1690384026</v>
      </c>
      <c r="I167">
        <f t="shared" si="60"/>
        <v>2.2521574394983672E-3</v>
      </c>
      <c r="J167">
        <f t="shared" si="61"/>
        <v>2.2521574394983674</v>
      </c>
      <c r="K167">
        <f t="shared" si="62"/>
        <v>35.160569384448429</v>
      </c>
      <c r="L167">
        <f t="shared" si="63"/>
        <v>407.03100000000001</v>
      </c>
      <c r="M167">
        <f t="shared" si="64"/>
        <v>103.37176366148719</v>
      </c>
      <c r="N167">
        <f t="shared" si="65"/>
        <v>10.210899176979829</v>
      </c>
      <c r="O167">
        <f t="shared" si="66"/>
        <v>40.205877849926999</v>
      </c>
      <c r="P167">
        <f t="shared" si="67"/>
        <v>0.19662297346589844</v>
      </c>
      <c r="Q167">
        <f t="shared" si="68"/>
        <v>2.1066406269969509</v>
      </c>
      <c r="R167">
        <f t="shared" si="69"/>
        <v>0.18696685307713037</v>
      </c>
      <c r="S167">
        <f t="shared" si="70"/>
        <v>0.11768231885847144</v>
      </c>
      <c r="T167">
        <f t="shared" si="71"/>
        <v>276.11519367600005</v>
      </c>
      <c r="U167">
        <f t="shared" si="72"/>
        <v>26.811904396699109</v>
      </c>
      <c r="V167">
        <f t="shared" si="73"/>
        <v>26.811904396699109</v>
      </c>
      <c r="W167">
        <f t="shared" si="74"/>
        <v>3.5398097045748091</v>
      </c>
      <c r="X167">
        <f t="shared" si="75"/>
        <v>73.271778812736201</v>
      </c>
      <c r="Y167">
        <f t="shared" si="76"/>
        <v>2.3856370603337997</v>
      </c>
      <c r="Z167">
        <f t="shared" si="77"/>
        <v>3.2558743611655365</v>
      </c>
      <c r="AA167">
        <f t="shared" si="78"/>
        <v>1.1541726442410094</v>
      </c>
      <c r="AB167">
        <f t="shared" si="79"/>
        <v>-99.320143081878001</v>
      </c>
      <c r="AC167">
        <f t="shared" si="80"/>
        <v>-160.60437487665791</v>
      </c>
      <c r="AD167">
        <f t="shared" si="81"/>
        <v>-16.306130951259149</v>
      </c>
      <c r="AE167">
        <f t="shared" si="82"/>
        <v>-0.11545523379501788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52316.967973139799</v>
      </c>
      <c r="AK167">
        <f t="shared" si="86"/>
        <v>1800</v>
      </c>
      <c r="AL167">
        <f t="shared" si="87"/>
        <v>1499.1151716000002</v>
      </c>
      <c r="AM167">
        <f t="shared" si="88"/>
        <v>0.83284176200000004</v>
      </c>
      <c r="AN167">
        <f t="shared" si="89"/>
        <v>0.15339732982000001</v>
      </c>
      <c r="AO167">
        <v>32.700000000000003</v>
      </c>
      <c r="AP167">
        <v>0.5</v>
      </c>
      <c r="AQ167" t="s">
        <v>331</v>
      </c>
      <c r="AR167">
        <v>2</v>
      </c>
      <c r="AS167">
        <v>1690384026</v>
      </c>
      <c r="AT167">
        <v>407.03100000000001</v>
      </c>
      <c r="AU167">
        <v>800.07799999999997</v>
      </c>
      <c r="AV167">
        <v>24.151399999999999</v>
      </c>
      <c r="AW167">
        <v>0.20765700000000001</v>
      </c>
      <c r="AX167">
        <v>407.017</v>
      </c>
      <c r="AY167">
        <v>23.976199999999999</v>
      </c>
      <c r="AZ167">
        <v>300.149</v>
      </c>
      <c r="BA167">
        <v>98.678399999999996</v>
      </c>
      <c r="BB167">
        <v>0.10001699999999999</v>
      </c>
      <c r="BC167">
        <v>25.3978</v>
      </c>
      <c r="BD167">
        <v>26.996099999999998</v>
      </c>
      <c r="BE167">
        <v>26.743300000000001</v>
      </c>
      <c r="BF167">
        <v>0</v>
      </c>
      <c r="BG167">
        <v>0</v>
      </c>
      <c r="BH167">
        <v>9971.8799999999992</v>
      </c>
      <c r="BI167">
        <v>1058.8399999999999</v>
      </c>
      <c r="BJ167">
        <v>1.9763299999999999</v>
      </c>
      <c r="BK167">
        <v>-393.04700000000003</v>
      </c>
      <c r="BL167">
        <v>417.10399999999998</v>
      </c>
      <c r="BM167">
        <v>800.24400000000003</v>
      </c>
      <c r="BN167">
        <v>23.9437</v>
      </c>
      <c r="BO167">
        <v>800.07799999999997</v>
      </c>
      <c r="BP167">
        <v>0.20765700000000001</v>
      </c>
      <c r="BQ167">
        <v>2.3832200000000001</v>
      </c>
      <c r="BR167">
        <v>2.04913E-2</v>
      </c>
      <c r="BS167">
        <v>20.2502</v>
      </c>
      <c r="BT167">
        <v>-39.191600000000001</v>
      </c>
      <c r="BU167">
        <v>1800</v>
      </c>
      <c r="BV167">
        <v>0.91001200000000004</v>
      </c>
      <c r="BW167">
        <v>3.3991399999999998E-2</v>
      </c>
      <c r="BX167">
        <v>2.1999600000000001E-2</v>
      </c>
      <c r="BY167">
        <v>3.3997399999999997E-2</v>
      </c>
      <c r="BZ167">
        <v>26</v>
      </c>
      <c r="CA167">
        <v>33528.400000000001</v>
      </c>
      <c r="CB167">
        <v>1690381960.0999999</v>
      </c>
      <c r="CC167" t="s">
        <v>332</v>
      </c>
      <c r="CD167">
        <v>1690381960.0999999</v>
      </c>
      <c r="CE167">
        <v>1690381958.0999999</v>
      </c>
      <c r="CF167">
        <v>4</v>
      </c>
      <c r="CG167">
        <v>9.9000000000000005E-2</v>
      </c>
      <c r="CH167">
        <v>1.2E-2</v>
      </c>
      <c r="CI167">
        <v>-0.26300000000000001</v>
      </c>
      <c r="CJ167">
        <v>0.127</v>
      </c>
      <c r="CK167">
        <v>798</v>
      </c>
      <c r="CL167">
        <v>18</v>
      </c>
      <c r="CM167">
        <v>0.02</v>
      </c>
      <c r="CN167">
        <v>0.12</v>
      </c>
      <c r="CO167">
        <v>-391.56299999999999</v>
      </c>
      <c r="CP167">
        <v>-7.8940557491283769</v>
      </c>
      <c r="CQ167">
        <v>0.78248303963540677</v>
      </c>
      <c r="CR167">
        <v>-1</v>
      </c>
      <c r="CS167">
        <v>23.873436585365852</v>
      </c>
      <c r="CT167">
        <v>0.37560209059234861</v>
      </c>
      <c r="CU167">
        <v>3.7099765012059478E-2</v>
      </c>
      <c r="CV167">
        <v>-1</v>
      </c>
      <c r="CW167">
        <v>0</v>
      </c>
      <c r="CX167">
        <v>0</v>
      </c>
      <c r="CY167" t="s">
        <v>333</v>
      </c>
      <c r="CZ167">
        <v>2.36477</v>
      </c>
      <c r="DA167">
        <v>2.7137799999999999</v>
      </c>
      <c r="DB167">
        <v>9.0334300000000006E-2</v>
      </c>
      <c r="DC167">
        <v>0.145451</v>
      </c>
      <c r="DD167">
        <v>0.114038</v>
      </c>
      <c r="DE167">
        <v>1.73672E-3</v>
      </c>
      <c r="DF167">
        <v>33226.5</v>
      </c>
      <c r="DG167">
        <v>27552</v>
      </c>
      <c r="DH167">
        <v>31181.7</v>
      </c>
      <c r="DI167">
        <v>28094.1</v>
      </c>
      <c r="DJ167">
        <v>37501.4</v>
      </c>
      <c r="DK167">
        <v>39885.9</v>
      </c>
      <c r="DL167">
        <v>44376.6</v>
      </c>
      <c r="DM167">
        <v>42579.199999999997</v>
      </c>
      <c r="DN167">
        <v>1.4769000000000001</v>
      </c>
      <c r="DO167">
        <v>2.0299700000000001</v>
      </c>
      <c r="DP167">
        <v>0.16144700000000001</v>
      </c>
      <c r="DQ167">
        <v>0.147678</v>
      </c>
      <c r="DR167">
        <v>24.35</v>
      </c>
      <c r="DS167">
        <v>24.322399999999998</v>
      </c>
      <c r="DT167">
        <v>28.4</v>
      </c>
      <c r="DU167">
        <v>29</v>
      </c>
      <c r="DV167">
        <v>11.5738</v>
      </c>
      <c r="DW167">
        <v>61.143000000000001</v>
      </c>
      <c r="DX167">
        <v>36.838900000000002</v>
      </c>
      <c r="DY167">
        <v>1</v>
      </c>
      <c r="DZ167">
        <v>-0.105432</v>
      </c>
      <c r="EA167">
        <v>0.50994799999999996</v>
      </c>
      <c r="EB167">
        <v>20.188400000000001</v>
      </c>
      <c r="EC167">
        <v>5.24125</v>
      </c>
      <c r="ED167">
        <v>12.039899999999999</v>
      </c>
      <c r="EE167">
        <v>5.0167999999999999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</v>
      </c>
      <c r="EL167">
        <v>1.8646199999999999</v>
      </c>
      <c r="EM167">
        <v>1.8692</v>
      </c>
      <c r="EN167">
        <v>1.8672200000000001</v>
      </c>
      <c r="EO167">
        <v>1.8633999999999999</v>
      </c>
      <c r="EP167">
        <v>1.86446</v>
      </c>
      <c r="EQ167">
        <v>1.87015</v>
      </c>
      <c r="ER167">
        <v>1.86938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1.4E-2</v>
      </c>
      <c r="FG167">
        <v>0.17519999999999999</v>
      </c>
      <c r="FH167">
        <v>0.28746640474027818</v>
      </c>
      <c r="FI167">
        <v>-6.1462078757559423E-4</v>
      </c>
      <c r="FJ167">
        <v>-1.8861989874597051E-7</v>
      </c>
      <c r="FK167">
        <v>1.1980462299894961E-10</v>
      </c>
      <c r="FL167">
        <v>0.17524818673008091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34.4</v>
      </c>
      <c r="FU167">
        <v>34.5</v>
      </c>
      <c r="FV167">
        <v>1.7651399999999999</v>
      </c>
      <c r="FW167">
        <v>2.5756800000000002</v>
      </c>
      <c r="FX167">
        <v>1.5490699999999999</v>
      </c>
      <c r="FY167">
        <v>2.3315399999999999</v>
      </c>
      <c r="FZ167">
        <v>1.50146</v>
      </c>
      <c r="GA167">
        <v>2.4084500000000002</v>
      </c>
      <c r="GB167">
        <v>33.580399999999997</v>
      </c>
      <c r="GC167">
        <v>23.982399999999998</v>
      </c>
      <c r="GD167">
        <v>19</v>
      </c>
      <c r="GE167">
        <v>282.57</v>
      </c>
      <c r="GF167">
        <v>576.34100000000001</v>
      </c>
      <c r="GG167">
        <v>23.3919</v>
      </c>
      <c r="GH167">
        <v>26.056899999999999</v>
      </c>
      <c r="GI167">
        <v>29.9999</v>
      </c>
      <c r="GJ167">
        <v>26.213699999999999</v>
      </c>
      <c r="GK167">
        <v>26.199400000000001</v>
      </c>
      <c r="GL167">
        <v>35.300699999999999</v>
      </c>
      <c r="GM167">
        <v>100</v>
      </c>
      <c r="GN167">
        <v>19.546399999999998</v>
      </c>
      <c r="GO167">
        <v>23.368600000000001</v>
      </c>
      <c r="GP167">
        <v>800</v>
      </c>
      <c r="GQ167">
        <v>0</v>
      </c>
      <c r="GR167">
        <v>99.771000000000001</v>
      </c>
      <c r="GS167">
        <v>99.609200000000001</v>
      </c>
    </row>
    <row r="168" spans="1:201" x14ac:dyDescent="0.25">
      <c r="A168">
        <v>152</v>
      </c>
      <c r="B168">
        <v>1690384036</v>
      </c>
      <c r="C168">
        <v>1560.900000095367</v>
      </c>
      <c r="D168" t="s">
        <v>635</v>
      </c>
      <c r="E168" t="s">
        <v>636</v>
      </c>
      <c r="F168" t="s">
        <v>330</v>
      </c>
      <c r="H168">
        <v>1690384036</v>
      </c>
      <c r="I168">
        <f t="shared" si="60"/>
        <v>2.2560588205572376E-3</v>
      </c>
      <c r="J168">
        <f t="shared" si="61"/>
        <v>2.2560588205572376</v>
      </c>
      <c r="K168">
        <f t="shared" si="62"/>
        <v>35.269837414028615</v>
      </c>
      <c r="L168">
        <f t="shared" si="63"/>
        <v>405.82</v>
      </c>
      <c r="M168">
        <f t="shared" si="64"/>
        <v>102.92093285851985</v>
      </c>
      <c r="N168">
        <f t="shared" si="65"/>
        <v>10.166794017843889</v>
      </c>
      <c r="O168">
        <f t="shared" si="66"/>
        <v>40.087941624013993</v>
      </c>
      <c r="P168">
        <f t="shared" si="67"/>
        <v>0.19773597815586655</v>
      </c>
      <c r="Q168">
        <f t="shared" si="68"/>
        <v>2.1130799410431091</v>
      </c>
      <c r="R168">
        <f t="shared" si="69"/>
        <v>0.18800132248830559</v>
      </c>
      <c r="S168">
        <f t="shared" si="70"/>
        <v>0.1183354986424025</v>
      </c>
      <c r="T168">
        <f t="shared" si="71"/>
        <v>276.11519232599994</v>
      </c>
      <c r="U168">
        <f t="shared" si="72"/>
        <v>26.811010608876501</v>
      </c>
      <c r="V168">
        <f t="shared" si="73"/>
        <v>26.811010608876501</v>
      </c>
      <c r="W168">
        <f t="shared" si="74"/>
        <v>3.5396236276204998</v>
      </c>
      <c r="X168">
        <f t="shared" si="75"/>
        <v>73.380056793196815</v>
      </c>
      <c r="Y168">
        <f t="shared" si="76"/>
        <v>2.3897873908254796</v>
      </c>
      <c r="Z168">
        <f t="shared" si="77"/>
        <v>3.256726003306992</v>
      </c>
      <c r="AA168">
        <f t="shared" si="78"/>
        <v>1.1498362367950201</v>
      </c>
      <c r="AB168">
        <f t="shared" si="79"/>
        <v>-99.492193986574179</v>
      </c>
      <c r="AC168">
        <f t="shared" si="80"/>
        <v>-160.49221988009131</v>
      </c>
      <c r="AD168">
        <f t="shared" si="81"/>
        <v>-16.245372903316433</v>
      </c>
      <c r="AE168">
        <f t="shared" si="82"/>
        <v>-0.11459444398198571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52598.282247714953</v>
      </c>
      <c r="AK168">
        <f t="shared" si="86"/>
        <v>1800</v>
      </c>
      <c r="AL168">
        <f t="shared" si="87"/>
        <v>1499.1141995999999</v>
      </c>
      <c r="AM168">
        <f t="shared" si="88"/>
        <v>0.83284122199999999</v>
      </c>
      <c r="AN168">
        <f t="shared" si="89"/>
        <v>0.15339732906999998</v>
      </c>
      <c r="AO168">
        <v>32.700000000000003</v>
      </c>
      <c r="AP168">
        <v>0.5</v>
      </c>
      <c r="AQ168" t="s">
        <v>331</v>
      </c>
      <c r="AR168">
        <v>2</v>
      </c>
      <c r="AS168">
        <v>1690384036</v>
      </c>
      <c r="AT168">
        <v>405.82</v>
      </c>
      <c r="AU168">
        <v>800.08699999999999</v>
      </c>
      <c r="AV168">
        <v>24.192399999999999</v>
      </c>
      <c r="AW168">
        <v>0.20563000000000001</v>
      </c>
      <c r="AX168">
        <v>405.80500000000001</v>
      </c>
      <c r="AY168">
        <v>24.017099999999999</v>
      </c>
      <c r="AZ168">
        <v>300.11700000000002</v>
      </c>
      <c r="BA168">
        <v>98.682599999999994</v>
      </c>
      <c r="BB168">
        <v>9.9967700000000007E-2</v>
      </c>
      <c r="BC168">
        <v>25.402200000000001</v>
      </c>
      <c r="BD168">
        <v>26.986499999999999</v>
      </c>
      <c r="BE168">
        <v>26.753599999999999</v>
      </c>
      <c r="BF168">
        <v>0</v>
      </c>
      <c r="BG168">
        <v>0</v>
      </c>
      <c r="BH168">
        <v>10027.5</v>
      </c>
      <c r="BI168">
        <v>1058.78</v>
      </c>
      <c r="BJ168">
        <v>2.17957</v>
      </c>
      <c r="BK168">
        <v>-394.267</v>
      </c>
      <c r="BL168">
        <v>415.88099999999997</v>
      </c>
      <c r="BM168">
        <v>800.25099999999998</v>
      </c>
      <c r="BN168">
        <v>23.986799999999999</v>
      </c>
      <c r="BO168">
        <v>800.08699999999999</v>
      </c>
      <c r="BP168">
        <v>0.20563000000000001</v>
      </c>
      <c r="BQ168">
        <v>2.3873700000000002</v>
      </c>
      <c r="BR168">
        <v>2.02921E-2</v>
      </c>
      <c r="BS168">
        <v>20.278400000000001</v>
      </c>
      <c r="BT168">
        <v>-39.285800000000002</v>
      </c>
      <c r="BU168">
        <v>1800</v>
      </c>
      <c r="BV168">
        <v>0.91000899999999996</v>
      </c>
      <c r="BW168">
        <v>3.3995600000000001E-2</v>
      </c>
      <c r="BX168">
        <v>2.1999100000000001E-2</v>
      </c>
      <c r="BY168">
        <v>3.3996699999999998E-2</v>
      </c>
      <c r="BZ168">
        <v>26</v>
      </c>
      <c r="CA168">
        <v>33528.5</v>
      </c>
      <c r="CB168">
        <v>1690381960.0999999</v>
      </c>
      <c r="CC168" t="s">
        <v>332</v>
      </c>
      <c r="CD168">
        <v>1690381960.0999999</v>
      </c>
      <c r="CE168">
        <v>1690381958.0999999</v>
      </c>
      <c r="CF168">
        <v>4</v>
      </c>
      <c r="CG168">
        <v>9.9000000000000005E-2</v>
      </c>
      <c r="CH168">
        <v>1.2E-2</v>
      </c>
      <c r="CI168">
        <v>-0.26300000000000001</v>
      </c>
      <c r="CJ168">
        <v>0.127</v>
      </c>
      <c r="CK168">
        <v>798</v>
      </c>
      <c r="CL168">
        <v>18</v>
      </c>
      <c r="CM168">
        <v>0.02</v>
      </c>
      <c r="CN168">
        <v>0.12</v>
      </c>
      <c r="CO168">
        <v>-392.78100000000012</v>
      </c>
      <c r="CP168">
        <v>-7.5036247654773156</v>
      </c>
      <c r="CQ168">
        <v>0.72457439231593179</v>
      </c>
      <c r="CR168">
        <v>-1</v>
      </c>
      <c r="CS168">
        <v>23.9303025</v>
      </c>
      <c r="CT168">
        <v>0.32914108817999982</v>
      </c>
      <c r="CU168">
        <v>3.1963185757211153E-2</v>
      </c>
      <c r="CV168">
        <v>-1</v>
      </c>
      <c r="CW168">
        <v>0</v>
      </c>
      <c r="CX168">
        <v>0</v>
      </c>
      <c r="CY168" t="s">
        <v>333</v>
      </c>
      <c r="CZ168">
        <v>2.36469</v>
      </c>
      <c r="DA168">
        <v>2.7137799999999999</v>
      </c>
      <c r="DB168">
        <v>9.0133599999999994E-2</v>
      </c>
      <c r="DC168">
        <v>0.145459</v>
      </c>
      <c r="DD168">
        <v>0.11418</v>
      </c>
      <c r="DE168">
        <v>1.72006E-3</v>
      </c>
      <c r="DF168">
        <v>33233.699999999997</v>
      </c>
      <c r="DG168">
        <v>27552.2</v>
      </c>
      <c r="DH168">
        <v>31181.7</v>
      </c>
      <c r="DI168">
        <v>28094.6</v>
      </c>
      <c r="DJ168">
        <v>37494.9</v>
      </c>
      <c r="DK168">
        <v>39887</v>
      </c>
      <c r="DL168">
        <v>44376.2</v>
      </c>
      <c r="DM168">
        <v>42579.8</v>
      </c>
      <c r="DN168">
        <v>1.47658</v>
      </c>
      <c r="DO168">
        <v>2.0298799999999999</v>
      </c>
      <c r="DP168">
        <v>0.16059699999999999</v>
      </c>
      <c r="DQ168">
        <v>0.14802799999999999</v>
      </c>
      <c r="DR168">
        <v>24.354299999999999</v>
      </c>
      <c r="DS168">
        <v>24.327000000000002</v>
      </c>
      <c r="DT168">
        <v>28.1</v>
      </c>
      <c r="DU168">
        <v>29</v>
      </c>
      <c r="DV168">
        <v>11.4503</v>
      </c>
      <c r="DW168">
        <v>60.622999999999998</v>
      </c>
      <c r="DX168">
        <v>36.790900000000001</v>
      </c>
      <c r="DY168">
        <v>1</v>
      </c>
      <c r="DZ168">
        <v>-0.105307</v>
      </c>
      <c r="EA168">
        <v>0.39218999999999998</v>
      </c>
      <c r="EB168">
        <v>20.188800000000001</v>
      </c>
      <c r="EC168">
        <v>5.24125</v>
      </c>
      <c r="ED168">
        <v>12.039899999999999</v>
      </c>
      <c r="EE168">
        <v>5.0168499999999998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1.8689100000000001</v>
      </c>
      <c r="EL168">
        <v>1.8646199999999999</v>
      </c>
      <c r="EM168">
        <v>1.8692</v>
      </c>
      <c r="EN168">
        <v>1.8672200000000001</v>
      </c>
      <c r="EO168">
        <v>1.86337</v>
      </c>
      <c r="EP168">
        <v>1.86446</v>
      </c>
      <c r="EQ168">
        <v>1.8701399999999999</v>
      </c>
      <c r="ER168">
        <v>1.86944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1.4999999999999999E-2</v>
      </c>
      <c r="FG168">
        <v>0.17530000000000001</v>
      </c>
      <c r="FH168">
        <v>0.28746640474027818</v>
      </c>
      <c r="FI168">
        <v>-6.1462078757559423E-4</v>
      </c>
      <c r="FJ168">
        <v>-1.8861989874597051E-7</v>
      </c>
      <c r="FK168">
        <v>1.1980462299894961E-10</v>
      </c>
      <c r="FL168">
        <v>0.17524818673008091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34.6</v>
      </c>
      <c r="FU168">
        <v>34.6</v>
      </c>
      <c r="FV168">
        <v>1.7651399999999999</v>
      </c>
      <c r="FW168">
        <v>2.5793499999999998</v>
      </c>
      <c r="FX168">
        <v>1.5490699999999999</v>
      </c>
      <c r="FY168">
        <v>2.3315399999999999</v>
      </c>
      <c r="FZ168">
        <v>1.50146</v>
      </c>
      <c r="GA168">
        <v>2.35107</v>
      </c>
      <c r="GB168">
        <v>33.580399999999997</v>
      </c>
      <c r="GC168">
        <v>23.982399999999998</v>
      </c>
      <c r="GD168">
        <v>19</v>
      </c>
      <c r="GE168">
        <v>282.42200000000003</v>
      </c>
      <c r="GF168">
        <v>576.24900000000002</v>
      </c>
      <c r="GG168">
        <v>23.386700000000001</v>
      </c>
      <c r="GH168">
        <v>26.054600000000001</v>
      </c>
      <c r="GI168">
        <v>30.0001</v>
      </c>
      <c r="GJ168">
        <v>26.211400000000001</v>
      </c>
      <c r="GK168">
        <v>26.198599999999999</v>
      </c>
      <c r="GL168">
        <v>35.297600000000003</v>
      </c>
      <c r="GM168">
        <v>100</v>
      </c>
      <c r="GN168">
        <v>19.1631</v>
      </c>
      <c r="GO168">
        <v>23.398199999999999</v>
      </c>
      <c r="GP168">
        <v>800</v>
      </c>
      <c r="GQ168">
        <v>0</v>
      </c>
      <c r="GR168">
        <v>99.770300000000006</v>
      </c>
      <c r="GS168">
        <v>99.610600000000005</v>
      </c>
    </row>
    <row r="169" spans="1:201" x14ac:dyDescent="0.25">
      <c r="A169">
        <v>153</v>
      </c>
      <c r="B169">
        <v>1690384046</v>
      </c>
      <c r="C169">
        <v>1570.900000095367</v>
      </c>
      <c r="D169" t="s">
        <v>637</v>
      </c>
      <c r="E169" t="s">
        <v>638</v>
      </c>
      <c r="F169" t="s">
        <v>330</v>
      </c>
      <c r="H169">
        <v>1690384046</v>
      </c>
      <c r="I169">
        <f t="shared" si="60"/>
        <v>2.2617051312471353E-3</v>
      </c>
      <c r="J169">
        <f t="shared" si="61"/>
        <v>2.2617051312471355</v>
      </c>
      <c r="K169">
        <f t="shared" si="62"/>
        <v>35.364363618857553</v>
      </c>
      <c r="L169">
        <f t="shared" si="63"/>
        <v>404.67099999999999</v>
      </c>
      <c r="M169">
        <f t="shared" si="64"/>
        <v>103.35812829177138</v>
      </c>
      <c r="N169">
        <f t="shared" si="65"/>
        <v>10.210031382340349</v>
      </c>
      <c r="O169">
        <f t="shared" si="66"/>
        <v>39.974636516826202</v>
      </c>
      <c r="P169">
        <f t="shared" si="67"/>
        <v>0.19936908021962291</v>
      </c>
      <c r="Q169">
        <f t="shared" si="68"/>
        <v>2.114380054887353</v>
      </c>
      <c r="R169">
        <f t="shared" si="69"/>
        <v>0.18948304263314672</v>
      </c>
      <c r="S169">
        <f t="shared" si="70"/>
        <v>0.11927425953710541</v>
      </c>
      <c r="T169">
        <f t="shared" si="71"/>
        <v>276.11508411</v>
      </c>
      <c r="U169">
        <f t="shared" si="72"/>
        <v>26.80823752664644</v>
      </c>
      <c r="V169">
        <f t="shared" si="73"/>
        <v>26.80823752664644</v>
      </c>
      <c r="W169">
        <f t="shared" si="74"/>
        <v>3.5390463562507417</v>
      </c>
      <c r="X169">
        <f t="shared" si="75"/>
        <v>73.551489248865835</v>
      </c>
      <c r="Y169">
        <f t="shared" si="76"/>
        <v>2.39537047618736</v>
      </c>
      <c r="Z169">
        <f t="shared" si="77"/>
        <v>3.256726003306992</v>
      </c>
      <c r="AA169">
        <f t="shared" si="78"/>
        <v>1.1436758800633817</v>
      </c>
      <c r="AB169">
        <f t="shared" si="79"/>
        <v>-99.741196287998662</v>
      </c>
      <c r="AC169">
        <f t="shared" si="80"/>
        <v>-160.27486095143311</v>
      </c>
      <c r="AD169">
        <f t="shared" si="81"/>
        <v>-16.213169919883693</v>
      </c>
      <c r="AE169">
        <f t="shared" si="82"/>
        <v>-0.11414304931545871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52655.350898578974</v>
      </c>
      <c r="AK169">
        <f t="shared" si="86"/>
        <v>1800</v>
      </c>
      <c r="AL169">
        <f t="shared" si="87"/>
        <v>1499.110776</v>
      </c>
      <c r="AM169">
        <f t="shared" si="88"/>
        <v>0.83283931999999994</v>
      </c>
      <c r="AN169">
        <f t="shared" si="89"/>
        <v>0.15339726895</v>
      </c>
      <c r="AO169">
        <v>32.700000000000003</v>
      </c>
      <c r="AP169">
        <v>0.5</v>
      </c>
      <c r="AQ169" t="s">
        <v>331</v>
      </c>
      <c r="AR169">
        <v>2</v>
      </c>
      <c r="AS169">
        <v>1690384046</v>
      </c>
      <c r="AT169">
        <v>404.67099999999999</v>
      </c>
      <c r="AU169">
        <v>799.95799999999997</v>
      </c>
      <c r="AV169">
        <v>24.248799999999999</v>
      </c>
      <c r="AW169">
        <v>0.203788</v>
      </c>
      <c r="AX169">
        <v>404.65600000000001</v>
      </c>
      <c r="AY169">
        <v>24.073499999999999</v>
      </c>
      <c r="AZ169">
        <v>300.12200000000001</v>
      </c>
      <c r="BA169">
        <v>98.683099999999996</v>
      </c>
      <c r="BB169">
        <v>9.9952200000000005E-2</v>
      </c>
      <c r="BC169">
        <v>25.402200000000001</v>
      </c>
      <c r="BD169">
        <v>26.9955</v>
      </c>
      <c r="BE169">
        <v>26.7454</v>
      </c>
      <c r="BF169">
        <v>0</v>
      </c>
      <c r="BG169">
        <v>0</v>
      </c>
      <c r="BH169">
        <v>10038.799999999999</v>
      </c>
      <c r="BI169">
        <v>1058.96</v>
      </c>
      <c r="BJ169">
        <v>1.84317</v>
      </c>
      <c r="BK169">
        <v>-395.28699999999998</v>
      </c>
      <c r="BL169">
        <v>414.72800000000001</v>
      </c>
      <c r="BM169">
        <v>800.12099999999998</v>
      </c>
      <c r="BN169">
        <v>24.045000000000002</v>
      </c>
      <c r="BO169">
        <v>799.95799999999997</v>
      </c>
      <c r="BP169">
        <v>0.203788</v>
      </c>
      <c r="BQ169">
        <v>2.3929399999999998</v>
      </c>
      <c r="BR169">
        <v>2.01104E-2</v>
      </c>
      <c r="BS169">
        <v>20.316099999999999</v>
      </c>
      <c r="BT169">
        <v>-39.372500000000002</v>
      </c>
      <c r="BU169">
        <v>1800</v>
      </c>
      <c r="BV169">
        <v>0.91</v>
      </c>
      <c r="BW169">
        <v>3.4005500000000001E-2</v>
      </c>
      <c r="BX169">
        <v>2.1998500000000001E-2</v>
      </c>
      <c r="BY169">
        <v>3.3995699999999997E-2</v>
      </c>
      <c r="BZ169">
        <v>26</v>
      </c>
      <c r="CA169">
        <v>33528.400000000001</v>
      </c>
      <c r="CB169">
        <v>1690381960.0999999</v>
      </c>
      <c r="CC169" t="s">
        <v>332</v>
      </c>
      <c r="CD169">
        <v>1690381960.0999999</v>
      </c>
      <c r="CE169">
        <v>1690381958.0999999</v>
      </c>
      <c r="CF169">
        <v>4</v>
      </c>
      <c r="CG169">
        <v>9.9000000000000005E-2</v>
      </c>
      <c r="CH169">
        <v>1.2E-2</v>
      </c>
      <c r="CI169">
        <v>-0.26300000000000001</v>
      </c>
      <c r="CJ169">
        <v>0.127</v>
      </c>
      <c r="CK169">
        <v>798</v>
      </c>
      <c r="CL169">
        <v>18</v>
      </c>
      <c r="CM169">
        <v>0.02</v>
      </c>
      <c r="CN169">
        <v>0.12</v>
      </c>
      <c r="CO169">
        <v>-394.03975000000003</v>
      </c>
      <c r="CP169">
        <v>-7.4149193245766849</v>
      </c>
      <c r="CQ169">
        <v>0.71571358622007464</v>
      </c>
      <c r="CR169">
        <v>-1</v>
      </c>
      <c r="CS169">
        <v>23.983235000000001</v>
      </c>
      <c r="CT169">
        <v>0.30451632270161788</v>
      </c>
      <c r="CU169">
        <v>2.9438092244573642E-2</v>
      </c>
      <c r="CV169">
        <v>-1</v>
      </c>
      <c r="CW169">
        <v>0</v>
      </c>
      <c r="CX169">
        <v>0</v>
      </c>
      <c r="CY169" t="s">
        <v>333</v>
      </c>
      <c r="CZ169">
        <v>2.3647300000000002</v>
      </c>
      <c r="DA169">
        <v>2.7137799999999999</v>
      </c>
      <c r="DB169">
        <v>8.9940099999999995E-2</v>
      </c>
      <c r="DC169">
        <v>0.14544399999999999</v>
      </c>
      <c r="DD169">
        <v>0.114368</v>
      </c>
      <c r="DE169">
        <v>1.7048600000000001E-3</v>
      </c>
      <c r="DF169">
        <v>33240.699999999997</v>
      </c>
      <c r="DG169">
        <v>27552.5</v>
      </c>
      <c r="DH169">
        <v>31181.599999999999</v>
      </c>
      <c r="DI169">
        <v>28094.400000000001</v>
      </c>
      <c r="DJ169">
        <v>37486.9</v>
      </c>
      <c r="DK169">
        <v>39887.5</v>
      </c>
      <c r="DL169">
        <v>44376.3</v>
      </c>
      <c r="DM169">
        <v>42579.6</v>
      </c>
      <c r="DN169">
        <v>1.47688</v>
      </c>
      <c r="DO169">
        <v>2.0299999999999998</v>
      </c>
      <c r="DP169">
        <v>0.161022</v>
      </c>
      <c r="DQ169">
        <v>0.14735400000000001</v>
      </c>
      <c r="DR169">
        <v>24.356400000000001</v>
      </c>
      <c r="DS169">
        <v>24.329799999999999</v>
      </c>
      <c r="DT169">
        <v>27.8</v>
      </c>
      <c r="DU169">
        <v>29</v>
      </c>
      <c r="DV169">
        <v>11.3307</v>
      </c>
      <c r="DW169">
        <v>60.493000000000002</v>
      </c>
      <c r="DX169">
        <v>36.927100000000003</v>
      </c>
      <c r="DY169">
        <v>1</v>
      </c>
      <c r="DZ169">
        <v>-0.10531500000000001</v>
      </c>
      <c r="EA169">
        <v>0.38215100000000002</v>
      </c>
      <c r="EB169">
        <v>20.1889</v>
      </c>
      <c r="EC169">
        <v>5.2415500000000002</v>
      </c>
      <c r="ED169">
        <v>12.039899999999999</v>
      </c>
      <c r="EE169">
        <v>5.0169499999999996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</v>
      </c>
      <c r="EL169">
        <v>1.8646199999999999</v>
      </c>
      <c r="EM169">
        <v>1.8692</v>
      </c>
      <c r="EN169">
        <v>1.8672299999999999</v>
      </c>
      <c r="EO169">
        <v>1.8633900000000001</v>
      </c>
      <c r="EP169">
        <v>1.8644700000000001</v>
      </c>
      <c r="EQ169">
        <v>1.87015</v>
      </c>
      <c r="ER169">
        <v>1.8694200000000001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1.4999999999999999E-2</v>
      </c>
      <c r="FG169">
        <v>0.17530000000000001</v>
      </c>
      <c r="FH169">
        <v>0.28746640474027818</v>
      </c>
      <c r="FI169">
        <v>-6.1462078757559423E-4</v>
      </c>
      <c r="FJ169">
        <v>-1.8861989874597051E-7</v>
      </c>
      <c r="FK169">
        <v>1.1980462299894961E-10</v>
      </c>
      <c r="FL169">
        <v>0.17524818673008091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34.799999999999997</v>
      </c>
      <c r="FU169">
        <v>34.799999999999997</v>
      </c>
      <c r="FV169">
        <v>1.7651399999999999</v>
      </c>
      <c r="FW169">
        <v>2.5830099999999998</v>
      </c>
      <c r="FX169">
        <v>1.5490699999999999</v>
      </c>
      <c r="FY169">
        <v>2.3315399999999999</v>
      </c>
      <c r="FZ169">
        <v>1.50146</v>
      </c>
      <c r="GA169">
        <v>2.3767100000000001</v>
      </c>
      <c r="GB169">
        <v>33.580399999999997</v>
      </c>
      <c r="GC169">
        <v>23.973700000000001</v>
      </c>
      <c r="GD169">
        <v>19</v>
      </c>
      <c r="GE169">
        <v>282.54000000000002</v>
      </c>
      <c r="GF169">
        <v>576.327</v>
      </c>
      <c r="GG169">
        <v>23.4071</v>
      </c>
      <c r="GH169">
        <v>26.054200000000002</v>
      </c>
      <c r="GI169">
        <v>30.0001</v>
      </c>
      <c r="GJ169">
        <v>26.209199999999999</v>
      </c>
      <c r="GK169">
        <v>26.196400000000001</v>
      </c>
      <c r="GL169">
        <v>35.3033</v>
      </c>
      <c r="GM169">
        <v>100</v>
      </c>
      <c r="GN169">
        <v>18.396999999999998</v>
      </c>
      <c r="GO169">
        <v>23.412700000000001</v>
      </c>
      <c r="GP169">
        <v>800</v>
      </c>
      <c r="GQ169">
        <v>0</v>
      </c>
      <c r="GR169">
        <v>99.770300000000006</v>
      </c>
      <c r="GS169">
        <v>99.610200000000006</v>
      </c>
    </row>
    <row r="170" spans="1:201" x14ac:dyDescent="0.25">
      <c r="A170">
        <v>154</v>
      </c>
      <c r="B170">
        <v>1690384056</v>
      </c>
      <c r="C170">
        <v>1580.900000095367</v>
      </c>
      <c r="D170" t="s">
        <v>639</v>
      </c>
      <c r="E170" t="s">
        <v>640</v>
      </c>
      <c r="F170" t="s">
        <v>330</v>
      </c>
      <c r="H170">
        <v>1690384056</v>
      </c>
      <c r="I170">
        <f t="shared" si="60"/>
        <v>2.2675690522398267E-3</v>
      </c>
      <c r="J170">
        <f t="shared" si="61"/>
        <v>2.2675690522398266</v>
      </c>
      <c r="K170">
        <f t="shared" si="62"/>
        <v>35.485665486498895</v>
      </c>
      <c r="L170">
        <f t="shared" si="63"/>
        <v>403.52</v>
      </c>
      <c r="M170">
        <f t="shared" si="64"/>
        <v>103.29937952862667</v>
      </c>
      <c r="N170">
        <f t="shared" si="65"/>
        <v>10.204017321119393</v>
      </c>
      <c r="O170">
        <f t="shared" si="66"/>
        <v>39.860114244704</v>
      </c>
      <c r="P170">
        <f t="shared" si="67"/>
        <v>0.20085364893675392</v>
      </c>
      <c r="Q170">
        <f t="shared" si="68"/>
        <v>2.1096197274998252</v>
      </c>
      <c r="R170">
        <f t="shared" si="69"/>
        <v>0.19080239664882634</v>
      </c>
      <c r="S170">
        <f t="shared" si="70"/>
        <v>0.12011263383550488</v>
      </c>
      <c r="T170">
        <f t="shared" si="71"/>
        <v>276.11371613238828</v>
      </c>
      <c r="U170">
        <f t="shared" si="72"/>
        <v>26.811240510825051</v>
      </c>
      <c r="V170">
        <f t="shared" si="73"/>
        <v>26.811240510825051</v>
      </c>
      <c r="W170">
        <f t="shared" si="74"/>
        <v>3.5396714899029784</v>
      </c>
      <c r="X170">
        <f t="shared" si="75"/>
        <v>73.715342755137641</v>
      </c>
      <c r="Y170">
        <f t="shared" si="76"/>
        <v>2.4010206851925502</v>
      </c>
      <c r="Z170">
        <f t="shared" si="77"/>
        <v>3.2571518973575002</v>
      </c>
      <c r="AA170">
        <f t="shared" si="78"/>
        <v>1.1386508047104282</v>
      </c>
      <c r="AB170">
        <f t="shared" si="79"/>
        <v>-99.999795203776358</v>
      </c>
      <c r="AC170">
        <f t="shared" si="80"/>
        <v>-160.00534366688569</v>
      </c>
      <c r="AD170">
        <f t="shared" si="81"/>
        <v>-16.222852609023839</v>
      </c>
      <c r="AE170">
        <f t="shared" si="82"/>
        <v>-0.11427534729762101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52446.206063060956</v>
      </c>
      <c r="AK170">
        <f t="shared" si="86"/>
        <v>1799.99</v>
      </c>
      <c r="AL170">
        <f t="shared" si="87"/>
        <v>1499.1025232063798</v>
      </c>
      <c r="AM170">
        <f t="shared" si="88"/>
        <v>0.83283936199999986</v>
      </c>
      <c r="AN170">
        <f t="shared" si="89"/>
        <v>0.15339736117</v>
      </c>
      <c r="AO170">
        <v>32.700000000000003</v>
      </c>
      <c r="AP170">
        <v>0.5</v>
      </c>
      <c r="AQ170" t="s">
        <v>331</v>
      </c>
      <c r="AR170">
        <v>2</v>
      </c>
      <c r="AS170">
        <v>1690384056</v>
      </c>
      <c r="AT170">
        <v>403.52</v>
      </c>
      <c r="AU170">
        <v>800.09699999999998</v>
      </c>
      <c r="AV170">
        <v>24.3065</v>
      </c>
      <c r="AW170">
        <v>0.20233899999999999</v>
      </c>
      <c r="AX170">
        <v>403.50299999999999</v>
      </c>
      <c r="AY170">
        <v>24.1312</v>
      </c>
      <c r="AZ170">
        <v>300.14400000000001</v>
      </c>
      <c r="BA170">
        <v>98.681100000000001</v>
      </c>
      <c r="BB170">
        <v>9.9912699999999993E-2</v>
      </c>
      <c r="BC170">
        <v>25.404399999999999</v>
      </c>
      <c r="BD170">
        <v>27.0061</v>
      </c>
      <c r="BE170">
        <v>26.757000000000001</v>
      </c>
      <c r="BF170">
        <v>0</v>
      </c>
      <c r="BG170">
        <v>0</v>
      </c>
      <c r="BH170">
        <v>9997.5</v>
      </c>
      <c r="BI170">
        <v>1059.02</v>
      </c>
      <c r="BJ170">
        <v>1.84317</v>
      </c>
      <c r="BK170">
        <v>-396.57799999999997</v>
      </c>
      <c r="BL170">
        <v>413.572</v>
      </c>
      <c r="BM170">
        <v>800.25900000000001</v>
      </c>
      <c r="BN170">
        <v>24.104199999999999</v>
      </c>
      <c r="BO170">
        <v>800.09699999999998</v>
      </c>
      <c r="BP170">
        <v>0.20233899999999999</v>
      </c>
      <c r="BQ170">
        <v>2.39859</v>
      </c>
      <c r="BR170">
        <v>1.9966999999999999E-2</v>
      </c>
      <c r="BS170">
        <v>20.354299999999999</v>
      </c>
      <c r="BT170">
        <v>-39.441400000000002</v>
      </c>
      <c r="BU170">
        <v>1799.99</v>
      </c>
      <c r="BV170">
        <v>0.90999799999999997</v>
      </c>
      <c r="BW170">
        <v>3.40091E-2</v>
      </c>
      <c r="BX170">
        <v>2.19981E-2</v>
      </c>
      <c r="BY170">
        <v>3.39951E-2</v>
      </c>
      <c r="BZ170">
        <v>26</v>
      </c>
      <c r="CA170">
        <v>33528.199999999997</v>
      </c>
      <c r="CB170">
        <v>1690381960.0999999</v>
      </c>
      <c r="CC170" t="s">
        <v>332</v>
      </c>
      <c r="CD170">
        <v>1690381960.0999999</v>
      </c>
      <c r="CE170">
        <v>1690381958.0999999</v>
      </c>
      <c r="CF170">
        <v>4</v>
      </c>
      <c r="CG170">
        <v>9.9000000000000005E-2</v>
      </c>
      <c r="CH170">
        <v>1.2E-2</v>
      </c>
      <c r="CI170">
        <v>-0.26300000000000001</v>
      </c>
      <c r="CJ170">
        <v>0.127</v>
      </c>
      <c r="CK170">
        <v>798</v>
      </c>
      <c r="CL170">
        <v>18</v>
      </c>
      <c r="CM170">
        <v>0.02</v>
      </c>
      <c r="CN170">
        <v>0.12</v>
      </c>
      <c r="CO170">
        <v>-395.25292682926829</v>
      </c>
      <c r="CP170">
        <v>-6.7296794425097337</v>
      </c>
      <c r="CQ170">
        <v>0.66508141406069221</v>
      </c>
      <c r="CR170">
        <v>-1</v>
      </c>
      <c r="CS170">
        <v>24.03890243902439</v>
      </c>
      <c r="CT170">
        <v>0.348334494773478</v>
      </c>
      <c r="CU170">
        <v>3.4370971074261777E-2</v>
      </c>
      <c r="CV170">
        <v>-1</v>
      </c>
      <c r="CW170">
        <v>0</v>
      </c>
      <c r="CX170">
        <v>0</v>
      </c>
      <c r="CY170" t="s">
        <v>333</v>
      </c>
      <c r="CZ170">
        <v>2.3647900000000002</v>
      </c>
      <c r="DA170">
        <v>2.7136999999999998</v>
      </c>
      <c r="DB170">
        <v>8.9743299999999998E-2</v>
      </c>
      <c r="DC170">
        <v>0.145459</v>
      </c>
      <c r="DD170">
        <v>0.11455799999999999</v>
      </c>
      <c r="DE170">
        <v>1.69287E-3</v>
      </c>
      <c r="DF170">
        <v>33247.9</v>
      </c>
      <c r="DG170">
        <v>27552.2</v>
      </c>
      <c r="DH170">
        <v>31181.5</v>
      </c>
      <c r="DI170">
        <v>28094.6</v>
      </c>
      <c r="DJ170">
        <v>37478.699999999997</v>
      </c>
      <c r="DK170">
        <v>39888.300000000003</v>
      </c>
      <c r="DL170">
        <v>44376.2</v>
      </c>
      <c r="DM170">
        <v>42579.9</v>
      </c>
      <c r="DN170">
        <v>1.47685</v>
      </c>
      <c r="DO170">
        <v>2.0298799999999999</v>
      </c>
      <c r="DP170">
        <v>0.16154299999999999</v>
      </c>
      <c r="DQ170">
        <v>0.14792</v>
      </c>
      <c r="DR170">
        <v>24.358499999999999</v>
      </c>
      <c r="DS170">
        <v>24.332100000000001</v>
      </c>
      <c r="DT170">
        <v>27.5</v>
      </c>
      <c r="DU170">
        <v>29</v>
      </c>
      <c r="DV170">
        <v>11.208299999999999</v>
      </c>
      <c r="DW170">
        <v>61.023000000000003</v>
      </c>
      <c r="DX170">
        <v>36.878999999999998</v>
      </c>
      <c r="DY170">
        <v>1</v>
      </c>
      <c r="DZ170">
        <v>-0.10530200000000001</v>
      </c>
      <c r="EA170">
        <v>0.466999</v>
      </c>
      <c r="EB170">
        <v>20.188600000000001</v>
      </c>
      <c r="EC170">
        <v>5.2411000000000003</v>
      </c>
      <c r="ED170">
        <v>12.039899999999999</v>
      </c>
      <c r="EE170">
        <v>5.0169499999999996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</v>
      </c>
      <c r="EL170">
        <v>1.8646199999999999</v>
      </c>
      <c r="EM170">
        <v>1.8692</v>
      </c>
      <c r="EN170">
        <v>1.8672299999999999</v>
      </c>
      <c r="EO170">
        <v>1.8633900000000001</v>
      </c>
      <c r="EP170">
        <v>1.8644700000000001</v>
      </c>
      <c r="EQ170">
        <v>1.8701399999999999</v>
      </c>
      <c r="ER170">
        <v>1.86941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1.7000000000000001E-2</v>
      </c>
      <c r="FG170">
        <v>0.17530000000000001</v>
      </c>
      <c r="FH170">
        <v>0.28746640474027818</v>
      </c>
      <c r="FI170">
        <v>-6.1462078757559423E-4</v>
      </c>
      <c r="FJ170">
        <v>-1.8861989874597051E-7</v>
      </c>
      <c r="FK170">
        <v>1.1980462299894961E-10</v>
      </c>
      <c r="FL170">
        <v>0.17524818673008091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34.9</v>
      </c>
      <c r="FU170">
        <v>35</v>
      </c>
      <c r="FV170">
        <v>1.7651399999999999</v>
      </c>
      <c r="FW170">
        <v>2.5793499999999998</v>
      </c>
      <c r="FX170">
        <v>1.5490699999999999</v>
      </c>
      <c r="FY170">
        <v>2.3315399999999999</v>
      </c>
      <c r="FZ170">
        <v>1.50146</v>
      </c>
      <c r="GA170">
        <v>2.32422</v>
      </c>
      <c r="GB170">
        <v>33.580399999999997</v>
      </c>
      <c r="GC170">
        <v>23.973700000000001</v>
      </c>
      <c r="GD170">
        <v>19</v>
      </c>
      <c r="GE170">
        <v>282.52499999999998</v>
      </c>
      <c r="GF170">
        <v>576.20000000000005</v>
      </c>
      <c r="GG170">
        <v>23.409199999999998</v>
      </c>
      <c r="GH170">
        <v>26.052499999999998</v>
      </c>
      <c r="GI170">
        <v>30.0001</v>
      </c>
      <c r="GJ170">
        <v>26.208300000000001</v>
      </c>
      <c r="GK170">
        <v>26.194199999999999</v>
      </c>
      <c r="GL170">
        <v>35.296799999999998</v>
      </c>
      <c r="GM170">
        <v>100</v>
      </c>
      <c r="GN170">
        <v>17.647300000000001</v>
      </c>
      <c r="GO170">
        <v>23.384399999999999</v>
      </c>
      <c r="GP170">
        <v>800</v>
      </c>
      <c r="GQ170">
        <v>0</v>
      </c>
      <c r="GR170">
        <v>99.770200000000003</v>
      </c>
      <c r="GS170">
        <v>99.610900000000001</v>
      </c>
    </row>
    <row r="171" spans="1:201" x14ac:dyDescent="0.25">
      <c r="A171">
        <v>155</v>
      </c>
      <c r="B171">
        <v>1690384066</v>
      </c>
      <c r="C171">
        <v>1590.900000095367</v>
      </c>
      <c r="D171" t="s">
        <v>641</v>
      </c>
      <c r="E171" t="s">
        <v>642</v>
      </c>
      <c r="F171" t="s">
        <v>330</v>
      </c>
      <c r="H171">
        <v>1690384066</v>
      </c>
      <c r="I171">
        <f t="shared" si="60"/>
        <v>2.2720933109865228E-3</v>
      </c>
      <c r="J171">
        <f t="shared" si="61"/>
        <v>2.2720933109865227</v>
      </c>
      <c r="K171">
        <f t="shared" si="62"/>
        <v>35.586487219590651</v>
      </c>
      <c r="L171">
        <f t="shared" si="63"/>
        <v>402.428</v>
      </c>
      <c r="M171">
        <f t="shared" si="64"/>
        <v>103.02064668771757</v>
      </c>
      <c r="N171">
        <f t="shared" si="65"/>
        <v>10.176721199297804</v>
      </c>
      <c r="O171">
        <f t="shared" si="66"/>
        <v>39.753172693675992</v>
      </c>
      <c r="P171">
        <f t="shared" si="67"/>
        <v>0.20200562575658867</v>
      </c>
      <c r="Q171">
        <f t="shared" si="68"/>
        <v>2.1106447226423519</v>
      </c>
      <c r="R171">
        <f t="shared" si="69"/>
        <v>0.19184654969685744</v>
      </c>
      <c r="S171">
        <f t="shared" si="70"/>
        <v>0.12077425642405032</v>
      </c>
      <c r="T171">
        <f t="shared" si="71"/>
        <v>276.115132206</v>
      </c>
      <c r="U171">
        <f t="shared" si="72"/>
        <v>26.812433576193342</v>
      </c>
      <c r="V171">
        <f t="shared" si="73"/>
        <v>26.812433576193342</v>
      </c>
      <c r="W171">
        <f t="shared" si="74"/>
        <v>3.5399198780448238</v>
      </c>
      <c r="X171">
        <f t="shared" si="75"/>
        <v>73.828912516279118</v>
      </c>
      <c r="Y171">
        <f t="shared" si="76"/>
        <v>2.4052058373111</v>
      </c>
      <c r="Z171">
        <f t="shared" si="77"/>
        <v>3.2578101929657399</v>
      </c>
      <c r="AA171">
        <f t="shared" si="78"/>
        <v>1.1347140407337237</v>
      </c>
      <c r="AB171">
        <f t="shared" si="79"/>
        <v>-100.19931501450566</v>
      </c>
      <c r="AC171">
        <f t="shared" si="80"/>
        <v>-159.83195996614552</v>
      </c>
      <c r="AD171">
        <f t="shared" si="81"/>
        <v>-16.197776353135303</v>
      </c>
      <c r="AE171">
        <f t="shared" si="82"/>
        <v>-0.11391912778645974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52490.549586242953</v>
      </c>
      <c r="AK171">
        <f t="shared" si="86"/>
        <v>1800</v>
      </c>
      <c r="AL171">
        <f t="shared" si="87"/>
        <v>1499.1110046000001</v>
      </c>
      <c r="AM171">
        <f t="shared" si="88"/>
        <v>0.83283944700000001</v>
      </c>
      <c r="AN171">
        <f t="shared" si="89"/>
        <v>0.15339729566999999</v>
      </c>
      <c r="AO171">
        <v>32.700000000000003</v>
      </c>
      <c r="AP171">
        <v>0.5</v>
      </c>
      <c r="AQ171" t="s">
        <v>331</v>
      </c>
      <c r="AR171">
        <v>2</v>
      </c>
      <c r="AS171">
        <v>1690384066</v>
      </c>
      <c r="AT171">
        <v>402.428</v>
      </c>
      <c r="AU171">
        <v>800.03800000000001</v>
      </c>
      <c r="AV171">
        <v>24.348299999999998</v>
      </c>
      <c r="AW171">
        <v>0.20062099999999999</v>
      </c>
      <c r="AX171">
        <v>402.411</v>
      </c>
      <c r="AY171">
        <v>24.172999999999998</v>
      </c>
      <c r="AZ171">
        <v>300.18799999999999</v>
      </c>
      <c r="BA171">
        <v>98.683300000000003</v>
      </c>
      <c r="BB171">
        <v>0.10001699999999999</v>
      </c>
      <c r="BC171">
        <v>25.407800000000002</v>
      </c>
      <c r="BD171">
        <v>27.010400000000001</v>
      </c>
      <c r="BE171">
        <v>26.7605</v>
      </c>
      <c r="BF171">
        <v>0</v>
      </c>
      <c r="BG171">
        <v>0</v>
      </c>
      <c r="BH171">
        <v>10006.200000000001</v>
      </c>
      <c r="BI171">
        <v>1059.17</v>
      </c>
      <c r="BJ171">
        <v>1.81514</v>
      </c>
      <c r="BK171">
        <v>-397.61</v>
      </c>
      <c r="BL171">
        <v>412.471</v>
      </c>
      <c r="BM171">
        <v>800.19899999999996</v>
      </c>
      <c r="BN171">
        <v>24.1477</v>
      </c>
      <c r="BO171">
        <v>800.03800000000001</v>
      </c>
      <c r="BP171">
        <v>0.20062099999999999</v>
      </c>
      <c r="BQ171">
        <v>2.4027699999999999</v>
      </c>
      <c r="BR171">
        <v>1.97979E-2</v>
      </c>
      <c r="BS171">
        <v>20.3825</v>
      </c>
      <c r="BT171">
        <v>-39.523299999999999</v>
      </c>
      <c r="BU171">
        <v>1800</v>
      </c>
      <c r="BV171">
        <v>0.91</v>
      </c>
      <c r="BW171">
        <v>3.4008299999999998E-2</v>
      </c>
      <c r="BX171">
        <v>2.1997599999999999E-2</v>
      </c>
      <c r="BY171">
        <v>3.3994299999999998E-2</v>
      </c>
      <c r="BZ171">
        <v>26</v>
      </c>
      <c r="CA171">
        <v>33528.300000000003</v>
      </c>
      <c r="CB171">
        <v>1690381960.0999999</v>
      </c>
      <c r="CC171" t="s">
        <v>332</v>
      </c>
      <c r="CD171">
        <v>1690381960.0999999</v>
      </c>
      <c r="CE171">
        <v>1690381958.0999999</v>
      </c>
      <c r="CF171">
        <v>4</v>
      </c>
      <c r="CG171">
        <v>9.9000000000000005E-2</v>
      </c>
      <c r="CH171">
        <v>1.2E-2</v>
      </c>
      <c r="CI171">
        <v>-0.26300000000000001</v>
      </c>
      <c r="CJ171">
        <v>0.127</v>
      </c>
      <c r="CK171">
        <v>798</v>
      </c>
      <c r="CL171">
        <v>18</v>
      </c>
      <c r="CM171">
        <v>0.02</v>
      </c>
      <c r="CN171">
        <v>0.12</v>
      </c>
      <c r="CO171">
        <v>-396.33057500000001</v>
      </c>
      <c r="CP171">
        <v>-6.5687617260787228</v>
      </c>
      <c r="CQ171">
        <v>0.63473379804056562</v>
      </c>
      <c r="CR171">
        <v>-1</v>
      </c>
      <c r="CS171">
        <v>24.094194999999999</v>
      </c>
      <c r="CT171">
        <v>0.33219737335828392</v>
      </c>
      <c r="CU171">
        <v>3.2059834294643402E-2</v>
      </c>
      <c r="CV171">
        <v>-1</v>
      </c>
      <c r="CW171">
        <v>0</v>
      </c>
      <c r="CX171">
        <v>0</v>
      </c>
      <c r="CY171" t="s">
        <v>333</v>
      </c>
      <c r="CZ171">
        <v>2.3649100000000001</v>
      </c>
      <c r="DA171">
        <v>2.7138100000000001</v>
      </c>
      <c r="DB171">
        <v>8.9560299999999995E-2</v>
      </c>
      <c r="DC171">
        <v>0.145456</v>
      </c>
      <c r="DD171">
        <v>0.1147</v>
      </c>
      <c r="DE171">
        <v>1.6787200000000001E-3</v>
      </c>
      <c r="DF171">
        <v>33254.6</v>
      </c>
      <c r="DG171">
        <v>27552.6</v>
      </c>
      <c r="DH171">
        <v>31181.599999999999</v>
      </c>
      <c r="DI171">
        <v>28094.9</v>
      </c>
      <c r="DJ171">
        <v>37472.699999999997</v>
      </c>
      <c r="DK171">
        <v>39889.300000000003</v>
      </c>
      <c r="DL171">
        <v>44376.2</v>
      </c>
      <c r="DM171">
        <v>42580.4</v>
      </c>
      <c r="DN171">
        <v>1.4769699999999999</v>
      </c>
      <c r="DO171">
        <v>2.0300500000000001</v>
      </c>
      <c r="DP171">
        <v>0.161685</v>
      </c>
      <c r="DQ171">
        <v>0.14790500000000001</v>
      </c>
      <c r="DR171">
        <v>24.360499999999998</v>
      </c>
      <c r="DS171">
        <v>24.335899999999999</v>
      </c>
      <c r="DT171">
        <v>27.2</v>
      </c>
      <c r="DU171">
        <v>29</v>
      </c>
      <c r="DV171">
        <v>11.086</v>
      </c>
      <c r="DW171">
        <v>60.713099999999997</v>
      </c>
      <c r="DX171">
        <v>37.259599999999999</v>
      </c>
      <c r="DY171">
        <v>1</v>
      </c>
      <c r="DZ171">
        <v>-0.10573200000000001</v>
      </c>
      <c r="EA171">
        <v>0.54284900000000003</v>
      </c>
      <c r="EB171">
        <v>20.188099999999999</v>
      </c>
      <c r="EC171">
        <v>5.2406499999999996</v>
      </c>
      <c r="ED171">
        <v>12.039899999999999</v>
      </c>
      <c r="EE171">
        <v>5.0168499999999998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</v>
      </c>
      <c r="EL171">
        <v>1.8646199999999999</v>
      </c>
      <c r="EM171">
        <v>1.8692</v>
      </c>
      <c r="EN171">
        <v>1.8672200000000001</v>
      </c>
      <c r="EO171">
        <v>1.8633900000000001</v>
      </c>
      <c r="EP171">
        <v>1.86446</v>
      </c>
      <c r="EQ171">
        <v>1.8701300000000001</v>
      </c>
      <c r="ER171">
        <v>1.8693900000000001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1.7000000000000001E-2</v>
      </c>
      <c r="FG171">
        <v>0.17530000000000001</v>
      </c>
      <c r="FH171">
        <v>0.28746640474027818</v>
      </c>
      <c r="FI171">
        <v>-6.1462078757559423E-4</v>
      </c>
      <c r="FJ171">
        <v>-1.8861989874597051E-7</v>
      </c>
      <c r="FK171">
        <v>1.1980462299894961E-10</v>
      </c>
      <c r="FL171">
        <v>0.17524818673008091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35.1</v>
      </c>
      <c r="FU171">
        <v>35.1</v>
      </c>
      <c r="FV171">
        <v>1.7651399999999999</v>
      </c>
      <c r="FW171">
        <v>2.5793499999999998</v>
      </c>
      <c r="FX171">
        <v>1.5490699999999999</v>
      </c>
      <c r="FY171">
        <v>2.3327599999999999</v>
      </c>
      <c r="FZ171">
        <v>1.50146</v>
      </c>
      <c r="GA171">
        <v>2.3071299999999999</v>
      </c>
      <c r="GB171">
        <v>33.580399999999997</v>
      </c>
      <c r="GC171">
        <v>23.973700000000001</v>
      </c>
      <c r="GD171">
        <v>19</v>
      </c>
      <c r="GE171">
        <v>282.57299999999998</v>
      </c>
      <c r="GF171">
        <v>576.322</v>
      </c>
      <c r="GG171">
        <v>23.370999999999999</v>
      </c>
      <c r="GH171">
        <v>26.051500000000001</v>
      </c>
      <c r="GI171">
        <v>29.9999</v>
      </c>
      <c r="GJ171">
        <v>26.207000000000001</v>
      </c>
      <c r="GK171">
        <v>26.192299999999999</v>
      </c>
      <c r="GL171">
        <v>35.295699999999997</v>
      </c>
      <c r="GM171">
        <v>100</v>
      </c>
      <c r="GN171">
        <v>17.277100000000001</v>
      </c>
      <c r="GO171">
        <v>23.343299999999999</v>
      </c>
      <c r="GP171">
        <v>800</v>
      </c>
      <c r="GQ171">
        <v>0</v>
      </c>
      <c r="GR171">
        <v>99.770300000000006</v>
      </c>
      <c r="GS171">
        <v>99.611999999999995</v>
      </c>
    </row>
    <row r="172" spans="1:201" x14ac:dyDescent="0.25">
      <c r="A172">
        <v>156</v>
      </c>
      <c r="B172">
        <v>1690384076</v>
      </c>
      <c r="C172">
        <v>1600.900000095367</v>
      </c>
      <c r="D172" t="s">
        <v>643</v>
      </c>
      <c r="E172" t="s">
        <v>644</v>
      </c>
      <c r="F172" t="s">
        <v>330</v>
      </c>
      <c r="H172">
        <v>1690384076</v>
      </c>
      <c r="I172">
        <f t="shared" si="60"/>
        <v>2.2746246219876583E-3</v>
      </c>
      <c r="J172">
        <f t="shared" si="61"/>
        <v>2.2746246219876585</v>
      </c>
      <c r="K172">
        <f t="shared" si="62"/>
        <v>35.666846422379649</v>
      </c>
      <c r="L172">
        <f t="shared" si="63"/>
        <v>401.34399999999999</v>
      </c>
      <c r="M172">
        <f t="shared" si="64"/>
        <v>102.67708014623685</v>
      </c>
      <c r="N172">
        <f t="shared" si="65"/>
        <v>10.142597974133141</v>
      </c>
      <c r="O172">
        <f t="shared" si="66"/>
        <v>39.645370081939198</v>
      </c>
      <c r="P172">
        <f t="shared" si="67"/>
        <v>0.20299833720132873</v>
      </c>
      <c r="Q172">
        <f t="shared" si="68"/>
        <v>2.1096255487009943</v>
      </c>
      <c r="R172">
        <f t="shared" si="69"/>
        <v>0.19273720376590628</v>
      </c>
      <c r="S172">
        <f t="shared" si="70"/>
        <v>0.12133943665262516</v>
      </c>
      <c r="T172">
        <f t="shared" si="71"/>
        <v>276.11501430600003</v>
      </c>
      <c r="U172">
        <f t="shared" si="72"/>
        <v>26.808661943089316</v>
      </c>
      <c r="V172">
        <f t="shared" si="73"/>
        <v>26.808661943089316</v>
      </c>
      <c r="W172">
        <f t="shared" si="74"/>
        <v>3.5391347015170616</v>
      </c>
      <c r="X172">
        <f t="shared" si="75"/>
        <v>73.943617126347334</v>
      </c>
      <c r="Y172">
        <f t="shared" si="76"/>
        <v>2.40844161281295</v>
      </c>
      <c r="Z172">
        <f t="shared" si="77"/>
        <v>3.2571325374814295</v>
      </c>
      <c r="AA172">
        <f t="shared" si="78"/>
        <v>1.1306930887041116</v>
      </c>
      <c r="AB172">
        <f t="shared" si="79"/>
        <v>-100.31094582965572</v>
      </c>
      <c r="AC172">
        <f t="shared" si="80"/>
        <v>-159.72388742782883</v>
      </c>
      <c r="AD172">
        <f t="shared" si="81"/>
        <v>-16.194053384270816</v>
      </c>
      <c r="AE172">
        <f t="shared" si="82"/>
        <v>-0.11387233575536015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52446.489374523117</v>
      </c>
      <c r="AK172">
        <f t="shared" si="86"/>
        <v>1800</v>
      </c>
      <c r="AL172">
        <f t="shared" si="87"/>
        <v>1499.1111575999998</v>
      </c>
      <c r="AM172">
        <f t="shared" si="88"/>
        <v>0.83283953199999994</v>
      </c>
      <c r="AN172">
        <f t="shared" si="89"/>
        <v>0.15339723017000001</v>
      </c>
      <c r="AO172">
        <v>32.700000000000003</v>
      </c>
      <c r="AP172">
        <v>0.5</v>
      </c>
      <c r="AQ172" t="s">
        <v>331</v>
      </c>
      <c r="AR172">
        <v>2</v>
      </c>
      <c r="AS172">
        <v>1690384076</v>
      </c>
      <c r="AT172">
        <v>401.34399999999999</v>
      </c>
      <c r="AU172">
        <v>799.96100000000001</v>
      </c>
      <c r="AV172">
        <v>24.381499999999999</v>
      </c>
      <c r="AW172">
        <v>0.198799</v>
      </c>
      <c r="AX172">
        <v>401.32600000000002</v>
      </c>
      <c r="AY172">
        <v>24.206299999999999</v>
      </c>
      <c r="AZ172">
        <v>300.077</v>
      </c>
      <c r="BA172">
        <v>98.681600000000003</v>
      </c>
      <c r="BB172">
        <v>9.9919300000000003E-2</v>
      </c>
      <c r="BC172">
        <v>25.404299999999999</v>
      </c>
      <c r="BD172">
        <v>26.968299999999999</v>
      </c>
      <c r="BE172">
        <v>26.7516</v>
      </c>
      <c r="BF172">
        <v>0</v>
      </c>
      <c r="BG172">
        <v>0</v>
      </c>
      <c r="BH172">
        <v>9997.5</v>
      </c>
      <c r="BI172">
        <v>1059.2</v>
      </c>
      <c r="BJ172">
        <v>1.8782099999999999</v>
      </c>
      <c r="BK172">
        <v>-398.61599999999999</v>
      </c>
      <c r="BL172">
        <v>411.37400000000002</v>
      </c>
      <c r="BM172">
        <v>800.12</v>
      </c>
      <c r="BN172">
        <v>24.182700000000001</v>
      </c>
      <c r="BO172">
        <v>799.96100000000001</v>
      </c>
      <c r="BP172">
        <v>0.198799</v>
      </c>
      <c r="BQ172">
        <v>2.4060100000000002</v>
      </c>
      <c r="BR172">
        <v>1.9617800000000001E-2</v>
      </c>
      <c r="BS172">
        <v>20.404299999999999</v>
      </c>
      <c r="BT172">
        <v>-39.611199999999997</v>
      </c>
      <c r="BU172">
        <v>1800</v>
      </c>
      <c r="BV172">
        <v>0.91000199999999998</v>
      </c>
      <c r="BW172">
        <v>3.4007500000000003E-2</v>
      </c>
      <c r="BX172">
        <v>2.1997099999999999E-2</v>
      </c>
      <c r="BY172">
        <v>3.3993500000000003E-2</v>
      </c>
      <c r="BZ172">
        <v>26</v>
      </c>
      <c r="CA172">
        <v>33528.400000000001</v>
      </c>
      <c r="CB172">
        <v>1690381960.0999999</v>
      </c>
      <c r="CC172" t="s">
        <v>332</v>
      </c>
      <c r="CD172">
        <v>1690381960.0999999</v>
      </c>
      <c r="CE172">
        <v>1690381958.0999999</v>
      </c>
      <c r="CF172">
        <v>4</v>
      </c>
      <c r="CG172">
        <v>9.9000000000000005E-2</v>
      </c>
      <c r="CH172">
        <v>1.2E-2</v>
      </c>
      <c r="CI172">
        <v>-0.26300000000000001</v>
      </c>
      <c r="CJ172">
        <v>0.127</v>
      </c>
      <c r="CK172">
        <v>798</v>
      </c>
      <c r="CL172">
        <v>18</v>
      </c>
      <c r="CM172">
        <v>0.02</v>
      </c>
      <c r="CN172">
        <v>0.12</v>
      </c>
      <c r="CO172">
        <v>-397.47185365853659</v>
      </c>
      <c r="CP172">
        <v>-6.4154843205569616</v>
      </c>
      <c r="CQ172">
        <v>0.63522316266730472</v>
      </c>
      <c r="CR172">
        <v>-1</v>
      </c>
      <c r="CS172">
        <v>24.143214634146339</v>
      </c>
      <c r="CT172">
        <v>0.23821463414635821</v>
      </c>
      <c r="CU172">
        <v>2.358357800876331E-2</v>
      </c>
      <c r="CV172">
        <v>-1</v>
      </c>
      <c r="CW172">
        <v>0</v>
      </c>
      <c r="CX172">
        <v>0</v>
      </c>
      <c r="CY172" t="s">
        <v>333</v>
      </c>
      <c r="CZ172">
        <v>2.3645499999999999</v>
      </c>
      <c r="DA172">
        <v>2.7137099999999998</v>
      </c>
      <c r="DB172">
        <v>8.9374800000000004E-2</v>
      </c>
      <c r="DC172">
        <v>0.14544399999999999</v>
      </c>
      <c r="DD172">
        <v>0.11480899999999999</v>
      </c>
      <c r="DE172">
        <v>1.6636400000000001E-3</v>
      </c>
      <c r="DF172">
        <v>33261.5</v>
      </c>
      <c r="DG172">
        <v>27552.799999999999</v>
      </c>
      <c r="DH172">
        <v>31181.7</v>
      </c>
      <c r="DI172">
        <v>28094.7</v>
      </c>
      <c r="DJ172">
        <v>37467.9</v>
      </c>
      <c r="DK172">
        <v>39889.699999999997</v>
      </c>
      <c r="DL172">
        <v>44376.2</v>
      </c>
      <c r="DM172">
        <v>42580.2</v>
      </c>
      <c r="DN172">
        <v>1.4770300000000001</v>
      </c>
      <c r="DO172">
        <v>2.0302699999999998</v>
      </c>
      <c r="DP172">
        <v>0.15898799999999999</v>
      </c>
      <c r="DQ172">
        <v>0.147253</v>
      </c>
      <c r="DR172">
        <v>24.362500000000001</v>
      </c>
      <c r="DS172">
        <v>24.337700000000002</v>
      </c>
      <c r="DT172">
        <v>26.9</v>
      </c>
      <c r="DU172">
        <v>29.1</v>
      </c>
      <c r="DV172">
        <v>11.026300000000001</v>
      </c>
      <c r="DW172">
        <v>60.643099999999997</v>
      </c>
      <c r="DX172">
        <v>37.748399999999997</v>
      </c>
      <c r="DY172">
        <v>1</v>
      </c>
      <c r="DZ172">
        <v>-0.10537299999999999</v>
      </c>
      <c r="EA172">
        <v>0.368813</v>
      </c>
      <c r="EB172">
        <v>20.1889</v>
      </c>
      <c r="EC172">
        <v>5.2409499999999998</v>
      </c>
      <c r="ED172">
        <v>12.039899999999999</v>
      </c>
      <c r="EE172">
        <v>5.0166000000000004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</v>
      </c>
      <c r="EL172">
        <v>1.8646199999999999</v>
      </c>
      <c r="EM172">
        <v>1.8692</v>
      </c>
      <c r="EN172">
        <v>1.8672200000000001</v>
      </c>
      <c r="EO172">
        <v>1.8633900000000001</v>
      </c>
      <c r="EP172">
        <v>1.8644700000000001</v>
      </c>
      <c r="EQ172">
        <v>1.87015</v>
      </c>
      <c r="ER172">
        <v>1.86941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1.7999999999999999E-2</v>
      </c>
      <c r="FG172">
        <v>0.17519999999999999</v>
      </c>
      <c r="FH172">
        <v>0.28746640474027818</v>
      </c>
      <c r="FI172">
        <v>-6.1462078757559423E-4</v>
      </c>
      <c r="FJ172">
        <v>-1.8861989874597051E-7</v>
      </c>
      <c r="FK172">
        <v>1.1980462299894961E-10</v>
      </c>
      <c r="FL172">
        <v>0.17524818673008091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35.299999999999997</v>
      </c>
      <c r="FU172">
        <v>35.299999999999997</v>
      </c>
      <c r="FV172">
        <v>1.7651399999999999</v>
      </c>
      <c r="FW172">
        <v>2.5756800000000002</v>
      </c>
      <c r="FX172">
        <v>1.5490699999999999</v>
      </c>
      <c r="FY172">
        <v>2.3327599999999999</v>
      </c>
      <c r="FZ172">
        <v>1.50146</v>
      </c>
      <c r="GA172">
        <v>2.3120099999999999</v>
      </c>
      <c r="GB172">
        <v>33.580399999999997</v>
      </c>
      <c r="GC172">
        <v>23.973700000000001</v>
      </c>
      <c r="GD172">
        <v>19</v>
      </c>
      <c r="GE172">
        <v>282.58499999999998</v>
      </c>
      <c r="GF172">
        <v>576.49400000000003</v>
      </c>
      <c r="GG172">
        <v>23.363700000000001</v>
      </c>
      <c r="GH172">
        <v>26.0503</v>
      </c>
      <c r="GI172">
        <v>30.000299999999999</v>
      </c>
      <c r="GJ172">
        <v>26.204899999999999</v>
      </c>
      <c r="GK172">
        <v>26.191199999999998</v>
      </c>
      <c r="GL172">
        <v>35.299700000000001</v>
      </c>
      <c r="GM172">
        <v>100</v>
      </c>
      <c r="GN172">
        <v>16.4895</v>
      </c>
      <c r="GO172">
        <v>23.396799999999999</v>
      </c>
      <c r="GP172">
        <v>800</v>
      </c>
      <c r="GQ172">
        <v>0</v>
      </c>
      <c r="GR172">
        <v>99.770300000000006</v>
      </c>
      <c r="GS172">
        <v>99.6113</v>
      </c>
    </row>
    <row r="173" spans="1:201" x14ac:dyDescent="0.25">
      <c r="A173">
        <v>157</v>
      </c>
      <c r="B173">
        <v>1690384086</v>
      </c>
      <c r="C173">
        <v>1610.900000095367</v>
      </c>
      <c r="D173" t="s">
        <v>645</v>
      </c>
      <c r="E173" t="s">
        <v>646</v>
      </c>
      <c r="F173" t="s">
        <v>330</v>
      </c>
      <c r="H173">
        <v>1690384086</v>
      </c>
      <c r="I173">
        <f t="shared" si="60"/>
        <v>2.280382870392643E-3</v>
      </c>
      <c r="J173">
        <f t="shared" si="61"/>
        <v>2.2803828703926432</v>
      </c>
      <c r="K173">
        <f t="shared" si="62"/>
        <v>35.781617130440587</v>
      </c>
      <c r="L173">
        <f t="shared" si="63"/>
        <v>400.16899999999998</v>
      </c>
      <c r="M173">
        <f t="shared" si="64"/>
        <v>102.91101652109728</v>
      </c>
      <c r="N173">
        <f t="shared" si="65"/>
        <v>10.165840760626933</v>
      </c>
      <c r="O173">
        <f t="shared" si="66"/>
        <v>39.529823617137701</v>
      </c>
      <c r="P173">
        <f t="shared" si="67"/>
        <v>0.20467275115307423</v>
      </c>
      <c r="Q173">
        <f t="shared" si="68"/>
        <v>2.1117877871136796</v>
      </c>
      <c r="R173">
        <f t="shared" si="69"/>
        <v>0.19425640498388305</v>
      </c>
      <c r="S173">
        <f t="shared" si="70"/>
        <v>0.12230192855047949</v>
      </c>
      <c r="T173">
        <f t="shared" si="71"/>
        <v>276.11501430600003</v>
      </c>
      <c r="U173">
        <f t="shared" si="72"/>
        <v>26.80732622309975</v>
      </c>
      <c r="V173">
        <f t="shared" si="73"/>
        <v>26.80732622309975</v>
      </c>
      <c r="W173">
        <f t="shared" si="74"/>
        <v>3.5388566685159319</v>
      </c>
      <c r="X173">
        <f t="shared" si="75"/>
        <v>74.111079462627544</v>
      </c>
      <c r="Y173">
        <f t="shared" si="76"/>
        <v>2.4141830534756901</v>
      </c>
      <c r="Z173">
        <f t="shared" si="77"/>
        <v>3.2575197541051946</v>
      </c>
      <c r="AA173">
        <f t="shared" si="78"/>
        <v>1.1246736150402419</v>
      </c>
      <c r="AB173">
        <f t="shared" si="79"/>
        <v>-100.56488458431555</v>
      </c>
      <c r="AC173">
        <f t="shared" si="80"/>
        <v>-159.50782067194655</v>
      </c>
      <c r="AD173">
        <f t="shared" si="81"/>
        <v>-16.155641748774073</v>
      </c>
      <c r="AE173">
        <f t="shared" si="82"/>
        <v>-0.11333269903616383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52540.899479517837</v>
      </c>
      <c r="AK173">
        <f t="shared" si="86"/>
        <v>1800</v>
      </c>
      <c r="AL173">
        <f t="shared" si="87"/>
        <v>1499.1111575999998</v>
      </c>
      <c r="AM173">
        <f t="shared" si="88"/>
        <v>0.83283953199999994</v>
      </c>
      <c r="AN173">
        <f t="shared" si="89"/>
        <v>0.15339723017000001</v>
      </c>
      <c r="AO173">
        <v>32.700000000000003</v>
      </c>
      <c r="AP173">
        <v>0.5</v>
      </c>
      <c r="AQ173" t="s">
        <v>331</v>
      </c>
      <c r="AR173">
        <v>2</v>
      </c>
      <c r="AS173">
        <v>1690384086</v>
      </c>
      <c r="AT173">
        <v>400.16899999999998</v>
      </c>
      <c r="AU173">
        <v>800.03</v>
      </c>
      <c r="AV173">
        <v>24.439299999999999</v>
      </c>
      <c r="AW173">
        <v>0.19697799999999999</v>
      </c>
      <c r="AX173">
        <v>400.15</v>
      </c>
      <c r="AY173">
        <v>24.263999999999999</v>
      </c>
      <c r="AZ173">
        <v>300.07900000000001</v>
      </c>
      <c r="BA173">
        <v>98.682900000000004</v>
      </c>
      <c r="BB173">
        <v>9.9923300000000007E-2</v>
      </c>
      <c r="BC173">
        <v>25.406300000000002</v>
      </c>
      <c r="BD173">
        <v>26.962700000000002</v>
      </c>
      <c r="BE173">
        <v>26.718299999999999</v>
      </c>
      <c r="BF173">
        <v>0</v>
      </c>
      <c r="BG173">
        <v>0</v>
      </c>
      <c r="BH173">
        <v>10016.200000000001</v>
      </c>
      <c r="BI173">
        <v>1059.3599999999999</v>
      </c>
      <c r="BJ173">
        <v>1.93428</v>
      </c>
      <c r="BK173">
        <v>-399.86099999999999</v>
      </c>
      <c r="BL173">
        <v>410.19400000000002</v>
      </c>
      <c r="BM173">
        <v>800.18799999999999</v>
      </c>
      <c r="BN173">
        <v>24.2423</v>
      </c>
      <c r="BO173">
        <v>800.03</v>
      </c>
      <c r="BP173">
        <v>0.19697799999999999</v>
      </c>
      <c r="BQ173">
        <v>2.41174</v>
      </c>
      <c r="BR173">
        <v>1.9438299999999999E-2</v>
      </c>
      <c r="BS173">
        <v>20.442799999999998</v>
      </c>
      <c r="BT173">
        <v>-39.6995</v>
      </c>
      <c r="BU173">
        <v>1800</v>
      </c>
      <c r="BV173">
        <v>0.91000199999999998</v>
      </c>
      <c r="BW173">
        <v>3.4007500000000003E-2</v>
      </c>
      <c r="BX173">
        <v>2.1997099999999999E-2</v>
      </c>
      <c r="BY173">
        <v>3.3993500000000003E-2</v>
      </c>
      <c r="BZ173">
        <v>26</v>
      </c>
      <c r="CA173">
        <v>33528.400000000001</v>
      </c>
      <c r="CB173">
        <v>1690381960.0999999</v>
      </c>
      <c r="CC173" t="s">
        <v>332</v>
      </c>
      <c r="CD173">
        <v>1690381960.0999999</v>
      </c>
      <c r="CE173">
        <v>1690381958.0999999</v>
      </c>
      <c r="CF173">
        <v>4</v>
      </c>
      <c r="CG173">
        <v>9.9000000000000005E-2</v>
      </c>
      <c r="CH173">
        <v>1.2E-2</v>
      </c>
      <c r="CI173">
        <v>-0.26300000000000001</v>
      </c>
      <c r="CJ173">
        <v>0.127</v>
      </c>
      <c r="CK173">
        <v>798</v>
      </c>
      <c r="CL173">
        <v>18</v>
      </c>
      <c r="CM173">
        <v>0.02</v>
      </c>
      <c r="CN173">
        <v>0.12</v>
      </c>
      <c r="CO173">
        <v>-398.57860975609748</v>
      </c>
      <c r="CP173">
        <v>-6.5451637630669257</v>
      </c>
      <c r="CQ173">
        <v>0.64768148894678745</v>
      </c>
      <c r="CR173">
        <v>-1</v>
      </c>
      <c r="CS173">
        <v>24.185095121951221</v>
      </c>
      <c r="CT173">
        <v>0.26611777003482179</v>
      </c>
      <c r="CU173">
        <v>2.6515949652251271E-2</v>
      </c>
      <c r="CV173">
        <v>-1</v>
      </c>
      <c r="CW173">
        <v>0</v>
      </c>
      <c r="CX173">
        <v>0</v>
      </c>
      <c r="CY173" t="s">
        <v>333</v>
      </c>
      <c r="CZ173">
        <v>2.3645700000000001</v>
      </c>
      <c r="DA173">
        <v>2.71373</v>
      </c>
      <c r="DB173">
        <v>8.9176500000000006E-2</v>
      </c>
      <c r="DC173">
        <v>0.145455</v>
      </c>
      <c r="DD173">
        <v>0.11500199999999999</v>
      </c>
      <c r="DE173">
        <v>1.64861E-3</v>
      </c>
      <c r="DF173">
        <v>33268.9</v>
      </c>
      <c r="DG173">
        <v>27552.799999999999</v>
      </c>
      <c r="DH173">
        <v>31181.8</v>
      </c>
      <c r="DI173">
        <v>28095</v>
      </c>
      <c r="DJ173">
        <v>37460</v>
      </c>
      <c r="DK173">
        <v>39890.699999999997</v>
      </c>
      <c r="DL173">
        <v>44376.7</v>
      </c>
      <c r="DM173">
        <v>42580.6</v>
      </c>
      <c r="DN173">
        <v>1.47705</v>
      </c>
      <c r="DO173">
        <v>2.0301300000000002</v>
      </c>
      <c r="DP173">
        <v>0.158411</v>
      </c>
      <c r="DQ173">
        <v>0.14507</v>
      </c>
      <c r="DR173">
        <v>24.366399999999999</v>
      </c>
      <c r="DS173">
        <v>24.3401</v>
      </c>
      <c r="DT173">
        <v>26.7</v>
      </c>
      <c r="DU173">
        <v>29.1</v>
      </c>
      <c r="DV173">
        <v>10.9428</v>
      </c>
      <c r="DW173">
        <v>60.573099999999997</v>
      </c>
      <c r="DX173">
        <v>37.848599999999998</v>
      </c>
      <c r="DY173">
        <v>1</v>
      </c>
      <c r="DZ173">
        <v>-0.10606699999999999</v>
      </c>
      <c r="EA173">
        <v>0.286408</v>
      </c>
      <c r="EB173">
        <v>20.1891</v>
      </c>
      <c r="EC173">
        <v>5.2406499999999996</v>
      </c>
      <c r="ED173">
        <v>12.039899999999999</v>
      </c>
      <c r="EE173">
        <v>5.01675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</v>
      </c>
      <c r="EL173">
        <v>1.8646199999999999</v>
      </c>
      <c r="EM173">
        <v>1.8692</v>
      </c>
      <c r="EN173">
        <v>1.8672299999999999</v>
      </c>
      <c r="EO173">
        <v>1.86338</v>
      </c>
      <c r="EP173">
        <v>1.8644700000000001</v>
      </c>
      <c r="EQ173">
        <v>1.87015</v>
      </c>
      <c r="ER173">
        <v>1.86937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1.9E-2</v>
      </c>
      <c r="FG173">
        <v>0.17530000000000001</v>
      </c>
      <c r="FH173">
        <v>0.28746640474027818</v>
      </c>
      <c r="FI173">
        <v>-6.1462078757559423E-4</v>
      </c>
      <c r="FJ173">
        <v>-1.8861989874597051E-7</v>
      </c>
      <c r="FK173">
        <v>1.1980462299894961E-10</v>
      </c>
      <c r="FL173">
        <v>0.17524818673008091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35.4</v>
      </c>
      <c r="FU173">
        <v>35.5</v>
      </c>
      <c r="FV173">
        <v>1.7651399999999999</v>
      </c>
      <c r="FW173">
        <v>2.5769000000000002</v>
      </c>
      <c r="FX173">
        <v>1.5490699999999999</v>
      </c>
      <c r="FY173">
        <v>2.3327599999999999</v>
      </c>
      <c r="FZ173">
        <v>1.50146</v>
      </c>
      <c r="GA173">
        <v>2.3339799999999999</v>
      </c>
      <c r="GB173">
        <v>33.602899999999998</v>
      </c>
      <c r="GC173">
        <v>23.982399999999998</v>
      </c>
      <c r="GD173">
        <v>19</v>
      </c>
      <c r="GE173">
        <v>282.58499999999998</v>
      </c>
      <c r="GF173">
        <v>576.35500000000002</v>
      </c>
      <c r="GG173">
        <v>23.4208</v>
      </c>
      <c r="GH173">
        <v>26.047999999999998</v>
      </c>
      <c r="GI173">
        <v>29.9999</v>
      </c>
      <c r="GJ173">
        <v>26.2026</v>
      </c>
      <c r="GK173">
        <v>26.189800000000002</v>
      </c>
      <c r="GL173">
        <v>35.297499999999999</v>
      </c>
      <c r="GM173">
        <v>100</v>
      </c>
      <c r="GN173">
        <v>16.0899</v>
      </c>
      <c r="GO173">
        <v>23.450299999999999</v>
      </c>
      <c r="GP173">
        <v>800</v>
      </c>
      <c r="GQ173">
        <v>0</v>
      </c>
      <c r="GR173">
        <v>99.771100000000004</v>
      </c>
      <c r="GS173">
        <v>99.612399999999994</v>
      </c>
    </row>
    <row r="174" spans="1:201" x14ac:dyDescent="0.25">
      <c r="A174">
        <v>158</v>
      </c>
      <c r="B174">
        <v>1690384096</v>
      </c>
      <c r="C174">
        <v>1620.900000095367</v>
      </c>
      <c r="D174" t="s">
        <v>647</v>
      </c>
      <c r="E174" t="s">
        <v>648</v>
      </c>
      <c r="F174" t="s">
        <v>330</v>
      </c>
      <c r="H174">
        <v>1690384096</v>
      </c>
      <c r="I174">
        <f t="shared" si="60"/>
        <v>2.2866658813433579E-3</v>
      </c>
      <c r="J174">
        <f t="shared" si="61"/>
        <v>2.286665881343358</v>
      </c>
      <c r="K174">
        <f t="shared" si="62"/>
        <v>35.851655252499867</v>
      </c>
      <c r="L174">
        <f t="shared" si="63"/>
        <v>399.327</v>
      </c>
      <c r="M174">
        <f t="shared" si="64"/>
        <v>103.39515180324753</v>
      </c>
      <c r="N174">
        <f t="shared" si="65"/>
        <v>10.213491585968759</v>
      </c>
      <c r="O174">
        <f t="shared" si="66"/>
        <v>39.445978688742002</v>
      </c>
      <c r="P174">
        <f t="shared" si="67"/>
        <v>0.206059321410796</v>
      </c>
      <c r="Q174">
        <f t="shared" si="68"/>
        <v>2.1104824744112407</v>
      </c>
      <c r="R174">
        <f t="shared" si="69"/>
        <v>0.19549910485159533</v>
      </c>
      <c r="S174">
        <f t="shared" si="70"/>
        <v>0.1230906178926828</v>
      </c>
      <c r="T174">
        <f t="shared" si="71"/>
        <v>276.11483695200002</v>
      </c>
      <c r="U174">
        <f t="shared" si="72"/>
        <v>26.818083839407365</v>
      </c>
      <c r="V174">
        <f t="shared" si="73"/>
        <v>26.818083839407365</v>
      </c>
      <c r="W174">
        <f t="shared" si="74"/>
        <v>3.5410964313280209</v>
      </c>
      <c r="X174">
        <f t="shared" si="75"/>
        <v>74.253066701191884</v>
      </c>
      <c r="Y174">
        <f t="shared" si="76"/>
        <v>2.4205628359278002</v>
      </c>
      <c r="Z174">
        <f t="shared" si="77"/>
        <v>3.2598826465559925</v>
      </c>
      <c r="AA174">
        <f t="shared" si="78"/>
        <v>1.1205335954002207</v>
      </c>
      <c r="AB174">
        <f t="shared" si="79"/>
        <v>-100.84196536724208</v>
      </c>
      <c r="AC174">
        <f t="shared" si="80"/>
        <v>-159.24511273459618</v>
      </c>
      <c r="AD174">
        <f t="shared" si="81"/>
        <v>-16.140867182321603</v>
      </c>
      <c r="AE174">
        <f t="shared" si="82"/>
        <v>-0.11310833215983962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52481.514040182541</v>
      </c>
      <c r="AK174">
        <f t="shared" si="86"/>
        <v>1800</v>
      </c>
      <c r="AL174">
        <f t="shared" si="87"/>
        <v>1499.1107382</v>
      </c>
      <c r="AM174">
        <f t="shared" si="88"/>
        <v>0.83283929899999998</v>
      </c>
      <c r="AN174">
        <f t="shared" si="89"/>
        <v>0.15339713164000002</v>
      </c>
      <c r="AO174">
        <v>32.700000000000003</v>
      </c>
      <c r="AP174">
        <v>0.5</v>
      </c>
      <c r="AQ174" t="s">
        <v>331</v>
      </c>
      <c r="AR174">
        <v>2</v>
      </c>
      <c r="AS174">
        <v>1690384096</v>
      </c>
      <c r="AT174">
        <v>399.327</v>
      </c>
      <c r="AU174">
        <v>799.98299999999995</v>
      </c>
      <c r="AV174">
        <v>24.504300000000001</v>
      </c>
      <c r="AW174">
        <v>0.19526499999999999</v>
      </c>
      <c r="AX174">
        <v>399.30700000000002</v>
      </c>
      <c r="AY174">
        <v>24.329000000000001</v>
      </c>
      <c r="AZ174">
        <v>300.06</v>
      </c>
      <c r="BA174">
        <v>98.681200000000004</v>
      </c>
      <c r="BB174">
        <v>9.9945999999999993E-2</v>
      </c>
      <c r="BC174">
        <v>25.418500000000002</v>
      </c>
      <c r="BD174">
        <v>27.0063</v>
      </c>
      <c r="BE174">
        <v>26.75</v>
      </c>
      <c r="BF174">
        <v>0</v>
      </c>
      <c r="BG174">
        <v>0</v>
      </c>
      <c r="BH174">
        <v>10005</v>
      </c>
      <c r="BI174">
        <v>1059.43</v>
      </c>
      <c r="BJ174">
        <v>1.8501799999999999</v>
      </c>
      <c r="BK174">
        <v>-400.65699999999998</v>
      </c>
      <c r="BL174">
        <v>409.358</v>
      </c>
      <c r="BM174">
        <v>800.14</v>
      </c>
      <c r="BN174">
        <v>24.309000000000001</v>
      </c>
      <c r="BO174">
        <v>799.98299999999995</v>
      </c>
      <c r="BP174">
        <v>0.19526499999999999</v>
      </c>
      <c r="BQ174">
        <v>2.41811</v>
      </c>
      <c r="BR174">
        <v>1.9269000000000001E-2</v>
      </c>
      <c r="BS174">
        <v>20.485600000000002</v>
      </c>
      <c r="BT174">
        <v>-39.7836</v>
      </c>
      <c r="BU174">
        <v>1800</v>
      </c>
      <c r="BV174">
        <v>0.91000300000000001</v>
      </c>
      <c r="BW174">
        <v>3.4007000000000003E-2</v>
      </c>
      <c r="BX174">
        <v>2.1996700000000001E-2</v>
      </c>
      <c r="BY174">
        <v>3.3993000000000002E-2</v>
      </c>
      <c r="BZ174">
        <v>26</v>
      </c>
      <c r="CA174">
        <v>33528.5</v>
      </c>
      <c r="CB174">
        <v>1690381960.0999999</v>
      </c>
      <c r="CC174" t="s">
        <v>332</v>
      </c>
      <c r="CD174">
        <v>1690381960.0999999</v>
      </c>
      <c r="CE174">
        <v>1690381958.0999999</v>
      </c>
      <c r="CF174">
        <v>4</v>
      </c>
      <c r="CG174">
        <v>9.9000000000000005E-2</v>
      </c>
      <c r="CH174">
        <v>1.2E-2</v>
      </c>
      <c r="CI174">
        <v>-0.26300000000000001</v>
      </c>
      <c r="CJ174">
        <v>0.127</v>
      </c>
      <c r="CK174">
        <v>798</v>
      </c>
      <c r="CL174">
        <v>18</v>
      </c>
      <c r="CM174">
        <v>0.02</v>
      </c>
      <c r="CN174">
        <v>0.12</v>
      </c>
      <c r="CO174">
        <v>-399.668025</v>
      </c>
      <c r="CP174">
        <v>-6.6618799249529612</v>
      </c>
      <c r="CQ174">
        <v>0.64526492572818972</v>
      </c>
      <c r="CR174">
        <v>-1</v>
      </c>
      <c r="CS174">
        <v>24.237224999999999</v>
      </c>
      <c r="CT174">
        <v>0.38311969981235561</v>
      </c>
      <c r="CU174">
        <v>3.6904401837721243E-2</v>
      </c>
      <c r="CV174">
        <v>-1</v>
      </c>
      <c r="CW174">
        <v>0</v>
      </c>
      <c r="CX174">
        <v>0</v>
      </c>
      <c r="CY174" t="s">
        <v>333</v>
      </c>
      <c r="CZ174">
        <v>2.36449</v>
      </c>
      <c r="DA174">
        <v>2.71374</v>
      </c>
      <c r="DB174">
        <v>8.9031799999999994E-2</v>
      </c>
      <c r="DC174">
        <v>0.14544699999999999</v>
      </c>
      <c r="DD174">
        <v>0.115216</v>
      </c>
      <c r="DE174">
        <v>1.6344300000000001E-3</v>
      </c>
      <c r="DF174">
        <v>33273.9</v>
      </c>
      <c r="DG174">
        <v>27553.200000000001</v>
      </c>
      <c r="DH174">
        <v>31181.599999999999</v>
      </c>
      <c r="DI174">
        <v>28095.200000000001</v>
      </c>
      <c r="DJ174">
        <v>37450.6</v>
      </c>
      <c r="DK174">
        <v>39891.5</v>
      </c>
      <c r="DL174">
        <v>44376.4</v>
      </c>
      <c r="DM174">
        <v>42580.9</v>
      </c>
      <c r="DN174">
        <v>1.47705</v>
      </c>
      <c r="DO174">
        <v>2.0301999999999998</v>
      </c>
      <c r="DP174">
        <v>0.16081000000000001</v>
      </c>
      <c r="DQ174">
        <v>0.14684</v>
      </c>
      <c r="DR174">
        <v>24.370799999999999</v>
      </c>
      <c r="DS174">
        <v>24.3429</v>
      </c>
      <c r="DT174">
        <v>26.4</v>
      </c>
      <c r="DU174">
        <v>29.1</v>
      </c>
      <c r="DV174">
        <v>10.8218</v>
      </c>
      <c r="DW174">
        <v>61.043100000000003</v>
      </c>
      <c r="DX174">
        <v>37.744399999999999</v>
      </c>
      <c r="DY174">
        <v>1</v>
      </c>
      <c r="DZ174">
        <v>-0.106021</v>
      </c>
      <c r="EA174">
        <v>0.36000300000000002</v>
      </c>
      <c r="EB174">
        <v>20.188700000000001</v>
      </c>
      <c r="EC174">
        <v>5.2409499999999998</v>
      </c>
      <c r="ED174">
        <v>12.039899999999999</v>
      </c>
      <c r="EE174">
        <v>5.0168499999999998</v>
      </c>
      <c r="EF174">
        <v>3.2879700000000001</v>
      </c>
      <c r="EG174">
        <v>9999</v>
      </c>
      <c r="EH174">
        <v>9999</v>
      </c>
      <c r="EI174">
        <v>9999</v>
      </c>
      <c r="EJ174">
        <v>999.9</v>
      </c>
      <c r="EK174">
        <v>1.8689</v>
      </c>
      <c r="EL174">
        <v>1.86463</v>
      </c>
      <c r="EM174">
        <v>1.8692</v>
      </c>
      <c r="EN174">
        <v>1.8672200000000001</v>
      </c>
      <c r="EO174">
        <v>1.8633900000000001</v>
      </c>
      <c r="EP174">
        <v>1.8644700000000001</v>
      </c>
      <c r="EQ174">
        <v>1.8701399999999999</v>
      </c>
      <c r="ER174">
        <v>1.8694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0.02</v>
      </c>
      <c r="FG174">
        <v>0.17530000000000001</v>
      </c>
      <c r="FH174">
        <v>0.28746640474027818</v>
      </c>
      <c r="FI174">
        <v>-6.1462078757559423E-4</v>
      </c>
      <c r="FJ174">
        <v>-1.8861989874597051E-7</v>
      </c>
      <c r="FK174">
        <v>1.1980462299894961E-10</v>
      </c>
      <c r="FL174">
        <v>0.17524818673008091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35.6</v>
      </c>
      <c r="FU174">
        <v>35.6</v>
      </c>
      <c r="FV174">
        <v>1.7651399999999999</v>
      </c>
      <c r="FW174">
        <v>2.5769000000000002</v>
      </c>
      <c r="FX174">
        <v>1.5490699999999999</v>
      </c>
      <c r="FY174">
        <v>2.3315399999999999</v>
      </c>
      <c r="FZ174">
        <v>1.50146</v>
      </c>
      <c r="GA174">
        <v>2.36206</v>
      </c>
      <c r="GB174">
        <v>33.580399999999997</v>
      </c>
      <c r="GC174">
        <v>23.982399999999998</v>
      </c>
      <c r="GD174">
        <v>19</v>
      </c>
      <c r="GE174">
        <v>282.58300000000003</v>
      </c>
      <c r="GF174">
        <v>576.39200000000005</v>
      </c>
      <c r="GG174">
        <v>23.476900000000001</v>
      </c>
      <c r="GH174">
        <v>26.047999999999998</v>
      </c>
      <c r="GI174">
        <v>30.0002</v>
      </c>
      <c r="GJ174">
        <v>26.202200000000001</v>
      </c>
      <c r="GK174">
        <v>26.1876</v>
      </c>
      <c r="GL174">
        <v>35.2956</v>
      </c>
      <c r="GM174">
        <v>100</v>
      </c>
      <c r="GN174">
        <v>15.309699999999999</v>
      </c>
      <c r="GO174">
        <v>23.4252</v>
      </c>
      <c r="GP174">
        <v>800</v>
      </c>
      <c r="GQ174">
        <v>0</v>
      </c>
      <c r="GR174">
        <v>99.770399999999995</v>
      </c>
      <c r="GS174">
        <v>99.613200000000006</v>
      </c>
    </row>
    <row r="175" spans="1:201" x14ac:dyDescent="0.25">
      <c r="A175">
        <v>159</v>
      </c>
      <c r="B175">
        <v>1690384106</v>
      </c>
      <c r="C175">
        <v>1630.900000095367</v>
      </c>
      <c r="D175" t="s">
        <v>649</v>
      </c>
      <c r="E175" t="s">
        <v>650</v>
      </c>
      <c r="F175" t="s">
        <v>330</v>
      </c>
      <c r="H175">
        <v>1690384106</v>
      </c>
      <c r="I175">
        <f t="shared" si="60"/>
        <v>2.291234021530759E-3</v>
      </c>
      <c r="J175">
        <f t="shared" si="61"/>
        <v>2.2912340215307592</v>
      </c>
      <c r="K175">
        <f t="shared" si="62"/>
        <v>35.970245745393889</v>
      </c>
      <c r="L175">
        <f t="shared" si="63"/>
        <v>398.12200000000001</v>
      </c>
      <c r="M175">
        <f t="shared" si="64"/>
        <v>102.92002125704091</v>
      </c>
      <c r="N175">
        <f t="shared" si="65"/>
        <v>10.166676168811343</v>
      </c>
      <c r="O175">
        <f t="shared" si="66"/>
        <v>39.327405885107204</v>
      </c>
      <c r="P175">
        <f t="shared" si="67"/>
        <v>0.20728654162487389</v>
      </c>
      <c r="Q175">
        <f t="shared" si="68"/>
        <v>2.1115754537293374</v>
      </c>
      <c r="R175">
        <f t="shared" si="69"/>
        <v>0.19660889010569652</v>
      </c>
      <c r="S175">
        <f t="shared" si="70"/>
        <v>0.12379404827727919</v>
      </c>
      <c r="T175">
        <f t="shared" si="71"/>
        <v>276.11479836000001</v>
      </c>
      <c r="U175">
        <f t="shared" si="72"/>
        <v>26.821310345906419</v>
      </c>
      <c r="V175">
        <f t="shared" si="73"/>
        <v>26.821310345906419</v>
      </c>
      <c r="W175">
        <f t="shared" si="74"/>
        <v>3.5417684393117579</v>
      </c>
      <c r="X175">
        <f t="shared" si="75"/>
        <v>74.375674902973174</v>
      </c>
      <c r="Y175">
        <f t="shared" si="76"/>
        <v>2.4253523618240003</v>
      </c>
      <c r="Z175">
        <f t="shared" si="77"/>
        <v>3.2609483745700389</v>
      </c>
      <c r="AA175">
        <f t="shared" si="78"/>
        <v>1.1164160774877576</v>
      </c>
      <c r="AB175">
        <f t="shared" si="79"/>
        <v>-101.04342034950648</v>
      </c>
      <c r="AC175">
        <f t="shared" si="80"/>
        <v>-159.0687699855005</v>
      </c>
      <c r="AD175">
        <f t="shared" si="81"/>
        <v>-16.115352764850176</v>
      </c>
      <c r="AE175">
        <f t="shared" si="82"/>
        <v>-0.11274473985713485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52528.464882117914</v>
      </c>
      <c r="AK175">
        <f t="shared" si="86"/>
        <v>1800</v>
      </c>
      <c r="AL175">
        <f t="shared" si="87"/>
        <v>1499.1108929999998</v>
      </c>
      <c r="AM175">
        <f t="shared" si="88"/>
        <v>0.83283938499999988</v>
      </c>
      <c r="AN175">
        <f t="shared" si="89"/>
        <v>0.15339711019999999</v>
      </c>
      <c r="AO175">
        <v>32.700000000000003</v>
      </c>
      <c r="AP175">
        <v>0.5</v>
      </c>
      <c r="AQ175" t="s">
        <v>331</v>
      </c>
      <c r="AR175">
        <v>2</v>
      </c>
      <c r="AS175">
        <v>1690384106</v>
      </c>
      <c r="AT175">
        <v>398.12200000000001</v>
      </c>
      <c r="AU175">
        <v>800.09500000000003</v>
      </c>
      <c r="AV175">
        <v>24.552499999999998</v>
      </c>
      <c r="AW175">
        <v>0.193995</v>
      </c>
      <c r="AX175">
        <v>398.101</v>
      </c>
      <c r="AY175">
        <v>24.377199999999998</v>
      </c>
      <c r="AZ175">
        <v>300.03399999999999</v>
      </c>
      <c r="BA175">
        <v>98.682400000000001</v>
      </c>
      <c r="BB175">
        <v>9.9897600000000003E-2</v>
      </c>
      <c r="BC175">
        <v>25.423999999999999</v>
      </c>
      <c r="BD175">
        <v>27.008600000000001</v>
      </c>
      <c r="BE175">
        <v>26.764299999999999</v>
      </c>
      <c r="BF175">
        <v>0</v>
      </c>
      <c r="BG175">
        <v>0</v>
      </c>
      <c r="BH175">
        <v>10014.4</v>
      </c>
      <c r="BI175">
        <v>1059.46</v>
      </c>
      <c r="BJ175">
        <v>1.8011200000000001</v>
      </c>
      <c r="BK175">
        <v>-401.97300000000001</v>
      </c>
      <c r="BL175">
        <v>408.14299999999997</v>
      </c>
      <c r="BM175">
        <v>800.25099999999998</v>
      </c>
      <c r="BN175">
        <v>24.358499999999999</v>
      </c>
      <c r="BO175">
        <v>800.09500000000003</v>
      </c>
      <c r="BP175">
        <v>0.193995</v>
      </c>
      <c r="BQ175">
        <v>2.4228999999999998</v>
      </c>
      <c r="BR175">
        <v>1.9143899999999998E-2</v>
      </c>
      <c r="BS175">
        <v>20.517600000000002</v>
      </c>
      <c r="BT175">
        <v>-39.8461</v>
      </c>
      <c r="BU175">
        <v>1800</v>
      </c>
      <c r="BV175">
        <v>0.91000400000000004</v>
      </c>
      <c r="BW175">
        <v>3.4006599999999998E-2</v>
      </c>
      <c r="BX175">
        <v>2.1996499999999999E-2</v>
      </c>
      <c r="BY175">
        <v>3.3992599999999998E-2</v>
      </c>
      <c r="BZ175">
        <v>26</v>
      </c>
      <c r="CA175">
        <v>33528.400000000001</v>
      </c>
      <c r="CB175">
        <v>1690381960.0999999</v>
      </c>
      <c r="CC175" t="s">
        <v>332</v>
      </c>
      <c r="CD175">
        <v>1690381960.0999999</v>
      </c>
      <c r="CE175">
        <v>1690381958.0999999</v>
      </c>
      <c r="CF175">
        <v>4</v>
      </c>
      <c r="CG175">
        <v>9.9000000000000005E-2</v>
      </c>
      <c r="CH175">
        <v>1.2E-2</v>
      </c>
      <c r="CI175">
        <v>-0.26300000000000001</v>
      </c>
      <c r="CJ175">
        <v>0.127</v>
      </c>
      <c r="CK175">
        <v>798</v>
      </c>
      <c r="CL175">
        <v>18</v>
      </c>
      <c r="CM175">
        <v>0.02</v>
      </c>
      <c r="CN175">
        <v>0.12</v>
      </c>
      <c r="CO175">
        <v>-400.70774999999998</v>
      </c>
      <c r="CP175">
        <v>-5.7568930581615989</v>
      </c>
      <c r="CQ175">
        <v>0.55900048076902542</v>
      </c>
      <c r="CR175">
        <v>-1</v>
      </c>
      <c r="CS175">
        <v>24.299745000000001</v>
      </c>
      <c r="CT175">
        <v>0.36918574108813068</v>
      </c>
      <c r="CU175">
        <v>3.5608980257794708E-2</v>
      </c>
      <c r="CV175">
        <v>-1</v>
      </c>
      <c r="CW175">
        <v>0</v>
      </c>
      <c r="CX175">
        <v>0</v>
      </c>
      <c r="CY175" t="s">
        <v>333</v>
      </c>
      <c r="CZ175">
        <v>2.3644099999999999</v>
      </c>
      <c r="DA175">
        <v>2.7136999999999998</v>
      </c>
      <c r="DB175">
        <v>8.8827799999999998E-2</v>
      </c>
      <c r="DC175">
        <v>0.14546300000000001</v>
      </c>
      <c r="DD175">
        <v>0.11537699999999999</v>
      </c>
      <c r="DE175">
        <v>1.62396E-3</v>
      </c>
      <c r="DF175">
        <v>33281.800000000003</v>
      </c>
      <c r="DG175">
        <v>27552.7</v>
      </c>
      <c r="DH175">
        <v>31182</v>
      </c>
      <c r="DI175">
        <v>28095.200000000001</v>
      </c>
      <c r="DJ175">
        <v>37444.1</v>
      </c>
      <c r="DK175">
        <v>39891.9</v>
      </c>
      <c r="DL175">
        <v>44376.9</v>
      </c>
      <c r="DM175">
        <v>42580.9</v>
      </c>
      <c r="DN175">
        <v>1.47695</v>
      </c>
      <c r="DO175">
        <v>2.0301300000000002</v>
      </c>
      <c r="DP175">
        <v>0.16065299999999999</v>
      </c>
      <c r="DQ175">
        <v>0.14740600000000001</v>
      </c>
      <c r="DR175">
        <v>24.375599999999999</v>
      </c>
      <c r="DS175">
        <v>24.347999999999999</v>
      </c>
      <c r="DT175">
        <v>26.2</v>
      </c>
      <c r="DU175">
        <v>29.1</v>
      </c>
      <c r="DV175">
        <v>10.7394</v>
      </c>
      <c r="DW175">
        <v>60.673099999999998</v>
      </c>
      <c r="DX175">
        <v>37.560099999999998</v>
      </c>
      <c r="DY175">
        <v>1</v>
      </c>
      <c r="DZ175">
        <v>-0.106596</v>
      </c>
      <c r="EA175">
        <v>0.50881799999999999</v>
      </c>
      <c r="EB175">
        <v>20.188199999999998</v>
      </c>
      <c r="EC175">
        <v>5.2401999999999997</v>
      </c>
      <c r="ED175">
        <v>12.039899999999999</v>
      </c>
      <c r="EE175">
        <v>5.01675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</v>
      </c>
      <c r="EL175">
        <v>1.8646199999999999</v>
      </c>
      <c r="EM175">
        <v>1.8692</v>
      </c>
      <c r="EN175">
        <v>1.86724</v>
      </c>
      <c r="EO175">
        <v>1.8633999999999999</v>
      </c>
      <c r="EP175">
        <v>1.8644700000000001</v>
      </c>
      <c r="EQ175">
        <v>1.8701399999999999</v>
      </c>
      <c r="ER175">
        <v>1.86938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2.1000000000000001E-2</v>
      </c>
      <c r="FG175">
        <v>0.17530000000000001</v>
      </c>
      <c r="FH175">
        <v>0.28746640474027818</v>
      </c>
      <c r="FI175">
        <v>-6.1462078757559423E-4</v>
      </c>
      <c r="FJ175">
        <v>-1.8861989874597051E-7</v>
      </c>
      <c r="FK175">
        <v>1.1980462299894961E-10</v>
      </c>
      <c r="FL175">
        <v>0.17524818673008091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35.799999999999997</v>
      </c>
      <c r="FU175">
        <v>35.799999999999997</v>
      </c>
      <c r="FV175">
        <v>1.7651399999999999</v>
      </c>
      <c r="FW175">
        <v>2.5756800000000002</v>
      </c>
      <c r="FX175">
        <v>1.5490699999999999</v>
      </c>
      <c r="FY175">
        <v>2.3315399999999999</v>
      </c>
      <c r="FZ175">
        <v>1.50024</v>
      </c>
      <c r="GA175">
        <v>2.3754900000000001</v>
      </c>
      <c r="GB175">
        <v>33.580399999999997</v>
      </c>
      <c r="GC175">
        <v>23.982399999999998</v>
      </c>
      <c r="GD175">
        <v>19</v>
      </c>
      <c r="GE175">
        <v>282.53300000000002</v>
      </c>
      <c r="GF175">
        <v>576.30600000000004</v>
      </c>
      <c r="GG175">
        <v>23.4132</v>
      </c>
      <c r="GH175">
        <v>26.0458</v>
      </c>
      <c r="GI175">
        <v>30</v>
      </c>
      <c r="GJ175">
        <v>26.200399999999998</v>
      </c>
      <c r="GK175">
        <v>26.185500000000001</v>
      </c>
      <c r="GL175">
        <v>35.288699999999999</v>
      </c>
      <c r="GM175">
        <v>100</v>
      </c>
      <c r="GN175">
        <v>14.9305</v>
      </c>
      <c r="GO175">
        <v>23.407</v>
      </c>
      <c r="GP175">
        <v>800</v>
      </c>
      <c r="GQ175">
        <v>0</v>
      </c>
      <c r="GR175">
        <v>99.771699999999996</v>
      </c>
      <c r="GS175">
        <v>99.613100000000003</v>
      </c>
    </row>
    <row r="176" spans="1:201" x14ac:dyDescent="0.25">
      <c r="A176">
        <v>160</v>
      </c>
      <c r="B176">
        <v>1690384116</v>
      </c>
      <c r="C176">
        <v>1640.900000095367</v>
      </c>
      <c r="D176" t="s">
        <v>651</v>
      </c>
      <c r="E176" t="s">
        <v>652</v>
      </c>
      <c r="F176" t="s">
        <v>330</v>
      </c>
      <c r="H176">
        <v>1690384116</v>
      </c>
      <c r="I176">
        <f t="shared" si="60"/>
        <v>2.2949298289919105E-3</v>
      </c>
      <c r="J176">
        <f t="shared" si="61"/>
        <v>2.2949298289919104</v>
      </c>
      <c r="K176">
        <f t="shared" si="62"/>
        <v>36.044402551406677</v>
      </c>
      <c r="L176">
        <f t="shared" si="63"/>
        <v>397.22399999999999</v>
      </c>
      <c r="M176">
        <f t="shared" si="64"/>
        <v>102.88573114330767</v>
      </c>
      <c r="N176">
        <f t="shared" si="65"/>
        <v>10.16337078905665</v>
      </c>
      <c r="O176">
        <f t="shared" si="66"/>
        <v>39.239015492721599</v>
      </c>
      <c r="P176">
        <f t="shared" si="67"/>
        <v>0.20838931227160243</v>
      </c>
      <c r="Q176">
        <f t="shared" si="68"/>
        <v>2.1060466488335958</v>
      </c>
      <c r="R176">
        <f t="shared" si="69"/>
        <v>0.19757418005300287</v>
      </c>
      <c r="S176">
        <f t="shared" si="70"/>
        <v>0.12440876636099385</v>
      </c>
      <c r="T176">
        <f t="shared" si="71"/>
        <v>276.11473778999999</v>
      </c>
      <c r="U176">
        <f t="shared" si="72"/>
        <v>26.820841264541727</v>
      </c>
      <c r="V176">
        <f t="shared" si="73"/>
        <v>26.820841264541727</v>
      </c>
      <c r="W176">
        <f t="shared" si="74"/>
        <v>3.5416707334070638</v>
      </c>
      <c r="X176">
        <f t="shared" si="75"/>
        <v>74.496395463209979</v>
      </c>
      <c r="Y176">
        <f t="shared" si="76"/>
        <v>2.4289280920658998</v>
      </c>
      <c r="Z176">
        <f t="shared" si="77"/>
        <v>3.2604639150164325</v>
      </c>
      <c r="AA176">
        <f t="shared" si="78"/>
        <v>1.1127426413411641</v>
      </c>
      <c r="AB176">
        <f t="shared" si="79"/>
        <v>-101.20640545854326</v>
      </c>
      <c r="AC176">
        <f t="shared" si="80"/>
        <v>-158.88286809887688</v>
      </c>
      <c r="AD176">
        <f t="shared" si="81"/>
        <v>-16.138535569029596</v>
      </c>
      <c r="AE176">
        <f t="shared" si="82"/>
        <v>-0.11307133644976375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52286.953005883537</v>
      </c>
      <c r="AK176">
        <f t="shared" si="86"/>
        <v>1800</v>
      </c>
      <c r="AL176">
        <f t="shared" si="87"/>
        <v>1499.1113070000001</v>
      </c>
      <c r="AM176">
        <f t="shared" si="88"/>
        <v>0.83283961500000003</v>
      </c>
      <c r="AN176">
        <f t="shared" si="89"/>
        <v>0.15339707655000001</v>
      </c>
      <c r="AO176">
        <v>32.700000000000003</v>
      </c>
      <c r="AP176">
        <v>0.5</v>
      </c>
      <c r="AQ176" t="s">
        <v>331</v>
      </c>
      <c r="AR176">
        <v>2</v>
      </c>
      <c r="AS176">
        <v>1690384116</v>
      </c>
      <c r="AT176">
        <v>397.22399999999999</v>
      </c>
      <c r="AU176">
        <v>799.98</v>
      </c>
      <c r="AV176">
        <v>24.5885</v>
      </c>
      <c r="AW176">
        <v>0.192743</v>
      </c>
      <c r="AX176">
        <v>397.20299999999997</v>
      </c>
      <c r="AY176">
        <v>24.4133</v>
      </c>
      <c r="AZ176">
        <v>300.048</v>
      </c>
      <c r="BA176">
        <v>98.683099999999996</v>
      </c>
      <c r="BB176">
        <v>9.9993399999999996E-2</v>
      </c>
      <c r="BC176">
        <v>25.421500000000002</v>
      </c>
      <c r="BD176">
        <v>27.027100000000001</v>
      </c>
      <c r="BE176">
        <v>26.767800000000001</v>
      </c>
      <c r="BF176">
        <v>0</v>
      </c>
      <c r="BG176">
        <v>0</v>
      </c>
      <c r="BH176">
        <v>9966.25</v>
      </c>
      <c r="BI176">
        <v>1059.46</v>
      </c>
      <c r="BJ176">
        <v>1.7941199999999999</v>
      </c>
      <c r="BK176">
        <v>-402.75700000000001</v>
      </c>
      <c r="BL176">
        <v>407.23700000000002</v>
      </c>
      <c r="BM176">
        <v>800.13499999999999</v>
      </c>
      <c r="BN176">
        <v>24.395800000000001</v>
      </c>
      <c r="BO176">
        <v>799.98</v>
      </c>
      <c r="BP176">
        <v>0.192743</v>
      </c>
      <c r="BQ176">
        <v>2.4264700000000001</v>
      </c>
      <c r="BR176">
        <v>1.90204E-2</v>
      </c>
      <c r="BS176">
        <v>20.541499999999999</v>
      </c>
      <c r="BT176">
        <v>-39.908099999999997</v>
      </c>
      <c r="BU176">
        <v>1800</v>
      </c>
      <c r="BV176">
        <v>0.91000599999999998</v>
      </c>
      <c r="BW176">
        <v>3.4005899999999999E-2</v>
      </c>
      <c r="BX176">
        <v>2.1996000000000002E-2</v>
      </c>
      <c r="BY176">
        <v>3.3991899999999999E-2</v>
      </c>
      <c r="BZ176">
        <v>26</v>
      </c>
      <c r="CA176">
        <v>33528.400000000001</v>
      </c>
      <c r="CB176">
        <v>1690381960.0999999</v>
      </c>
      <c r="CC176" t="s">
        <v>332</v>
      </c>
      <c r="CD176">
        <v>1690381960.0999999</v>
      </c>
      <c r="CE176">
        <v>1690381958.0999999</v>
      </c>
      <c r="CF176">
        <v>4</v>
      </c>
      <c r="CG176">
        <v>9.9000000000000005E-2</v>
      </c>
      <c r="CH176">
        <v>1.2E-2</v>
      </c>
      <c r="CI176">
        <v>-0.26300000000000001</v>
      </c>
      <c r="CJ176">
        <v>0.127</v>
      </c>
      <c r="CK176">
        <v>798</v>
      </c>
      <c r="CL176">
        <v>18</v>
      </c>
      <c r="CM176">
        <v>0.02</v>
      </c>
      <c r="CN176">
        <v>0.12</v>
      </c>
      <c r="CO176">
        <v>-401.70657499999999</v>
      </c>
      <c r="CP176">
        <v>-6.2679962476534996</v>
      </c>
      <c r="CQ176">
        <v>0.60802589942781882</v>
      </c>
      <c r="CR176">
        <v>-1</v>
      </c>
      <c r="CS176">
        <v>24.351970000000001</v>
      </c>
      <c r="CT176">
        <v>0.26346191369600669</v>
      </c>
      <c r="CU176">
        <v>2.5489097669395722E-2</v>
      </c>
      <c r="CV176">
        <v>-1</v>
      </c>
      <c r="CW176">
        <v>0</v>
      </c>
      <c r="CX176">
        <v>0</v>
      </c>
      <c r="CY176" t="s">
        <v>333</v>
      </c>
      <c r="CZ176">
        <v>2.3644699999999998</v>
      </c>
      <c r="DA176">
        <v>2.7137500000000001</v>
      </c>
      <c r="DB176">
        <v>8.8675500000000004E-2</v>
      </c>
      <c r="DC176">
        <v>0.145451</v>
      </c>
      <c r="DD176">
        <v>0.115498</v>
      </c>
      <c r="DE176">
        <v>1.6136200000000001E-3</v>
      </c>
      <c r="DF176">
        <v>33287.300000000003</v>
      </c>
      <c r="DG176">
        <v>27552.9</v>
      </c>
      <c r="DH176">
        <v>31181.9</v>
      </c>
      <c r="DI176">
        <v>28095</v>
      </c>
      <c r="DJ176">
        <v>37438.800000000003</v>
      </c>
      <c r="DK176">
        <v>39892.300000000003</v>
      </c>
      <c r="DL176">
        <v>44376.7</v>
      </c>
      <c r="DM176">
        <v>42580.800000000003</v>
      </c>
      <c r="DN176">
        <v>1.47705</v>
      </c>
      <c r="DO176">
        <v>2.0303499999999999</v>
      </c>
      <c r="DP176">
        <v>0.16158400000000001</v>
      </c>
      <c r="DQ176">
        <v>0.147369</v>
      </c>
      <c r="DR176">
        <v>24.379000000000001</v>
      </c>
      <c r="DS176">
        <v>24.3521</v>
      </c>
      <c r="DT176">
        <v>25.9</v>
      </c>
      <c r="DU176">
        <v>29.1</v>
      </c>
      <c r="DV176">
        <v>10.6151</v>
      </c>
      <c r="DW176">
        <v>61.4131</v>
      </c>
      <c r="DX176">
        <v>37.307699999999997</v>
      </c>
      <c r="DY176">
        <v>1</v>
      </c>
      <c r="DZ176">
        <v>-0.106169</v>
      </c>
      <c r="EA176">
        <v>0.50971900000000003</v>
      </c>
      <c r="EB176">
        <v>20.188099999999999</v>
      </c>
      <c r="EC176">
        <v>5.2401999999999997</v>
      </c>
      <c r="ED176">
        <v>12.039899999999999</v>
      </c>
      <c r="EE176">
        <v>5.0165499999999996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</v>
      </c>
      <c r="EL176">
        <v>1.8646199999999999</v>
      </c>
      <c r="EM176">
        <v>1.8692</v>
      </c>
      <c r="EN176">
        <v>1.86724</v>
      </c>
      <c r="EO176">
        <v>1.8633900000000001</v>
      </c>
      <c r="EP176">
        <v>1.8644700000000001</v>
      </c>
      <c r="EQ176">
        <v>1.87015</v>
      </c>
      <c r="ER176">
        <v>1.86941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2.1000000000000001E-2</v>
      </c>
      <c r="FG176">
        <v>0.17519999999999999</v>
      </c>
      <c r="FH176">
        <v>0.28746640474027818</v>
      </c>
      <c r="FI176">
        <v>-6.1462078757559423E-4</v>
      </c>
      <c r="FJ176">
        <v>-1.8861989874597051E-7</v>
      </c>
      <c r="FK176">
        <v>1.1980462299894961E-10</v>
      </c>
      <c r="FL176">
        <v>0.17524818673008091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35.9</v>
      </c>
      <c r="FU176">
        <v>36</v>
      </c>
      <c r="FV176">
        <v>1.7651399999999999</v>
      </c>
      <c r="FW176">
        <v>2.5756800000000002</v>
      </c>
      <c r="FX176">
        <v>1.5490699999999999</v>
      </c>
      <c r="FY176">
        <v>2.3315399999999999</v>
      </c>
      <c r="FZ176">
        <v>1.50146</v>
      </c>
      <c r="GA176">
        <v>2.36328</v>
      </c>
      <c r="GB176">
        <v>33.580399999999997</v>
      </c>
      <c r="GC176">
        <v>23.982399999999998</v>
      </c>
      <c r="GD176">
        <v>19</v>
      </c>
      <c r="GE176">
        <v>282.56599999999997</v>
      </c>
      <c r="GF176">
        <v>576.46600000000001</v>
      </c>
      <c r="GG176">
        <v>23.388999999999999</v>
      </c>
      <c r="GH176">
        <v>26.0444</v>
      </c>
      <c r="GI176">
        <v>30.000299999999999</v>
      </c>
      <c r="GJ176">
        <v>26.1982</v>
      </c>
      <c r="GK176">
        <v>26.183299999999999</v>
      </c>
      <c r="GL176">
        <v>35.293999999999997</v>
      </c>
      <c r="GM176">
        <v>100</v>
      </c>
      <c r="GN176">
        <v>14.172000000000001</v>
      </c>
      <c r="GO176">
        <v>23.3748</v>
      </c>
      <c r="GP176">
        <v>800</v>
      </c>
      <c r="GQ176">
        <v>0</v>
      </c>
      <c r="GR176">
        <v>99.771299999999997</v>
      </c>
      <c r="GS176">
        <v>99.612700000000004</v>
      </c>
    </row>
    <row r="177" spans="1:201" x14ac:dyDescent="0.25">
      <c r="A177">
        <v>161</v>
      </c>
      <c r="B177">
        <v>1690384126</v>
      </c>
      <c r="C177">
        <v>1650.900000095367</v>
      </c>
      <c r="D177" t="s">
        <v>653</v>
      </c>
      <c r="E177" t="s">
        <v>654</v>
      </c>
      <c r="F177" t="s">
        <v>330</v>
      </c>
      <c r="H177">
        <v>1690384126</v>
      </c>
      <c r="I177">
        <f t="shared" si="60"/>
        <v>2.2985402114629643E-3</v>
      </c>
      <c r="J177">
        <f t="shared" si="61"/>
        <v>2.2985402114629645</v>
      </c>
      <c r="K177">
        <f t="shared" si="62"/>
        <v>36.143705687804768</v>
      </c>
      <c r="L177">
        <f t="shared" si="63"/>
        <v>396.31900000000002</v>
      </c>
      <c r="M177">
        <f t="shared" si="64"/>
        <v>102.61604729780169</v>
      </c>
      <c r="N177">
        <f t="shared" si="65"/>
        <v>10.136782056766886</v>
      </c>
      <c r="O177">
        <f t="shared" si="66"/>
        <v>39.149815586805005</v>
      </c>
      <c r="P177">
        <f t="shared" si="67"/>
        <v>0.20946668734955598</v>
      </c>
      <c r="Q177">
        <f t="shared" si="68"/>
        <v>2.1028051311342097</v>
      </c>
      <c r="R177">
        <f t="shared" si="69"/>
        <v>0.19852669024422942</v>
      </c>
      <c r="S177">
        <f t="shared" si="70"/>
        <v>0.12501446268943497</v>
      </c>
      <c r="T177">
        <f t="shared" si="71"/>
        <v>276.11316522744886</v>
      </c>
      <c r="U177">
        <f t="shared" si="72"/>
        <v>26.817916917775428</v>
      </c>
      <c r="V177">
        <f t="shared" si="73"/>
        <v>26.817916917775428</v>
      </c>
      <c r="W177">
        <f t="shared" si="74"/>
        <v>3.5410616683738039</v>
      </c>
      <c r="X177">
        <f t="shared" si="75"/>
        <v>74.604231991733656</v>
      </c>
      <c r="Y177">
        <f t="shared" si="76"/>
        <v>2.4319236902264998</v>
      </c>
      <c r="Z177">
        <f t="shared" si="77"/>
        <v>3.2597664037288974</v>
      </c>
      <c r="AA177">
        <f t="shared" si="78"/>
        <v>1.1091379781473041</v>
      </c>
      <c r="AB177">
        <f t="shared" si="79"/>
        <v>-101.36562332551672</v>
      </c>
      <c r="AC177">
        <f t="shared" si="80"/>
        <v>-158.71492022939822</v>
      </c>
      <c r="AD177">
        <f t="shared" si="81"/>
        <v>-16.145799669590687</v>
      </c>
      <c r="AE177">
        <f t="shared" si="82"/>
        <v>-0.11317799705676634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52146.065801334473</v>
      </c>
      <c r="AK177">
        <f t="shared" si="86"/>
        <v>1799.99</v>
      </c>
      <c r="AL177">
        <f t="shared" si="87"/>
        <v>1499.1031334029899</v>
      </c>
      <c r="AM177">
        <f t="shared" si="88"/>
        <v>0.83283970099999993</v>
      </c>
      <c r="AN177">
        <f t="shared" si="89"/>
        <v>0.15339705510999999</v>
      </c>
      <c r="AO177">
        <v>32.700000000000003</v>
      </c>
      <c r="AP177">
        <v>0.5</v>
      </c>
      <c r="AQ177" t="s">
        <v>331</v>
      </c>
      <c r="AR177">
        <v>2</v>
      </c>
      <c r="AS177">
        <v>1690384126</v>
      </c>
      <c r="AT177">
        <v>396.31900000000002</v>
      </c>
      <c r="AU177">
        <v>800.05600000000004</v>
      </c>
      <c r="AV177">
        <v>24.6187</v>
      </c>
      <c r="AW177">
        <v>0.19101899999999999</v>
      </c>
      <c r="AX177">
        <v>396.29700000000003</v>
      </c>
      <c r="AY177">
        <v>24.4435</v>
      </c>
      <c r="AZ177">
        <v>300.11799999999999</v>
      </c>
      <c r="BA177">
        <v>98.683499999999995</v>
      </c>
      <c r="BB177">
        <v>0.100095</v>
      </c>
      <c r="BC177">
        <v>25.417899999999999</v>
      </c>
      <c r="BD177">
        <v>27.028700000000001</v>
      </c>
      <c r="BE177">
        <v>26.756699999999999</v>
      </c>
      <c r="BF177">
        <v>0</v>
      </c>
      <c r="BG177">
        <v>0</v>
      </c>
      <c r="BH177">
        <v>9938.1200000000008</v>
      </c>
      <c r="BI177">
        <v>1059.53</v>
      </c>
      <c r="BJ177">
        <v>1.7380500000000001</v>
      </c>
      <c r="BK177">
        <v>-403.738</v>
      </c>
      <c r="BL177">
        <v>406.322</v>
      </c>
      <c r="BM177">
        <v>800.20899999999995</v>
      </c>
      <c r="BN177">
        <v>24.427700000000002</v>
      </c>
      <c r="BO177">
        <v>800.05600000000004</v>
      </c>
      <c r="BP177">
        <v>0.19101899999999999</v>
      </c>
      <c r="BQ177">
        <v>2.4294600000000002</v>
      </c>
      <c r="BR177">
        <v>1.88504E-2</v>
      </c>
      <c r="BS177">
        <v>20.561499999999999</v>
      </c>
      <c r="BT177">
        <v>-39.994100000000003</v>
      </c>
      <c r="BU177">
        <v>1799.99</v>
      </c>
      <c r="BV177">
        <v>0.91000700000000001</v>
      </c>
      <c r="BW177">
        <v>3.4005500000000001E-2</v>
      </c>
      <c r="BX177">
        <v>2.1995799999999999E-2</v>
      </c>
      <c r="BY177">
        <v>3.3991500000000001E-2</v>
      </c>
      <c r="BZ177">
        <v>26</v>
      </c>
      <c r="CA177">
        <v>33528.300000000003</v>
      </c>
      <c r="CB177">
        <v>1690381960.0999999</v>
      </c>
      <c r="CC177" t="s">
        <v>332</v>
      </c>
      <c r="CD177">
        <v>1690381960.0999999</v>
      </c>
      <c r="CE177">
        <v>1690381958.0999999</v>
      </c>
      <c r="CF177">
        <v>4</v>
      </c>
      <c r="CG177">
        <v>9.9000000000000005E-2</v>
      </c>
      <c r="CH177">
        <v>1.2E-2</v>
      </c>
      <c r="CI177">
        <v>-0.26300000000000001</v>
      </c>
      <c r="CJ177">
        <v>0.127</v>
      </c>
      <c r="CK177">
        <v>798</v>
      </c>
      <c r="CL177">
        <v>18</v>
      </c>
      <c r="CM177">
        <v>0.02</v>
      </c>
      <c r="CN177">
        <v>0.12</v>
      </c>
      <c r="CO177">
        <v>-402.68110000000001</v>
      </c>
      <c r="CP177">
        <v>-5.2511594746709518</v>
      </c>
      <c r="CQ177">
        <v>0.50787000305195573</v>
      </c>
      <c r="CR177">
        <v>-1</v>
      </c>
      <c r="CS177">
        <v>24.390252499999999</v>
      </c>
      <c r="CT177">
        <v>0.2035530956847374</v>
      </c>
      <c r="CU177">
        <v>1.961944172880549E-2</v>
      </c>
      <c r="CV177">
        <v>-1</v>
      </c>
      <c r="CW177">
        <v>0</v>
      </c>
      <c r="CX177">
        <v>0</v>
      </c>
      <c r="CY177" t="s">
        <v>333</v>
      </c>
      <c r="CZ177">
        <v>2.3646799999999999</v>
      </c>
      <c r="DA177">
        <v>2.7138300000000002</v>
      </c>
      <c r="DB177">
        <v>8.8521500000000003E-2</v>
      </c>
      <c r="DC177">
        <v>0.14546100000000001</v>
      </c>
      <c r="DD177">
        <v>0.11559899999999999</v>
      </c>
      <c r="DE177">
        <v>1.5993699999999999E-3</v>
      </c>
      <c r="DF177">
        <v>33292.9</v>
      </c>
      <c r="DG177">
        <v>27552.6</v>
      </c>
      <c r="DH177">
        <v>31181.8</v>
      </c>
      <c r="DI177">
        <v>28095</v>
      </c>
      <c r="DJ177">
        <v>37434.300000000003</v>
      </c>
      <c r="DK177">
        <v>39892.699999999997</v>
      </c>
      <c r="DL177">
        <v>44376.5</v>
      </c>
      <c r="DM177">
        <v>42580.7</v>
      </c>
      <c r="DN177">
        <v>1.4772799999999999</v>
      </c>
      <c r="DO177">
        <v>2.0301499999999999</v>
      </c>
      <c r="DP177">
        <v>0.16147300000000001</v>
      </c>
      <c r="DQ177">
        <v>0.14644099999999999</v>
      </c>
      <c r="DR177">
        <v>24.382300000000001</v>
      </c>
      <c r="DS177">
        <v>24.356200000000001</v>
      </c>
      <c r="DT177">
        <v>25.7</v>
      </c>
      <c r="DU177">
        <v>29.1</v>
      </c>
      <c r="DV177">
        <v>10.535600000000001</v>
      </c>
      <c r="DW177">
        <v>61.133000000000003</v>
      </c>
      <c r="DX177">
        <v>36.895000000000003</v>
      </c>
      <c r="DY177">
        <v>1</v>
      </c>
      <c r="DZ177">
        <v>-0.106029</v>
      </c>
      <c r="EA177">
        <v>0.52004399999999995</v>
      </c>
      <c r="EB177">
        <v>20.188099999999999</v>
      </c>
      <c r="EC177">
        <v>5.2416999999999998</v>
      </c>
      <c r="ED177">
        <v>12.039899999999999</v>
      </c>
      <c r="EE177">
        <v>5.0174000000000003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</v>
      </c>
      <c r="EL177">
        <v>1.8646199999999999</v>
      </c>
      <c r="EM177">
        <v>1.8692</v>
      </c>
      <c r="EN177">
        <v>1.8672500000000001</v>
      </c>
      <c r="EO177">
        <v>1.8633900000000001</v>
      </c>
      <c r="EP177">
        <v>1.8644700000000001</v>
      </c>
      <c r="EQ177">
        <v>1.8701399999999999</v>
      </c>
      <c r="ER177">
        <v>1.8694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2.1999999999999999E-2</v>
      </c>
      <c r="FG177">
        <v>0.17519999999999999</v>
      </c>
      <c r="FH177">
        <v>0.28746640474027818</v>
      </c>
      <c r="FI177">
        <v>-6.1462078757559423E-4</v>
      </c>
      <c r="FJ177">
        <v>-1.8861989874597051E-7</v>
      </c>
      <c r="FK177">
        <v>1.1980462299894961E-10</v>
      </c>
      <c r="FL177">
        <v>0.17524818673008091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36.1</v>
      </c>
      <c r="FU177">
        <v>36.1</v>
      </c>
      <c r="FV177">
        <v>1.7651399999999999</v>
      </c>
      <c r="FW177">
        <v>2.5781200000000002</v>
      </c>
      <c r="FX177">
        <v>1.5490699999999999</v>
      </c>
      <c r="FY177">
        <v>2.3315399999999999</v>
      </c>
      <c r="FZ177">
        <v>1.50146</v>
      </c>
      <c r="GA177">
        <v>2.36084</v>
      </c>
      <c r="GB177">
        <v>33.580399999999997</v>
      </c>
      <c r="GC177">
        <v>23.982399999999998</v>
      </c>
      <c r="GD177">
        <v>19</v>
      </c>
      <c r="GE177">
        <v>282.65199999999999</v>
      </c>
      <c r="GF177">
        <v>576.30200000000002</v>
      </c>
      <c r="GG177">
        <v>23.3552</v>
      </c>
      <c r="GH177">
        <v>26.043600000000001</v>
      </c>
      <c r="GI177">
        <v>30.0002</v>
      </c>
      <c r="GJ177">
        <v>26.196000000000002</v>
      </c>
      <c r="GK177">
        <v>26.183299999999999</v>
      </c>
      <c r="GL177">
        <v>35.289900000000003</v>
      </c>
      <c r="GM177">
        <v>100</v>
      </c>
      <c r="GN177">
        <v>13.427300000000001</v>
      </c>
      <c r="GO177">
        <v>23.354199999999999</v>
      </c>
      <c r="GP177">
        <v>800</v>
      </c>
      <c r="GQ177">
        <v>0</v>
      </c>
      <c r="GR177">
        <v>99.771000000000001</v>
      </c>
      <c r="GS177">
        <v>99.612499999999997</v>
      </c>
    </row>
    <row r="178" spans="1:201" x14ac:dyDescent="0.25">
      <c r="A178">
        <v>162</v>
      </c>
      <c r="B178">
        <v>1690384136</v>
      </c>
      <c r="C178">
        <v>1660.900000095367</v>
      </c>
      <c r="D178" t="s">
        <v>655</v>
      </c>
      <c r="E178" t="s">
        <v>656</v>
      </c>
      <c r="F178" t="s">
        <v>330</v>
      </c>
      <c r="H178">
        <v>1690384136</v>
      </c>
      <c r="I178">
        <f t="shared" si="60"/>
        <v>2.3024825616944659E-3</v>
      </c>
      <c r="J178">
        <f t="shared" si="61"/>
        <v>2.302482561694466</v>
      </c>
      <c r="K178">
        <f t="shared" si="62"/>
        <v>36.244743335184303</v>
      </c>
      <c r="L178">
        <f t="shared" si="63"/>
        <v>395.23</v>
      </c>
      <c r="M178">
        <f t="shared" si="64"/>
        <v>102.62089075253274</v>
      </c>
      <c r="N178">
        <f t="shared" si="65"/>
        <v>10.1376187191187</v>
      </c>
      <c r="O178">
        <f t="shared" si="66"/>
        <v>39.043619841687999</v>
      </c>
      <c r="P178">
        <f t="shared" si="67"/>
        <v>0.21085285546353516</v>
      </c>
      <c r="Q178">
        <f t="shared" si="68"/>
        <v>2.1109071146011615</v>
      </c>
      <c r="R178">
        <f t="shared" si="69"/>
        <v>0.19981183863777321</v>
      </c>
      <c r="S178">
        <f t="shared" si="70"/>
        <v>0.12582619155983732</v>
      </c>
      <c r="T178">
        <f t="shared" si="71"/>
        <v>276.11316522744886</v>
      </c>
      <c r="U178">
        <f t="shared" si="72"/>
        <v>26.811347076700617</v>
      </c>
      <c r="V178">
        <f t="shared" si="73"/>
        <v>26.811347076700617</v>
      </c>
      <c r="W178">
        <f t="shared" si="74"/>
        <v>3.539693675578786</v>
      </c>
      <c r="X178">
        <f t="shared" si="75"/>
        <v>74.723662372547722</v>
      </c>
      <c r="Y178">
        <f t="shared" si="76"/>
        <v>2.4357734122220798</v>
      </c>
      <c r="Z178">
        <f t="shared" si="77"/>
        <v>3.2597082836733979</v>
      </c>
      <c r="AA178">
        <f t="shared" si="78"/>
        <v>1.1039202633567062</v>
      </c>
      <c r="AB178">
        <f t="shared" si="79"/>
        <v>-101.53948097072595</v>
      </c>
      <c r="AC178">
        <f t="shared" si="80"/>
        <v>-158.61291127416851</v>
      </c>
      <c r="AD178">
        <f t="shared" si="81"/>
        <v>-16.072937740947502</v>
      </c>
      <c r="AE178">
        <f t="shared" si="82"/>
        <v>-0.11216475839310647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52500.40493818</v>
      </c>
      <c r="AK178">
        <f t="shared" si="86"/>
        <v>1799.99</v>
      </c>
      <c r="AL178">
        <f t="shared" si="87"/>
        <v>1499.1031334029899</v>
      </c>
      <c r="AM178">
        <f t="shared" si="88"/>
        <v>0.83283970099999993</v>
      </c>
      <c r="AN178">
        <f t="shared" si="89"/>
        <v>0.15339705510999999</v>
      </c>
      <c r="AO178">
        <v>32.700000000000003</v>
      </c>
      <c r="AP178">
        <v>0.5</v>
      </c>
      <c r="AQ178" t="s">
        <v>331</v>
      </c>
      <c r="AR178">
        <v>2</v>
      </c>
      <c r="AS178">
        <v>1690384136</v>
      </c>
      <c r="AT178">
        <v>395.23</v>
      </c>
      <c r="AU178">
        <v>800.03599999999994</v>
      </c>
      <c r="AV178">
        <v>24.6568</v>
      </c>
      <c r="AW178">
        <v>0.18948200000000001</v>
      </c>
      <c r="AX178">
        <v>395.20699999999999</v>
      </c>
      <c r="AY178">
        <v>24.4816</v>
      </c>
      <c r="AZ178">
        <v>300.13400000000001</v>
      </c>
      <c r="BA178">
        <v>98.687100000000001</v>
      </c>
      <c r="BB178">
        <v>9.9985599999999994E-2</v>
      </c>
      <c r="BC178">
        <v>25.4176</v>
      </c>
      <c r="BD178">
        <v>26.9788</v>
      </c>
      <c r="BE178">
        <v>26.745999999999999</v>
      </c>
      <c r="BF178">
        <v>0</v>
      </c>
      <c r="BG178">
        <v>0</v>
      </c>
      <c r="BH178">
        <v>10008.1</v>
      </c>
      <c r="BI178">
        <v>1059.6300000000001</v>
      </c>
      <c r="BJ178">
        <v>1.7380500000000001</v>
      </c>
      <c r="BK178">
        <v>-404.80599999999998</v>
      </c>
      <c r="BL178">
        <v>405.221</v>
      </c>
      <c r="BM178">
        <v>800.18799999999999</v>
      </c>
      <c r="BN178">
        <v>24.467300000000002</v>
      </c>
      <c r="BO178">
        <v>800.03599999999994</v>
      </c>
      <c r="BP178">
        <v>0.18948200000000001</v>
      </c>
      <c r="BQ178">
        <v>2.4333100000000001</v>
      </c>
      <c r="BR178">
        <v>1.8699400000000001E-2</v>
      </c>
      <c r="BS178">
        <v>20.587199999999999</v>
      </c>
      <c r="BT178">
        <v>-40.071100000000001</v>
      </c>
      <c r="BU178">
        <v>1799.99</v>
      </c>
      <c r="BV178">
        <v>0.91000700000000001</v>
      </c>
      <c r="BW178">
        <v>3.4005500000000001E-2</v>
      </c>
      <c r="BX178">
        <v>2.1995799999999999E-2</v>
      </c>
      <c r="BY178">
        <v>3.3991500000000001E-2</v>
      </c>
      <c r="BZ178">
        <v>26</v>
      </c>
      <c r="CA178">
        <v>33528.300000000003</v>
      </c>
      <c r="CB178">
        <v>1690381960.0999999</v>
      </c>
      <c r="CC178" t="s">
        <v>332</v>
      </c>
      <c r="CD178">
        <v>1690381960.0999999</v>
      </c>
      <c r="CE178">
        <v>1690381958.0999999</v>
      </c>
      <c r="CF178">
        <v>4</v>
      </c>
      <c r="CG178">
        <v>9.9000000000000005E-2</v>
      </c>
      <c r="CH178">
        <v>1.2E-2</v>
      </c>
      <c r="CI178">
        <v>-0.26300000000000001</v>
      </c>
      <c r="CJ178">
        <v>0.127</v>
      </c>
      <c r="CK178">
        <v>798</v>
      </c>
      <c r="CL178">
        <v>18</v>
      </c>
      <c r="CM178">
        <v>0.02</v>
      </c>
      <c r="CN178">
        <v>0.12</v>
      </c>
      <c r="CO178">
        <v>-403.62553658536592</v>
      </c>
      <c r="CP178">
        <v>-5.6165853658532168</v>
      </c>
      <c r="CQ178">
        <v>0.55670406805880324</v>
      </c>
      <c r="CR178">
        <v>-1</v>
      </c>
      <c r="CS178">
        <v>24.425375609756099</v>
      </c>
      <c r="CT178">
        <v>0.21119372822295759</v>
      </c>
      <c r="CU178">
        <v>2.0850241625643331E-2</v>
      </c>
      <c r="CV178">
        <v>-1</v>
      </c>
      <c r="CW178">
        <v>0</v>
      </c>
      <c r="CX178">
        <v>0</v>
      </c>
      <c r="CY178" t="s">
        <v>333</v>
      </c>
      <c r="CZ178">
        <v>2.3647499999999999</v>
      </c>
      <c r="DA178">
        <v>2.7137799999999999</v>
      </c>
      <c r="DB178">
        <v>8.8338600000000003E-2</v>
      </c>
      <c r="DC178">
        <v>0.14546400000000001</v>
      </c>
      <c r="DD178">
        <v>0.115729</v>
      </c>
      <c r="DE178">
        <v>1.5867100000000001E-3</v>
      </c>
      <c r="DF178">
        <v>33300.1</v>
      </c>
      <c r="DG178">
        <v>27552.7</v>
      </c>
      <c r="DH178">
        <v>31182.3</v>
      </c>
      <c r="DI178">
        <v>28095.200000000001</v>
      </c>
      <c r="DJ178">
        <v>37429.300000000003</v>
      </c>
      <c r="DK178">
        <v>39893.4</v>
      </c>
      <c r="DL178">
        <v>44377.3</v>
      </c>
      <c r="DM178">
        <v>42580.9</v>
      </c>
      <c r="DN178">
        <v>1.47715</v>
      </c>
      <c r="DO178">
        <v>2.0299200000000002</v>
      </c>
      <c r="DP178">
        <v>0.15826499999999999</v>
      </c>
      <c r="DQ178">
        <v>0.145506</v>
      </c>
      <c r="DR178">
        <v>24.384899999999998</v>
      </c>
      <c r="DS178">
        <v>24.360800000000001</v>
      </c>
      <c r="DT178">
        <v>25.5</v>
      </c>
      <c r="DU178">
        <v>29.1</v>
      </c>
      <c r="DV178">
        <v>10.452400000000001</v>
      </c>
      <c r="DW178">
        <v>61.033000000000001</v>
      </c>
      <c r="DX178">
        <v>36.754800000000003</v>
      </c>
      <c r="DY178">
        <v>1</v>
      </c>
      <c r="DZ178">
        <v>-0.106555</v>
      </c>
      <c r="EA178">
        <v>0.55263899999999999</v>
      </c>
      <c r="EB178">
        <v>20.187899999999999</v>
      </c>
      <c r="EC178">
        <v>5.24125</v>
      </c>
      <c r="ED178">
        <v>12.039899999999999</v>
      </c>
      <c r="EE178">
        <v>5.01715</v>
      </c>
      <c r="EF178">
        <v>3.2879700000000001</v>
      </c>
      <c r="EG178">
        <v>9999</v>
      </c>
      <c r="EH178">
        <v>9999</v>
      </c>
      <c r="EI178">
        <v>9999</v>
      </c>
      <c r="EJ178">
        <v>999.9</v>
      </c>
      <c r="EK178">
        <v>1.8689</v>
      </c>
      <c r="EL178">
        <v>1.8646199999999999</v>
      </c>
      <c r="EM178">
        <v>1.8692</v>
      </c>
      <c r="EN178">
        <v>1.8672299999999999</v>
      </c>
      <c r="EO178">
        <v>1.8633900000000001</v>
      </c>
      <c r="EP178">
        <v>1.8644700000000001</v>
      </c>
      <c r="EQ178">
        <v>1.87018</v>
      </c>
      <c r="ER178">
        <v>1.8693900000000001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2.3E-2</v>
      </c>
      <c r="FG178">
        <v>0.17519999999999999</v>
      </c>
      <c r="FH178">
        <v>0.28746640474027818</v>
      </c>
      <c r="FI178">
        <v>-6.1462078757559423E-4</v>
      </c>
      <c r="FJ178">
        <v>-1.8861989874597051E-7</v>
      </c>
      <c r="FK178">
        <v>1.1980462299894961E-10</v>
      </c>
      <c r="FL178">
        <v>0.17524818673008091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36.299999999999997</v>
      </c>
      <c r="FU178">
        <v>36.299999999999997</v>
      </c>
      <c r="FV178">
        <v>1.7651399999999999</v>
      </c>
      <c r="FW178">
        <v>2.5817899999999998</v>
      </c>
      <c r="FX178">
        <v>1.5490699999999999</v>
      </c>
      <c r="FY178">
        <v>2.3315399999999999</v>
      </c>
      <c r="FZ178">
        <v>1.50146</v>
      </c>
      <c r="GA178">
        <v>2.3645</v>
      </c>
      <c r="GB178">
        <v>33.580399999999997</v>
      </c>
      <c r="GC178">
        <v>23.982399999999998</v>
      </c>
      <c r="GD178">
        <v>19</v>
      </c>
      <c r="GE178">
        <v>282.58999999999997</v>
      </c>
      <c r="GF178">
        <v>576.09400000000005</v>
      </c>
      <c r="GG178">
        <v>23.328399999999998</v>
      </c>
      <c r="GH178">
        <v>26.041499999999999</v>
      </c>
      <c r="GI178">
        <v>30</v>
      </c>
      <c r="GJ178">
        <v>26.193999999999999</v>
      </c>
      <c r="GK178">
        <v>26.181100000000001</v>
      </c>
      <c r="GL178">
        <v>35.2898</v>
      </c>
      <c r="GM178">
        <v>100</v>
      </c>
      <c r="GN178">
        <v>13.055</v>
      </c>
      <c r="GO178">
        <v>23.3154</v>
      </c>
      <c r="GP178">
        <v>800</v>
      </c>
      <c r="GQ178">
        <v>0</v>
      </c>
      <c r="GR178">
        <v>99.772599999999997</v>
      </c>
      <c r="GS178">
        <v>99.613100000000003</v>
      </c>
    </row>
    <row r="179" spans="1:201" x14ac:dyDescent="0.25">
      <c r="A179">
        <v>163</v>
      </c>
      <c r="B179">
        <v>1690384146</v>
      </c>
      <c r="C179">
        <v>1670.900000095367</v>
      </c>
      <c r="D179" t="s">
        <v>657</v>
      </c>
      <c r="E179" t="s">
        <v>658</v>
      </c>
      <c r="F179" t="s">
        <v>330</v>
      </c>
      <c r="H179">
        <v>1690384146</v>
      </c>
      <c r="I179">
        <f t="shared" si="60"/>
        <v>2.3058966090159219E-3</v>
      </c>
      <c r="J179">
        <f t="shared" si="61"/>
        <v>2.3058966090159219</v>
      </c>
      <c r="K179">
        <f t="shared" si="62"/>
        <v>36.313469804034042</v>
      </c>
      <c r="L179">
        <f t="shared" si="63"/>
        <v>394.42099999999999</v>
      </c>
      <c r="M179">
        <f t="shared" si="64"/>
        <v>102.58643597607292</v>
      </c>
      <c r="N179">
        <f t="shared" si="65"/>
        <v>10.134061850101036</v>
      </c>
      <c r="O179">
        <f t="shared" si="66"/>
        <v>38.963112140000398</v>
      </c>
      <c r="P179">
        <f t="shared" si="67"/>
        <v>0.21185063511265192</v>
      </c>
      <c r="Q179">
        <f t="shared" si="68"/>
        <v>2.1111077613673004</v>
      </c>
      <c r="R179">
        <f t="shared" si="69"/>
        <v>0.20070884086945151</v>
      </c>
      <c r="S179">
        <f t="shared" si="70"/>
        <v>0.12639521918194116</v>
      </c>
      <c r="T179">
        <f t="shared" si="71"/>
        <v>276.11330074869602</v>
      </c>
      <c r="U179">
        <f t="shared" si="72"/>
        <v>26.811024601756433</v>
      </c>
      <c r="V179">
        <f t="shared" si="73"/>
        <v>26.811024601756433</v>
      </c>
      <c r="W179">
        <f t="shared" si="74"/>
        <v>3.5396265407209055</v>
      </c>
      <c r="X179">
        <f t="shared" si="75"/>
        <v>74.819607967866347</v>
      </c>
      <c r="Y179">
        <f t="shared" si="76"/>
        <v>2.4390459120337202</v>
      </c>
      <c r="Z179">
        <f t="shared" si="77"/>
        <v>3.2599020207125995</v>
      </c>
      <c r="AA179">
        <f t="shared" si="78"/>
        <v>1.1005806286871853</v>
      </c>
      <c r="AB179">
        <f t="shared" si="79"/>
        <v>-101.69004045760215</v>
      </c>
      <c r="AC179">
        <f t="shared" si="80"/>
        <v>-158.4774715921038</v>
      </c>
      <c r="AD179">
        <f t="shared" si="81"/>
        <v>-16.057741119048611</v>
      </c>
      <c r="AE179">
        <f t="shared" si="82"/>
        <v>-0.11195242005854311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52508.988269242225</v>
      </c>
      <c r="AK179">
        <f t="shared" si="86"/>
        <v>1799.99</v>
      </c>
      <c r="AL179">
        <f t="shared" si="87"/>
        <v>1499.1043825960498</v>
      </c>
      <c r="AM179">
        <f t="shared" si="88"/>
        <v>0.83284039499999996</v>
      </c>
      <c r="AN179">
        <f t="shared" si="89"/>
        <v>0.1533971304</v>
      </c>
      <c r="AO179">
        <v>32.700000000000003</v>
      </c>
      <c r="AP179">
        <v>0.5</v>
      </c>
      <c r="AQ179" t="s">
        <v>331</v>
      </c>
      <c r="AR179">
        <v>2</v>
      </c>
      <c r="AS179">
        <v>1690384146</v>
      </c>
      <c r="AT179">
        <v>394.42099999999999</v>
      </c>
      <c r="AU179">
        <v>799.95799999999997</v>
      </c>
      <c r="AV179">
        <v>24.690300000000001</v>
      </c>
      <c r="AW179">
        <v>0.188279</v>
      </c>
      <c r="AX179">
        <v>394.39800000000002</v>
      </c>
      <c r="AY179">
        <v>24.5151</v>
      </c>
      <c r="AZ179">
        <v>300.14299999999997</v>
      </c>
      <c r="BA179">
        <v>98.685599999999994</v>
      </c>
      <c r="BB179">
        <v>9.9992399999999995E-2</v>
      </c>
      <c r="BC179">
        <v>25.418600000000001</v>
      </c>
      <c r="BD179">
        <v>27.002500000000001</v>
      </c>
      <c r="BE179">
        <v>26.742100000000001</v>
      </c>
      <c r="BF179">
        <v>0</v>
      </c>
      <c r="BG179">
        <v>0</v>
      </c>
      <c r="BH179">
        <v>10010</v>
      </c>
      <c r="BI179">
        <v>1059.67</v>
      </c>
      <c r="BJ179">
        <v>1.68198</v>
      </c>
      <c r="BK179">
        <v>-405.53699999999998</v>
      </c>
      <c r="BL179">
        <v>404.40600000000001</v>
      </c>
      <c r="BM179">
        <v>800.10799999999995</v>
      </c>
      <c r="BN179">
        <v>24.502099999999999</v>
      </c>
      <c r="BO179">
        <v>799.95799999999997</v>
      </c>
      <c r="BP179">
        <v>0.188279</v>
      </c>
      <c r="BQ179">
        <v>2.4365800000000002</v>
      </c>
      <c r="BR179">
        <v>1.85804E-2</v>
      </c>
      <c r="BS179">
        <v>20.609000000000002</v>
      </c>
      <c r="BT179">
        <v>-40.132199999999997</v>
      </c>
      <c r="BU179">
        <v>1799.99</v>
      </c>
      <c r="BV179">
        <v>0.91000899999999996</v>
      </c>
      <c r="BW179">
        <v>3.4005000000000001E-2</v>
      </c>
      <c r="BX179">
        <v>2.1995500000000001E-2</v>
      </c>
      <c r="BY179">
        <v>3.3991E-2</v>
      </c>
      <c r="BZ179">
        <v>26</v>
      </c>
      <c r="CA179">
        <v>33528.300000000003</v>
      </c>
      <c r="CB179">
        <v>1690381960.0999999</v>
      </c>
      <c r="CC179" t="s">
        <v>332</v>
      </c>
      <c r="CD179">
        <v>1690381960.0999999</v>
      </c>
      <c r="CE179">
        <v>1690381958.0999999</v>
      </c>
      <c r="CF179">
        <v>4</v>
      </c>
      <c r="CG179">
        <v>9.9000000000000005E-2</v>
      </c>
      <c r="CH179">
        <v>1.2E-2</v>
      </c>
      <c r="CI179">
        <v>-0.26300000000000001</v>
      </c>
      <c r="CJ179">
        <v>0.127</v>
      </c>
      <c r="CK179">
        <v>798</v>
      </c>
      <c r="CL179">
        <v>18</v>
      </c>
      <c r="CM179">
        <v>0.02</v>
      </c>
      <c r="CN179">
        <v>0.12</v>
      </c>
      <c r="CO179">
        <v>-404.5880243902439</v>
      </c>
      <c r="CP179">
        <v>-5.5903275261334047</v>
      </c>
      <c r="CQ179">
        <v>0.55470565641498082</v>
      </c>
      <c r="CR179">
        <v>-1</v>
      </c>
      <c r="CS179">
        <v>24.46136829268292</v>
      </c>
      <c r="CT179">
        <v>0.21874703832755091</v>
      </c>
      <c r="CU179">
        <v>2.1615356318885399E-2</v>
      </c>
      <c r="CV179">
        <v>-1</v>
      </c>
      <c r="CW179">
        <v>0</v>
      </c>
      <c r="CX179">
        <v>0</v>
      </c>
      <c r="CY179" t="s">
        <v>333</v>
      </c>
      <c r="CZ179">
        <v>2.3647900000000002</v>
      </c>
      <c r="DA179">
        <v>2.7137899999999999</v>
      </c>
      <c r="DB179">
        <v>8.8198700000000005E-2</v>
      </c>
      <c r="DC179">
        <v>0.145453</v>
      </c>
      <c r="DD179">
        <v>0.115838</v>
      </c>
      <c r="DE179">
        <v>1.57675E-3</v>
      </c>
      <c r="DF179">
        <v>33305.1</v>
      </c>
      <c r="DG179">
        <v>27553.3</v>
      </c>
      <c r="DH179">
        <v>31182.2</v>
      </c>
      <c r="DI179">
        <v>28095.5</v>
      </c>
      <c r="DJ179">
        <v>37424.5</v>
      </c>
      <c r="DK179">
        <v>39894.300000000003</v>
      </c>
      <c r="DL179">
        <v>44377.1</v>
      </c>
      <c r="DM179">
        <v>42581.3</v>
      </c>
      <c r="DN179">
        <v>1.47723</v>
      </c>
      <c r="DO179">
        <v>2.0301499999999999</v>
      </c>
      <c r="DP179">
        <v>0.15958</v>
      </c>
      <c r="DQ179">
        <v>0.145014</v>
      </c>
      <c r="DR179">
        <v>24.3872</v>
      </c>
      <c r="DS179">
        <v>24.364899999999999</v>
      </c>
      <c r="DT179">
        <v>25.3</v>
      </c>
      <c r="DU179">
        <v>29.1</v>
      </c>
      <c r="DV179">
        <v>10.3706</v>
      </c>
      <c r="DW179">
        <v>60.993000000000002</v>
      </c>
      <c r="DX179">
        <v>36.798900000000003</v>
      </c>
      <c r="DY179">
        <v>1</v>
      </c>
      <c r="DZ179">
        <v>-0.10668999999999999</v>
      </c>
      <c r="EA179">
        <v>0.30801200000000001</v>
      </c>
      <c r="EB179">
        <v>20.1889</v>
      </c>
      <c r="EC179">
        <v>5.2413999999999996</v>
      </c>
      <c r="ED179">
        <v>12.039899999999999</v>
      </c>
      <c r="EE179">
        <v>5.0171999999999999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</v>
      </c>
      <c r="EL179">
        <v>1.8646199999999999</v>
      </c>
      <c r="EM179">
        <v>1.8692</v>
      </c>
      <c r="EN179">
        <v>1.86724</v>
      </c>
      <c r="EO179">
        <v>1.8633999999999999</v>
      </c>
      <c r="EP179">
        <v>1.8644700000000001</v>
      </c>
      <c r="EQ179">
        <v>1.87018</v>
      </c>
      <c r="ER179">
        <v>1.86937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2.3E-2</v>
      </c>
      <c r="FG179">
        <v>0.17519999999999999</v>
      </c>
      <c r="FH179">
        <v>0.28746640474027818</v>
      </c>
      <c r="FI179">
        <v>-6.1462078757559423E-4</v>
      </c>
      <c r="FJ179">
        <v>-1.8861989874597051E-7</v>
      </c>
      <c r="FK179">
        <v>1.1980462299894961E-10</v>
      </c>
      <c r="FL179">
        <v>0.17524818673008091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36.4</v>
      </c>
      <c r="FU179">
        <v>36.5</v>
      </c>
      <c r="FV179">
        <v>1.7651399999999999</v>
      </c>
      <c r="FW179">
        <v>2.5781200000000002</v>
      </c>
      <c r="FX179">
        <v>1.5490699999999999</v>
      </c>
      <c r="FY179">
        <v>2.3327599999999999</v>
      </c>
      <c r="FZ179">
        <v>1.50146</v>
      </c>
      <c r="GA179">
        <v>2.3547400000000001</v>
      </c>
      <c r="GB179">
        <v>33.580399999999997</v>
      </c>
      <c r="GC179">
        <v>23.973700000000001</v>
      </c>
      <c r="GD179">
        <v>19</v>
      </c>
      <c r="GE179">
        <v>282.61900000000003</v>
      </c>
      <c r="GF179">
        <v>576.25300000000004</v>
      </c>
      <c r="GG179">
        <v>23.354199999999999</v>
      </c>
      <c r="GH179">
        <v>26.040500000000002</v>
      </c>
      <c r="GI179">
        <v>29.9999</v>
      </c>
      <c r="GJ179">
        <v>26.1934</v>
      </c>
      <c r="GK179">
        <v>26.178899999999999</v>
      </c>
      <c r="GL179">
        <v>35.290500000000002</v>
      </c>
      <c r="GM179">
        <v>100</v>
      </c>
      <c r="GN179">
        <v>12.664899999999999</v>
      </c>
      <c r="GO179">
        <v>23.3872</v>
      </c>
      <c r="GP179">
        <v>800</v>
      </c>
      <c r="GQ179">
        <v>0</v>
      </c>
      <c r="GR179">
        <v>99.772300000000001</v>
      </c>
      <c r="GS179">
        <v>99.614099999999993</v>
      </c>
    </row>
    <row r="180" spans="1:201" x14ac:dyDescent="0.25">
      <c r="A180">
        <v>164</v>
      </c>
      <c r="B180">
        <v>1690384156</v>
      </c>
      <c r="C180">
        <v>1680.900000095367</v>
      </c>
      <c r="D180" t="s">
        <v>659</v>
      </c>
      <c r="E180" t="s">
        <v>660</v>
      </c>
      <c r="F180" t="s">
        <v>330</v>
      </c>
      <c r="H180">
        <v>1690384156</v>
      </c>
      <c r="I180">
        <f t="shared" si="60"/>
        <v>2.3115904377068938E-3</v>
      </c>
      <c r="J180">
        <f t="shared" si="61"/>
        <v>2.3115904377068937</v>
      </c>
      <c r="K180">
        <f t="shared" si="62"/>
        <v>36.395062477217557</v>
      </c>
      <c r="L180">
        <f t="shared" si="63"/>
        <v>393.54300000000001</v>
      </c>
      <c r="M180">
        <f t="shared" si="64"/>
        <v>103.31958033547869</v>
      </c>
      <c r="N180">
        <f t="shared" si="65"/>
        <v>10.206146090532098</v>
      </c>
      <c r="O180">
        <f t="shared" si="66"/>
        <v>38.875083869529</v>
      </c>
      <c r="P180">
        <f t="shared" si="67"/>
        <v>0.21359267371593527</v>
      </c>
      <c r="Q180">
        <f t="shared" si="68"/>
        <v>2.1093463711198317</v>
      </c>
      <c r="R180">
        <f t="shared" si="69"/>
        <v>0.20226323213730657</v>
      </c>
      <c r="S180">
        <f t="shared" si="70"/>
        <v>0.12738232467500571</v>
      </c>
      <c r="T180">
        <f t="shared" si="71"/>
        <v>276.11617259821463</v>
      </c>
      <c r="U180">
        <f t="shared" si="72"/>
        <v>26.810197730737272</v>
      </c>
      <c r="V180">
        <f t="shared" si="73"/>
        <v>26.810197730737272</v>
      </c>
      <c r="W180">
        <f t="shared" si="74"/>
        <v>3.539454402601752</v>
      </c>
      <c r="X180">
        <f t="shared" si="75"/>
        <v>74.992726859533505</v>
      </c>
      <c r="Y180">
        <f t="shared" si="76"/>
        <v>2.4447039475652002</v>
      </c>
      <c r="Z180">
        <f t="shared" si="77"/>
        <v>3.2599213949698052</v>
      </c>
      <c r="AA180">
        <f t="shared" si="78"/>
        <v>1.0947504550365519</v>
      </c>
      <c r="AB180">
        <f t="shared" si="79"/>
        <v>-101.94113830287402</v>
      </c>
      <c r="AC180">
        <f t="shared" si="80"/>
        <v>-158.23984393200553</v>
      </c>
      <c r="AD180">
        <f t="shared" si="81"/>
        <v>-16.046993633657447</v>
      </c>
      <c r="AE180">
        <f t="shared" si="82"/>
        <v>-0.11180327032238324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52431.751025442158</v>
      </c>
      <c r="AK180">
        <f t="shared" si="86"/>
        <v>1800.01</v>
      </c>
      <c r="AL180">
        <f t="shared" si="87"/>
        <v>1499.1202041993101</v>
      </c>
      <c r="AM180">
        <f t="shared" si="88"/>
        <v>0.83283993100000009</v>
      </c>
      <c r="AN180">
        <f t="shared" si="89"/>
        <v>0.15339702146</v>
      </c>
      <c r="AO180">
        <v>32.700000000000003</v>
      </c>
      <c r="AP180">
        <v>0.5</v>
      </c>
      <c r="AQ180" t="s">
        <v>331</v>
      </c>
      <c r="AR180">
        <v>2</v>
      </c>
      <c r="AS180">
        <v>1690384156</v>
      </c>
      <c r="AT180">
        <v>393.54300000000001</v>
      </c>
      <c r="AU180">
        <v>799.97400000000005</v>
      </c>
      <c r="AV180">
        <v>24.7484</v>
      </c>
      <c r="AW180">
        <v>0.18717700000000001</v>
      </c>
      <c r="AX180">
        <v>393.51900000000001</v>
      </c>
      <c r="AY180">
        <v>24.5731</v>
      </c>
      <c r="AZ180">
        <v>300.14100000000002</v>
      </c>
      <c r="BA180">
        <v>98.682299999999998</v>
      </c>
      <c r="BB180">
        <v>0.10000299999999999</v>
      </c>
      <c r="BC180">
        <v>25.418700000000001</v>
      </c>
      <c r="BD180">
        <v>26.975300000000001</v>
      </c>
      <c r="BE180">
        <v>26.765999999999998</v>
      </c>
      <c r="BF180">
        <v>0</v>
      </c>
      <c r="BG180">
        <v>0</v>
      </c>
      <c r="BH180">
        <v>9995</v>
      </c>
      <c r="BI180">
        <v>1059.75</v>
      </c>
      <c r="BJ180">
        <v>1.68899</v>
      </c>
      <c r="BK180">
        <v>-406.43200000000002</v>
      </c>
      <c r="BL180">
        <v>403.529</v>
      </c>
      <c r="BM180">
        <v>800.12400000000002</v>
      </c>
      <c r="BN180">
        <v>24.561199999999999</v>
      </c>
      <c r="BO180">
        <v>799.97400000000005</v>
      </c>
      <c r="BP180">
        <v>0.18717700000000001</v>
      </c>
      <c r="BQ180">
        <v>2.4422299999999999</v>
      </c>
      <c r="BR180">
        <v>1.8471100000000001E-2</v>
      </c>
      <c r="BS180">
        <v>20.6465</v>
      </c>
      <c r="BT180">
        <v>-40.188600000000001</v>
      </c>
      <c r="BU180">
        <v>1800.01</v>
      </c>
      <c r="BV180">
        <v>0.91000899999999996</v>
      </c>
      <c r="BW180">
        <v>3.4004800000000002E-2</v>
      </c>
      <c r="BX180">
        <v>2.1995299999999999E-2</v>
      </c>
      <c r="BY180">
        <v>3.3990800000000002E-2</v>
      </c>
      <c r="BZ180">
        <v>26</v>
      </c>
      <c r="CA180">
        <v>33528.6</v>
      </c>
      <c r="CB180">
        <v>1690381960.0999999</v>
      </c>
      <c r="CC180" t="s">
        <v>332</v>
      </c>
      <c r="CD180">
        <v>1690381960.0999999</v>
      </c>
      <c r="CE180">
        <v>1690381958.0999999</v>
      </c>
      <c r="CF180">
        <v>4</v>
      </c>
      <c r="CG180">
        <v>9.9000000000000005E-2</v>
      </c>
      <c r="CH180">
        <v>1.2E-2</v>
      </c>
      <c r="CI180">
        <v>-0.26300000000000001</v>
      </c>
      <c r="CJ180">
        <v>0.127</v>
      </c>
      <c r="CK180">
        <v>798</v>
      </c>
      <c r="CL180">
        <v>18</v>
      </c>
      <c r="CM180">
        <v>0.02</v>
      </c>
      <c r="CN180">
        <v>0.12</v>
      </c>
      <c r="CO180">
        <v>-405.48537499999998</v>
      </c>
      <c r="CP180">
        <v>-5.1695797373353107</v>
      </c>
      <c r="CQ180">
        <v>0.49984350988584381</v>
      </c>
      <c r="CR180">
        <v>-1</v>
      </c>
      <c r="CS180">
        <v>24.500875000000001</v>
      </c>
      <c r="CT180">
        <v>0.26363527204497572</v>
      </c>
      <c r="CU180">
        <v>2.5662333779296082E-2</v>
      </c>
      <c r="CV180">
        <v>-1</v>
      </c>
      <c r="CW180">
        <v>0</v>
      </c>
      <c r="CX180">
        <v>0</v>
      </c>
      <c r="CY180" t="s">
        <v>333</v>
      </c>
      <c r="CZ180">
        <v>2.36477</v>
      </c>
      <c r="DA180">
        <v>2.7137899999999999</v>
      </c>
      <c r="DB180">
        <v>8.8045799999999994E-2</v>
      </c>
      <c r="DC180">
        <v>0.145451</v>
      </c>
      <c r="DD180">
        <v>0.11602700000000001</v>
      </c>
      <c r="DE180">
        <v>1.56759E-3</v>
      </c>
      <c r="DF180">
        <v>33310.800000000003</v>
      </c>
      <c r="DG180">
        <v>27553.3</v>
      </c>
      <c r="DH180">
        <v>31182.400000000001</v>
      </c>
      <c r="DI180">
        <v>28095.3</v>
      </c>
      <c r="DJ180">
        <v>37416.699999999997</v>
      </c>
      <c r="DK180">
        <v>39894.300000000003</v>
      </c>
      <c r="DL180">
        <v>44377.4</v>
      </c>
      <c r="DM180">
        <v>42581</v>
      </c>
      <c r="DN180">
        <v>1.47742</v>
      </c>
      <c r="DO180">
        <v>2.0304500000000001</v>
      </c>
      <c r="DP180">
        <v>0.15779199999999999</v>
      </c>
      <c r="DQ180">
        <v>0.146367</v>
      </c>
      <c r="DR180">
        <v>24.389199999999999</v>
      </c>
      <c r="DS180">
        <v>24.366700000000002</v>
      </c>
      <c r="DT180">
        <v>25.1</v>
      </c>
      <c r="DU180">
        <v>29.1</v>
      </c>
      <c r="DV180">
        <v>10.29</v>
      </c>
      <c r="DW180">
        <v>60.743099999999998</v>
      </c>
      <c r="DX180">
        <v>36.822899999999997</v>
      </c>
      <c r="DY180">
        <v>1</v>
      </c>
      <c r="DZ180">
        <v>-0.10652200000000001</v>
      </c>
      <c r="EA180">
        <v>0.42776999999999998</v>
      </c>
      <c r="EB180">
        <v>20.188700000000001</v>
      </c>
      <c r="EC180">
        <v>5.24125</v>
      </c>
      <c r="ED180">
        <v>12.039899999999999</v>
      </c>
      <c r="EE180">
        <v>5.0170000000000003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</v>
      </c>
      <c r="EL180">
        <v>1.8646199999999999</v>
      </c>
      <c r="EM180">
        <v>1.8692</v>
      </c>
      <c r="EN180">
        <v>1.8672200000000001</v>
      </c>
      <c r="EO180">
        <v>1.8633999999999999</v>
      </c>
      <c r="EP180">
        <v>1.8644700000000001</v>
      </c>
      <c r="EQ180">
        <v>1.87019</v>
      </c>
      <c r="ER180">
        <v>1.8694299999999999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2.4E-2</v>
      </c>
      <c r="FG180">
        <v>0.17530000000000001</v>
      </c>
      <c r="FH180">
        <v>0.28746640474027818</v>
      </c>
      <c r="FI180">
        <v>-6.1462078757559423E-4</v>
      </c>
      <c r="FJ180">
        <v>-1.8861989874597051E-7</v>
      </c>
      <c r="FK180">
        <v>1.1980462299894961E-10</v>
      </c>
      <c r="FL180">
        <v>0.17524818673008091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36.6</v>
      </c>
      <c r="FU180">
        <v>36.6</v>
      </c>
      <c r="FV180">
        <v>1.7651399999999999</v>
      </c>
      <c r="FW180">
        <v>2.5805699999999998</v>
      </c>
      <c r="FX180">
        <v>1.5490699999999999</v>
      </c>
      <c r="FY180">
        <v>2.3315399999999999</v>
      </c>
      <c r="FZ180">
        <v>1.50146</v>
      </c>
      <c r="GA180">
        <v>2.33643</v>
      </c>
      <c r="GB180">
        <v>33.602899999999998</v>
      </c>
      <c r="GC180">
        <v>23.973700000000001</v>
      </c>
      <c r="GD180">
        <v>19</v>
      </c>
      <c r="GE180">
        <v>282.69600000000003</v>
      </c>
      <c r="GF180">
        <v>576.47799999999995</v>
      </c>
      <c r="GG180">
        <v>23.384499999999999</v>
      </c>
      <c r="GH180">
        <v>26.039300000000001</v>
      </c>
      <c r="GI180">
        <v>30.0001</v>
      </c>
      <c r="GJ180">
        <v>26.191700000000001</v>
      </c>
      <c r="GK180">
        <v>26.177</v>
      </c>
      <c r="GL180">
        <v>35.289900000000003</v>
      </c>
      <c r="GM180">
        <v>100</v>
      </c>
      <c r="GN180">
        <v>11.878299999999999</v>
      </c>
      <c r="GO180">
        <v>23.3809</v>
      </c>
      <c r="GP180">
        <v>800</v>
      </c>
      <c r="GQ180">
        <v>0</v>
      </c>
      <c r="GR180">
        <v>99.772900000000007</v>
      </c>
      <c r="GS180">
        <v>99.613500000000002</v>
      </c>
    </row>
    <row r="181" spans="1:201" x14ac:dyDescent="0.25">
      <c r="A181">
        <v>165</v>
      </c>
      <c r="B181">
        <v>1690384166</v>
      </c>
      <c r="C181">
        <v>1690.900000095367</v>
      </c>
      <c r="D181" t="s">
        <v>661</v>
      </c>
      <c r="E181" t="s">
        <v>662</v>
      </c>
      <c r="F181" t="s">
        <v>330</v>
      </c>
      <c r="H181">
        <v>1690384166</v>
      </c>
      <c r="I181">
        <f t="shared" si="60"/>
        <v>2.3159368596379027E-3</v>
      </c>
      <c r="J181">
        <f t="shared" si="61"/>
        <v>2.3159368596379029</v>
      </c>
      <c r="K181">
        <f t="shared" si="62"/>
        <v>36.470888402026958</v>
      </c>
      <c r="L181">
        <f t="shared" si="63"/>
        <v>392.77699999999999</v>
      </c>
      <c r="M181">
        <f t="shared" si="64"/>
        <v>103.62463039596074</v>
      </c>
      <c r="N181">
        <f t="shared" si="65"/>
        <v>10.236034306724342</v>
      </c>
      <c r="O181">
        <f t="shared" si="66"/>
        <v>38.7984867258835</v>
      </c>
      <c r="P181">
        <f t="shared" si="67"/>
        <v>0.21489501951899698</v>
      </c>
      <c r="Q181">
        <f t="shared" si="68"/>
        <v>2.1075228739247454</v>
      </c>
      <c r="R181">
        <f t="shared" si="69"/>
        <v>0.20342162917106971</v>
      </c>
      <c r="S181">
        <f t="shared" si="70"/>
        <v>0.12811828541908871</v>
      </c>
      <c r="T181">
        <f t="shared" si="71"/>
        <v>276.11454907799998</v>
      </c>
      <c r="U181">
        <f t="shared" si="72"/>
        <v>26.809446338541306</v>
      </c>
      <c r="V181">
        <f t="shared" si="73"/>
        <v>26.809446338541306</v>
      </c>
      <c r="W181">
        <f t="shared" si="74"/>
        <v>3.5392979840122178</v>
      </c>
      <c r="X181">
        <f t="shared" si="75"/>
        <v>75.119231401005408</v>
      </c>
      <c r="Y181">
        <f t="shared" si="76"/>
        <v>2.4487842350256499</v>
      </c>
      <c r="Z181">
        <f t="shared" si="77"/>
        <v>3.2598632724999836</v>
      </c>
      <c r="AA181">
        <f t="shared" si="78"/>
        <v>1.0905137489865679</v>
      </c>
      <c r="AB181">
        <f t="shared" si="79"/>
        <v>-102.13281551003151</v>
      </c>
      <c r="AC181">
        <f t="shared" si="80"/>
        <v>-158.05176051292335</v>
      </c>
      <c r="AD181">
        <f t="shared" si="81"/>
        <v>-16.041703463844872</v>
      </c>
      <c r="AE181">
        <f t="shared" si="82"/>
        <v>-0.11173040879975815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52351.965381427588</v>
      </c>
      <c r="AK181">
        <f t="shared" si="86"/>
        <v>1800</v>
      </c>
      <c r="AL181">
        <f t="shared" si="87"/>
        <v>1499.1121638</v>
      </c>
      <c r="AM181">
        <f t="shared" si="88"/>
        <v>0.832840091</v>
      </c>
      <c r="AN181">
        <f t="shared" si="89"/>
        <v>0.15339697171</v>
      </c>
      <c r="AO181">
        <v>32.700000000000003</v>
      </c>
      <c r="AP181">
        <v>0.5</v>
      </c>
      <c r="AQ181" t="s">
        <v>331</v>
      </c>
      <c r="AR181">
        <v>2</v>
      </c>
      <c r="AS181">
        <v>1690384166</v>
      </c>
      <c r="AT181">
        <v>392.77699999999999</v>
      </c>
      <c r="AU181">
        <v>800.00900000000001</v>
      </c>
      <c r="AV181">
        <v>24.790299999999998</v>
      </c>
      <c r="AW181">
        <v>0.18542800000000001</v>
      </c>
      <c r="AX181">
        <v>392.75299999999999</v>
      </c>
      <c r="AY181">
        <v>24.615100000000002</v>
      </c>
      <c r="AZ181">
        <v>300.15899999999999</v>
      </c>
      <c r="BA181">
        <v>98.68</v>
      </c>
      <c r="BB181">
        <v>9.9935499999999997E-2</v>
      </c>
      <c r="BC181">
        <v>25.418399999999998</v>
      </c>
      <c r="BD181">
        <v>27.001999999999999</v>
      </c>
      <c r="BE181">
        <v>26.763200000000001</v>
      </c>
      <c r="BF181">
        <v>0</v>
      </c>
      <c r="BG181">
        <v>0</v>
      </c>
      <c r="BH181">
        <v>9979.3799999999992</v>
      </c>
      <c r="BI181">
        <v>1059.74</v>
      </c>
      <c r="BJ181">
        <v>1.7730900000000001</v>
      </c>
      <c r="BK181">
        <v>-407.23200000000003</v>
      </c>
      <c r="BL181">
        <v>402.762</v>
      </c>
      <c r="BM181">
        <v>800.15700000000004</v>
      </c>
      <c r="BN181">
        <v>24.604900000000001</v>
      </c>
      <c r="BO181">
        <v>800.00900000000001</v>
      </c>
      <c r="BP181">
        <v>0.18542800000000001</v>
      </c>
      <c r="BQ181">
        <v>2.44631</v>
      </c>
      <c r="BR181">
        <v>1.8297999999999998E-2</v>
      </c>
      <c r="BS181">
        <v>20.6736</v>
      </c>
      <c r="BT181">
        <v>-40.278599999999997</v>
      </c>
      <c r="BU181">
        <v>1800</v>
      </c>
      <c r="BV181">
        <v>0.91001100000000001</v>
      </c>
      <c r="BW181">
        <v>3.4004E-2</v>
      </c>
      <c r="BX181">
        <v>2.1994799999999998E-2</v>
      </c>
      <c r="BY181">
        <v>3.3990100000000002E-2</v>
      </c>
      <c r="BZ181">
        <v>26</v>
      </c>
      <c r="CA181">
        <v>33528.400000000001</v>
      </c>
      <c r="CB181">
        <v>1690381960.0999999</v>
      </c>
      <c r="CC181" t="s">
        <v>332</v>
      </c>
      <c r="CD181">
        <v>1690381960.0999999</v>
      </c>
      <c r="CE181">
        <v>1690381958.0999999</v>
      </c>
      <c r="CF181">
        <v>4</v>
      </c>
      <c r="CG181">
        <v>9.9000000000000005E-2</v>
      </c>
      <c r="CH181">
        <v>1.2E-2</v>
      </c>
      <c r="CI181">
        <v>-0.26300000000000001</v>
      </c>
      <c r="CJ181">
        <v>0.127</v>
      </c>
      <c r="CK181">
        <v>798</v>
      </c>
      <c r="CL181">
        <v>18</v>
      </c>
      <c r="CM181">
        <v>0.02</v>
      </c>
      <c r="CN181">
        <v>0.12</v>
      </c>
      <c r="CO181">
        <v>-406.41172499999999</v>
      </c>
      <c r="CP181">
        <v>-5.0242514071291282</v>
      </c>
      <c r="CQ181">
        <v>0.48618787456599821</v>
      </c>
      <c r="CR181">
        <v>-1</v>
      </c>
      <c r="CS181">
        <v>24.554737500000002</v>
      </c>
      <c r="CT181">
        <v>0.31196735459658909</v>
      </c>
      <c r="CU181">
        <v>3.0141662922771761E-2</v>
      </c>
      <c r="CV181">
        <v>-1</v>
      </c>
      <c r="CW181">
        <v>0</v>
      </c>
      <c r="CX181">
        <v>0</v>
      </c>
      <c r="CY181" t="s">
        <v>333</v>
      </c>
      <c r="CZ181">
        <v>2.36483</v>
      </c>
      <c r="DA181">
        <v>2.7137099999999998</v>
      </c>
      <c r="DB181">
        <v>8.7912900000000002E-2</v>
      </c>
      <c r="DC181">
        <v>0.145452</v>
      </c>
      <c r="DD181">
        <v>0.116163</v>
      </c>
      <c r="DE181">
        <v>1.5530699999999999E-3</v>
      </c>
      <c r="DF181">
        <v>33315.599999999999</v>
      </c>
      <c r="DG181">
        <v>27553.4</v>
      </c>
      <c r="DH181">
        <v>31182.3</v>
      </c>
      <c r="DI181">
        <v>28095.5</v>
      </c>
      <c r="DJ181">
        <v>37410.9</v>
      </c>
      <c r="DK181">
        <v>39895</v>
      </c>
      <c r="DL181">
        <v>44377.5</v>
      </c>
      <c r="DM181">
        <v>42581.1</v>
      </c>
      <c r="DN181">
        <v>1.4772799999999999</v>
      </c>
      <c r="DO181">
        <v>2.0301499999999999</v>
      </c>
      <c r="DP181">
        <v>0.15942400000000001</v>
      </c>
      <c r="DQ181">
        <v>0.14624400000000001</v>
      </c>
      <c r="DR181">
        <v>24.389199999999999</v>
      </c>
      <c r="DS181">
        <v>24.3659</v>
      </c>
      <c r="DT181">
        <v>24.9</v>
      </c>
      <c r="DU181">
        <v>29.1</v>
      </c>
      <c r="DV181">
        <v>10.2059</v>
      </c>
      <c r="DW181">
        <v>61.183100000000003</v>
      </c>
      <c r="DX181">
        <v>36.995199999999997</v>
      </c>
      <c r="DY181">
        <v>1</v>
      </c>
      <c r="DZ181">
        <v>-0.106433</v>
      </c>
      <c r="EA181">
        <v>0.41098600000000002</v>
      </c>
      <c r="EB181">
        <v>20.188400000000001</v>
      </c>
      <c r="EC181">
        <v>5.2413999999999996</v>
      </c>
      <c r="ED181">
        <v>12.039899999999999</v>
      </c>
      <c r="EE181">
        <v>5.0170000000000003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</v>
      </c>
      <c r="EL181">
        <v>1.8646199999999999</v>
      </c>
      <c r="EM181">
        <v>1.8692</v>
      </c>
      <c r="EN181">
        <v>1.8672200000000001</v>
      </c>
      <c r="EO181">
        <v>1.8633999999999999</v>
      </c>
      <c r="EP181">
        <v>1.8644700000000001</v>
      </c>
      <c r="EQ181">
        <v>1.87018</v>
      </c>
      <c r="ER181">
        <v>1.86941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2.4E-2</v>
      </c>
      <c r="FG181">
        <v>0.17519999999999999</v>
      </c>
      <c r="FH181">
        <v>0.28746640474027818</v>
      </c>
      <c r="FI181">
        <v>-6.1462078757559423E-4</v>
      </c>
      <c r="FJ181">
        <v>-1.8861989874597051E-7</v>
      </c>
      <c r="FK181">
        <v>1.1980462299894961E-10</v>
      </c>
      <c r="FL181">
        <v>0.17524818673008091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36.799999999999997</v>
      </c>
      <c r="FU181">
        <v>36.799999999999997</v>
      </c>
      <c r="FV181">
        <v>1.7651399999999999</v>
      </c>
      <c r="FW181">
        <v>2.5854499999999998</v>
      </c>
      <c r="FX181">
        <v>1.5490699999999999</v>
      </c>
      <c r="FY181">
        <v>2.3315399999999999</v>
      </c>
      <c r="FZ181">
        <v>1.50146</v>
      </c>
      <c r="GA181">
        <v>2.3083499999999999</v>
      </c>
      <c r="GB181">
        <v>33.580399999999997</v>
      </c>
      <c r="GC181">
        <v>23.973700000000001</v>
      </c>
      <c r="GD181">
        <v>19</v>
      </c>
      <c r="GE181">
        <v>282.62400000000002</v>
      </c>
      <c r="GF181">
        <v>576.22900000000004</v>
      </c>
      <c r="GG181">
        <v>23.390699999999999</v>
      </c>
      <c r="GH181">
        <v>26.037099999999999</v>
      </c>
      <c r="GI181">
        <v>30.0002</v>
      </c>
      <c r="GJ181">
        <v>26.189599999999999</v>
      </c>
      <c r="GK181">
        <v>26.1767</v>
      </c>
      <c r="GL181">
        <v>35.286000000000001</v>
      </c>
      <c r="GM181">
        <v>100</v>
      </c>
      <c r="GN181">
        <v>11.4979</v>
      </c>
      <c r="GO181">
        <v>23.392800000000001</v>
      </c>
      <c r="GP181">
        <v>800</v>
      </c>
      <c r="GQ181">
        <v>0</v>
      </c>
      <c r="GR181">
        <v>99.772999999999996</v>
      </c>
      <c r="GS181">
        <v>99.613699999999994</v>
      </c>
    </row>
    <row r="182" spans="1:201" x14ac:dyDescent="0.25">
      <c r="A182">
        <v>166</v>
      </c>
      <c r="B182">
        <v>1690384176</v>
      </c>
      <c r="C182">
        <v>1700.900000095367</v>
      </c>
      <c r="D182" t="s">
        <v>663</v>
      </c>
      <c r="E182" t="s">
        <v>664</v>
      </c>
      <c r="F182" t="s">
        <v>330</v>
      </c>
      <c r="H182">
        <v>1690384176</v>
      </c>
      <c r="I182">
        <f t="shared" si="60"/>
        <v>2.3184317783165927E-3</v>
      </c>
      <c r="J182">
        <f t="shared" si="61"/>
        <v>2.3184317783165929</v>
      </c>
      <c r="K182">
        <f t="shared" si="62"/>
        <v>36.538755871715551</v>
      </c>
      <c r="L182">
        <f t="shared" si="63"/>
        <v>391.94400000000002</v>
      </c>
      <c r="M182">
        <f t="shared" si="64"/>
        <v>103.36267403929108</v>
      </c>
      <c r="N182">
        <f t="shared" si="65"/>
        <v>10.210132568411664</v>
      </c>
      <c r="O182">
        <f t="shared" si="66"/>
        <v>38.716105563139202</v>
      </c>
      <c r="P182">
        <f t="shared" si="67"/>
        <v>0.21573973361497764</v>
      </c>
      <c r="Q182">
        <f t="shared" si="68"/>
        <v>2.1096758389899586</v>
      </c>
      <c r="R182">
        <f t="shared" si="69"/>
        <v>0.20418969187415831</v>
      </c>
      <c r="S182">
        <f t="shared" si="70"/>
        <v>0.12860472906455861</v>
      </c>
      <c r="T182">
        <f t="shared" si="71"/>
        <v>276.11286885909544</v>
      </c>
      <c r="U182">
        <f t="shared" si="72"/>
        <v>26.810460217984051</v>
      </c>
      <c r="V182">
        <f t="shared" si="73"/>
        <v>26.810460217984051</v>
      </c>
      <c r="W182">
        <f t="shared" si="74"/>
        <v>3.5395090464400467</v>
      </c>
      <c r="X182">
        <f t="shared" si="75"/>
        <v>75.202007735991145</v>
      </c>
      <c r="Y182">
        <f t="shared" si="76"/>
        <v>2.4519488976243196</v>
      </c>
      <c r="Z182">
        <f t="shared" si="77"/>
        <v>3.2604832921911928</v>
      </c>
      <c r="AA182">
        <f t="shared" si="78"/>
        <v>1.0875601488157272</v>
      </c>
      <c r="AB182">
        <f t="shared" si="79"/>
        <v>-102.24284142376175</v>
      </c>
      <c r="AC182">
        <f t="shared" si="80"/>
        <v>-157.96457771681082</v>
      </c>
      <c r="AD182">
        <f t="shared" si="81"/>
        <v>-16.016831061402218</v>
      </c>
      <c r="AE182">
        <f t="shared" si="82"/>
        <v>-0.11138134287935486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52445.611856829557</v>
      </c>
      <c r="AK182">
        <f t="shared" si="86"/>
        <v>1799.99</v>
      </c>
      <c r="AL182">
        <f t="shared" si="87"/>
        <v>1499.1038533989899</v>
      </c>
      <c r="AM182">
        <f t="shared" si="88"/>
        <v>0.83284010099999994</v>
      </c>
      <c r="AN182">
        <f t="shared" si="89"/>
        <v>0.15339689046000002</v>
      </c>
      <c r="AO182">
        <v>32.700000000000003</v>
      </c>
      <c r="AP182">
        <v>0.5</v>
      </c>
      <c r="AQ182" t="s">
        <v>331</v>
      </c>
      <c r="AR182">
        <v>2</v>
      </c>
      <c r="AS182">
        <v>1690384176</v>
      </c>
      <c r="AT182">
        <v>391.94400000000002</v>
      </c>
      <c r="AU182">
        <v>800.02599999999995</v>
      </c>
      <c r="AV182">
        <v>24.822399999999998</v>
      </c>
      <c r="AW182">
        <v>0.184527</v>
      </c>
      <c r="AX182">
        <v>391.91899999999998</v>
      </c>
      <c r="AY182">
        <v>24.647099999999998</v>
      </c>
      <c r="AZ182">
        <v>300.07</v>
      </c>
      <c r="BA182">
        <v>98.6798</v>
      </c>
      <c r="BB182">
        <v>9.9886799999999998E-2</v>
      </c>
      <c r="BC182">
        <v>25.421600000000002</v>
      </c>
      <c r="BD182">
        <v>26.982500000000002</v>
      </c>
      <c r="BE182">
        <v>26.753799999999998</v>
      </c>
      <c r="BF182">
        <v>0</v>
      </c>
      <c r="BG182">
        <v>0</v>
      </c>
      <c r="BH182">
        <v>9998.1200000000008</v>
      </c>
      <c r="BI182">
        <v>1059.76</v>
      </c>
      <c r="BJ182">
        <v>1.7310399999999999</v>
      </c>
      <c r="BK182">
        <v>-408.08199999999999</v>
      </c>
      <c r="BL182">
        <v>401.92099999999999</v>
      </c>
      <c r="BM182">
        <v>800.173</v>
      </c>
      <c r="BN182">
        <v>24.637799999999999</v>
      </c>
      <c r="BO182">
        <v>800.02599999999995</v>
      </c>
      <c r="BP182">
        <v>0.184527</v>
      </c>
      <c r="BQ182">
        <v>2.4494699999999998</v>
      </c>
      <c r="BR182">
        <v>1.8209099999999999E-2</v>
      </c>
      <c r="BS182">
        <v>20.694600000000001</v>
      </c>
      <c r="BT182">
        <v>-40.325099999999999</v>
      </c>
      <c r="BU182">
        <v>1799.99</v>
      </c>
      <c r="BV182">
        <v>0.91001299999999996</v>
      </c>
      <c r="BW182">
        <v>3.4003199999999997E-2</v>
      </c>
      <c r="BX182">
        <v>2.1994300000000001E-2</v>
      </c>
      <c r="BY182">
        <v>3.3989199999999997E-2</v>
      </c>
      <c r="BZ182">
        <v>26</v>
      </c>
      <c r="CA182">
        <v>33528.300000000003</v>
      </c>
      <c r="CB182">
        <v>1690381960.0999999</v>
      </c>
      <c r="CC182" t="s">
        <v>332</v>
      </c>
      <c r="CD182">
        <v>1690381960.0999999</v>
      </c>
      <c r="CE182">
        <v>1690381958.0999999</v>
      </c>
      <c r="CF182">
        <v>4</v>
      </c>
      <c r="CG182">
        <v>9.9000000000000005E-2</v>
      </c>
      <c r="CH182">
        <v>1.2E-2</v>
      </c>
      <c r="CI182">
        <v>-0.26300000000000001</v>
      </c>
      <c r="CJ182">
        <v>0.127</v>
      </c>
      <c r="CK182">
        <v>798</v>
      </c>
      <c r="CL182">
        <v>18</v>
      </c>
      <c r="CM182">
        <v>0.02</v>
      </c>
      <c r="CN182">
        <v>0.12</v>
      </c>
      <c r="CO182">
        <v>-407.18819999999999</v>
      </c>
      <c r="CP182">
        <v>-4.6134484052526377</v>
      </c>
      <c r="CQ182">
        <v>0.44624489913050869</v>
      </c>
      <c r="CR182">
        <v>-1</v>
      </c>
      <c r="CS182">
        <v>24.599697500000001</v>
      </c>
      <c r="CT182">
        <v>0.22327542213879609</v>
      </c>
      <c r="CU182">
        <v>2.1606428296921189E-2</v>
      </c>
      <c r="CV182">
        <v>-1</v>
      </c>
      <c r="CW182">
        <v>0</v>
      </c>
      <c r="CX182">
        <v>0</v>
      </c>
      <c r="CY182" t="s">
        <v>333</v>
      </c>
      <c r="CZ182">
        <v>2.3645399999999999</v>
      </c>
      <c r="DA182">
        <v>2.71367</v>
      </c>
      <c r="DB182">
        <v>8.7769700000000006E-2</v>
      </c>
      <c r="DC182">
        <v>0.145455</v>
      </c>
      <c r="DD182">
        <v>0.116268</v>
      </c>
      <c r="DE182">
        <v>1.54561E-3</v>
      </c>
      <c r="DF182">
        <v>33320.800000000003</v>
      </c>
      <c r="DG182">
        <v>27553.8</v>
      </c>
      <c r="DH182">
        <v>31182.3</v>
      </c>
      <c r="DI182">
        <v>28096</v>
      </c>
      <c r="DJ182">
        <v>37406.199999999997</v>
      </c>
      <c r="DK182">
        <v>39896.199999999997</v>
      </c>
      <c r="DL182">
        <v>44377.3</v>
      </c>
      <c r="DM182">
        <v>42582</v>
      </c>
      <c r="DN182">
        <v>1.4770700000000001</v>
      </c>
      <c r="DO182">
        <v>2.0305200000000001</v>
      </c>
      <c r="DP182">
        <v>0.158105</v>
      </c>
      <c r="DQ182">
        <v>0.145625</v>
      </c>
      <c r="DR182">
        <v>24.391300000000001</v>
      </c>
      <c r="DS182">
        <v>24.366700000000002</v>
      </c>
      <c r="DT182">
        <v>24.7</v>
      </c>
      <c r="DU182">
        <v>29.1</v>
      </c>
      <c r="DV182">
        <v>10.1249</v>
      </c>
      <c r="DW182">
        <v>60.933100000000003</v>
      </c>
      <c r="DX182">
        <v>37.391800000000003</v>
      </c>
      <c r="DY182">
        <v>1</v>
      </c>
      <c r="DZ182">
        <v>-0.106512</v>
      </c>
      <c r="EA182">
        <v>0.45092300000000002</v>
      </c>
      <c r="EB182">
        <v>20.188500000000001</v>
      </c>
      <c r="EC182">
        <v>5.2415500000000002</v>
      </c>
      <c r="ED182">
        <v>12.039899999999999</v>
      </c>
      <c r="EE182">
        <v>5.0171999999999999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</v>
      </c>
      <c r="EL182">
        <v>1.8646199999999999</v>
      </c>
      <c r="EM182">
        <v>1.8692</v>
      </c>
      <c r="EN182">
        <v>1.8672500000000001</v>
      </c>
      <c r="EO182">
        <v>1.8633999999999999</v>
      </c>
      <c r="EP182">
        <v>1.8644700000000001</v>
      </c>
      <c r="EQ182">
        <v>1.87018</v>
      </c>
      <c r="ER182">
        <v>1.8694500000000001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2.5000000000000001E-2</v>
      </c>
      <c r="FG182">
        <v>0.17530000000000001</v>
      </c>
      <c r="FH182">
        <v>0.28746640474027818</v>
      </c>
      <c r="FI182">
        <v>-6.1462078757559423E-4</v>
      </c>
      <c r="FJ182">
        <v>-1.8861989874597051E-7</v>
      </c>
      <c r="FK182">
        <v>1.1980462299894961E-10</v>
      </c>
      <c r="FL182">
        <v>0.17524818673008091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36.9</v>
      </c>
      <c r="FU182">
        <v>37</v>
      </c>
      <c r="FV182">
        <v>1.7651399999999999</v>
      </c>
      <c r="FW182">
        <v>2.5817899999999998</v>
      </c>
      <c r="FX182">
        <v>1.5490699999999999</v>
      </c>
      <c r="FY182">
        <v>2.3327599999999999</v>
      </c>
      <c r="FZ182">
        <v>1.50146</v>
      </c>
      <c r="GA182">
        <v>2.2839399999999999</v>
      </c>
      <c r="GB182">
        <v>33.580399999999997</v>
      </c>
      <c r="GC182">
        <v>23.973700000000001</v>
      </c>
      <c r="GD182">
        <v>19</v>
      </c>
      <c r="GE182">
        <v>282.53699999999998</v>
      </c>
      <c r="GF182">
        <v>576.51099999999997</v>
      </c>
      <c r="GG182">
        <v>23.39</v>
      </c>
      <c r="GH182">
        <v>26.037099999999999</v>
      </c>
      <c r="GI182">
        <v>30.0002</v>
      </c>
      <c r="GJ182">
        <v>26.189</v>
      </c>
      <c r="GK182">
        <v>26.174499999999998</v>
      </c>
      <c r="GL182">
        <v>35.285200000000003</v>
      </c>
      <c r="GM182">
        <v>100</v>
      </c>
      <c r="GN182">
        <v>10.73</v>
      </c>
      <c r="GO182">
        <v>23.383600000000001</v>
      </c>
      <c r="GP182">
        <v>800</v>
      </c>
      <c r="GQ182">
        <v>0</v>
      </c>
      <c r="GR182">
        <v>99.772599999999997</v>
      </c>
      <c r="GS182">
        <v>99.615799999999993</v>
      </c>
    </row>
    <row r="183" spans="1:201" x14ac:dyDescent="0.25">
      <c r="A183">
        <v>167</v>
      </c>
      <c r="B183">
        <v>1690384186</v>
      </c>
      <c r="C183">
        <v>1710.900000095367</v>
      </c>
      <c r="D183" t="s">
        <v>665</v>
      </c>
      <c r="E183" t="s">
        <v>666</v>
      </c>
      <c r="F183" t="s">
        <v>330</v>
      </c>
      <c r="H183">
        <v>1690384186</v>
      </c>
      <c r="I183">
        <f t="shared" si="60"/>
        <v>2.3220144041426155E-3</v>
      </c>
      <c r="J183">
        <f t="shared" si="61"/>
        <v>2.3220144041426156</v>
      </c>
      <c r="K183">
        <f t="shared" si="62"/>
        <v>36.616076066853516</v>
      </c>
      <c r="L183">
        <f t="shared" si="63"/>
        <v>391.10199999999998</v>
      </c>
      <c r="M183">
        <f t="shared" si="64"/>
        <v>102.96504798445652</v>
      </c>
      <c r="N183">
        <f t="shared" si="65"/>
        <v>10.171164415883693</v>
      </c>
      <c r="O183">
        <f t="shared" si="66"/>
        <v>38.63410762438</v>
      </c>
      <c r="P183">
        <f t="shared" si="67"/>
        <v>0.21656918456764551</v>
      </c>
      <c r="Q183">
        <f t="shared" si="68"/>
        <v>2.1072664955754008</v>
      </c>
      <c r="R183">
        <f t="shared" si="69"/>
        <v>0.20492019549218601</v>
      </c>
      <c r="S183">
        <f t="shared" si="70"/>
        <v>0.1290694970142649</v>
      </c>
      <c r="T183">
        <f t="shared" si="71"/>
        <v>276.11440282800004</v>
      </c>
      <c r="U183">
        <f t="shared" si="72"/>
        <v>26.815845019741072</v>
      </c>
      <c r="V183">
        <f t="shared" si="73"/>
        <v>26.815845019741072</v>
      </c>
      <c r="W183">
        <f t="shared" si="74"/>
        <v>3.5406302014861786</v>
      </c>
      <c r="X183">
        <f t="shared" si="75"/>
        <v>75.280400387907321</v>
      </c>
      <c r="Y183">
        <f t="shared" si="76"/>
        <v>2.4552635164880003</v>
      </c>
      <c r="Z183">
        <f t="shared" si="77"/>
        <v>3.2614910439323355</v>
      </c>
      <c r="AA183">
        <f t="shared" si="78"/>
        <v>1.0853666849981782</v>
      </c>
      <c r="AB183">
        <f t="shared" si="79"/>
        <v>-102.40083522268934</v>
      </c>
      <c r="AC183">
        <f t="shared" si="80"/>
        <v>-157.8051699243733</v>
      </c>
      <c r="AD183">
        <f t="shared" si="81"/>
        <v>-16.019812589245092</v>
      </c>
      <c r="AE183">
        <f t="shared" si="82"/>
        <v>-0.11141490830769385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52339.338212972572</v>
      </c>
      <c r="AK183">
        <f t="shared" si="86"/>
        <v>1800</v>
      </c>
      <c r="AL183">
        <f t="shared" si="87"/>
        <v>1499.1121817999999</v>
      </c>
      <c r="AM183">
        <f t="shared" si="88"/>
        <v>0.83284010099999994</v>
      </c>
      <c r="AN183">
        <f t="shared" si="89"/>
        <v>0.15339689046000002</v>
      </c>
      <c r="AO183">
        <v>32.700000000000003</v>
      </c>
      <c r="AP183">
        <v>0.5</v>
      </c>
      <c r="AQ183" t="s">
        <v>331</v>
      </c>
      <c r="AR183">
        <v>2</v>
      </c>
      <c r="AS183">
        <v>1690384186</v>
      </c>
      <c r="AT183">
        <v>391.10199999999998</v>
      </c>
      <c r="AU183">
        <v>799.96199999999999</v>
      </c>
      <c r="AV183">
        <v>24.8552</v>
      </c>
      <c r="AW183">
        <v>0.18362000000000001</v>
      </c>
      <c r="AX183">
        <v>391.077</v>
      </c>
      <c r="AY183">
        <v>24.6799</v>
      </c>
      <c r="AZ183">
        <v>300.113</v>
      </c>
      <c r="BA183">
        <v>98.682699999999997</v>
      </c>
      <c r="BB183">
        <v>9.9989999999999996E-2</v>
      </c>
      <c r="BC183">
        <v>25.4268</v>
      </c>
      <c r="BD183">
        <v>26.994499999999999</v>
      </c>
      <c r="BE183">
        <v>26.749600000000001</v>
      </c>
      <c r="BF183">
        <v>0</v>
      </c>
      <c r="BG183">
        <v>0</v>
      </c>
      <c r="BH183">
        <v>9976.8799999999992</v>
      </c>
      <c r="BI183">
        <v>1059.82</v>
      </c>
      <c r="BJ183">
        <v>1.68198</v>
      </c>
      <c r="BK183">
        <v>-408.86</v>
      </c>
      <c r="BL183">
        <v>401.07100000000003</v>
      </c>
      <c r="BM183">
        <v>800.10900000000004</v>
      </c>
      <c r="BN183">
        <v>24.671600000000002</v>
      </c>
      <c r="BO183">
        <v>799.96199999999999</v>
      </c>
      <c r="BP183">
        <v>0.18362000000000001</v>
      </c>
      <c r="BQ183">
        <v>2.4527800000000002</v>
      </c>
      <c r="BR183">
        <v>1.81201E-2</v>
      </c>
      <c r="BS183">
        <v>20.7165</v>
      </c>
      <c r="BT183">
        <v>-40.3718</v>
      </c>
      <c r="BU183">
        <v>1800</v>
      </c>
      <c r="BV183">
        <v>0.91001299999999996</v>
      </c>
      <c r="BW183">
        <v>3.4003199999999997E-2</v>
      </c>
      <c r="BX183">
        <v>2.1994300000000001E-2</v>
      </c>
      <c r="BY183">
        <v>3.3989199999999997E-2</v>
      </c>
      <c r="BZ183">
        <v>26</v>
      </c>
      <c r="CA183">
        <v>33528.5</v>
      </c>
      <c r="CB183">
        <v>1690381960.0999999</v>
      </c>
      <c r="CC183" t="s">
        <v>332</v>
      </c>
      <c r="CD183">
        <v>1690381960.0999999</v>
      </c>
      <c r="CE183">
        <v>1690381958.0999999</v>
      </c>
      <c r="CF183">
        <v>4</v>
      </c>
      <c r="CG183">
        <v>9.9000000000000005E-2</v>
      </c>
      <c r="CH183">
        <v>1.2E-2</v>
      </c>
      <c r="CI183">
        <v>-0.26300000000000001</v>
      </c>
      <c r="CJ183">
        <v>0.127</v>
      </c>
      <c r="CK183">
        <v>798</v>
      </c>
      <c r="CL183">
        <v>18</v>
      </c>
      <c r="CM183">
        <v>0.02</v>
      </c>
      <c r="CN183">
        <v>0.12</v>
      </c>
      <c r="CO183">
        <v>-407.91600000000011</v>
      </c>
      <c r="CP183">
        <v>-5.1775159474659533</v>
      </c>
      <c r="CQ183">
        <v>0.50115691155565567</v>
      </c>
      <c r="CR183">
        <v>-1</v>
      </c>
      <c r="CS183">
        <v>24.632535000000001</v>
      </c>
      <c r="CT183">
        <v>0.1993103189492767</v>
      </c>
      <c r="CU183">
        <v>1.9239666707092509E-2</v>
      </c>
      <c r="CV183">
        <v>-1</v>
      </c>
      <c r="CW183">
        <v>0</v>
      </c>
      <c r="CX183">
        <v>0</v>
      </c>
      <c r="CY183" t="s">
        <v>333</v>
      </c>
      <c r="CZ183">
        <v>2.36469</v>
      </c>
      <c r="DA183">
        <v>2.7137600000000002</v>
      </c>
      <c r="DB183">
        <v>8.7627800000000006E-2</v>
      </c>
      <c r="DC183">
        <v>0.145452</v>
      </c>
      <c r="DD183">
        <v>0.11638</v>
      </c>
      <c r="DE183">
        <v>1.53816E-3</v>
      </c>
      <c r="DF183">
        <v>33326.400000000001</v>
      </c>
      <c r="DG183">
        <v>27553.9</v>
      </c>
      <c r="DH183">
        <v>31182.6</v>
      </c>
      <c r="DI183">
        <v>28096</v>
      </c>
      <c r="DJ183">
        <v>37401.9</v>
      </c>
      <c r="DK183">
        <v>39896.300000000003</v>
      </c>
      <c r="DL183">
        <v>44377.8</v>
      </c>
      <c r="DM183">
        <v>42581.8</v>
      </c>
      <c r="DN183">
        <v>1.4773799999999999</v>
      </c>
      <c r="DO183">
        <v>2.0303200000000001</v>
      </c>
      <c r="DP183">
        <v>0.15876100000000001</v>
      </c>
      <c r="DQ183">
        <v>0.14536499999999999</v>
      </c>
      <c r="DR183">
        <v>24.392600000000002</v>
      </c>
      <c r="DS183">
        <v>24.366700000000002</v>
      </c>
      <c r="DT183">
        <v>24.5</v>
      </c>
      <c r="DU183">
        <v>29.1</v>
      </c>
      <c r="DV183">
        <v>10.042899999999999</v>
      </c>
      <c r="DW183">
        <v>61.133099999999999</v>
      </c>
      <c r="DX183">
        <v>37.6723</v>
      </c>
      <c r="DY183">
        <v>1</v>
      </c>
      <c r="DZ183">
        <v>-0.1072</v>
      </c>
      <c r="EA183">
        <v>0.42724400000000001</v>
      </c>
      <c r="EB183">
        <v>20.188500000000001</v>
      </c>
      <c r="EC183">
        <v>5.2411000000000003</v>
      </c>
      <c r="ED183">
        <v>12.039899999999999</v>
      </c>
      <c r="EE183">
        <v>5.0171999999999999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1.8689100000000001</v>
      </c>
      <c r="EL183">
        <v>1.8646199999999999</v>
      </c>
      <c r="EM183">
        <v>1.8692</v>
      </c>
      <c r="EN183">
        <v>1.8672299999999999</v>
      </c>
      <c r="EO183">
        <v>1.8633999999999999</v>
      </c>
      <c r="EP183">
        <v>1.8644700000000001</v>
      </c>
      <c r="EQ183">
        <v>1.87019</v>
      </c>
      <c r="ER183">
        <v>1.86941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2.5000000000000001E-2</v>
      </c>
      <c r="FG183">
        <v>0.17530000000000001</v>
      </c>
      <c r="FH183">
        <v>0.28746640474027818</v>
      </c>
      <c r="FI183">
        <v>-6.1462078757559423E-4</v>
      </c>
      <c r="FJ183">
        <v>-1.8861989874597051E-7</v>
      </c>
      <c r="FK183">
        <v>1.1980462299894961E-10</v>
      </c>
      <c r="FL183">
        <v>0.17524818673008091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37.1</v>
      </c>
      <c r="FU183">
        <v>37.1</v>
      </c>
      <c r="FV183">
        <v>1.7651399999999999</v>
      </c>
      <c r="FW183">
        <v>2.5805699999999998</v>
      </c>
      <c r="FX183">
        <v>1.5490699999999999</v>
      </c>
      <c r="FY183">
        <v>2.3327599999999999</v>
      </c>
      <c r="FZ183">
        <v>1.50146</v>
      </c>
      <c r="GA183">
        <v>2.2814899999999998</v>
      </c>
      <c r="GB183">
        <v>33.602899999999998</v>
      </c>
      <c r="GC183">
        <v>23.982399999999998</v>
      </c>
      <c r="GD183">
        <v>19</v>
      </c>
      <c r="GE183">
        <v>282.65499999999997</v>
      </c>
      <c r="GF183">
        <v>576.32299999999998</v>
      </c>
      <c r="GG183">
        <v>23.385400000000001</v>
      </c>
      <c r="GH183">
        <v>26.0349</v>
      </c>
      <c r="GI183">
        <v>30</v>
      </c>
      <c r="GJ183">
        <v>26.187200000000001</v>
      </c>
      <c r="GK183">
        <v>26.1723</v>
      </c>
      <c r="GL183">
        <v>35.2866</v>
      </c>
      <c r="GM183">
        <v>100</v>
      </c>
      <c r="GN183">
        <v>10.359299999999999</v>
      </c>
      <c r="GO183">
        <v>23.3933</v>
      </c>
      <c r="GP183">
        <v>800</v>
      </c>
      <c r="GQ183">
        <v>0</v>
      </c>
      <c r="GR183">
        <v>99.773700000000005</v>
      </c>
      <c r="GS183">
        <v>99.615499999999997</v>
      </c>
    </row>
    <row r="184" spans="1:201" x14ac:dyDescent="0.25">
      <c r="A184">
        <v>168</v>
      </c>
      <c r="B184">
        <v>1690384196</v>
      </c>
      <c r="C184">
        <v>1720.900000095367</v>
      </c>
      <c r="D184" t="s">
        <v>667</v>
      </c>
      <c r="E184" t="s">
        <v>668</v>
      </c>
      <c r="F184" t="s">
        <v>330</v>
      </c>
      <c r="H184">
        <v>1690384196</v>
      </c>
      <c r="I184">
        <f t="shared" si="60"/>
        <v>2.3258900057080496E-3</v>
      </c>
      <c r="J184">
        <f t="shared" si="61"/>
        <v>2.3258900057080498</v>
      </c>
      <c r="K184">
        <f t="shared" si="62"/>
        <v>36.688240969202276</v>
      </c>
      <c r="L184">
        <f t="shared" si="63"/>
        <v>390.40499999999997</v>
      </c>
      <c r="M184">
        <f t="shared" si="64"/>
        <v>103.07950772113291</v>
      </c>
      <c r="N184">
        <f t="shared" si="65"/>
        <v>10.182276442458702</v>
      </c>
      <c r="O184">
        <f t="shared" si="66"/>
        <v>38.564519004809995</v>
      </c>
      <c r="P184">
        <f t="shared" si="67"/>
        <v>0.21763311624238979</v>
      </c>
      <c r="Q184">
        <f t="shared" si="68"/>
        <v>2.1114879788693988</v>
      </c>
      <c r="R184">
        <f t="shared" si="69"/>
        <v>0.20589487856923039</v>
      </c>
      <c r="S184">
        <f t="shared" si="70"/>
        <v>0.12968614798466002</v>
      </c>
      <c r="T184">
        <f t="shared" si="71"/>
        <v>276.11303273018501</v>
      </c>
      <c r="U184">
        <f t="shared" si="72"/>
        <v>26.815542077752518</v>
      </c>
      <c r="V184">
        <f t="shared" si="73"/>
        <v>26.815542077752518</v>
      </c>
      <c r="W184">
        <f t="shared" si="74"/>
        <v>3.5405671185226661</v>
      </c>
      <c r="X184">
        <f t="shared" si="75"/>
        <v>75.365812016827434</v>
      </c>
      <c r="Y184">
        <f t="shared" si="76"/>
        <v>2.4585751371383999</v>
      </c>
      <c r="Z184">
        <f t="shared" si="77"/>
        <v>3.262188877616627</v>
      </c>
      <c r="AA184">
        <f t="shared" si="78"/>
        <v>1.0819919813842662</v>
      </c>
      <c r="AB184">
        <f t="shared" si="79"/>
        <v>-102.571749251725</v>
      </c>
      <c r="AC184">
        <f t="shared" si="80"/>
        <v>-157.67701114036817</v>
      </c>
      <c r="AD184">
        <f t="shared" si="81"/>
        <v>-15.975063721889022</v>
      </c>
      <c r="AE184">
        <f t="shared" si="82"/>
        <v>-0.11079138379716369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52523.469357273483</v>
      </c>
      <c r="AK184">
        <f t="shared" si="86"/>
        <v>1799.99</v>
      </c>
      <c r="AL184">
        <f t="shared" si="87"/>
        <v>1499.1052375913</v>
      </c>
      <c r="AM184">
        <f t="shared" si="88"/>
        <v>0.83284086999999996</v>
      </c>
      <c r="AN184">
        <f t="shared" si="89"/>
        <v>0.1533969815</v>
      </c>
      <c r="AO184">
        <v>32.700000000000003</v>
      </c>
      <c r="AP184">
        <v>0.5</v>
      </c>
      <c r="AQ184" t="s">
        <v>331</v>
      </c>
      <c r="AR184">
        <v>2</v>
      </c>
      <c r="AS184">
        <v>1690384196</v>
      </c>
      <c r="AT184">
        <v>390.40499999999997</v>
      </c>
      <c r="AU184">
        <v>799.971</v>
      </c>
      <c r="AV184">
        <v>24.889199999999999</v>
      </c>
      <c r="AW184">
        <v>0.18207799999999999</v>
      </c>
      <c r="AX184">
        <v>390.38</v>
      </c>
      <c r="AY184">
        <v>24.713899999999999</v>
      </c>
      <c r="AZ184">
        <v>300.17099999999999</v>
      </c>
      <c r="BA184">
        <v>98.680800000000005</v>
      </c>
      <c r="BB184">
        <v>0.10000199999999999</v>
      </c>
      <c r="BC184">
        <v>25.430399999999999</v>
      </c>
      <c r="BD184">
        <v>26.9864</v>
      </c>
      <c r="BE184">
        <v>26.7484</v>
      </c>
      <c r="BF184">
        <v>0</v>
      </c>
      <c r="BG184">
        <v>0</v>
      </c>
      <c r="BH184">
        <v>10013.799999999999</v>
      </c>
      <c r="BI184">
        <v>1059.82</v>
      </c>
      <c r="BJ184">
        <v>1.68198</v>
      </c>
      <c r="BK184">
        <v>-409.56599999999997</v>
      </c>
      <c r="BL184">
        <v>400.37</v>
      </c>
      <c r="BM184">
        <v>800.11699999999996</v>
      </c>
      <c r="BN184">
        <v>24.707100000000001</v>
      </c>
      <c r="BO184">
        <v>799.971</v>
      </c>
      <c r="BP184">
        <v>0.18207799999999999</v>
      </c>
      <c r="BQ184">
        <v>2.4560900000000001</v>
      </c>
      <c r="BR184">
        <v>1.79676E-2</v>
      </c>
      <c r="BS184">
        <v>20.738399999999999</v>
      </c>
      <c r="BT184">
        <v>-40.452399999999997</v>
      </c>
      <c r="BU184">
        <v>1799.99</v>
      </c>
      <c r="BV184">
        <v>0.91001500000000002</v>
      </c>
      <c r="BW184">
        <v>3.4002699999999997E-2</v>
      </c>
      <c r="BX184">
        <v>2.1994E-2</v>
      </c>
      <c r="BY184">
        <v>3.39888E-2</v>
      </c>
      <c r="BZ184">
        <v>26</v>
      </c>
      <c r="CA184">
        <v>33528.400000000001</v>
      </c>
      <c r="CB184">
        <v>1690381960.0999999</v>
      </c>
      <c r="CC184" t="s">
        <v>332</v>
      </c>
      <c r="CD184">
        <v>1690381960.0999999</v>
      </c>
      <c r="CE184">
        <v>1690381958.0999999</v>
      </c>
      <c r="CF184">
        <v>4</v>
      </c>
      <c r="CG184">
        <v>9.9000000000000005E-2</v>
      </c>
      <c r="CH184">
        <v>1.2E-2</v>
      </c>
      <c r="CI184">
        <v>-0.26300000000000001</v>
      </c>
      <c r="CJ184">
        <v>0.127</v>
      </c>
      <c r="CK184">
        <v>798</v>
      </c>
      <c r="CL184">
        <v>18</v>
      </c>
      <c r="CM184">
        <v>0.02</v>
      </c>
      <c r="CN184">
        <v>0.12</v>
      </c>
      <c r="CO184">
        <v>-408.77526829268288</v>
      </c>
      <c r="CP184">
        <v>-4.8291219512191237</v>
      </c>
      <c r="CQ184">
        <v>0.47917780316227448</v>
      </c>
      <c r="CR184">
        <v>-1</v>
      </c>
      <c r="CS184">
        <v>24.668804878048778</v>
      </c>
      <c r="CT184">
        <v>0.21371707317071509</v>
      </c>
      <c r="CU184">
        <v>2.111562767956944E-2</v>
      </c>
      <c r="CV184">
        <v>-1</v>
      </c>
      <c r="CW184">
        <v>0</v>
      </c>
      <c r="CX184">
        <v>0</v>
      </c>
      <c r="CY184" t="s">
        <v>333</v>
      </c>
      <c r="CZ184">
        <v>2.3648699999999998</v>
      </c>
      <c r="DA184">
        <v>2.7138100000000001</v>
      </c>
      <c r="DB184">
        <v>8.7506700000000007E-2</v>
      </c>
      <c r="DC184">
        <v>0.14545</v>
      </c>
      <c r="DD184">
        <v>0.11649</v>
      </c>
      <c r="DE184">
        <v>1.5253700000000001E-3</v>
      </c>
      <c r="DF184">
        <v>33330.9</v>
      </c>
      <c r="DG184">
        <v>27553.599999999999</v>
      </c>
      <c r="DH184">
        <v>31182.7</v>
      </c>
      <c r="DI184">
        <v>28095.7</v>
      </c>
      <c r="DJ184">
        <v>37397.300000000003</v>
      </c>
      <c r="DK184">
        <v>39896.5</v>
      </c>
      <c r="DL184">
        <v>44378</v>
      </c>
      <c r="DM184">
        <v>42581.5</v>
      </c>
      <c r="DN184">
        <v>1.4775199999999999</v>
      </c>
      <c r="DO184">
        <v>2.0305499999999999</v>
      </c>
      <c r="DP184">
        <v>0.15809400000000001</v>
      </c>
      <c r="DQ184">
        <v>0.14529</v>
      </c>
      <c r="DR184">
        <v>24.395399999999999</v>
      </c>
      <c r="DS184">
        <v>24.366700000000002</v>
      </c>
      <c r="DT184">
        <v>24.3</v>
      </c>
      <c r="DU184">
        <v>29.1</v>
      </c>
      <c r="DV184">
        <v>9.9614700000000003</v>
      </c>
      <c r="DW184">
        <v>60.643099999999997</v>
      </c>
      <c r="DX184">
        <v>37.7684</v>
      </c>
      <c r="DY184">
        <v>1</v>
      </c>
      <c r="DZ184">
        <v>-0.107109</v>
      </c>
      <c r="EA184">
        <v>0.45364700000000002</v>
      </c>
      <c r="EB184">
        <v>20.188500000000001</v>
      </c>
      <c r="EC184">
        <v>5.24125</v>
      </c>
      <c r="ED184">
        <v>12.039899999999999</v>
      </c>
      <c r="EE184">
        <v>5.0174500000000002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</v>
      </c>
      <c r="EL184">
        <v>1.8646199999999999</v>
      </c>
      <c r="EM184">
        <v>1.8692</v>
      </c>
      <c r="EN184">
        <v>1.8672500000000001</v>
      </c>
      <c r="EO184">
        <v>1.8633999999999999</v>
      </c>
      <c r="EP184">
        <v>1.8644700000000001</v>
      </c>
      <c r="EQ184">
        <v>1.87015</v>
      </c>
      <c r="ER184">
        <v>1.8694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2.5000000000000001E-2</v>
      </c>
      <c r="FG184">
        <v>0.17530000000000001</v>
      </c>
      <c r="FH184">
        <v>0.28746640474027818</v>
      </c>
      <c r="FI184">
        <v>-6.1462078757559423E-4</v>
      </c>
      <c r="FJ184">
        <v>-1.8861989874597051E-7</v>
      </c>
      <c r="FK184">
        <v>1.1980462299894961E-10</v>
      </c>
      <c r="FL184">
        <v>0.17524818673008091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37.299999999999997</v>
      </c>
      <c r="FU184">
        <v>37.299999999999997</v>
      </c>
      <c r="FV184">
        <v>1.7651399999999999</v>
      </c>
      <c r="FW184">
        <v>2.5769000000000002</v>
      </c>
      <c r="FX184">
        <v>1.5490699999999999</v>
      </c>
      <c r="FY184">
        <v>2.3327599999999999</v>
      </c>
      <c r="FZ184">
        <v>1.50146</v>
      </c>
      <c r="GA184">
        <v>2.2875999999999999</v>
      </c>
      <c r="GB184">
        <v>33.580399999999997</v>
      </c>
      <c r="GC184">
        <v>23.982399999999998</v>
      </c>
      <c r="GD184">
        <v>19</v>
      </c>
      <c r="GE184">
        <v>282.709</v>
      </c>
      <c r="GF184">
        <v>576.49199999999996</v>
      </c>
      <c r="GG184">
        <v>23.389700000000001</v>
      </c>
      <c r="GH184">
        <v>26.0349</v>
      </c>
      <c r="GI184">
        <v>30.0001</v>
      </c>
      <c r="GJ184">
        <v>26.185099999999998</v>
      </c>
      <c r="GK184">
        <v>26.170999999999999</v>
      </c>
      <c r="GL184">
        <v>35.2866</v>
      </c>
      <c r="GM184">
        <v>100</v>
      </c>
      <c r="GN184">
        <v>9.6098099999999995</v>
      </c>
      <c r="GO184">
        <v>23.377099999999999</v>
      </c>
      <c r="GP184">
        <v>800</v>
      </c>
      <c r="GQ184">
        <v>0</v>
      </c>
      <c r="GR184">
        <v>99.774100000000004</v>
      </c>
      <c r="GS184">
        <v>99.614599999999996</v>
      </c>
    </row>
    <row r="185" spans="1:201" x14ac:dyDescent="0.25">
      <c r="A185">
        <v>169</v>
      </c>
      <c r="B185">
        <v>1690384206</v>
      </c>
      <c r="C185">
        <v>1730.900000095367</v>
      </c>
      <c r="D185" t="s">
        <v>669</v>
      </c>
      <c r="E185" t="s">
        <v>670</v>
      </c>
      <c r="F185" t="s">
        <v>330</v>
      </c>
      <c r="H185">
        <v>1690384206</v>
      </c>
      <c r="I185">
        <f t="shared" si="60"/>
        <v>2.3288958004074106E-3</v>
      </c>
      <c r="J185">
        <f t="shared" si="61"/>
        <v>2.3288958004074107</v>
      </c>
      <c r="K185">
        <f t="shared" si="62"/>
        <v>36.747660251283421</v>
      </c>
      <c r="L185">
        <f t="shared" si="63"/>
        <v>389.76299999999998</v>
      </c>
      <c r="M185">
        <f t="shared" si="64"/>
        <v>103.15964427846075</v>
      </c>
      <c r="N185">
        <f t="shared" si="65"/>
        <v>10.190028578345949</v>
      </c>
      <c r="O185">
        <f t="shared" si="66"/>
        <v>38.500482786281992</v>
      </c>
      <c r="P185">
        <f t="shared" si="67"/>
        <v>0.21857382145883</v>
      </c>
      <c r="Q185">
        <f t="shared" si="68"/>
        <v>2.1114693485242713</v>
      </c>
      <c r="R185">
        <f t="shared" si="69"/>
        <v>0.20673675374595635</v>
      </c>
      <c r="S185">
        <f t="shared" si="70"/>
        <v>0.13022053735350414</v>
      </c>
      <c r="T185">
        <f t="shared" si="71"/>
        <v>276.114430062</v>
      </c>
      <c r="U185">
        <f t="shared" si="72"/>
        <v>26.816403900906995</v>
      </c>
      <c r="V185">
        <f t="shared" si="73"/>
        <v>26.816403900906995</v>
      </c>
      <c r="W185">
        <f t="shared" si="74"/>
        <v>3.5407465823827735</v>
      </c>
      <c r="X185">
        <f t="shared" si="75"/>
        <v>75.456307139746471</v>
      </c>
      <c r="Y185">
        <f t="shared" si="76"/>
        <v>2.4618052050721997</v>
      </c>
      <c r="Z185">
        <f t="shared" si="77"/>
        <v>3.2625572313165168</v>
      </c>
      <c r="AA185">
        <f t="shared" si="78"/>
        <v>1.0789413773105738</v>
      </c>
      <c r="AB185">
        <f t="shared" si="79"/>
        <v>-102.70430479796681</v>
      </c>
      <c r="AC185">
        <f t="shared" si="80"/>
        <v>-157.55744056400098</v>
      </c>
      <c r="AD185">
        <f t="shared" si="81"/>
        <v>-15.963311217814555</v>
      </c>
      <c r="AE185">
        <f t="shared" si="82"/>
        <v>-0.11062651778237864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52522.283356665474</v>
      </c>
      <c r="AK185">
        <f t="shared" si="86"/>
        <v>1800</v>
      </c>
      <c r="AL185">
        <f t="shared" si="87"/>
        <v>1499.1133032</v>
      </c>
      <c r="AM185">
        <f t="shared" si="88"/>
        <v>0.83284072399999998</v>
      </c>
      <c r="AN185">
        <f t="shared" si="89"/>
        <v>0.15339690558999999</v>
      </c>
      <c r="AO185">
        <v>32.700000000000003</v>
      </c>
      <c r="AP185">
        <v>0.5</v>
      </c>
      <c r="AQ185" t="s">
        <v>331</v>
      </c>
      <c r="AR185">
        <v>2</v>
      </c>
      <c r="AS185">
        <v>1690384206</v>
      </c>
      <c r="AT185">
        <v>389.76299999999998</v>
      </c>
      <c r="AU185">
        <v>800.02200000000005</v>
      </c>
      <c r="AV185">
        <v>24.9223</v>
      </c>
      <c r="AW185">
        <v>0.181121</v>
      </c>
      <c r="AX185">
        <v>389.73599999999999</v>
      </c>
      <c r="AY185">
        <v>24.7471</v>
      </c>
      <c r="AZ185">
        <v>300.13499999999999</v>
      </c>
      <c r="BA185">
        <v>98.679199999999994</v>
      </c>
      <c r="BB185">
        <v>0.10001400000000001</v>
      </c>
      <c r="BC185">
        <v>25.432300000000001</v>
      </c>
      <c r="BD185">
        <v>26.994</v>
      </c>
      <c r="BE185">
        <v>26.748999999999999</v>
      </c>
      <c r="BF185">
        <v>0</v>
      </c>
      <c r="BG185">
        <v>0</v>
      </c>
      <c r="BH185">
        <v>10013.799999999999</v>
      </c>
      <c r="BI185">
        <v>1059.93</v>
      </c>
      <c r="BJ185">
        <v>1.7380500000000001</v>
      </c>
      <c r="BK185">
        <v>-410.25900000000001</v>
      </c>
      <c r="BL185">
        <v>399.72500000000002</v>
      </c>
      <c r="BM185">
        <v>800.16700000000003</v>
      </c>
      <c r="BN185">
        <v>24.741199999999999</v>
      </c>
      <c r="BO185">
        <v>800.02200000000005</v>
      </c>
      <c r="BP185">
        <v>0.181121</v>
      </c>
      <c r="BQ185">
        <v>2.4593099999999999</v>
      </c>
      <c r="BR185">
        <v>1.7872900000000001E-2</v>
      </c>
      <c r="BS185">
        <v>20.759699999999999</v>
      </c>
      <c r="BT185">
        <v>-40.502800000000001</v>
      </c>
      <c r="BU185">
        <v>1800</v>
      </c>
      <c r="BV185">
        <v>0.91001600000000005</v>
      </c>
      <c r="BW185">
        <v>3.4002200000000003E-2</v>
      </c>
      <c r="BX185">
        <v>2.1993700000000001E-2</v>
      </c>
      <c r="BY185">
        <v>3.3988299999999999E-2</v>
      </c>
      <c r="BZ185">
        <v>26</v>
      </c>
      <c r="CA185">
        <v>33528.5</v>
      </c>
      <c r="CB185">
        <v>1690381960.0999999</v>
      </c>
      <c r="CC185" t="s">
        <v>332</v>
      </c>
      <c r="CD185">
        <v>1690381960.0999999</v>
      </c>
      <c r="CE185">
        <v>1690381958.0999999</v>
      </c>
      <c r="CF185">
        <v>4</v>
      </c>
      <c r="CG185">
        <v>9.9000000000000005E-2</v>
      </c>
      <c r="CH185">
        <v>1.2E-2</v>
      </c>
      <c r="CI185">
        <v>-0.26300000000000001</v>
      </c>
      <c r="CJ185">
        <v>0.127</v>
      </c>
      <c r="CK185">
        <v>798</v>
      </c>
      <c r="CL185">
        <v>18</v>
      </c>
      <c r="CM185">
        <v>0.02</v>
      </c>
      <c r="CN185">
        <v>0.12</v>
      </c>
      <c r="CO185">
        <v>-409.57692682926819</v>
      </c>
      <c r="CP185">
        <v>-4.8519930313591599</v>
      </c>
      <c r="CQ185">
        <v>0.48083988462485422</v>
      </c>
      <c r="CR185">
        <v>-1</v>
      </c>
      <c r="CS185">
        <v>24.705200000000001</v>
      </c>
      <c r="CT185">
        <v>0.21873240418120801</v>
      </c>
      <c r="CU185">
        <v>2.15940597071081E-2</v>
      </c>
      <c r="CV185">
        <v>-1</v>
      </c>
      <c r="CW185">
        <v>0</v>
      </c>
      <c r="CX185">
        <v>0</v>
      </c>
      <c r="CY185" t="s">
        <v>333</v>
      </c>
      <c r="CZ185">
        <v>2.3647499999999999</v>
      </c>
      <c r="DA185">
        <v>2.7138200000000001</v>
      </c>
      <c r="DB185">
        <v>8.7395E-2</v>
      </c>
      <c r="DC185">
        <v>0.145455</v>
      </c>
      <c r="DD185">
        <v>0.11659799999999999</v>
      </c>
      <c r="DE185">
        <v>1.51742E-3</v>
      </c>
      <c r="DF185">
        <v>33334.800000000003</v>
      </c>
      <c r="DG185">
        <v>27553.8</v>
      </c>
      <c r="DH185">
        <v>31182.6</v>
      </c>
      <c r="DI185">
        <v>28096</v>
      </c>
      <c r="DJ185">
        <v>37392.300000000003</v>
      </c>
      <c r="DK185">
        <v>39897.5</v>
      </c>
      <c r="DL185">
        <v>44377.599999999999</v>
      </c>
      <c r="DM185">
        <v>42582.2</v>
      </c>
      <c r="DN185">
        <v>1.4776499999999999</v>
      </c>
      <c r="DO185">
        <v>2.0303499999999999</v>
      </c>
      <c r="DP185">
        <v>0.15843699999999999</v>
      </c>
      <c r="DQ185">
        <v>0.145201</v>
      </c>
      <c r="DR185">
        <v>24.397400000000001</v>
      </c>
      <c r="DS185">
        <v>24.3687</v>
      </c>
      <c r="DT185">
        <v>24.2</v>
      </c>
      <c r="DU185">
        <v>29.1</v>
      </c>
      <c r="DV185">
        <v>9.9193200000000008</v>
      </c>
      <c r="DW185">
        <v>60.723100000000002</v>
      </c>
      <c r="DX185">
        <v>37.664299999999997</v>
      </c>
      <c r="DY185">
        <v>1</v>
      </c>
      <c r="DZ185">
        <v>-0.10717500000000001</v>
      </c>
      <c r="EA185">
        <v>0.38992599999999999</v>
      </c>
      <c r="EB185">
        <v>20.188800000000001</v>
      </c>
      <c r="EC185">
        <v>5.2413999999999996</v>
      </c>
      <c r="ED185">
        <v>12.039899999999999</v>
      </c>
      <c r="EE185">
        <v>5.0175999999999998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</v>
      </c>
      <c r="EL185">
        <v>1.8646199999999999</v>
      </c>
      <c r="EM185">
        <v>1.8692</v>
      </c>
      <c r="EN185">
        <v>1.8672200000000001</v>
      </c>
      <c r="EO185">
        <v>1.8633999999999999</v>
      </c>
      <c r="EP185">
        <v>1.8644700000000001</v>
      </c>
      <c r="EQ185">
        <v>1.87016</v>
      </c>
      <c r="ER185">
        <v>1.8694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2.7E-2</v>
      </c>
      <c r="FG185">
        <v>0.17519999999999999</v>
      </c>
      <c r="FH185">
        <v>0.28746640474027818</v>
      </c>
      <c r="FI185">
        <v>-6.1462078757559423E-4</v>
      </c>
      <c r="FJ185">
        <v>-1.8861989874597051E-7</v>
      </c>
      <c r="FK185">
        <v>1.1980462299894961E-10</v>
      </c>
      <c r="FL185">
        <v>0.17524818673008091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37.4</v>
      </c>
      <c r="FU185">
        <v>37.5</v>
      </c>
      <c r="FV185">
        <v>1.7651399999999999</v>
      </c>
      <c r="FW185">
        <v>2.5769000000000002</v>
      </c>
      <c r="FX185">
        <v>1.5490699999999999</v>
      </c>
      <c r="FY185">
        <v>2.3327599999999999</v>
      </c>
      <c r="FZ185">
        <v>1.50146</v>
      </c>
      <c r="GA185">
        <v>2.34863</v>
      </c>
      <c r="GB185">
        <v>33.580399999999997</v>
      </c>
      <c r="GC185">
        <v>23.982399999999998</v>
      </c>
      <c r="GD185">
        <v>19</v>
      </c>
      <c r="GE185">
        <v>282.75700000000001</v>
      </c>
      <c r="GF185">
        <v>576.31899999999996</v>
      </c>
      <c r="GG185">
        <v>23.3826</v>
      </c>
      <c r="GH185">
        <v>26.032699999999998</v>
      </c>
      <c r="GI185">
        <v>30</v>
      </c>
      <c r="GJ185">
        <v>26.183599999999998</v>
      </c>
      <c r="GK185">
        <v>26.170200000000001</v>
      </c>
      <c r="GL185">
        <v>35.282899999999998</v>
      </c>
      <c r="GM185">
        <v>100</v>
      </c>
      <c r="GN185">
        <v>9.2208000000000006</v>
      </c>
      <c r="GO185">
        <v>23.417400000000001</v>
      </c>
      <c r="GP185">
        <v>800</v>
      </c>
      <c r="GQ185">
        <v>0</v>
      </c>
      <c r="GR185">
        <v>99.773399999999995</v>
      </c>
      <c r="GS185">
        <v>99.616100000000003</v>
      </c>
    </row>
    <row r="186" spans="1:201" x14ac:dyDescent="0.25">
      <c r="A186">
        <v>170</v>
      </c>
      <c r="B186">
        <v>1690384216</v>
      </c>
      <c r="C186">
        <v>1740.900000095367</v>
      </c>
      <c r="D186" t="s">
        <v>671</v>
      </c>
      <c r="E186" t="s">
        <v>672</v>
      </c>
      <c r="F186" t="s">
        <v>330</v>
      </c>
      <c r="H186">
        <v>1690384216</v>
      </c>
      <c r="I186">
        <f t="shared" si="60"/>
        <v>2.3325461704226673E-3</v>
      </c>
      <c r="J186">
        <f t="shared" si="61"/>
        <v>2.3325461704226673</v>
      </c>
      <c r="K186">
        <f t="shared" si="62"/>
        <v>36.823493714494994</v>
      </c>
      <c r="L186">
        <f t="shared" si="63"/>
        <v>388.88600000000002</v>
      </c>
      <c r="M186">
        <f t="shared" si="64"/>
        <v>103.2598307854678</v>
      </c>
      <c r="N186">
        <f t="shared" si="65"/>
        <v>10.200296245113016</v>
      </c>
      <c r="O186">
        <f t="shared" si="66"/>
        <v>38.415251849660002</v>
      </c>
      <c r="P186">
        <f t="shared" si="67"/>
        <v>0.21983965130131042</v>
      </c>
      <c r="Q186">
        <f t="shared" si="68"/>
        <v>2.1087773383574691</v>
      </c>
      <c r="R186">
        <f t="shared" si="69"/>
        <v>0.20785472667932878</v>
      </c>
      <c r="S186">
        <f t="shared" si="70"/>
        <v>0.13093152582545764</v>
      </c>
      <c r="T186">
        <f t="shared" si="71"/>
        <v>276.11442045000001</v>
      </c>
      <c r="U186">
        <f t="shared" si="72"/>
        <v>26.815823776550527</v>
      </c>
      <c r="V186">
        <f t="shared" si="73"/>
        <v>26.815823776550527</v>
      </c>
      <c r="W186">
        <f t="shared" si="74"/>
        <v>3.5406257778897294</v>
      </c>
      <c r="X186">
        <f t="shared" si="75"/>
        <v>75.582390610773075</v>
      </c>
      <c r="Y186">
        <f t="shared" si="76"/>
        <v>2.4657868683769997</v>
      </c>
      <c r="Z186">
        <f t="shared" si="77"/>
        <v>3.2623827434555115</v>
      </c>
      <c r="AA186">
        <f t="shared" si="78"/>
        <v>1.0748389095127298</v>
      </c>
      <c r="AB186">
        <f t="shared" si="79"/>
        <v>-102.86528611563963</v>
      </c>
      <c r="AC186">
        <f t="shared" si="80"/>
        <v>-157.39292942951565</v>
      </c>
      <c r="AD186">
        <f t="shared" si="81"/>
        <v>-15.966881974090853</v>
      </c>
      <c r="AE186">
        <f t="shared" si="82"/>
        <v>-0.11067706924609411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52404.624404451788</v>
      </c>
      <c r="AK186">
        <f t="shared" si="86"/>
        <v>1800</v>
      </c>
      <c r="AL186">
        <f t="shared" si="87"/>
        <v>1499.1135839999997</v>
      </c>
      <c r="AM186">
        <f t="shared" si="88"/>
        <v>0.83284087999999989</v>
      </c>
      <c r="AN186">
        <f t="shared" si="89"/>
        <v>0.15339690025</v>
      </c>
      <c r="AO186">
        <v>32.700000000000003</v>
      </c>
      <c r="AP186">
        <v>0.5</v>
      </c>
      <c r="AQ186" t="s">
        <v>331</v>
      </c>
      <c r="AR186">
        <v>2</v>
      </c>
      <c r="AS186">
        <v>1690384216</v>
      </c>
      <c r="AT186">
        <v>388.88600000000002</v>
      </c>
      <c r="AU186">
        <v>800.01099999999997</v>
      </c>
      <c r="AV186">
        <v>24.9617</v>
      </c>
      <c r="AW186">
        <v>0.17993500000000001</v>
      </c>
      <c r="AX186">
        <v>388.85899999999998</v>
      </c>
      <c r="AY186">
        <v>24.7864</v>
      </c>
      <c r="AZ186">
        <v>300.101</v>
      </c>
      <c r="BA186">
        <v>98.6828</v>
      </c>
      <c r="BB186">
        <v>0.10001</v>
      </c>
      <c r="BC186">
        <v>25.4314</v>
      </c>
      <c r="BD186">
        <v>27.0002</v>
      </c>
      <c r="BE186">
        <v>26.766999999999999</v>
      </c>
      <c r="BF186">
        <v>0</v>
      </c>
      <c r="BG186">
        <v>0</v>
      </c>
      <c r="BH186">
        <v>9990</v>
      </c>
      <c r="BI186">
        <v>1060</v>
      </c>
      <c r="BJ186">
        <v>1.68198</v>
      </c>
      <c r="BK186">
        <v>-411.12400000000002</v>
      </c>
      <c r="BL186">
        <v>398.84199999999998</v>
      </c>
      <c r="BM186">
        <v>800.15499999999997</v>
      </c>
      <c r="BN186">
        <v>24.781700000000001</v>
      </c>
      <c r="BO186">
        <v>800.01099999999997</v>
      </c>
      <c r="BP186">
        <v>0.17993500000000001</v>
      </c>
      <c r="BQ186">
        <v>2.4632900000000002</v>
      </c>
      <c r="BR186">
        <v>1.7756500000000001E-2</v>
      </c>
      <c r="BS186">
        <v>20.785900000000002</v>
      </c>
      <c r="BT186">
        <v>-40.564999999999998</v>
      </c>
      <c r="BU186">
        <v>1800</v>
      </c>
      <c r="BV186">
        <v>0.91001699999999996</v>
      </c>
      <c r="BW186">
        <v>3.4001900000000002E-2</v>
      </c>
      <c r="BX186">
        <v>2.1993499999999999E-2</v>
      </c>
      <c r="BY186">
        <v>3.3987900000000001E-2</v>
      </c>
      <c r="BZ186">
        <v>26</v>
      </c>
      <c r="CA186">
        <v>33528.5</v>
      </c>
      <c r="CB186">
        <v>1690381960.0999999</v>
      </c>
      <c r="CC186" t="s">
        <v>332</v>
      </c>
      <c r="CD186">
        <v>1690381960.0999999</v>
      </c>
      <c r="CE186">
        <v>1690381958.0999999</v>
      </c>
      <c r="CF186">
        <v>4</v>
      </c>
      <c r="CG186">
        <v>9.9000000000000005E-2</v>
      </c>
      <c r="CH186">
        <v>1.2E-2</v>
      </c>
      <c r="CI186">
        <v>-0.26300000000000001</v>
      </c>
      <c r="CJ186">
        <v>0.127</v>
      </c>
      <c r="CK186">
        <v>798</v>
      </c>
      <c r="CL186">
        <v>18</v>
      </c>
      <c r="CM186">
        <v>0.02</v>
      </c>
      <c r="CN186">
        <v>0.12</v>
      </c>
      <c r="CO186">
        <v>-410.27122500000007</v>
      </c>
      <c r="CP186">
        <v>-4.1029981238262643</v>
      </c>
      <c r="CQ186">
        <v>0.40252220358012608</v>
      </c>
      <c r="CR186">
        <v>-1</v>
      </c>
      <c r="CS186">
        <v>24.738305</v>
      </c>
      <c r="CT186">
        <v>0.1969193245778729</v>
      </c>
      <c r="CU186">
        <v>1.903189362622652E-2</v>
      </c>
      <c r="CV186">
        <v>-1</v>
      </c>
      <c r="CW186">
        <v>0</v>
      </c>
      <c r="CX186">
        <v>0</v>
      </c>
      <c r="CY186" t="s">
        <v>333</v>
      </c>
      <c r="CZ186">
        <v>2.3646400000000001</v>
      </c>
      <c r="DA186">
        <v>2.7137899999999999</v>
      </c>
      <c r="DB186">
        <v>8.7247099999999994E-2</v>
      </c>
      <c r="DC186">
        <v>0.145459</v>
      </c>
      <c r="DD186">
        <v>0.116731</v>
      </c>
      <c r="DE186">
        <v>1.5076600000000001E-3</v>
      </c>
      <c r="DF186">
        <v>33340.300000000003</v>
      </c>
      <c r="DG186">
        <v>27553.9</v>
      </c>
      <c r="DH186">
        <v>31182.6</v>
      </c>
      <c r="DI186">
        <v>28096.3</v>
      </c>
      <c r="DJ186">
        <v>37386.800000000003</v>
      </c>
      <c r="DK186">
        <v>39898.1</v>
      </c>
      <c r="DL186">
        <v>44377.9</v>
      </c>
      <c r="DM186">
        <v>42582.400000000001</v>
      </c>
      <c r="DN186">
        <v>1.4778</v>
      </c>
      <c r="DO186">
        <v>2.0304799999999998</v>
      </c>
      <c r="DP186">
        <v>0.15873499999999999</v>
      </c>
      <c r="DQ186">
        <v>0.14618</v>
      </c>
      <c r="DR186">
        <v>24.398700000000002</v>
      </c>
      <c r="DS186">
        <v>24.370799999999999</v>
      </c>
      <c r="DT186">
        <v>24</v>
      </c>
      <c r="DU186">
        <v>29.1</v>
      </c>
      <c r="DV186">
        <v>9.8383900000000004</v>
      </c>
      <c r="DW186">
        <v>60.743099999999998</v>
      </c>
      <c r="DX186">
        <v>37.239600000000003</v>
      </c>
      <c r="DY186">
        <v>1</v>
      </c>
      <c r="DZ186">
        <v>-0.10732</v>
      </c>
      <c r="EA186">
        <v>0.443135</v>
      </c>
      <c r="EB186">
        <v>20.188500000000001</v>
      </c>
      <c r="EC186">
        <v>5.2415500000000002</v>
      </c>
      <c r="ED186">
        <v>12.039899999999999</v>
      </c>
      <c r="EE186">
        <v>5.0175999999999998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</v>
      </c>
      <c r="EL186">
        <v>1.8646199999999999</v>
      </c>
      <c r="EM186">
        <v>1.8692</v>
      </c>
      <c r="EN186">
        <v>1.8672200000000001</v>
      </c>
      <c r="EO186">
        <v>1.8633900000000001</v>
      </c>
      <c r="EP186">
        <v>1.8644700000000001</v>
      </c>
      <c r="EQ186">
        <v>1.8701700000000001</v>
      </c>
      <c r="ER186">
        <v>1.86941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2.7E-2</v>
      </c>
      <c r="FG186">
        <v>0.17530000000000001</v>
      </c>
      <c r="FH186">
        <v>0.28746640474027818</v>
      </c>
      <c r="FI186">
        <v>-6.1462078757559423E-4</v>
      </c>
      <c r="FJ186">
        <v>-1.8861989874597051E-7</v>
      </c>
      <c r="FK186">
        <v>1.1980462299894961E-10</v>
      </c>
      <c r="FL186">
        <v>0.17524818673008091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37.6</v>
      </c>
      <c r="FU186">
        <v>37.6</v>
      </c>
      <c r="FV186">
        <v>1.7651399999999999</v>
      </c>
      <c r="FW186">
        <v>2.5769000000000002</v>
      </c>
      <c r="FX186">
        <v>1.5490699999999999</v>
      </c>
      <c r="FY186">
        <v>2.3327599999999999</v>
      </c>
      <c r="FZ186">
        <v>1.50146</v>
      </c>
      <c r="GA186">
        <v>2.4011200000000001</v>
      </c>
      <c r="GB186">
        <v>33.580399999999997</v>
      </c>
      <c r="GC186">
        <v>23.982399999999998</v>
      </c>
      <c r="GD186">
        <v>19</v>
      </c>
      <c r="GE186">
        <v>282.81700000000001</v>
      </c>
      <c r="GF186">
        <v>576.39700000000005</v>
      </c>
      <c r="GG186">
        <v>23.402000000000001</v>
      </c>
      <c r="GH186">
        <v>26.0307</v>
      </c>
      <c r="GI186">
        <v>30</v>
      </c>
      <c r="GJ186">
        <v>26.1829</v>
      </c>
      <c r="GK186">
        <v>26.167999999999999</v>
      </c>
      <c r="GL186">
        <v>35.282699999999998</v>
      </c>
      <c r="GM186">
        <v>100</v>
      </c>
      <c r="GN186">
        <v>8.82681</v>
      </c>
      <c r="GO186">
        <v>23.399899999999999</v>
      </c>
      <c r="GP186">
        <v>800</v>
      </c>
      <c r="GQ186">
        <v>0</v>
      </c>
      <c r="GR186">
        <v>99.773799999999994</v>
      </c>
      <c r="GS186">
        <v>99.616799999999998</v>
      </c>
    </row>
    <row r="187" spans="1:201" x14ac:dyDescent="0.25">
      <c r="A187">
        <v>171</v>
      </c>
      <c r="B187">
        <v>1690384226</v>
      </c>
      <c r="C187">
        <v>1750.900000095367</v>
      </c>
      <c r="D187" t="s">
        <v>673</v>
      </c>
      <c r="E187" t="s">
        <v>674</v>
      </c>
      <c r="F187" t="s">
        <v>330</v>
      </c>
      <c r="H187">
        <v>1690384226</v>
      </c>
      <c r="I187">
        <f t="shared" si="60"/>
        <v>2.3354990071249035E-3</v>
      </c>
      <c r="J187">
        <f t="shared" si="61"/>
        <v>2.3354990071249033</v>
      </c>
      <c r="K187">
        <f t="shared" si="62"/>
        <v>36.873247888761803</v>
      </c>
      <c r="L187">
        <f t="shared" si="63"/>
        <v>388.33600000000001</v>
      </c>
      <c r="M187">
        <f t="shared" si="64"/>
        <v>103.33810445873058</v>
      </c>
      <c r="N187">
        <f t="shared" si="65"/>
        <v>10.207453468631833</v>
      </c>
      <c r="O187">
        <f t="shared" si="66"/>
        <v>38.358760990991996</v>
      </c>
      <c r="P187">
        <f t="shared" si="67"/>
        <v>0.22065687827891717</v>
      </c>
      <c r="Q187">
        <f t="shared" si="68"/>
        <v>2.1087834398137604</v>
      </c>
      <c r="R187">
        <f t="shared" si="69"/>
        <v>0.20858534267853265</v>
      </c>
      <c r="S187">
        <f t="shared" si="70"/>
        <v>0.13139535647811615</v>
      </c>
      <c r="T187">
        <f t="shared" si="71"/>
        <v>276.11437973400001</v>
      </c>
      <c r="U187">
        <f t="shared" si="72"/>
        <v>26.817575669914856</v>
      </c>
      <c r="V187">
        <f t="shared" si="73"/>
        <v>26.817575669914856</v>
      </c>
      <c r="W187">
        <f t="shared" si="74"/>
        <v>3.540990601317608</v>
      </c>
      <c r="X187">
        <f t="shared" si="75"/>
        <v>75.657285623302599</v>
      </c>
      <c r="Y187">
        <f t="shared" si="76"/>
        <v>2.4686409570240002</v>
      </c>
      <c r="Z187">
        <f t="shared" si="77"/>
        <v>3.2629256213543747</v>
      </c>
      <c r="AA187">
        <f t="shared" si="78"/>
        <v>1.0723496442936078</v>
      </c>
      <c r="AB187">
        <f t="shared" si="79"/>
        <v>-102.99550621420825</v>
      </c>
      <c r="AC187">
        <f t="shared" si="80"/>
        <v>-157.27422690898587</v>
      </c>
      <c r="AD187">
        <f t="shared" si="81"/>
        <v>-15.95515797470919</v>
      </c>
      <c r="AE187">
        <f t="shared" si="82"/>
        <v>-0.11051136390332772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52404.278882156737</v>
      </c>
      <c r="AK187">
        <f t="shared" si="86"/>
        <v>1800</v>
      </c>
      <c r="AL187">
        <f t="shared" si="87"/>
        <v>1499.1134273999999</v>
      </c>
      <c r="AM187">
        <f t="shared" si="88"/>
        <v>0.83284079299999991</v>
      </c>
      <c r="AN187">
        <f t="shared" si="89"/>
        <v>0.15339687763000001</v>
      </c>
      <c r="AO187">
        <v>32.700000000000003</v>
      </c>
      <c r="AP187">
        <v>0.5</v>
      </c>
      <c r="AQ187" t="s">
        <v>331</v>
      </c>
      <c r="AR187">
        <v>2</v>
      </c>
      <c r="AS187">
        <v>1690384226</v>
      </c>
      <c r="AT187">
        <v>388.33600000000001</v>
      </c>
      <c r="AU187">
        <v>800.01400000000001</v>
      </c>
      <c r="AV187">
        <v>24.992000000000001</v>
      </c>
      <c r="AW187">
        <v>0.17888999999999999</v>
      </c>
      <c r="AX187">
        <v>388.30799999999999</v>
      </c>
      <c r="AY187">
        <v>24.816700000000001</v>
      </c>
      <c r="AZ187">
        <v>300.09199999999998</v>
      </c>
      <c r="BA187">
        <v>98.677199999999999</v>
      </c>
      <c r="BB187">
        <v>0.100047</v>
      </c>
      <c r="BC187">
        <v>25.434200000000001</v>
      </c>
      <c r="BD187">
        <v>27.0076</v>
      </c>
      <c r="BE187">
        <v>26.775099999999998</v>
      </c>
      <c r="BF187">
        <v>0</v>
      </c>
      <c r="BG187">
        <v>0</v>
      </c>
      <c r="BH187">
        <v>9990.6200000000008</v>
      </c>
      <c r="BI187">
        <v>1060.01</v>
      </c>
      <c r="BJ187">
        <v>1.68198</v>
      </c>
      <c r="BK187">
        <v>-411.678</v>
      </c>
      <c r="BL187">
        <v>398.29</v>
      </c>
      <c r="BM187">
        <v>800.15700000000004</v>
      </c>
      <c r="BN187">
        <v>24.813099999999999</v>
      </c>
      <c r="BO187">
        <v>800.01400000000001</v>
      </c>
      <c r="BP187">
        <v>0.17888999999999999</v>
      </c>
      <c r="BQ187">
        <v>2.4661400000000002</v>
      </c>
      <c r="BR187">
        <v>1.7652399999999999E-2</v>
      </c>
      <c r="BS187">
        <v>20.8047</v>
      </c>
      <c r="BT187">
        <v>-40.621000000000002</v>
      </c>
      <c r="BU187">
        <v>1800</v>
      </c>
      <c r="BV187">
        <v>0.91001699999999996</v>
      </c>
      <c r="BW187">
        <v>3.4001900000000002E-2</v>
      </c>
      <c r="BX187">
        <v>2.19934E-2</v>
      </c>
      <c r="BY187">
        <v>3.3987900000000001E-2</v>
      </c>
      <c r="BZ187">
        <v>26</v>
      </c>
      <c r="CA187">
        <v>33528.5</v>
      </c>
      <c r="CB187">
        <v>1690381960.0999999</v>
      </c>
      <c r="CC187" t="s">
        <v>332</v>
      </c>
      <c r="CD187">
        <v>1690381960.0999999</v>
      </c>
      <c r="CE187">
        <v>1690381958.0999999</v>
      </c>
      <c r="CF187">
        <v>4</v>
      </c>
      <c r="CG187">
        <v>9.9000000000000005E-2</v>
      </c>
      <c r="CH187">
        <v>1.2E-2</v>
      </c>
      <c r="CI187">
        <v>-0.26300000000000001</v>
      </c>
      <c r="CJ187">
        <v>0.127</v>
      </c>
      <c r="CK187">
        <v>798</v>
      </c>
      <c r="CL187">
        <v>18</v>
      </c>
      <c r="CM187">
        <v>0.02</v>
      </c>
      <c r="CN187">
        <v>0.12</v>
      </c>
      <c r="CO187">
        <v>-410.96417073170738</v>
      </c>
      <c r="CP187">
        <v>-4.2129616724744778</v>
      </c>
      <c r="CQ187">
        <v>0.42410967877563871</v>
      </c>
      <c r="CR187">
        <v>-1</v>
      </c>
      <c r="CS187">
        <v>24.775478048780489</v>
      </c>
      <c r="CT187">
        <v>0.23648153310105971</v>
      </c>
      <c r="CU187">
        <v>2.339762873325163E-2</v>
      </c>
      <c r="CV187">
        <v>-1</v>
      </c>
      <c r="CW187">
        <v>0</v>
      </c>
      <c r="CX187">
        <v>0</v>
      </c>
      <c r="CY187" t="s">
        <v>333</v>
      </c>
      <c r="CZ187">
        <v>2.36463</v>
      </c>
      <c r="DA187">
        <v>2.7138300000000002</v>
      </c>
      <c r="DB187">
        <v>8.7147799999999997E-2</v>
      </c>
      <c r="DC187">
        <v>0.145452</v>
      </c>
      <c r="DD187">
        <v>0.116825</v>
      </c>
      <c r="DE187">
        <v>1.4989300000000001E-3</v>
      </c>
      <c r="DF187">
        <v>33343.9</v>
      </c>
      <c r="DG187">
        <v>27554.5</v>
      </c>
      <c r="DH187">
        <v>31182.6</v>
      </c>
      <c r="DI187">
        <v>28096.6</v>
      </c>
      <c r="DJ187">
        <v>37382.9</v>
      </c>
      <c r="DK187">
        <v>39898.9</v>
      </c>
      <c r="DL187">
        <v>44378</v>
      </c>
      <c r="DM187">
        <v>42582.9</v>
      </c>
      <c r="DN187">
        <v>1.4776499999999999</v>
      </c>
      <c r="DO187">
        <v>2.0305800000000001</v>
      </c>
      <c r="DP187">
        <v>0.15901399999999999</v>
      </c>
      <c r="DQ187">
        <v>0.14665700000000001</v>
      </c>
      <c r="DR187">
        <v>24.401599999999998</v>
      </c>
      <c r="DS187">
        <v>24.370999999999999</v>
      </c>
      <c r="DT187">
        <v>23.8</v>
      </c>
      <c r="DU187">
        <v>29.1</v>
      </c>
      <c r="DV187">
        <v>9.7561300000000006</v>
      </c>
      <c r="DW187">
        <v>60.823099999999997</v>
      </c>
      <c r="DX187">
        <v>36.810899999999997</v>
      </c>
      <c r="DY187">
        <v>1</v>
      </c>
      <c r="DZ187">
        <v>-0.10764700000000001</v>
      </c>
      <c r="EA187">
        <v>0.41010099999999999</v>
      </c>
      <c r="EB187">
        <v>20.188800000000001</v>
      </c>
      <c r="EC187">
        <v>5.242</v>
      </c>
      <c r="ED187">
        <v>12.039899999999999</v>
      </c>
      <c r="EE187">
        <v>5.0172999999999996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</v>
      </c>
      <c r="EL187">
        <v>1.8646199999999999</v>
      </c>
      <c r="EM187">
        <v>1.8692</v>
      </c>
      <c r="EN187">
        <v>1.8672299999999999</v>
      </c>
      <c r="EO187">
        <v>1.8633900000000001</v>
      </c>
      <c r="EP187">
        <v>1.8644700000000001</v>
      </c>
      <c r="EQ187">
        <v>1.8701300000000001</v>
      </c>
      <c r="ER187">
        <v>1.8694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2.8000000000000001E-2</v>
      </c>
      <c r="FG187">
        <v>0.17530000000000001</v>
      </c>
      <c r="FH187">
        <v>0.28746640474027818</v>
      </c>
      <c r="FI187">
        <v>-6.1462078757559423E-4</v>
      </c>
      <c r="FJ187">
        <v>-1.8861989874597051E-7</v>
      </c>
      <c r="FK187">
        <v>1.1980462299894961E-10</v>
      </c>
      <c r="FL187">
        <v>0.17524818673008091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37.799999999999997</v>
      </c>
      <c r="FU187">
        <v>37.799999999999997</v>
      </c>
      <c r="FV187">
        <v>1.7651399999999999</v>
      </c>
      <c r="FW187">
        <v>2.5781200000000002</v>
      </c>
      <c r="FX187">
        <v>1.5490699999999999</v>
      </c>
      <c r="FY187">
        <v>2.3327599999999999</v>
      </c>
      <c r="FZ187">
        <v>1.50146</v>
      </c>
      <c r="GA187">
        <v>2.3596200000000001</v>
      </c>
      <c r="GB187">
        <v>33.580399999999997</v>
      </c>
      <c r="GC187">
        <v>23.982399999999998</v>
      </c>
      <c r="GD187">
        <v>19</v>
      </c>
      <c r="GE187">
        <v>282.74299999999999</v>
      </c>
      <c r="GF187">
        <v>576.45399999999995</v>
      </c>
      <c r="GG187">
        <v>23.403700000000001</v>
      </c>
      <c r="GH187">
        <v>26.0305</v>
      </c>
      <c r="GI187">
        <v>30</v>
      </c>
      <c r="GJ187">
        <v>26.180700000000002</v>
      </c>
      <c r="GK187">
        <v>26.165800000000001</v>
      </c>
      <c r="GL187">
        <v>35.283999999999999</v>
      </c>
      <c r="GM187">
        <v>100</v>
      </c>
      <c r="GN187">
        <v>8.0559100000000008</v>
      </c>
      <c r="GO187">
        <v>23.4086</v>
      </c>
      <c r="GP187">
        <v>800</v>
      </c>
      <c r="GQ187">
        <v>0</v>
      </c>
      <c r="GR187">
        <v>99.773899999999998</v>
      </c>
      <c r="GS187">
        <v>99.617900000000006</v>
      </c>
    </row>
    <row r="188" spans="1:201" x14ac:dyDescent="0.25">
      <c r="A188">
        <v>172</v>
      </c>
      <c r="B188">
        <v>1690384236</v>
      </c>
      <c r="C188">
        <v>1760.900000095367</v>
      </c>
      <c r="D188" t="s">
        <v>675</v>
      </c>
      <c r="E188" t="s">
        <v>676</v>
      </c>
      <c r="F188" t="s">
        <v>330</v>
      </c>
      <c r="H188">
        <v>1690384236</v>
      </c>
      <c r="I188">
        <f t="shared" si="60"/>
        <v>2.3390877059264355E-3</v>
      </c>
      <c r="J188">
        <f t="shared" si="61"/>
        <v>2.3390877059264357</v>
      </c>
      <c r="K188">
        <f t="shared" si="62"/>
        <v>36.956674705937097</v>
      </c>
      <c r="L188">
        <f t="shared" si="63"/>
        <v>387.47699999999998</v>
      </c>
      <c r="M188">
        <f t="shared" si="64"/>
        <v>103.44428242716502</v>
      </c>
      <c r="N188">
        <f t="shared" si="65"/>
        <v>10.218127221977078</v>
      </c>
      <c r="O188">
        <f t="shared" si="66"/>
        <v>38.274607244510996</v>
      </c>
      <c r="P188">
        <f t="shared" si="67"/>
        <v>0.22195184476778171</v>
      </c>
      <c r="Q188">
        <f t="shared" si="68"/>
        <v>2.1106750317874079</v>
      </c>
      <c r="R188">
        <f t="shared" si="69"/>
        <v>0.2097527104416585</v>
      </c>
      <c r="S188">
        <f t="shared" si="70"/>
        <v>0.13213558281173901</v>
      </c>
      <c r="T188">
        <f t="shared" si="71"/>
        <v>276.114341142</v>
      </c>
      <c r="U188">
        <f t="shared" si="72"/>
        <v>26.812688506444065</v>
      </c>
      <c r="V188">
        <f t="shared" si="73"/>
        <v>26.812688506444065</v>
      </c>
      <c r="W188">
        <f t="shared" si="74"/>
        <v>3.539972954772173</v>
      </c>
      <c r="X188">
        <f t="shared" si="75"/>
        <v>75.769818455799452</v>
      </c>
      <c r="Y188">
        <f t="shared" si="76"/>
        <v>2.4719455510749997</v>
      </c>
      <c r="Z188">
        <f t="shared" si="77"/>
        <v>3.2624409051699343</v>
      </c>
      <c r="AA188">
        <f t="shared" si="78"/>
        <v>1.0680274036971733</v>
      </c>
      <c r="AB188">
        <f t="shared" si="79"/>
        <v>-103.15376783135581</v>
      </c>
      <c r="AC188">
        <f t="shared" si="80"/>
        <v>-157.14366584533431</v>
      </c>
      <c r="AD188">
        <f t="shared" si="81"/>
        <v>-15.927035330698869</v>
      </c>
      <c r="AE188">
        <f t="shared" si="82"/>
        <v>-0.11012786538898922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52487.579792580211</v>
      </c>
      <c r="AK188">
        <f t="shared" si="86"/>
        <v>1800</v>
      </c>
      <c r="AL188">
        <f t="shared" si="87"/>
        <v>1499.1135822000001</v>
      </c>
      <c r="AM188">
        <f t="shared" si="88"/>
        <v>0.83284087900000003</v>
      </c>
      <c r="AN188">
        <f t="shared" si="89"/>
        <v>0.15339685619000001</v>
      </c>
      <c r="AO188">
        <v>32.700000000000003</v>
      </c>
      <c r="AP188">
        <v>0.5</v>
      </c>
      <c r="AQ188" t="s">
        <v>331</v>
      </c>
      <c r="AR188">
        <v>2</v>
      </c>
      <c r="AS188">
        <v>1690384236</v>
      </c>
      <c r="AT188">
        <v>387.47699999999998</v>
      </c>
      <c r="AU188">
        <v>800.01199999999994</v>
      </c>
      <c r="AV188">
        <v>25.024999999999999</v>
      </c>
      <c r="AW188">
        <v>0.17733599999999999</v>
      </c>
      <c r="AX188">
        <v>387.44900000000001</v>
      </c>
      <c r="AY188">
        <v>24.849799999999998</v>
      </c>
      <c r="AZ188">
        <v>300.125</v>
      </c>
      <c r="BA188">
        <v>98.679000000000002</v>
      </c>
      <c r="BB188">
        <v>0.10004300000000001</v>
      </c>
      <c r="BC188">
        <v>25.431699999999999</v>
      </c>
      <c r="BD188">
        <v>27.0151</v>
      </c>
      <c r="BE188">
        <v>26.754799999999999</v>
      </c>
      <c r="BF188">
        <v>0</v>
      </c>
      <c r="BG188">
        <v>0</v>
      </c>
      <c r="BH188">
        <v>10006.9</v>
      </c>
      <c r="BI188">
        <v>1060.1099999999999</v>
      </c>
      <c r="BJ188">
        <v>1.71702</v>
      </c>
      <c r="BK188">
        <v>-412.53500000000003</v>
      </c>
      <c r="BL188">
        <v>397.42200000000003</v>
      </c>
      <c r="BM188">
        <v>800.15300000000002</v>
      </c>
      <c r="BN188">
        <v>24.8477</v>
      </c>
      <c r="BO188">
        <v>800.01199999999994</v>
      </c>
      <c r="BP188">
        <v>0.17733599999999999</v>
      </c>
      <c r="BQ188">
        <v>2.4694400000000001</v>
      </c>
      <c r="BR188">
        <v>1.7499299999999999E-2</v>
      </c>
      <c r="BS188">
        <v>20.826499999999999</v>
      </c>
      <c r="BT188">
        <v>-40.703899999999997</v>
      </c>
      <c r="BU188">
        <v>1800</v>
      </c>
      <c r="BV188">
        <v>0.91001799999999999</v>
      </c>
      <c r="BW188">
        <v>3.4001499999999997E-2</v>
      </c>
      <c r="BX188">
        <v>2.1993200000000001E-2</v>
      </c>
      <c r="BY188">
        <v>3.3987499999999997E-2</v>
      </c>
      <c r="BZ188">
        <v>26</v>
      </c>
      <c r="CA188">
        <v>33528.400000000001</v>
      </c>
      <c r="CB188">
        <v>1690381960.0999999</v>
      </c>
      <c r="CC188" t="s">
        <v>332</v>
      </c>
      <c r="CD188">
        <v>1690381960.0999999</v>
      </c>
      <c r="CE188">
        <v>1690381958.0999999</v>
      </c>
      <c r="CF188">
        <v>4</v>
      </c>
      <c r="CG188">
        <v>9.9000000000000005E-2</v>
      </c>
      <c r="CH188">
        <v>1.2E-2</v>
      </c>
      <c r="CI188">
        <v>-0.26300000000000001</v>
      </c>
      <c r="CJ188">
        <v>0.127</v>
      </c>
      <c r="CK188">
        <v>798</v>
      </c>
      <c r="CL188">
        <v>18</v>
      </c>
      <c r="CM188">
        <v>0.02</v>
      </c>
      <c r="CN188">
        <v>0.12</v>
      </c>
      <c r="CO188">
        <v>-411.67621951219519</v>
      </c>
      <c r="CP188">
        <v>-4.0032752613240934</v>
      </c>
      <c r="CQ188">
        <v>0.40566617972831831</v>
      </c>
      <c r="CR188">
        <v>-1</v>
      </c>
      <c r="CS188">
        <v>24.81083414634146</v>
      </c>
      <c r="CT188">
        <v>0.18474982578393881</v>
      </c>
      <c r="CU188">
        <v>1.826779933555062E-2</v>
      </c>
      <c r="CV188">
        <v>-1</v>
      </c>
      <c r="CW188">
        <v>0</v>
      </c>
      <c r="CX188">
        <v>0</v>
      </c>
      <c r="CY188" t="s">
        <v>333</v>
      </c>
      <c r="CZ188">
        <v>2.3647399999999998</v>
      </c>
      <c r="DA188">
        <v>2.7138399999999998</v>
      </c>
      <c r="DB188">
        <v>8.7001499999999996E-2</v>
      </c>
      <c r="DC188">
        <v>0.145455</v>
      </c>
      <c r="DD188">
        <v>0.116936</v>
      </c>
      <c r="DE188">
        <v>1.4860699999999999E-3</v>
      </c>
      <c r="DF188">
        <v>33348.9</v>
      </c>
      <c r="DG188">
        <v>27554.1</v>
      </c>
      <c r="DH188">
        <v>31182.3</v>
      </c>
      <c r="DI188">
        <v>28096.3</v>
      </c>
      <c r="DJ188">
        <v>37377.9</v>
      </c>
      <c r="DK188">
        <v>39899</v>
      </c>
      <c r="DL188">
        <v>44377.7</v>
      </c>
      <c r="DM188">
        <v>42582.5</v>
      </c>
      <c r="DN188">
        <v>1.4776499999999999</v>
      </c>
      <c r="DO188">
        <v>2.0306199999999999</v>
      </c>
      <c r="DP188">
        <v>0.15934899999999999</v>
      </c>
      <c r="DQ188">
        <v>0.14518200000000001</v>
      </c>
      <c r="DR188">
        <v>24.403600000000001</v>
      </c>
      <c r="DS188">
        <v>24.3749</v>
      </c>
      <c r="DT188">
        <v>23.7</v>
      </c>
      <c r="DU188">
        <v>29.1</v>
      </c>
      <c r="DV188">
        <v>9.7142499999999998</v>
      </c>
      <c r="DW188">
        <v>61.203099999999999</v>
      </c>
      <c r="DX188">
        <v>36.802900000000001</v>
      </c>
      <c r="DY188">
        <v>1</v>
      </c>
      <c r="DZ188">
        <v>-0.107525</v>
      </c>
      <c r="EA188">
        <v>0.45473599999999997</v>
      </c>
      <c r="EB188">
        <v>20.188600000000001</v>
      </c>
      <c r="EC188">
        <v>5.2413999999999996</v>
      </c>
      <c r="ED188">
        <v>12.039899999999999</v>
      </c>
      <c r="EE188">
        <v>5.0173500000000004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</v>
      </c>
      <c r="EL188">
        <v>1.8646199999999999</v>
      </c>
      <c r="EM188">
        <v>1.8692</v>
      </c>
      <c r="EN188">
        <v>1.8672299999999999</v>
      </c>
      <c r="EO188">
        <v>1.8633999999999999</v>
      </c>
      <c r="EP188">
        <v>1.8644700000000001</v>
      </c>
      <c r="EQ188">
        <v>1.87018</v>
      </c>
      <c r="ER188">
        <v>1.8693900000000001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2.8000000000000001E-2</v>
      </c>
      <c r="FG188">
        <v>0.17519999999999999</v>
      </c>
      <c r="FH188">
        <v>0.28746640474027818</v>
      </c>
      <c r="FI188">
        <v>-6.1462078757559423E-4</v>
      </c>
      <c r="FJ188">
        <v>-1.8861989874597051E-7</v>
      </c>
      <c r="FK188">
        <v>1.1980462299894961E-10</v>
      </c>
      <c r="FL188">
        <v>0.17524818673008091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37.9</v>
      </c>
      <c r="FU188">
        <v>38</v>
      </c>
      <c r="FV188">
        <v>1.7651399999999999</v>
      </c>
      <c r="FW188">
        <v>2.5830099999999998</v>
      </c>
      <c r="FX188">
        <v>1.5490699999999999</v>
      </c>
      <c r="FY188">
        <v>2.3327599999999999</v>
      </c>
      <c r="FZ188">
        <v>1.50146</v>
      </c>
      <c r="GA188">
        <v>2.3315399999999999</v>
      </c>
      <c r="GB188">
        <v>33.580399999999997</v>
      </c>
      <c r="GC188">
        <v>23.973700000000001</v>
      </c>
      <c r="GD188">
        <v>19</v>
      </c>
      <c r="GE188">
        <v>282.73399999999998</v>
      </c>
      <c r="GF188">
        <v>576.48599999999999</v>
      </c>
      <c r="GG188">
        <v>23.405200000000001</v>
      </c>
      <c r="GH188">
        <v>26.028300000000002</v>
      </c>
      <c r="GI188">
        <v>30.0001</v>
      </c>
      <c r="GJ188">
        <v>26.1785</v>
      </c>
      <c r="GK188">
        <v>26.164999999999999</v>
      </c>
      <c r="GL188">
        <v>35.285600000000002</v>
      </c>
      <c r="GM188">
        <v>100</v>
      </c>
      <c r="GN188">
        <v>7.6711799999999997</v>
      </c>
      <c r="GO188">
        <v>23.383600000000001</v>
      </c>
      <c r="GP188">
        <v>800</v>
      </c>
      <c r="GQ188">
        <v>0</v>
      </c>
      <c r="GR188">
        <v>99.773099999999999</v>
      </c>
      <c r="GS188">
        <v>99.616799999999998</v>
      </c>
    </row>
    <row r="189" spans="1:201" x14ac:dyDescent="0.25">
      <c r="A189">
        <v>173</v>
      </c>
      <c r="B189">
        <v>1690384246</v>
      </c>
      <c r="C189">
        <v>1770.900000095367</v>
      </c>
      <c r="D189" t="s">
        <v>677</v>
      </c>
      <c r="E189" t="s">
        <v>678</v>
      </c>
      <c r="F189" t="s">
        <v>330</v>
      </c>
      <c r="H189">
        <v>1690384246</v>
      </c>
      <c r="I189">
        <f t="shared" si="60"/>
        <v>2.3424864794110872E-3</v>
      </c>
      <c r="J189">
        <f t="shared" si="61"/>
        <v>2.3424864794110873</v>
      </c>
      <c r="K189">
        <f t="shared" si="62"/>
        <v>37.019497049594008</v>
      </c>
      <c r="L189">
        <f t="shared" si="63"/>
        <v>386.87</v>
      </c>
      <c r="M189">
        <f t="shared" si="64"/>
        <v>103.35273141541809</v>
      </c>
      <c r="N189">
        <f t="shared" si="65"/>
        <v>10.208814697791519</v>
      </c>
      <c r="O189">
        <f t="shared" si="66"/>
        <v>38.213640685121007</v>
      </c>
      <c r="P189">
        <f t="shared" si="67"/>
        <v>0.22277026528519969</v>
      </c>
      <c r="Q189">
        <f t="shared" si="68"/>
        <v>2.1099223631482191</v>
      </c>
      <c r="R189">
        <f t="shared" si="69"/>
        <v>0.21047954962721524</v>
      </c>
      <c r="S189">
        <f t="shared" si="70"/>
        <v>0.13259745093268971</v>
      </c>
      <c r="T189">
        <f t="shared" si="71"/>
        <v>276.114243096</v>
      </c>
      <c r="U189">
        <f t="shared" si="72"/>
        <v>26.816132825815838</v>
      </c>
      <c r="V189">
        <f t="shared" si="73"/>
        <v>26.816132825815838</v>
      </c>
      <c r="W189">
        <f t="shared" si="74"/>
        <v>3.5406901335396683</v>
      </c>
      <c r="X189">
        <f t="shared" si="75"/>
        <v>75.840022885336666</v>
      </c>
      <c r="Y189">
        <f t="shared" si="76"/>
        <v>2.4748535392503301</v>
      </c>
      <c r="Z189">
        <f t="shared" si="77"/>
        <v>3.2632552642977011</v>
      </c>
      <c r="AA189">
        <f t="shared" si="78"/>
        <v>1.0658365942893382</v>
      </c>
      <c r="AB189">
        <f t="shared" si="79"/>
        <v>-103.30365374202894</v>
      </c>
      <c r="AC189">
        <f t="shared" si="80"/>
        <v>-157.00166949787777</v>
      </c>
      <c r="AD189">
        <f t="shared" si="81"/>
        <v>-15.918930136007132</v>
      </c>
      <c r="AE189">
        <f t="shared" si="82"/>
        <v>-0.11001027991383694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52453.821439862266</v>
      </c>
      <c r="AK189">
        <f t="shared" si="86"/>
        <v>1800</v>
      </c>
      <c r="AL189">
        <f t="shared" si="87"/>
        <v>1499.1131645999999</v>
      </c>
      <c r="AM189">
        <f t="shared" si="88"/>
        <v>0.83284064699999993</v>
      </c>
      <c r="AN189">
        <f t="shared" si="89"/>
        <v>0.15339680172</v>
      </c>
      <c r="AO189">
        <v>32.700000000000003</v>
      </c>
      <c r="AP189">
        <v>0.5</v>
      </c>
      <c r="AQ189" t="s">
        <v>331</v>
      </c>
      <c r="AR189">
        <v>2</v>
      </c>
      <c r="AS189">
        <v>1690384246</v>
      </c>
      <c r="AT189">
        <v>386.87</v>
      </c>
      <c r="AU189">
        <v>800.01400000000001</v>
      </c>
      <c r="AV189">
        <v>25.055099999999999</v>
      </c>
      <c r="AW189">
        <v>0.17657600000000001</v>
      </c>
      <c r="AX189">
        <v>386.84100000000001</v>
      </c>
      <c r="AY189">
        <v>24.879799999999999</v>
      </c>
      <c r="AZ189">
        <v>300.17899999999997</v>
      </c>
      <c r="BA189">
        <v>98.676500000000004</v>
      </c>
      <c r="BB189">
        <v>9.9938299999999994E-2</v>
      </c>
      <c r="BC189">
        <v>25.4359</v>
      </c>
      <c r="BD189">
        <v>26.996500000000001</v>
      </c>
      <c r="BE189">
        <v>26.751300000000001</v>
      </c>
      <c r="BF189">
        <v>0</v>
      </c>
      <c r="BG189">
        <v>0</v>
      </c>
      <c r="BH189">
        <v>10000.6</v>
      </c>
      <c r="BI189">
        <v>1060.21</v>
      </c>
      <c r="BJ189">
        <v>1.7380500000000001</v>
      </c>
      <c r="BK189">
        <v>-413.14400000000001</v>
      </c>
      <c r="BL189">
        <v>396.81200000000001</v>
      </c>
      <c r="BM189">
        <v>800.15499999999997</v>
      </c>
      <c r="BN189">
        <v>24.878499999999999</v>
      </c>
      <c r="BO189">
        <v>800.01400000000001</v>
      </c>
      <c r="BP189">
        <v>0.17657600000000001</v>
      </c>
      <c r="BQ189">
        <v>2.47235</v>
      </c>
      <c r="BR189">
        <v>1.7423899999999999E-2</v>
      </c>
      <c r="BS189">
        <v>20.845600000000001</v>
      </c>
      <c r="BT189">
        <v>-40.744900000000001</v>
      </c>
      <c r="BU189">
        <v>1800</v>
      </c>
      <c r="BV189">
        <v>0.91001799999999999</v>
      </c>
      <c r="BW189">
        <v>3.4001400000000001E-2</v>
      </c>
      <c r="BX189">
        <v>2.1993100000000002E-2</v>
      </c>
      <c r="BY189">
        <v>3.3987400000000001E-2</v>
      </c>
      <c r="BZ189">
        <v>26</v>
      </c>
      <c r="CA189">
        <v>33528.5</v>
      </c>
      <c r="CB189">
        <v>1690381960.0999999</v>
      </c>
      <c r="CC189" t="s">
        <v>332</v>
      </c>
      <c r="CD189">
        <v>1690381960.0999999</v>
      </c>
      <c r="CE189">
        <v>1690381958.0999999</v>
      </c>
      <c r="CF189">
        <v>4</v>
      </c>
      <c r="CG189">
        <v>9.9000000000000005E-2</v>
      </c>
      <c r="CH189">
        <v>1.2E-2</v>
      </c>
      <c r="CI189">
        <v>-0.26300000000000001</v>
      </c>
      <c r="CJ189">
        <v>0.127</v>
      </c>
      <c r="CK189">
        <v>798</v>
      </c>
      <c r="CL189">
        <v>18</v>
      </c>
      <c r="CM189">
        <v>0.02</v>
      </c>
      <c r="CN189">
        <v>0.12</v>
      </c>
      <c r="CO189">
        <v>-412.44400000000007</v>
      </c>
      <c r="CP189">
        <v>-4.307729831144643</v>
      </c>
      <c r="CQ189">
        <v>0.41959593658661543</v>
      </c>
      <c r="CR189">
        <v>-1</v>
      </c>
      <c r="CS189">
        <v>24.845637499999999</v>
      </c>
      <c r="CT189">
        <v>0.2039966228892767</v>
      </c>
      <c r="CU189">
        <v>1.9661811812495641E-2</v>
      </c>
      <c r="CV189">
        <v>-1</v>
      </c>
      <c r="CW189">
        <v>0</v>
      </c>
      <c r="CX189">
        <v>0</v>
      </c>
      <c r="CY189" t="s">
        <v>333</v>
      </c>
      <c r="CZ189">
        <v>2.3649100000000001</v>
      </c>
      <c r="DA189">
        <v>2.71373</v>
      </c>
      <c r="DB189">
        <v>8.6894600000000002E-2</v>
      </c>
      <c r="DC189">
        <v>0.145452</v>
      </c>
      <c r="DD189">
        <v>0.117032</v>
      </c>
      <c r="DE189">
        <v>1.4797499999999999E-3</v>
      </c>
      <c r="DF189">
        <v>33353.4</v>
      </c>
      <c r="DG189">
        <v>27554.7</v>
      </c>
      <c r="DH189">
        <v>31182.799999999999</v>
      </c>
      <c r="DI189">
        <v>28096.799999999999</v>
      </c>
      <c r="DJ189">
        <v>37374.199999999997</v>
      </c>
      <c r="DK189">
        <v>39899.9</v>
      </c>
      <c r="DL189">
        <v>44378.2</v>
      </c>
      <c r="DM189">
        <v>42583.199999999997</v>
      </c>
      <c r="DN189">
        <v>1.47787</v>
      </c>
      <c r="DO189">
        <v>2.0306999999999999</v>
      </c>
      <c r="DP189">
        <v>0.158083</v>
      </c>
      <c r="DQ189">
        <v>0.144847</v>
      </c>
      <c r="DR189">
        <v>24.4057</v>
      </c>
      <c r="DS189">
        <v>24.376899999999999</v>
      </c>
      <c r="DT189">
        <v>23.5</v>
      </c>
      <c r="DU189">
        <v>29.1</v>
      </c>
      <c r="DV189">
        <v>9.6332000000000004</v>
      </c>
      <c r="DW189">
        <v>60.743099999999998</v>
      </c>
      <c r="DX189">
        <v>37.1554</v>
      </c>
      <c r="DY189">
        <v>1</v>
      </c>
      <c r="DZ189">
        <v>-0.10766000000000001</v>
      </c>
      <c r="EA189">
        <v>0.47217599999999998</v>
      </c>
      <c r="EB189">
        <v>20.188199999999998</v>
      </c>
      <c r="EC189">
        <v>5.2413999999999996</v>
      </c>
      <c r="ED189">
        <v>12.039899999999999</v>
      </c>
      <c r="EE189">
        <v>5.0174000000000003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</v>
      </c>
      <c r="EL189">
        <v>1.8646199999999999</v>
      </c>
      <c r="EM189">
        <v>1.8692</v>
      </c>
      <c r="EN189">
        <v>1.8672299999999999</v>
      </c>
      <c r="EO189">
        <v>1.8633900000000001</v>
      </c>
      <c r="EP189">
        <v>1.8644700000000001</v>
      </c>
      <c r="EQ189">
        <v>1.87018</v>
      </c>
      <c r="ER189">
        <v>1.8693900000000001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2.9000000000000001E-2</v>
      </c>
      <c r="FG189">
        <v>0.17530000000000001</v>
      </c>
      <c r="FH189">
        <v>0.28746640474027818</v>
      </c>
      <c r="FI189">
        <v>-6.1462078757559423E-4</v>
      </c>
      <c r="FJ189">
        <v>-1.8861989874597051E-7</v>
      </c>
      <c r="FK189">
        <v>1.1980462299894961E-10</v>
      </c>
      <c r="FL189">
        <v>0.17524818673008091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38.1</v>
      </c>
      <c r="FU189">
        <v>38.1</v>
      </c>
      <c r="FV189">
        <v>1.7651399999999999</v>
      </c>
      <c r="FW189">
        <v>2.5830099999999998</v>
      </c>
      <c r="FX189">
        <v>1.5490699999999999</v>
      </c>
      <c r="FY189">
        <v>2.3327599999999999</v>
      </c>
      <c r="FZ189">
        <v>1.50146</v>
      </c>
      <c r="GA189">
        <v>2.3010299999999999</v>
      </c>
      <c r="GB189">
        <v>33.580399999999997</v>
      </c>
      <c r="GC189">
        <v>23.973700000000001</v>
      </c>
      <c r="GD189">
        <v>19</v>
      </c>
      <c r="GE189">
        <v>282.82600000000002</v>
      </c>
      <c r="GF189">
        <v>576.53200000000004</v>
      </c>
      <c r="GG189">
        <v>23.3706</v>
      </c>
      <c r="GH189">
        <v>26.0274</v>
      </c>
      <c r="GI189">
        <v>30.0001</v>
      </c>
      <c r="GJ189">
        <v>26.177499999999998</v>
      </c>
      <c r="GK189">
        <v>26.163599999999999</v>
      </c>
      <c r="GL189">
        <v>35.282600000000002</v>
      </c>
      <c r="GM189">
        <v>100</v>
      </c>
      <c r="GN189">
        <v>7.2893299999999996</v>
      </c>
      <c r="GO189">
        <v>23.388500000000001</v>
      </c>
      <c r="GP189">
        <v>800</v>
      </c>
      <c r="GQ189">
        <v>0</v>
      </c>
      <c r="GR189">
        <v>99.774600000000007</v>
      </c>
      <c r="GS189">
        <v>99.618499999999997</v>
      </c>
    </row>
    <row r="190" spans="1:201" x14ac:dyDescent="0.25">
      <c r="A190">
        <v>174</v>
      </c>
      <c r="B190">
        <v>1690384256</v>
      </c>
      <c r="C190">
        <v>1780.900000095367</v>
      </c>
      <c r="D190" t="s">
        <v>679</v>
      </c>
      <c r="E190" t="s">
        <v>680</v>
      </c>
      <c r="F190" t="s">
        <v>330</v>
      </c>
      <c r="H190">
        <v>1690384256</v>
      </c>
      <c r="I190">
        <f t="shared" si="60"/>
        <v>2.3451331573929412E-3</v>
      </c>
      <c r="J190">
        <f t="shared" si="61"/>
        <v>2.345133157392941</v>
      </c>
      <c r="K190">
        <f t="shared" si="62"/>
        <v>37.074885794872117</v>
      </c>
      <c r="L190">
        <f t="shared" si="63"/>
        <v>386.24400000000003</v>
      </c>
      <c r="M190">
        <f t="shared" si="64"/>
        <v>103.32661015054511</v>
      </c>
      <c r="N190">
        <f t="shared" si="65"/>
        <v>10.2061653757833</v>
      </c>
      <c r="O190">
        <f t="shared" si="66"/>
        <v>38.151548121636004</v>
      </c>
      <c r="P190">
        <f t="shared" si="67"/>
        <v>0.22361625059077878</v>
      </c>
      <c r="Q190">
        <f t="shared" si="68"/>
        <v>2.108910855408467</v>
      </c>
      <c r="R190">
        <f t="shared" si="69"/>
        <v>0.21122920780588142</v>
      </c>
      <c r="S190">
        <f t="shared" si="70"/>
        <v>0.13307396887225742</v>
      </c>
      <c r="T190">
        <f t="shared" si="71"/>
        <v>276.11422324200004</v>
      </c>
      <c r="U190">
        <f t="shared" si="72"/>
        <v>26.817099804016117</v>
      </c>
      <c r="V190">
        <f t="shared" si="73"/>
        <v>26.817099804016117</v>
      </c>
      <c r="W190">
        <f t="shared" si="74"/>
        <v>3.5408915012701754</v>
      </c>
      <c r="X190">
        <f t="shared" si="75"/>
        <v>75.92021345892671</v>
      </c>
      <c r="Y190">
        <f t="shared" si="76"/>
        <v>2.4776617568653005</v>
      </c>
      <c r="Z190">
        <f t="shared" si="77"/>
        <v>3.263507363827066</v>
      </c>
      <c r="AA190">
        <f t="shared" si="78"/>
        <v>1.0632297444048748</v>
      </c>
      <c r="AB190">
        <f t="shared" si="79"/>
        <v>-103.42037224102872</v>
      </c>
      <c r="AC190">
        <f t="shared" si="80"/>
        <v>-156.88853896804881</v>
      </c>
      <c r="AD190">
        <f t="shared" si="81"/>
        <v>-15.915270107549702</v>
      </c>
      <c r="AE190">
        <f t="shared" si="82"/>
        <v>-0.10995807462717266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52409.295723385825</v>
      </c>
      <c r="AK190">
        <f t="shared" si="86"/>
        <v>1800</v>
      </c>
      <c r="AL190">
        <f t="shared" si="87"/>
        <v>1499.1137351999998</v>
      </c>
      <c r="AM190">
        <f t="shared" si="88"/>
        <v>0.83284096399999996</v>
      </c>
      <c r="AN190">
        <f t="shared" si="89"/>
        <v>0.15339679069000003</v>
      </c>
      <c r="AO190">
        <v>32.700000000000003</v>
      </c>
      <c r="AP190">
        <v>0.5</v>
      </c>
      <c r="AQ190" t="s">
        <v>331</v>
      </c>
      <c r="AR190">
        <v>2</v>
      </c>
      <c r="AS190">
        <v>1690384256</v>
      </c>
      <c r="AT190">
        <v>386.24400000000003</v>
      </c>
      <c r="AU190">
        <v>800.02099999999996</v>
      </c>
      <c r="AV190">
        <v>25.0837</v>
      </c>
      <c r="AW190">
        <v>0.17572299999999999</v>
      </c>
      <c r="AX190">
        <v>386.21499999999997</v>
      </c>
      <c r="AY190">
        <v>24.9085</v>
      </c>
      <c r="AZ190">
        <v>300.154</v>
      </c>
      <c r="BA190">
        <v>98.675700000000006</v>
      </c>
      <c r="BB190">
        <v>0.10006900000000001</v>
      </c>
      <c r="BC190">
        <v>25.437200000000001</v>
      </c>
      <c r="BD190">
        <v>26.9742</v>
      </c>
      <c r="BE190">
        <v>26.746200000000002</v>
      </c>
      <c r="BF190">
        <v>0</v>
      </c>
      <c r="BG190">
        <v>0</v>
      </c>
      <c r="BH190">
        <v>9991.8799999999992</v>
      </c>
      <c r="BI190">
        <v>1060.19</v>
      </c>
      <c r="BJ190">
        <v>1.7801</v>
      </c>
      <c r="BK190">
        <v>-413.77699999999999</v>
      </c>
      <c r="BL190">
        <v>396.18200000000002</v>
      </c>
      <c r="BM190">
        <v>800.16200000000003</v>
      </c>
      <c r="BN190">
        <v>24.908000000000001</v>
      </c>
      <c r="BO190">
        <v>800.02099999999996</v>
      </c>
      <c r="BP190">
        <v>0.17572299999999999</v>
      </c>
      <c r="BQ190">
        <v>2.4751500000000002</v>
      </c>
      <c r="BR190">
        <v>1.73396E-2</v>
      </c>
      <c r="BS190">
        <v>20.864000000000001</v>
      </c>
      <c r="BT190">
        <v>-40.790999999999997</v>
      </c>
      <c r="BU190">
        <v>1800</v>
      </c>
      <c r="BV190">
        <v>0.91002000000000005</v>
      </c>
      <c r="BW190">
        <v>3.4000700000000002E-2</v>
      </c>
      <c r="BX190">
        <v>2.19927E-2</v>
      </c>
      <c r="BY190">
        <v>3.3986700000000002E-2</v>
      </c>
      <c r="BZ190">
        <v>26</v>
      </c>
      <c r="CA190">
        <v>33528.5</v>
      </c>
      <c r="CB190">
        <v>1690381960.0999999</v>
      </c>
      <c r="CC190" t="s">
        <v>332</v>
      </c>
      <c r="CD190">
        <v>1690381960.0999999</v>
      </c>
      <c r="CE190">
        <v>1690381958.0999999</v>
      </c>
      <c r="CF190">
        <v>4</v>
      </c>
      <c r="CG190">
        <v>9.9000000000000005E-2</v>
      </c>
      <c r="CH190">
        <v>1.2E-2</v>
      </c>
      <c r="CI190">
        <v>-0.26300000000000001</v>
      </c>
      <c r="CJ190">
        <v>0.127</v>
      </c>
      <c r="CK190">
        <v>798</v>
      </c>
      <c r="CL190">
        <v>18</v>
      </c>
      <c r="CM190">
        <v>0.02</v>
      </c>
      <c r="CN190">
        <v>0.12</v>
      </c>
      <c r="CO190">
        <v>-413.07192682926831</v>
      </c>
      <c r="CP190">
        <v>-3.7479721254352381</v>
      </c>
      <c r="CQ190">
        <v>0.3709456860014898</v>
      </c>
      <c r="CR190">
        <v>-1</v>
      </c>
      <c r="CS190">
        <v>24.874607317073171</v>
      </c>
      <c r="CT190">
        <v>0.1698041811846272</v>
      </c>
      <c r="CU190">
        <v>1.678998525898772E-2</v>
      </c>
      <c r="CV190">
        <v>-1</v>
      </c>
      <c r="CW190">
        <v>0</v>
      </c>
      <c r="CX190">
        <v>0</v>
      </c>
      <c r="CY190" t="s">
        <v>333</v>
      </c>
      <c r="CZ190">
        <v>2.3648199999999999</v>
      </c>
      <c r="DA190">
        <v>2.7138499999999999</v>
      </c>
      <c r="DB190">
        <v>8.6786000000000002E-2</v>
      </c>
      <c r="DC190">
        <v>0.145452</v>
      </c>
      <c r="DD190">
        <v>0.11712599999999999</v>
      </c>
      <c r="DE190">
        <v>1.4726800000000001E-3</v>
      </c>
      <c r="DF190">
        <v>33357.300000000003</v>
      </c>
      <c r="DG190">
        <v>27554.799999999999</v>
      </c>
      <c r="DH190">
        <v>31182.799999999999</v>
      </c>
      <c r="DI190">
        <v>28096.9</v>
      </c>
      <c r="DJ190">
        <v>37370</v>
      </c>
      <c r="DK190">
        <v>39900.5</v>
      </c>
      <c r="DL190">
        <v>44378</v>
      </c>
      <c r="DM190">
        <v>42583.5</v>
      </c>
      <c r="DN190">
        <v>1.4778500000000001</v>
      </c>
      <c r="DO190">
        <v>2.0305499999999999</v>
      </c>
      <c r="DP190">
        <v>0.15648799999999999</v>
      </c>
      <c r="DQ190">
        <v>0.14440700000000001</v>
      </c>
      <c r="DR190">
        <v>24.409500000000001</v>
      </c>
      <c r="DS190">
        <v>24.379000000000001</v>
      </c>
      <c r="DT190">
        <v>23.4</v>
      </c>
      <c r="DU190">
        <v>29.2</v>
      </c>
      <c r="DV190">
        <v>9.6485199999999995</v>
      </c>
      <c r="DW190">
        <v>60.853099999999998</v>
      </c>
      <c r="DX190">
        <v>37.664299999999997</v>
      </c>
      <c r="DY190">
        <v>1</v>
      </c>
      <c r="DZ190">
        <v>-0.107767</v>
      </c>
      <c r="EA190">
        <v>0.39111899999999999</v>
      </c>
      <c r="EB190">
        <v>20.188800000000001</v>
      </c>
      <c r="EC190">
        <v>5.2415500000000002</v>
      </c>
      <c r="ED190">
        <v>12.039899999999999</v>
      </c>
      <c r="EE190">
        <v>5.0173500000000004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</v>
      </c>
      <c r="EL190">
        <v>1.8646199999999999</v>
      </c>
      <c r="EM190">
        <v>1.8692</v>
      </c>
      <c r="EN190">
        <v>1.8672299999999999</v>
      </c>
      <c r="EO190">
        <v>1.8633900000000001</v>
      </c>
      <c r="EP190">
        <v>1.8644700000000001</v>
      </c>
      <c r="EQ190">
        <v>1.87016</v>
      </c>
      <c r="ER190">
        <v>1.86941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2.9000000000000001E-2</v>
      </c>
      <c r="FG190">
        <v>0.17519999999999999</v>
      </c>
      <c r="FH190">
        <v>0.28746640474027818</v>
      </c>
      <c r="FI190">
        <v>-6.1462078757559423E-4</v>
      </c>
      <c r="FJ190">
        <v>-1.8861989874597051E-7</v>
      </c>
      <c r="FK190">
        <v>1.1980462299894961E-10</v>
      </c>
      <c r="FL190">
        <v>0.17524818673008091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38.299999999999997</v>
      </c>
      <c r="FU190">
        <v>38.299999999999997</v>
      </c>
      <c r="FV190">
        <v>1.7651399999999999</v>
      </c>
      <c r="FW190">
        <v>2.5793499999999998</v>
      </c>
      <c r="FX190">
        <v>1.5490699999999999</v>
      </c>
      <c r="FY190">
        <v>2.3327599999999999</v>
      </c>
      <c r="FZ190">
        <v>1.50146</v>
      </c>
      <c r="GA190">
        <v>2.3303199999999999</v>
      </c>
      <c r="GB190">
        <v>33.580399999999997</v>
      </c>
      <c r="GC190">
        <v>23.982399999999998</v>
      </c>
      <c r="GD190">
        <v>19</v>
      </c>
      <c r="GE190">
        <v>282.80900000000003</v>
      </c>
      <c r="GF190">
        <v>576.38400000000001</v>
      </c>
      <c r="GG190">
        <v>23.3889</v>
      </c>
      <c r="GH190">
        <v>26.0261</v>
      </c>
      <c r="GI190">
        <v>30</v>
      </c>
      <c r="GJ190">
        <v>26.176200000000001</v>
      </c>
      <c r="GK190">
        <v>26.1614</v>
      </c>
      <c r="GL190">
        <v>35.282800000000002</v>
      </c>
      <c r="GM190">
        <v>100</v>
      </c>
      <c r="GN190">
        <v>6.5306699999999998</v>
      </c>
      <c r="GO190">
        <v>23.4071</v>
      </c>
      <c r="GP190">
        <v>800</v>
      </c>
      <c r="GQ190">
        <v>0</v>
      </c>
      <c r="GR190">
        <v>99.774199999999993</v>
      </c>
      <c r="GS190">
        <v>99.619299999999996</v>
      </c>
    </row>
    <row r="191" spans="1:201" x14ac:dyDescent="0.25">
      <c r="A191">
        <v>175</v>
      </c>
      <c r="B191">
        <v>1690384266</v>
      </c>
      <c r="C191">
        <v>1790.900000095367</v>
      </c>
      <c r="D191" t="s">
        <v>681</v>
      </c>
      <c r="E191" t="s">
        <v>682</v>
      </c>
      <c r="F191" t="s">
        <v>330</v>
      </c>
      <c r="H191">
        <v>1690384266</v>
      </c>
      <c r="I191">
        <f t="shared" si="60"/>
        <v>2.3476734569481822E-3</v>
      </c>
      <c r="J191">
        <f t="shared" si="61"/>
        <v>2.3476734569481823</v>
      </c>
      <c r="K191">
        <f t="shared" si="62"/>
        <v>37.121051746204614</v>
      </c>
      <c r="L191">
        <f t="shared" si="63"/>
        <v>385.65600000000001</v>
      </c>
      <c r="M191">
        <f t="shared" si="64"/>
        <v>103.42496912218851</v>
      </c>
      <c r="N191">
        <f t="shared" si="65"/>
        <v>10.215824802512161</v>
      </c>
      <c r="O191">
        <f t="shared" si="66"/>
        <v>38.093258943911998</v>
      </c>
      <c r="P191">
        <f t="shared" si="67"/>
        <v>0.22445493508845582</v>
      </c>
      <c r="Q191">
        <f t="shared" si="68"/>
        <v>2.1129250053589059</v>
      </c>
      <c r="R191">
        <f t="shared" si="69"/>
        <v>0.21199987701910253</v>
      </c>
      <c r="S191">
        <f t="shared" si="70"/>
        <v>0.13356133389626318</v>
      </c>
      <c r="T191">
        <f t="shared" si="71"/>
        <v>276.11414393399997</v>
      </c>
      <c r="U191">
        <f t="shared" si="72"/>
        <v>26.8186174727783</v>
      </c>
      <c r="V191">
        <f t="shared" si="73"/>
        <v>26.8186174727783</v>
      </c>
      <c r="W191">
        <f t="shared" si="74"/>
        <v>3.5412075673494945</v>
      </c>
      <c r="X191">
        <f t="shared" si="75"/>
        <v>75.992247746356881</v>
      </c>
      <c r="Y191">
        <f t="shared" si="76"/>
        <v>2.4807200710595998</v>
      </c>
      <c r="Z191">
        <f t="shared" si="77"/>
        <v>3.2644383402628425</v>
      </c>
      <c r="AA191">
        <f t="shared" si="78"/>
        <v>1.0604874962898947</v>
      </c>
      <c r="AB191">
        <f t="shared" si="79"/>
        <v>-103.53239945141483</v>
      </c>
      <c r="AC191">
        <f t="shared" si="80"/>
        <v>-156.81326730221949</v>
      </c>
      <c r="AD191">
        <f t="shared" si="81"/>
        <v>-15.877915481488582</v>
      </c>
      <c r="AE191">
        <f t="shared" si="82"/>
        <v>-0.1094383011229354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52584.308149055963</v>
      </c>
      <c r="AK191">
        <f t="shared" si="86"/>
        <v>1800</v>
      </c>
      <c r="AL191">
        <f t="shared" si="87"/>
        <v>1499.1137333999998</v>
      </c>
      <c r="AM191">
        <f t="shared" si="88"/>
        <v>0.83284096299999988</v>
      </c>
      <c r="AN191">
        <f t="shared" si="89"/>
        <v>0.15339674663</v>
      </c>
      <c r="AO191">
        <v>32.700000000000003</v>
      </c>
      <c r="AP191">
        <v>0.5</v>
      </c>
      <c r="AQ191" t="s">
        <v>331</v>
      </c>
      <c r="AR191">
        <v>2</v>
      </c>
      <c r="AS191">
        <v>1690384266</v>
      </c>
      <c r="AT191">
        <v>385.65600000000001</v>
      </c>
      <c r="AU191">
        <v>800.03099999999995</v>
      </c>
      <c r="AV191">
        <v>25.114799999999999</v>
      </c>
      <c r="AW191">
        <v>0.174655</v>
      </c>
      <c r="AX191">
        <v>385.62700000000001</v>
      </c>
      <c r="AY191">
        <v>24.939599999999999</v>
      </c>
      <c r="AZ191">
        <v>300.08199999999999</v>
      </c>
      <c r="BA191">
        <v>98.675200000000004</v>
      </c>
      <c r="BB191">
        <v>0.100027</v>
      </c>
      <c r="BC191">
        <v>25.442</v>
      </c>
      <c r="BD191">
        <v>26.9757</v>
      </c>
      <c r="BE191">
        <v>26.748699999999999</v>
      </c>
      <c r="BF191">
        <v>0</v>
      </c>
      <c r="BG191">
        <v>0</v>
      </c>
      <c r="BH191">
        <v>10026.9</v>
      </c>
      <c r="BI191">
        <v>1060.1400000000001</v>
      </c>
      <c r="BJ191">
        <v>2.1935899999999999</v>
      </c>
      <c r="BK191">
        <v>-414.375</v>
      </c>
      <c r="BL191">
        <v>395.59100000000001</v>
      </c>
      <c r="BM191">
        <v>800.17100000000005</v>
      </c>
      <c r="BN191">
        <v>24.940200000000001</v>
      </c>
      <c r="BO191">
        <v>800.03099999999995</v>
      </c>
      <c r="BP191">
        <v>0.174655</v>
      </c>
      <c r="BQ191">
        <v>2.4782099999999998</v>
      </c>
      <c r="BR191">
        <v>1.7234099999999999E-2</v>
      </c>
      <c r="BS191">
        <v>20.8841</v>
      </c>
      <c r="BT191">
        <v>-40.848999999999997</v>
      </c>
      <c r="BU191">
        <v>1800</v>
      </c>
      <c r="BV191">
        <v>0.91002099999999997</v>
      </c>
      <c r="BW191">
        <v>3.4000299999999997E-2</v>
      </c>
      <c r="BX191">
        <v>2.1992399999999999E-2</v>
      </c>
      <c r="BY191">
        <v>3.3986299999999997E-2</v>
      </c>
      <c r="BZ191">
        <v>26</v>
      </c>
      <c r="CA191">
        <v>33528.5</v>
      </c>
      <c r="CB191">
        <v>1690381960.0999999</v>
      </c>
      <c r="CC191" t="s">
        <v>332</v>
      </c>
      <c r="CD191">
        <v>1690381960.0999999</v>
      </c>
      <c r="CE191">
        <v>1690381958.0999999</v>
      </c>
      <c r="CF191">
        <v>4</v>
      </c>
      <c r="CG191">
        <v>9.9000000000000005E-2</v>
      </c>
      <c r="CH191">
        <v>1.2E-2</v>
      </c>
      <c r="CI191">
        <v>-0.26300000000000001</v>
      </c>
      <c r="CJ191">
        <v>0.127</v>
      </c>
      <c r="CK191">
        <v>798</v>
      </c>
      <c r="CL191">
        <v>18</v>
      </c>
      <c r="CM191">
        <v>0.02</v>
      </c>
      <c r="CN191">
        <v>0.12</v>
      </c>
      <c r="CO191">
        <v>-413.70660000000009</v>
      </c>
      <c r="CP191">
        <v>-3.364682926827375</v>
      </c>
      <c r="CQ191">
        <v>0.32608187622129348</v>
      </c>
      <c r="CR191">
        <v>-1</v>
      </c>
      <c r="CS191">
        <v>24.907252499999998</v>
      </c>
      <c r="CT191">
        <v>0.19407242026269481</v>
      </c>
      <c r="CU191">
        <v>1.871618267035256E-2</v>
      </c>
      <c r="CV191">
        <v>-1</v>
      </c>
      <c r="CW191">
        <v>0</v>
      </c>
      <c r="CX191">
        <v>0</v>
      </c>
      <c r="CY191" t="s">
        <v>333</v>
      </c>
      <c r="CZ191">
        <v>2.3645800000000001</v>
      </c>
      <c r="DA191">
        <v>2.7138399999999998</v>
      </c>
      <c r="DB191">
        <v>8.6684300000000006E-2</v>
      </c>
      <c r="DC191">
        <v>0.145453</v>
      </c>
      <c r="DD191">
        <v>0.117227</v>
      </c>
      <c r="DE191">
        <v>1.4638299999999999E-3</v>
      </c>
      <c r="DF191">
        <v>33361.5</v>
      </c>
      <c r="DG191">
        <v>27555.3</v>
      </c>
      <c r="DH191">
        <v>31183.200000000001</v>
      </c>
      <c r="DI191">
        <v>28097.5</v>
      </c>
      <c r="DJ191">
        <v>37366.199999999997</v>
      </c>
      <c r="DK191">
        <v>39901.5</v>
      </c>
      <c r="DL191">
        <v>44378.7</v>
      </c>
      <c r="DM191">
        <v>42584.2</v>
      </c>
      <c r="DN191">
        <v>1.4776</v>
      </c>
      <c r="DO191">
        <v>2.0306199999999999</v>
      </c>
      <c r="DP191">
        <v>0.15645500000000001</v>
      </c>
      <c r="DQ191">
        <v>0.14455999999999999</v>
      </c>
      <c r="DR191">
        <v>24.4116</v>
      </c>
      <c r="DS191">
        <v>24.379000000000001</v>
      </c>
      <c r="DT191">
        <v>23.3</v>
      </c>
      <c r="DU191">
        <v>29.2</v>
      </c>
      <c r="DV191">
        <v>9.6068499999999997</v>
      </c>
      <c r="DW191">
        <v>61.173099999999998</v>
      </c>
      <c r="DX191">
        <v>37.740400000000001</v>
      </c>
      <c r="DY191">
        <v>1</v>
      </c>
      <c r="DZ191">
        <v>-0.107777</v>
      </c>
      <c r="EA191">
        <v>0.32345600000000002</v>
      </c>
      <c r="EB191">
        <v>20.1892</v>
      </c>
      <c r="EC191">
        <v>5.2416999999999998</v>
      </c>
      <c r="ED191">
        <v>12.039899999999999</v>
      </c>
      <c r="EE191">
        <v>5.0174000000000003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1.8689100000000001</v>
      </c>
      <c r="EL191">
        <v>1.8646199999999999</v>
      </c>
      <c r="EM191">
        <v>1.8692</v>
      </c>
      <c r="EN191">
        <v>1.8672299999999999</v>
      </c>
      <c r="EO191">
        <v>1.8633900000000001</v>
      </c>
      <c r="EP191">
        <v>1.8644700000000001</v>
      </c>
      <c r="EQ191">
        <v>1.87019</v>
      </c>
      <c r="ER191">
        <v>1.86941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2.9000000000000001E-2</v>
      </c>
      <c r="FG191">
        <v>0.17519999999999999</v>
      </c>
      <c r="FH191">
        <v>0.28746640474027818</v>
      </c>
      <c r="FI191">
        <v>-6.1462078757559423E-4</v>
      </c>
      <c r="FJ191">
        <v>-1.8861989874597051E-7</v>
      </c>
      <c r="FK191">
        <v>1.1980462299894961E-10</v>
      </c>
      <c r="FL191">
        <v>0.17524818673008091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38.4</v>
      </c>
      <c r="FU191">
        <v>38.5</v>
      </c>
      <c r="FV191">
        <v>1.7651399999999999</v>
      </c>
      <c r="FW191">
        <v>2.5695800000000002</v>
      </c>
      <c r="FX191">
        <v>1.5490699999999999</v>
      </c>
      <c r="FY191">
        <v>2.3339799999999999</v>
      </c>
      <c r="FZ191">
        <v>1.50146</v>
      </c>
      <c r="GA191">
        <v>2.3791500000000001</v>
      </c>
      <c r="GB191">
        <v>33.602899999999998</v>
      </c>
      <c r="GC191">
        <v>23.982399999999998</v>
      </c>
      <c r="GD191">
        <v>19</v>
      </c>
      <c r="GE191">
        <v>282.69299999999998</v>
      </c>
      <c r="GF191">
        <v>576.42499999999995</v>
      </c>
      <c r="GG191">
        <v>23.426300000000001</v>
      </c>
      <c r="GH191">
        <v>26.023900000000001</v>
      </c>
      <c r="GI191">
        <v>30</v>
      </c>
      <c r="GJ191">
        <v>26.174099999999999</v>
      </c>
      <c r="GK191">
        <v>26.159500000000001</v>
      </c>
      <c r="GL191">
        <v>35.282499999999999</v>
      </c>
      <c r="GM191">
        <v>100</v>
      </c>
      <c r="GN191">
        <v>6.1423899999999998</v>
      </c>
      <c r="GO191">
        <v>23.441600000000001</v>
      </c>
      <c r="GP191">
        <v>800</v>
      </c>
      <c r="GQ191">
        <v>0</v>
      </c>
      <c r="GR191">
        <v>99.775700000000001</v>
      </c>
      <c r="GS191">
        <v>99.620900000000006</v>
      </c>
    </row>
    <row r="192" spans="1:201" x14ac:dyDescent="0.25">
      <c r="A192">
        <v>176</v>
      </c>
      <c r="B192">
        <v>1690384276</v>
      </c>
      <c r="C192">
        <v>1800.900000095367</v>
      </c>
      <c r="D192" t="s">
        <v>683</v>
      </c>
      <c r="E192" t="s">
        <v>684</v>
      </c>
      <c r="F192" t="s">
        <v>330</v>
      </c>
      <c r="H192">
        <v>1690384276</v>
      </c>
      <c r="I192">
        <f t="shared" si="60"/>
        <v>2.351334476284276E-3</v>
      </c>
      <c r="J192">
        <f t="shared" si="61"/>
        <v>2.3513344762842761</v>
      </c>
      <c r="K192">
        <f t="shared" si="62"/>
        <v>37.163908708944575</v>
      </c>
      <c r="L192">
        <f t="shared" si="63"/>
        <v>385.14800000000002</v>
      </c>
      <c r="M192">
        <f t="shared" si="64"/>
        <v>103.94445700761958</v>
      </c>
      <c r="N192">
        <f t="shared" si="65"/>
        <v>10.267614794788184</v>
      </c>
      <c r="O192">
        <f t="shared" si="66"/>
        <v>38.044850267419207</v>
      </c>
      <c r="P192">
        <f t="shared" si="67"/>
        <v>0.22561367416615588</v>
      </c>
      <c r="Q192">
        <f t="shared" si="68"/>
        <v>2.1087435773354883</v>
      </c>
      <c r="R192">
        <f t="shared" si="69"/>
        <v>0.21301010666900533</v>
      </c>
      <c r="S192">
        <f t="shared" si="70"/>
        <v>0.13420499004201186</v>
      </c>
      <c r="T192">
        <f t="shared" si="71"/>
        <v>276.11416267200002</v>
      </c>
      <c r="U192">
        <f t="shared" si="72"/>
        <v>26.820606295484797</v>
      </c>
      <c r="V192">
        <f t="shared" si="73"/>
        <v>26.820606295484797</v>
      </c>
      <c r="W192">
        <f t="shared" si="74"/>
        <v>3.5416217921122768</v>
      </c>
      <c r="X192">
        <f t="shared" si="75"/>
        <v>76.104123447099099</v>
      </c>
      <c r="Y192">
        <f t="shared" si="76"/>
        <v>2.4844902867367207</v>
      </c>
      <c r="Z192">
        <f t="shared" si="77"/>
        <v>3.2645935255580731</v>
      </c>
      <c r="AA192">
        <f t="shared" si="78"/>
        <v>1.0571315053755561</v>
      </c>
      <c r="AB192">
        <f t="shared" si="79"/>
        <v>-103.69385040413657</v>
      </c>
      <c r="AC192">
        <f t="shared" si="80"/>
        <v>-156.63809079093789</v>
      </c>
      <c r="AD192">
        <f t="shared" si="81"/>
        <v>-15.891849755395535</v>
      </c>
      <c r="AE192">
        <f t="shared" si="82"/>
        <v>-0.1096282784699838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52401.082677808088</v>
      </c>
      <c r="AK192">
        <f t="shared" si="86"/>
        <v>1800</v>
      </c>
      <c r="AL192">
        <f t="shared" si="87"/>
        <v>1499.1141492000002</v>
      </c>
      <c r="AM192">
        <f t="shared" si="88"/>
        <v>0.83284119400000012</v>
      </c>
      <c r="AN192">
        <f t="shared" si="89"/>
        <v>0.15339675704</v>
      </c>
      <c r="AO192">
        <v>32.700000000000003</v>
      </c>
      <c r="AP192">
        <v>0.5</v>
      </c>
      <c r="AQ192" t="s">
        <v>331</v>
      </c>
      <c r="AR192">
        <v>2</v>
      </c>
      <c r="AS192">
        <v>1690384276</v>
      </c>
      <c r="AT192">
        <v>385.14800000000002</v>
      </c>
      <c r="AU192">
        <v>799.99099999999999</v>
      </c>
      <c r="AV192">
        <v>25.151800000000001</v>
      </c>
      <c r="AW192">
        <v>0.173794</v>
      </c>
      <c r="AX192">
        <v>385.11799999999999</v>
      </c>
      <c r="AY192">
        <v>24.976500000000001</v>
      </c>
      <c r="AZ192">
        <v>300.08300000000003</v>
      </c>
      <c r="BA192">
        <v>98.679900000000004</v>
      </c>
      <c r="BB192">
        <v>9.9920400000000006E-2</v>
      </c>
      <c r="BC192">
        <v>25.442799999999998</v>
      </c>
      <c r="BD192">
        <v>27.0136</v>
      </c>
      <c r="BE192">
        <v>26.757200000000001</v>
      </c>
      <c r="BF192">
        <v>0</v>
      </c>
      <c r="BG192">
        <v>0</v>
      </c>
      <c r="BH192">
        <v>9990</v>
      </c>
      <c r="BI192">
        <v>1060.23</v>
      </c>
      <c r="BJ192">
        <v>2.4178500000000001</v>
      </c>
      <c r="BK192">
        <v>-414.84300000000002</v>
      </c>
      <c r="BL192">
        <v>395.08499999999998</v>
      </c>
      <c r="BM192">
        <v>800.13</v>
      </c>
      <c r="BN192">
        <v>24.978000000000002</v>
      </c>
      <c r="BO192">
        <v>799.99099999999999</v>
      </c>
      <c r="BP192">
        <v>0.173794</v>
      </c>
      <c r="BQ192">
        <v>2.48197</v>
      </c>
      <c r="BR192">
        <v>1.7149999999999999E-2</v>
      </c>
      <c r="BS192">
        <v>20.908799999999999</v>
      </c>
      <c r="BT192">
        <v>-40.895499999999998</v>
      </c>
      <c r="BU192">
        <v>1800</v>
      </c>
      <c r="BV192">
        <v>0.910022</v>
      </c>
      <c r="BW192">
        <v>3.4000000000000002E-2</v>
      </c>
      <c r="BX192">
        <v>2.19922E-2</v>
      </c>
      <c r="BY192">
        <v>3.3986000000000002E-2</v>
      </c>
      <c r="BZ192">
        <v>26</v>
      </c>
      <c r="CA192">
        <v>33528.5</v>
      </c>
      <c r="CB192">
        <v>1690381960.0999999</v>
      </c>
      <c r="CC192" t="s">
        <v>332</v>
      </c>
      <c r="CD192">
        <v>1690381960.0999999</v>
      </c>
      <c r="CE192">
        <v>1690381958.0999999</v>
      </c>
      <c r="CF192">
        <v>4</v>
      </c>
      <c r="CG192">
        <v>9.9000000000000005E-2</v>
      </c>
      <c r="CH192">
        <v>1.2E-2</v>
      </c>
      <c r="CI192">
        <v>-0.26300000000000001</v>
      </c>
      <c r="CJ192">
        <v>0.127</v>
      </c>
      <c r="CK192">
        <v>798</v>
      </c>
      <c r="CL192">
        <v>18</v>
      </c>
      <c r="CM192">
        <v>0.02</v>
      </c>
      <c r="CN192">
        <v>0.12</v>
      </c>
      <c r="CO192">
        <v>-414.23714999999987</v>
      </c>
      <c r="CP192">
        <v>-3.593921200750398</v>
      </c>
      <c r="CQ192">
        <v>0.34913267893452848</v>
      </c>
      <c r="CR192">
        <v>-1</v>
      </c>
      <c r="CS192">
        <v>24.937505000000002</v>
      </c>
      <c r="CT192">
        <v>0.20485778611628169</v>
      </c>
      <c r="CU192">
        <v>1.9723525927176321E-2</v>
      </c>
      <c r="CV192">
        <v>-1</v>
      </c>
      <c r="CW192">
        <v>0</v>
      </c>
      <c r="CX192">
        <v>0</v>
      </c>
      <c r="CY192" t="s">
        <v>333</v>
      </c>
      <c r="CZ192">
        <v>2.3646400000000001</v>
      </c>
      <c r="DA192">
        <v>2.7136999999999998</v>
      </c>
      <c r="DB192">
        <v>8.6600499999999997E-2</v>
      </c>
      <c r="DC192">
        <v>0.145455</v>
      </c>
      <c r="DD192">
        <v>0.117354</v>
      </c>
      <c r="DE192">
        <v>1.4567499999999999E-3</v>
      </c>
      <c r="DF192">
        <v>33364.300000000003</v>
      </c>
      <c r="DG192">
        <v>27555.200000000001</v>
      </c>
      <c r="DH192">
        <v>31182.9</v>
      </c>
      <c r="DI192">
        <v>28097.4</v>
      </c>
      <c r="DJ192">
        <v>37360.400000000001</v>
      </c>
      <c r="DK192">
        <v>39901.699999999997</v>
      </c>
      <c r="DL192">
        <v>44378.3</v>
      </c>
      <c r="DM192">
        <v>42584.1</v>
      </c>
      <c r="DN192">
        <v>1.4773799999999999</v>
      </c>
      <c r="DO192">
        <v>2.0305</v>
      </c>
      <c r="DP192">
        <v>0.15873799999999999</v>
      </c>
      <c r="DQ192">
        <v>0.14508099999999999</v>
      </c>
      <c r="DR192">
        <v>24.412099999999999</v>
      </c>
      <c r="DS192">
        <v>24.379000000000001</v>
      </c>
      <c r="DT192">
        <v>23.1</v>
      </c>
      <c r="DU192">
        <v>29.2</v>
      </c>
      <c r="DV192">
        <v>9.5216899999999995</v>
      </c>
      <c r="DW192">
        <v>60.833100000000002</v>
      </c>
      <c r="DX192">
        <v>37.159500000000001</v>
      </c>
      <c r="DY192">
        <v>1</v>
      </c>
      <c r="DZ192">
        <v>-0.107934</v>
      </c>
      <c r="EA192">
        <v>0.31264399999999998</v>
      </c>
      <c r="EB192">
        <v>20.189399999999999</v>
      </c>
      <c r="EC192">
        <v>5.2415500000000002</v>
      </c>
      <c r="ED192">
        <v>12.039899999999999</v>
      </c>
      <c r="EE192">
        <v>5.0175000000000001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</v>
      </c>
      <c r="EL192">
        <v>1.8646199999999999</v>
      </c>
      <c r="EM192">
        <v>1.86921</v>
      </c>
      <c r="EN192">
        <v>1.86724</v>
      </c>
      <c r="EO192">
        <v>1.8633999999999999</v>
      </c>
      <c r="EP192">
        <v>1.8644700000000001</v>
      </c>
      <c r="EQ192">
        <v>1.87018</v>
      </c>
      <c r="ER192">
        <v>1.8694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0.03</v>
      </c>
      <c r="FG192">
        <v>0.17530000000000001</v>
      </c>
      <c r="FH192">
        <v>0.28746640474027818</v>
      </c>
      <c r="FI192">
        <v>-6.1462078757559423E-4</v>
      </c>
      <c r="FJ192">
        <v>-1.8861989874597051E-7</v>
      </c>
      <c r="FK192">
        <v>1.1980462299894961E-10</v>
      </c>
      <c r="FL192">
        <v>0.17524818673008091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38.6</v>
      </c>
      <c r="FU192">
        <v>38.6</v>
      </c>
      <c r="FV192">
        <v>1.7651399999999999</v>
      </c>
      <c r="FW192">
        <v>2.5769000000000002</v>
      </c>
      <c r="FX192">
        <v>1.5490699999999999</v>
      </c>
      <c r="FY192">
        <v>2.3339799999999999</v>
      </c>
      <c r="FZ192">
        <v>1.50146</v>
      </c>
      <c r="GA192">
        <v>2.3962400000000001</v>
      </c>
      <c r="GB192">
        <v>33.602899999999998</v>
      </c>
      <c r="GC192">
        <v>23.982399999999998</v>
      </c>
      <c r="GD192">
        <v>19</v>
      </c>
      <c r="GE192">
        <v>282.59500000000003</v>
      </c>
      <c r="GF192">
        <v>576.31899999999996</v>
      </c>
      <c r="GG192">
        <v>23.462700000000002</v>
      </c>
      <c r="GH192">
        <v>26.022500000000001</v>
      </c>
      <c r="GI192">
        <v>29.9999</v>
      </c>
      <c r="GJ192">
        <v>26.1737</v>
      </c>
      <c r="GK192">
        <v>26.159199999999998</v>
      </c>
      <c r="GL192">
        <v>35.282899999999998</v>
      </c>
      <c r="GM192">
        <v>100</v>
      </c>
      <c r="GN192">
        <v>5.7675700000000001</v>
      </c>
      <c r="GO192">
        <v>23.468299999999999</v>
      </c>
      <c r="GP192">
        <v>800</v>
      </c>
      <c r="GQ192">
        <v>0</v>
      </c>
      <c r="GR192">
        <v>99.774799999999999</v>
      </c>
      <c r="GS192">
        <v>99.620699999999999</v>
      </c>
    </row>
    <row r="193" spans="1:201" x14ac:dyDescent="0.25">
      <c r="A193">
        <v>177</v>
      </c>
      <c r="B193">
        <v>1690384286</v>
      </c>
      <c r="C193">
        <v>1810.900000095367</v>
      </c>
      <c r="D193" t="s">
        <v>685</v>
      </c>
      <c r="E193" t="s">
        <v>686</v>
      </c>
      <c r="F193" t="s">
        <v>330</v>
      </c>
      <c r="H193">
        <v>1690384286</v>
      </c>
      <c r="I193">
        <f t="shared" si="60"/>
        <v>2.3551256651536761E-3</v>
      </c>
      <c r="J193">
        <f t="shared" si="61"/>
        <v>2.3551256651536763</v>
      </c>
      <c r="K193">
        <f t="shared" si="62"/>
        <v>37.231322725027262</v>
      </c>
      <c r="L193">
        <f t="shared" si="63"/>
        <v>384.49799999999999</v>
      </c>
      <c r="M193">
        <f t="shared" si="64"/>
        <v>104.12262276029104</v>
      </c>
      <c r="N193">
        <f t="shared" si="65"/>
        <v>10.284858043064858</v>
      </c>
      <c r="O193">
        <f t="shared" si="66"/>
        <v>37.979329016196004</v>
      </c>
      <c r="P193">
        <f t="shared" si="67"/>
        <v>0.22673766407173288</v>
      </c>
      <c r="Q193">
        <f t="shared" si="68"/>
        <v>2.10934894398466</v>
      </c>
      <c r="R193">
        <f t="shared" si="69"/>
        <v>0.21401543807876891</v>
      </c>
      <c r="S193">
        <f t="shared" si="70"/>
        <v>0.13484316840453936</v>
      </c>
      <c r="T193">
        <f t="shared" si="71"/>
        <v>276.11419842000004</v>
      </c>
      <c r="U193">
        <f t="shared" si="72"/>
        <v>26.819510912525232</v>
      </c>
      <c r="V193">
        <f t="shared" si="73"/>
        <v>26.819510912525232</v>
      </c>
      <c r="W193">
        <f t="shared" si="74"/>
        <v>3.5413936444991534</v>
      </c>
      <c r="X193">
        <f t="shared" si="75"/>
        <v>76.196200271094966</v>
      </c>
      <c r="Y193">
        <f t="shared" si="76"/>
        <v>2.4875849079680004</v>
      </c>
      <c r="Z193">
        <f t="shared" si="77"/>
        <v>3.2647099187591198</v>
      </c>
      <c r="AA193">
        <f t="shared" si="78"/>
        <v>1.053808736531153</v>
      </c>
      <c r="AB193">
        <f t="shared" si="79"/>
        <v>-103.86104183327711</v>
      </c>
      <c r="AC193">
        <f t="shared" si="80"/>
        <v>-156.49025997479421</v>
      </c>
      <c r="AD193">
        <f t="shared" si="81"/>
        <v>-15.872255287617783</v>
      </c>
      <c r="AE193">
        <f t="shared" si="82"/>
        <v>-0.1093586756890943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52427.396487324841</v>
      </c>
      <c r="AK193">
        <f t="shared" si="86"/>
        <v>1800</v>
      </c>
      <c r="AL193">
        <f t="shared" si="87"/>
        <v>1499.1137819999999</v>
      </c>
      <c r="AM193">
        <f t="shared" si="88"/>
        <v>0.83284099</v>
      </c>
      <c r="AN193">
        <f t="shared" si="89"/>
        <v>0.15339677690000003</v>
      </c>
      <c r="AO193">
        <v>32.700000000000003</v>
      </c>
      <c r="AP193">
        <v>0.5</v>
      </c>
      <c r="AQ193" t="s">
        <v>331</v>
      </c>
      <c r="AR193">
        <v>2</v>
      </c>
      <c r="AS193">
        <v>1690384286</v>
      </c>
      <c r="AT193">
        <v>384.49799999999999</v>
      </c>
      <c r="AU193">
        <v>799.971</v>
      </c>
      <c r="AV193">
        <v>25.184000000000001</v>
      </c>
      <c r="AW193">
        <v>0.17279800000000001</v>
      </c>
      <c r="AX193">
        <v>384.46800000000002</v>
      </c>
      <c r="AY193">
        <v>25.008800000000001</v>
      </c>
      <c r="AZ193">
        <v>300.15800000000002</v>
      </c>
      <c r="BA193">
        <v>98.676400000000001</v>
      </c>
      <c r="BB193">
        <v>0.10000199999999999</v>
      </c>
      <c r="BC193">
        <v>25.4434</v>
      </c>
      <c r="BD193">
        <v>27.040099999999999</v>
      </c>
      <c r="BE193">
        <v>26.771100000000001</v>
      </c>
      <c r="BF193">
        <v>0</v>
      </c>
      <c r="BG193">
        <v>0</v>
      </c>
      <c r="BH193">
        <v>9995.6200000000008</v>
      </c>
      <c r="BI193">
        <v>1060.3599999999999</v>
      </c>
      <c r="BJ193">
        <v>2.3687900000000002</v>
      </c>
      <c r="BK193">
        <v>-415.47300000000001</v>
      </c>
      <c r="BL193">
        <v>394.43099999999998</v>
      </c>
      <c r="BM193">
        <v>800.10900000000004</v>
      </c>
      <c r="BN193">
        <v>25.011199999999999</v>
      </c>
      <c r="BO193">
        <v>799.971</v>
      </c>
      <c r="BP193">
        <v>0.17279800000000001</v>
      </c>
      <c r="BQ193">
        <v>2.4850699999999999</v>
      </c>
      <c r="BR193">
        <v>1.70511E-2</v>
      </c>
      <c r="BS193">
        <v>20.928999999999998</v>
      </c>
      <c r="BT193">
        <v>-40.950299999999999</v>
      </c>
      <c r="BU193">
        <v>1800</v>
      </c>
      <c r="BV193">
        <v>0.91001900000000002</v>
      </c>
      <c r="BW193">
        <v>3.3999700000000001E-2</v>
      </c>
      <c r="BX193">
        <v>2.1992000000000001E-2</v>
      </c>
      <c r="BY193">
        <v>3.3989600000000002E-2</v>
      </c>
      <c r="BZ193">
        <v>26</v>
      </c>
      <c r="CA193">
        <v>33528.5</v>
      </c>
      <c r="CB193">
        <v>1690381960.0999999</v>
      </c>
      <c r="CC193" t="s">
        <v>332</v>
      </c>
      <c r="CD193">
        <v>1690381960.0999999</v>
      </c>
      <c r="CE193">
        <v>1690381958.0999999</v>
      </c>
      <c r="CF193">
        <v>4</v>
      </c>
      <c r="CG193">
        <v>9.9000000000000005E-2</v>
      </c>
      <c r="CH193">
        <v>1.2E-2</v>
      </c>
      <c r="CI193">
        <v>-0.26300000000000001</v>
      </c>
      <c r="CJ193">
        <v>0.127</v>
      </c>
      <c r="CK193">
        <v>798</v>
      </c>
      <c r="CL193">
        <v>18</v>
      </c>
      <c r="CM193">
        <v>0.02</v>
      </c>
      <c r="CN193">
        <v>0.12</v>
      </c>
      <c r="CO193">
        <v>-414.84890000000001</v>
      </c>
      <c r="CP193">
        <v>-3.5254784240141088</v>
      </c>
      <c r="CQ193">
        <v>0.34272224905891369</v>
      </c>
      <c r="CR193">
        <v>-1</v>
      </c>
      <c r="CS193">
        <v>24.972597499999999</v>
      </c>
      <c r="CT193">
        <v>0.21582326454030459</v>
      </c>
      <c r="CU193">
        <v>2.0779671406208549E-2</v>
      </c>
      <c r="CV193">
        <v>-1</v>
      </c>
      <c r="CW193">
        <v>0</v>
      </c>
      <c r="CX193">
        <v>0</v>
      </c>
      <c r="CY193" t="s">
        <v>333</v>
      </c>
      <c r="CZ193">
        <v>2.3648500000000001</v>
      </c>
      <c r="DA193">
        <v>2.7137899999999999</v>
      </c>
      <c r="DB193">
        <v>8.6485400000000004E-2</v>
      </c>
      <c r="DC193">
        <v>0.14544899999999999</v>
      </c>
      <c r="DD193">
        <v>0.117456</v>
      </c>
      <c r="DE193">
        <v>1.44845E-3</v>
      </c>
      <c r="DF193">
        <v>33368.699999999997</v>
      </c>
      <c r="DG193">
        <v>27555.200000000001</v>
      </c>
      <c r="DH193">
        <v>31183.1</v>
      </c>
      <c r="DI193">
        <v>28097.200000000001</v>
      </c>
      <c r="DJ193">
        <v>37356.400000000001</v>
      </c>
      <c r="DK193">
        <v>39901.800000000003</v>
      </c>
      <c r="DL193">
        <v>44378.7</v>
      </c>
      <c r="DM193">
        <v>42583.9</v>
      </c>
      <c r="DN193">
        <v>1.4779500000000001</v>
      </c>
      <c r="DO193">
        <v>2.0304000000000002</v>
      </c>
      <c r="DP193">
        <v>0.160247</v>
      </c>
      <c r="DQ193">
        <v>0.14593100000000001</v>
      </c>
      <c r="DR193">
        <v>24.413900000000002</v>
      </c>
      <c r="DS193">
        <v>24.379000000000001</v>
      </c>
      <c r="DT193">
        <v>23</v>
      </c>
      <c r="DU193">
        <v>29.2</v>
      </c>
      <c r="DV193">
        <v>9.4835399999999996</v>
      </c>
      <c r="DW193">
        <v>60.943100000000001</v>
      </c>
      <c r="DX193">
        <v>36.838900000000002</v>
      </c>
      <c r="DY193">
        <v>1</v>
      </c>
      <c r="DZ193">
        <v>-0.108366</v>
      </c>
      <c r="EA193">
        <v>0.55125299999999999</v>
      </c>
      <c r="EB193">
        <v>20.188400000000001</v>
      </c>
      <c r="EC193">
        <v>5.24125</v>
      </c>
      <c r="ED193">
        <v>12.039899999999999</v>
      </c>
      <c r="EE193">
        <v>5.0175000000000001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1.8689100000000001</v>
      </c>
      <c r="EL193">
        <v>1.8646199999999999</v>
      </c>
      <c r="EM193">
        <v>1.8692</v>
      </c>
      <c r="EN193">
        <v>1.8672500000000001</v>
      </c>
      <c r="EO193">
        <v>1.8633999999999999</v>
      </c>
      <c r="EP193">
        <v>1.8644700000000001</v>
      </c>
      <c r="EQ193">
        <v>1.87018</v>
      </c>
      <c r="ER193">
        <v>1.86938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0.03</v>
      </c>
      <c r="FG193">
        <v>0.17519999999999999</v>
      </c>
      <c r="FH193">
        <v>0.28746640474027818</v>
      </c>
      <c r="FI193">
        <v>-6.1462078757559423E-4</v>
      </c>
      <c r="FJ193">
        <v>-1.8861989874597051E-7</v>
      </c>
      <c r="FK193">
        <v>1.1980462299894961E-10</v>
      </c>
      <c r="FL193">
        <v>0.17524818673008091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38.799999999999997</v>
      </c>
      <c r="FU193">
        <v>38.799999999999997</v>
      </c>
      <c r="FV193">
        <v>1.7651399999999999</v>
      </c>
      <c r="FW193">
        <v>2.5817899999999998</v>
      </c>
      <c r="FX193">
        <v>1.5490699999999999</v>
      </c>
      <c r="FY193">
        <v>2.3327599999999999</v>
      </c>
      <c r="FZ193">
        <v>1.50146</v>
      </c>
      <c r="GA193">
        <v>2.36328</v>
      </c>
      <c r="GB193">
        <v>33.580399999999997</v>
      </c>
      <c r="GC193">
        <v>23.982399999999998</v>
      </c>
      <c r="GD193">
        <v>19</v>
      </c>
      <c r="GE193">
        <v>282.83199999999999</v>
      </c>
      <c r="GF193">
        <v>576.21299999999997</v>
      </c>
      <c r="GG193">
        <v>23.442499999999999</v>
      </c>
      <c r="GH193">
        <v>26.021799999999999</v>
      </c>
      <c r="GI193">
        <v>30</v>
      </c>
      <c r="GJ193">
        <v>26.171900000000001</v>
      </c>
      <c r="GK193">
        <v>26.157</v>
      </c>
      <c r="GL193">
        <v>35.2804</v>
      </c>
      <c r="GM193">
        <v>100</v>
      </c>
      <c r="GN193">
        <v>5.0003299999999999</v>
      </c>
      <c r="GO193">
        <v>23.380400000000002</v>
      </c>
      <c r="GP193">
        <v>800</v>
      </c>
      <c r="GQ193">
        <v>0</v>
      </c>
      <c r="GR193">
        <v>99.775599999999997</v>
      </c>
      <c r="GS193">
        <v>99.620199999999997</v>
      </c>
    </row>
    <row r="194" spans="1:201" x14ac:dyDescent="0.25">
      <c r="A194">
        <v>178</v>
      </c>
      <c r="B194">
        <v>1690384296</v>
      </c>
      <c r="C194">
        <v>1820.900000095367</v>
      </c>
      <c r="D194" t="s">
        <v>687</v>
      </c>
      <c r="E194" t="s">
        <v>688</v>
      </c>
      <c r="F194" t="s">
        <v>330</v>
      </c>
      <c r="H194">
        <v>1690384296</v>
      </c>
      <c r="I194">
        <f t="shared" si="60"/>
        <v>2.3554161545955702E-3</v>
      </c>
      <c r="J194">
        <f t="shared" si="61"/>
        <v>2.3554161545955701</v>
      </c>
      <c r="K194">
        <f t="shared" si="62"/>
        <v>37.271692789168647</v>
      </c>
      <c r="L194">
        <f t="shared" si="63"/>
        <v>383.983</v>
      </c>
      <c r="M194">
        <f t="shared" si="64"/>
        <v>103.72180680658315</v>
      </c>
      <c r="N194">
        <f t="shared" si="65"/>
        <v>10.245601699285764</v>
      </c>
      <c r="O194">
        <f t="shared" si="66"/>
        <v>37.929698666290001</v>
      </c>
      <c r="P194">
        <f t="shared" si="67"/>
        <v>0.22709884227263835</v>
      </c>
      <c r="Q194">
        <f t="shared" si="68"/>
        <v>2.1064380204490685</v>
      </c>
      <c r="R194">
        <f t="shared" si="69"/>
        <v>0.21432070697348185</v>
      </c>
      <c r="S194">
        <f t="shared" si="70"/>
        <v>0.13503855545695539</v>
      </c>
      <c r="T194">
        <f t="shared" si="71"/>
        <v>276.11423416800005</v>
      </c>
      <c r="U194">
        <f t="shared" si="72"/>
        <v>26.81774047322607</v>
      </c>
      <c r="V194">
        <f t="shared" si="73"/>
        <v>26.81774047322607</v>
      </c>
      <c r="W194">
        <f t="shared" si="74"/>
        <v>3.5410249225089792</v>
      </c>
      <c r="X194">
        <f t="shared" si="75"/>
        <v>76.241323191871231</v>
      </c>
      <c r="Y194">
        <f t="shared" si="76"/>
        <v>2.4885552185900002</v>
      </c>
      <c r="Z194">
        <f t="shared" si="77"/>
        <v>3.2640504052208361</v>
      </c>
      <c r="AA194">
        <f t="shared" si="78"/>
        <v>1.052469703918979</v>
      </c>
      <c r="AB194">
        <f t="shared" si="79"/>
        <v>-103.87385241766465</v>
      </c>
      <c r="AC194">
        <f t="shared" si="80"/>
        <v>-156.45935842367365</v>
      </c>
      <c r="AD194">
        <f t="shared" si="81"/>
        <v>-15.890639060978883</v>
      </c>
      <c r="AE194">
        <f t="shared" si="82"/>
        <v>-0.10961573431708871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52300.740462660593</v>
      </c>
      <c r="AK194">
        <f t="shared" si="86"/>
        <v>1800</v>
      </c>
      <c r="AL194">
        <f t="shared" si="87"/>
        <v>1499.1134148000001</v>
      </c>
      <c r="AM194">
        <f t="shared" si="88"/>
        <v>0.832840786</v>
      </c>
      <c r="AN194">
        <f t="shared" si="89"/>
        <v>0.15339679676000004</v>
      </c>
      <c r="AO194">
        <v>32.700000000000003</v>
      </c>
      <c r="AP194">
        <v>0.5</v>
      </c>
      <c r="AQ194" t="s">
        <v>331</v>
      </c>
      <c r="AR194">
        <v>2</v>
      </c>
      <c r="AS194">
        <v>1690384296</v>
      </c>
      <c r="AT194">
        <v>383.983</v>
      </c>
      <c r="AU194">
        <v>800.00300000000004</v>
      </c>
      <c r="AV194">
        <v>25.193000000000001</v>
      </c>
      <c r="AW194">
        <v>0.17177500000000001</v>
      </c>
      <c r="AX194">
        <v>383.952</v>
      </c>
      <c r="AY194">
        <v>25.017800000000001</v>
      </c>
      <c r="AZ194">
        <v>300.072</v>
      </c>
      <c r="BA194">
        <v>98.679599999999994</v>
      </c>
      <c r="BB194">
        <v>0.10002999999999999</v>
      </c>
      <c r="BC194">
        <v>25.44</v>
      </c>
      <c r="BD194">
        <v>27.0289</v>
      </c>
      <c r="BE194">
        <v>26.764399999999998</v>
      </c>
      <c r="BF194">
        <v>0</v>
      </c>
      <c r="BG194">
        <v>0</v>
      </c>
      <c r="BH194">
        <v>9970</v>
      </c>
      <c r="BI194">
        <v>1060.43</v>
      </c>
      <c r="BJ194">
        <v>2.0113699999999999</v>
      </c>
      <c r="BK194">
        <v>-416.02</v>
      </c>
      <c r="BL194">
        <v>393.90699999999998</v>
      </c>
      <c r="BM194">
        <v>800.14</v>
      </c>
      <c r="BN194">
        <v>25.0212</v>
      </c>
      <c r="BO194">
        <v>800.00300000000004</v>
      </c>
      <c r="BP194">
        <v>0.17177500000000001</v>
      </c>
      <c r="BQ194">
        <v>2.48604</v>
      </c>
      <c r="BR194">
        <v>1.6950699999999999E-2</v>
      </c>
      <c r="BS194">
        <v>20.935400000000001</v>
      </c>
      <c r="BT194">
        <v>-41.006300000000003</v>
      </c>
      <c r="BU194">
        <v>1800</v>
      </c>
      <c r="BV194">
        <v>0.91001600000000005</v>
      </c>
      <c r="BW194">
        <v>3.3999399999999999E-2</v>
      </c>
      <c r="BX194">
        <v>2.1991799999999999E-2</v>
      </c>
      <c r="BY194">
        <v>3.3993200000000001E-2</v>
      </c>
      <c r="BZ194">
        <v>26</v>
      </c>
      <c r="CA194">
        <v>33528.6</v>
      </c>
      <c r="CB194">
        <v>1690381960.0999999</v>
      </c>
      <c r="CC194" t="s">
        <v>332</v>
      </c>
      <c r="CD194">
        <v>1690381960.0999999</v>
      </c>
      <c r="CE194">
        <v>1690381958.0999999</v>
      </c>
      <c r="CF194">
        <v>4</v>
      </c>
      <c r="CG194">
        <v>9.9000000000000005E-2</v>
      </c>
      <c r="CH194">
        <v>1.2E-2</v>
      </c>
      <c r="CI194">
        <v>-0.26300000000000001</v>
      </c>
      <c r="CJ194">
        <v>0.127</v>
      </c>
      <c r="CK194">
        <v>798</v>
      </c>
      <c r="CL194">
        <v>18</v>
      </c>
      <c r="CM194">
        <v>0.02</v>
      </c>
      <c r="CN194">
        <v>0.12</v>
      </c>
      <c r="CO194">
        <v>-415.44307317073162</v>
      </c>
      <c r="CP194">
        <v>-3.4723902439022112</v>
      </c>
      <c r="CQ194">
        <v>0.34627392161753218</v>
      </c>
      <c r="CR194">
        <v>-1</v>
      </c>
      <c r="CS194">
        <v>25.00527073170732</v>
      </c>
      <c r="CT194">
        <v>0.15826620209059841</v>
      </c>
      <c r="CU194">
        <v>1.6007044850016919E-2</v>
      </c>
      <c r="CV194">
        <v>-1</v>
      </c>
      <c r="CW194">
        <v>0</v>
      </c>
      <c r="CX194">
        <v>0</v>
      </c>
      <c r="CY194" t="s">
        <v>333</v>
      </c>
      <c r="CZ194">
        <v>2.3645800000000001</v>
      </c>
      <c r="DA194">
        <v>2.7137899999999999</v>
      </c>
      <c r="DB194">
        <v>8.6399199999999995E-2</v>
      </c>
      <c r="DC194">
        <v>0.145457</v>
      </c>
      <c r="DD194">
        <v>0.11749</v>
      </c>
      <c r="DE194">
        <v>1.44002E-3</v>
      </c>
      <c r="DF194">
        <v>33371.599999999999</v>
      </c>
      <c r="DG194">
        <v>27554.9</v>
      </c>
      <c r="DH194">
        <v>31182.9</v>
      </c>
      <c r="DI194">
        <v>28097.1</v>
      </c>
      <c r="DJ194">
        <v>37354.5</v>
      </c>
      <c r="DK194">
        <v>39902.1</v>
      </c>
      <c r="DL194">
        <v>44378.2</v>
      </c>
      <c r="DM194">
        <v>42583.8</v>
      </c>
      <c r="DN194">
        <v>1.47732</v>
      </c>
      <c r="DO194">
        <v>2.0306500000000001</v>
      </c>
      <c r="DP194">
        <v>0.15956500000000001</v>
      </c>
      <c r="DQ194">
        <v>0.14554</v>
      </c>
      <c r="DR194">
        <v>24.413900000000002</v>
      </c>
      <c r="DS194">
        <v>24.378699999999998</v>
      </c>
      <c r="DT194">
        <v>22.9</v>
      </c>
      <c r="DU194">
        <v>29.2</v>
      </c>
      <c r="DV194">
        <v>9.44102</v>
      </c>
      <c r="DW194">
        <v>61.353099999999998</v>
      </c>
      <c r="DX194">
        <v>36.979199999999999</v>
      </c>
      <c r="DY194">
        <v>1</v>
      </c>
      <c r="DZ194">
        <v>-0.108321</v>
      </c>
      <c r="EA194">
        <v>0.60535899999999998</v>
      </c>
      <c r="EB194">
        <v>20.187899999999999</v>
      </c>
      <c r="EC194">
        <v>5.2409499999999998</v>
      </c>
      <c r="ED194">
        <v>12.039899999999999</v>
      </c>
      <c r="EE194">
        <v>5.0175999999999998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</v>
      </c>
      <c r="EL194">
        <v>1.8646199999999999</v>
      </c>
      <c r="EM194">
        <v>1.8692</v>
      </c>
      <c r="EN194">
        <v>1.8672200000000001</v>
      </c>
      <c r="EO194">
        <v>1.8633900000000001</v>
      </c>
      <c r="EP194">
        <v>1.86446</v>
      </c>
      <c r="EQ194">
        <v>1.87016</v>
      </c>
      <c r="ER194">
        <v>1.86938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3.1E-2</v>
      </c>
      <c r="FG194">
        <v>0.17519999999999999</v>
      </c>
      <c r="FH194">
        <v>0.28746640474027818</v>
      </c>
      <c r="FI194">
        <v>-6.1462078757559423E-4</v>
      </c>
      <c r="FJ194">
        <v>-1.8861989874597051E-7</v>
      </c>
      <c r="FK194">
        <v>1.1980462299894961E-10</v>
      </c>
      <c r="FL194">
        <v>0.17524818673008091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38.9</v>
      </c>
      <c r="FU194">
        <v>39</v>
      </c>
      <c r="FV194">
        <v>1.7651399999999999</v>
      </c>
      <c r="FW194">
        <v>2.5830099999999998</v>
      </c>
      <c r="FX194">
        <v>1.5490699999999999</v>
      </c>
      <c r="FY194">
        <v>2.3327599999999999</v>
      </c>
      <c r="FZ194">
        <v>1.50146</v>
      </c>
      <c r="GA194">
        <v>2.3120099999999999</v>
      </c>
      <c r="GB194">
        <v>33.580399999999997</v>
      </c>
      <c r="GC194">
        <v>23.973700000000001</v>
      </c>
      <c r="GD194">
        <v>19</v>
      </c>
      <c r="GE194">
        <v>282.55599999999998</v>
      </c>
      <c r="GF194">
        <v>576.41800000000001</v>
      </c>
      <c r="GG194">
        <v>23.3507</v>
      </c>
      <c r="GH194">
        <v>26.019500000000001</v>
      </c>
      <c r="GI194">
        <v>30.0001</v>
      </c>
      <c r="GJ194">
        <v>26.169599999999999</v>
      </c>
      <c r="GK194">
        <v>26.157</v>
      </c>
      <c r="GL194">
        <v>35.278799999999997</v>
      </c>
      <c r="GM194">
        <v>100</v>
      </c>
      <c r="GN194">
        <v>4.60778</v>
      </c>
      <c r="GO194">
        <v>23.3337</v>
      </c>
      <c r="GP194">
        <v>800</v>
      </c>
      <c r="GQ194">
        <v>0</v>
      </c>
      <c r="GR194">
        <v>99.774699999999996</v>
      </c>
      <c r="GS194">
        <v>99.62</v>
      </c>
    </row>
    <row r="195" spans="1:201" x14ac:dyDescent="0.25">
      <c r="A195">
        <v>179</v>
      </c>
      <c r="B195">
        <v>1690384306</v>
      </c>
      <c r="C195">
        <v>1830.900000095367</v>
      </c>
      <c r="D195" t="s">
        <v>689</v>
      </c>
      <c r="E195" t="s">
        <v>690</v>
      </c>
      <c r="F195" t="s">
        <v>330</v>
      </c>
      <c r="H195">
        <v>1690384306</v>
      </c>
      <c r="I195">
        <f t="shared" si="60"/>
        <v>2.3562494879039611E-3</v>
      </c>
      <c r="J195">
        <f t="shared" si="61"/>
        <v>2.3562494879039613</v>
      </c>
      <c r="K195">
        <f t="shared" si="62"/>
        <v>37.340284260385268</v>
      </c>
      <c r="L195">
        <f t="shared" si="63"/>
        <v>383.399</v>
      </c>
      <c r="M195">
        <f t="shared" si="64"/>
        <v>103.49936739974166</v>
      </c>
      <c r="N195">
        <f t="shared" si="65"/>
        <v>10.223405037350755</v>
      </c>
      <c r="O195">
        <f t="shared" si="66"/>
        <v>37.871180920135998</v>
      </c>
      <c r="P195">
        <f t="shared" si="67"/>
        <v>0.22778684371191901</v>
      </c>
      <c r="Q195">
        <f t="shared" si="68"/>
        <v>2.1153103993833513</v>
      </c>
      <c r="R195">
        <f t="shared" si="69"/>
        <v>0.2149841785291936</v>
      </c>
      <c r="S195">
        <f t="shared" si="70"/>
        <v>0.135455380639802</v>
      </c>
      <c r="T195">
        <f t="shared" si="71"/>
        <v>276.11410534200002</v>
      </c>
      <c r="U195">
        <f t="shared" si="72"/>
        <v>26.803905754759263</v>
      </c>
      <c r="V195">
        <f t="shared" si="73"/>
        <v>26.803905754759263</v>
      </c>
      <c r="W195">
        <f t="shared" si="74"/>
        <v>3.5381447775767887</v>
      </c>
      <c r="X195">
        <f t="shared" si="75"/>
        <v>76.279080276575172</v>
      </c>
      <c r="Y195">
        <f t="shared" si="76"/>
        <v>2.4885599170304</v>
      </c>
      <c r="Z195">
        <f t="shared" si="77"/>
        <v>3.2624409051699343</v>
      </c>
      <c r="AA195">
        <f t="shared" si="78"/>
        <v>1.0495848605463887</v>
      </c>
      <c r="AB195">
        <f t="shared" si="79"/>
        <v>-103.91060241656469</v>
      </c>
      <c r="AC195">
        <f t="shared" si="80"/>
        <v>-156.48718715226545</v>
      </c>
      <c r="AD195">
        <f t="shared" si="81"/>
        <v>-15.82504518823653</v>
      </c>
      <c r="AE195">
        <f t="shared" si="82"/>
        <v>-0.10872941506664802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52690.871226522533</v>
      </c>
      <c r="AK195">
        <f t="shared" si="86"/>
        <v>1800</v>
      </c>
      <c r="AL195">
        <f t="shared" si="87"/>
        <v>1499.1138882</v>
      </c>
      <c r="AM195">
        <f t="shared" si="88"/>
        <v>0.832841049</v>
      </c>
      <c r="AN195">
        <f t="shared" si="89"/>
        <v>0.15339672519</v>
      </c>
      <c r="AO195">
        <v>32.700000000000003</v>
      </c>
      <c r="AP195">
        <v>0.5</v>
      </c>
      <c r="AQ195" t="s">
        <v>331</v>
      </c>
      <c r="AR195">
        <v>2</v>
      </c>
      <c r="AS195">
        <v>1690384306</v>
      </c>
      <c r="AT195">
        <v>383.399</v>
      </c>
      <c r="AU195">
        <v>800.03</v>
      </c>
      <c r="AV195">
        <v>25.1936</v>
      </c>
      <c r="AW195">
        <v>0.171043</v>
      </c>
      <c r="AX195">
        <v>383.36799999999999</v>
      </c>
      <c r="AY195">
        <v>25.0183</v>
      </c>
      <c r="AZ195">
        <v>300.16199999999998</v>
      </c>
      <c r="BA195">
        <v>98.677499999999995</v>
      </c>
      <c r="BB195">
        <v>9.9963999999999997E-2</v>
      </c>
      <c r="BC195">
        <v>25.431699999999999</v>
      </c>
      <c r="BD195">
        <v>26.998699999999999</v>
      </c>
      <c r="BE195">
        <v>26.755400000000002</v>
      </c>
      <c r="BF195">
        <v>0</v>
      </c>
      <c r="BG195">
        <v>0</v>
      </c>
      <c r="BH195">
        <v>10047.5</v>
      </c>
      <c r="BI195">
        <v>1060.43</v>
      </c>
      <c r="BJ195">
        <v>1.9763299999999999</v>
      </c>
      <c r="BK195">
        <v>-416.63</v>
      </c>
      <c r="BL195">
        <v>393.30799999999999</v>
      </c>
      <c r="BM195">
        <v>800.16600000000005</v>
      </c>
      <c r="BN195">
        <v>25.022500000000001</v>
      </c>
      <c r="BO195">
        <v>800.03</v>
      </c>
      <c r="BP195">
        <v>0.171043</v>
      </c>
      <c r="BQ195">
        <v>2.48604</v>
      </c>
      <c r="BR195">
        <v>1.68781E-2</v>
      </c>
      <c r="BS195">
        <v>20.935400000000001</v>
      </c>
      <c r="BT195">
        <v>-41.046999999999997</v>
      </c>
      <c r="BU195">
        <v>1800</v>
      </c>
      <c r="BV195">
        <v>0.910022</v>
      </c>
      <c r="BW195">
        <v>3.39999E-2</v>
      </c>
      <c r="BX195">
        <v>2.19922E-2</v>
      </c>
      <c r="BY195">
        <v>3.3985899999999999E-2</v>
      </c>
      <c r="BZ195">
        <v>26</v>
      </c>
      <c r="CA195">
        <v>33528.5</v>
      </c>
      <c r="CB195">
        <v>1690381960.0999999</v>
      </c>
      <c r="CC195" t="s">
        <v>332</v>
      </c>
      <c r="CD195">
        <v>1690381960.0999999</v>
      </c>
      <c r="CE195">
        <v>1690381958.0999999</v>
      </c>
      <c r="CF195">
        <v>4</v>
      </c>
      <c r="CG195">
        <v>9.9000000000000005E-2</v>
      </c>
      <c r="CH195">
        <v>1.2E-2</v>
      </c>
      <c r="CI195">
        <v>-0.26300000000000001</v>
      </c>
      <c r="CJ195">
        <v>0.127</v>
      </c>
      <c r="CK195">
        <v>798</v>
      </c>
      <c r="CL195">
        <v>18</v>
      </c>
      <c r="CM195">
        <v>0.02</v>
      </c>
      <c r="CN195">
        <v>0.12</v>
      </c>
      <c r="CO195">
        <v>-416.00409756097571</v>
      </c>
      <c r="CP195">
        <v>-3.4713031358888751</v>
      </c>
      <c r="CQ195">
        <v>0.34800552314638661</v>
      </c>
      <c r="CR195">
        <v>-1</v>
      </c>
      <c r="CS195">
        <v>25.020126829268289</v>
      </c>
      <c r="CT195">
        <v>2.1048083623679409E-2</v>
      </c>
      <c r="CU195">
        <v>3.7240827576044619E-3</v>
      </c>
      <c r="CV195">
        <v>-1</v>
      </c>
      <c r="CW195">
        <v>0</v>
      </c>
      <c r="CX195">
        <v>0</v>
      </c>
      <c r="CY195" t="s">
        <v>333</v>
      </c>
      <c r="CZ195">
        <v>2.3648600000000002</v>
      </c>
      <c r="DA195">
        <v>2.7138</v>
      </c>
      <c r="DB195">
        <v>8.6296100000000001E-2</v>
      </c>
      <c r="DC195">
        <v>0.145458</v>
      </c>
      <c r="DD195">
        <v>0.11749</v>
      </c>
      <c r="DE195">
        <v>1.4339299999999999E-3</v>
      </c>
      <c r="DF195">
        <v>33375.4</v>
      </c>
      <c r="DG195">
        <v>27554.9</v>
      </c>
      <c r="DH195">
        <v>31182.9</v>
      </c>
      <c r="DI195">
        <v>28097.1</v>
      </c>
      <c r="DJ195">
        <v>37354.5</v>
      </c>
      <c r="DK195">
        <v>39902.5</v>
      </c>
      <c r="DL195">
        <v>44378.2</v>
      </c>
      <c r="DM195">
        <v>42583.9</v>
      </c>
      <c r="DN195">
        <v>1.4774700000000001</v>
      </c>
      <c r="DO195">
        <v>2.0305800000000001</v>
      </c>
      <c r="DP195">
        <v>0.15784400000000001</v>
      </c>
      <c r="DQ195">
        <v>0.14514099999999999</v>
      </c>
      <c r="DR195">
        <v>24.411799999999999</v>
      </c>
      <c r="DS195">
        <v>24.376100000000001</v>
      </c>
      <c r="DT195">
        <v>22.8</v>
      </c>
      <c r="DU195">
        <v>29.2</v>
      </c>
      <c r="DV195">
        <v>9.4013100000000005</v>
      </c>
      <c r="DW195">
        <v>60.113100000000003</v>
      </c>
      <c r="DX195">
        <v>37.484000000000002</v>
      </c>
      <c r="DY195">
        <v>1</v>
      </c>
      <c r="DZ195">
        <v>-0.108572</v>
      </c>
      <c r="EA195">
        <v>0.56361099999999997</v>
      </c>
      <c r="EB195">
        <v>20.188500000000001</v>
      </c>
      <c r="EC195">
        <v>5.24125</v>
      </c>
      <c r="ED195">
        <v>12.039899999999999</v>
      </c>
      <c r="EE195">
        <v>5.0175000000000001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</v>
      </c>
      <c r="EL195">
        <v>1.8646199999999999</v>
      </c>
      <c r="EM195">
        <v>1.8692</v>
      </c>
      <c r="EN195">
        <v>1.8672299999999999</v>
      </c>
      <c r="EO195">
        <v>1.86338</v>
      </c>
      <c r="EP195">
        <v>1.8644700000000001</v>
      </c>
      <c r="EQ195">
        <v>1.87015</v>
      </c>
      <c r="ER195">
        <v>1.86937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3.1E-2</v>
      </c>
      <c r="FG195">
        <v>0.17530000000000001</v>
      </c>
      <c r="FH195">
        <v>0.28746640474027818</v>
      </c>
      <c r="FI195">
        <v>-6.1462078757559423E-4</v>
      </c>
      <c r="FJ195">
        <v>-1.8861989874597051E-7</v>
      </c>
      <c r="FK195">
        <v>1.1980462299894961E-10</v>
      </c>
      <c r="FL195">
        <v>0.17524818673008091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39.1</v>
      </c>
      <c r="FU195">
        <v>39.1</v>
      </c>
      <c r="FV195">
        <v>1.7639199999999999</v>
      </c>
      <c r="FW195">
        <v>2.5817899999999998</v>
      </c>
      <c r="FX195">
        <v>1.5490699999999999</v>
      </c>
      <c r="FY195">
        <v>2.3327599999999999</v>
      </c>
      <c r="FZ195">
        <v>1.50146</v>
      </c>
      <c r="GA195">
        <v>2.2790499999999998</v>
      </c>
      <c r="GB195">
        <v>33.602899999999998</v>
      </c>
      <c r="GC195">
        <v>23.982399999999998</v>
      </c>
      <c r="GD195">
        <v>19</v>
      </c>
      <c r="GE195">
        <v>282.61399999999998</v>
      </c>
      <c r="GF195">
        <v>576.33199999999999</v>
      </c>
      <c r="GG195">
        <v>23.303899999999999</v>
      </c>
      <c r="GH195">
        <v>26.019100000000002</v>
      </c>
      <c r="GI195">
        <v>29.9999</v>
      </c>
      <c r="GJ195">
        <v>26.168199999999999</v>
      </c>
      <c r="GK195">
        <v>26.154800000000002</v>
      </c>
      <c r="GL195">
        <v>35.279000000000003</v>
      </c>
      <c r="GM195">
        <v>100</v>
      </c>
      <c r="GN195">
        <v>4.2173400000000001</v>
      </c>
      <c r="GO195">
        <v>23.3093</v>
      </c>
      <c r="GP195">
        <v>800</v>
      </c>
      <c r="GQ195">
        <v>0</v>
      </c>
      <c r="GR195">
        <v>99.774600000000007</v>
      </c>
      <c r="GS195">
        <v>99.620099999999994</v>
      </c>
    </row>
    <row r="196" spans="1:201" x14ac:dyDescent="0.25">
      <c r="A196">
        <v>180</v>
      </c>
      <c r="B196">
        <v>1690384316</v>
      </c>
      <c r="C196">
        <v>1840.900000095367</v>
      </c>
      <c r="D196" t="s">
        <v>691</v>
      </c>
      <c r="E196" t="s">
        <v>692</v>
      </c>
      <c r="F196" t="s">
        <v>330</v>
      </c>
      <c r="H196">
        <v>1690384316</v>
      </c>
      <c r="I196">
        <f t="shared" si="60"/>
        <v>2.3571776665352534E-3</v>
      </c>
      <c r="J196">
        <f t="shared" si="61"/>
        <v>2.3571776665352533</v>
      </c>
      <c r="K196">
        <f t="shared" si="62"/>
        <v>37.371810866427865</v>
      </c>
      <c r="L196">
        <f t="shared" si="63"/>
        <v>382.98500000000001</v>
      </c>
      <c r="M196">
        <f t="shared" si="64"/>
        <v>103.54138952345447</v>
      </c>
      <c r="N196">
        <f t="shared" si="65"/>
        <v>10.227800337383666</v>
      </c>
      <c r="O196">
        <f t="shared" si="66"/>
        <v>37.831191277625003</v>
      </c>
      <c r="P196">
        <f t="shared" si="67"/>
        <v>0.22842136288297316</v>
      </c>
      <c r="Q196">
        <f t="shared" si="68"/>
        <v>2.1070162628703422</v>
      </c>
      <c r="R196">
        <f t="shared" si="69"/>
        <v>0.21550184299402475</v>
      </c>
      <c r="S196">
        <f t="shared" si="70"/>
        <v>0.13578848831612511</v>
      </c>
      <c r="T196">
        <f t="shared" si="71"/>
        <v>276.11414393399997</v>
      </c>
      <c r="U196">
        <f t="shared" si="72"/>
        <v>26.800196102030515</v>
      </c>
      <c r="V196">
        <f t="shared" si="73"/>
        <v>26.800196102030515</v>
      </c>
      <c r="W196">
        <f t="shared" si="74"/>
        <v>3.5373728409593035</v>
      </c>
      <c r="X196">
        <f t="shared" si="75"/>
        <v>76.357010347476177</v>
      </c>
      <c r="Y196">
        <f t="shared" si="76"/>
        <v>2.4898739028975001</v>
      </c>
      <c r="Z196">
        <f t="shared" si="77"/>
        <v>3.2608320985419486</v>
      </c>
      <c r="AA196">
        <f t="shared" si="78"/>
        <v>1.0474989380618034</v>
      </c>
      <c r="AB196">
        <f t="shared" si="79"/>
        <v>-103.95153509420467</v>
      </c>
      <c r="AC196">
        <f t="shared" si="80"/>
        <v>-156.39503399584675</v>
      </c>
      <c r="AD196">
        <f t="shared" si="81"/>
        <v>-15.877027968539018</v>
      </c>
      <c r="AE196">
        <f t="shared" si="82"/>
        <v>-0.1094531245904875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52328.931331937121</v>
      </c>
      <c r="AK196">
        <f t="shared" si="86"/>
        <v>1800</v>
      </c>
      <c r="AL196">
        <f t="shared" si="87"/>
        <v>1499.1137333999998</v>
      </c>
      <c r="AM196">
        <f t="shared" si="88"/>
        <v>0.83284096299999988</v>
      </c>
      <c r="AN196">
        <f t="shared" si="89"/>
        <v>0.15339674663</v>
      </c>
      <c r="AO196">
        <v>32.700000000000003</v>
      </c>
      <c r="AP196">
        <v>0.5</v>
      </c>
      <c r="AQ196" t="s">
        <v>331</v>
      </c>
      <c r="AR196">
        <v>2</v>
      </c>
      <c r="AS196">
        <v>1690384316</v>
      </c>
      <c r="AT196">
        <v>382.98500000000001</v>
      </c>
      <c r="AU196">
        <v>800.01800000000003</v>
      </c>
      <c r="AV196">
        <v>25.206299999999999</v>
      </c>
      <c r="AW196">
        <v>0.170292</v>
      </c>
      <c r="AX196">
        <v>382.95299999999997</v>
      </c>
      <c r="AY196">
        <v>25.031099999999999</v>
      </c>
      <c r="AZ196">
        <v>300.11500000000001</v>
      </c>
      <c r="BA196">
        <v>98.6798</v>
      </c>
      <c r="BB196">
        <v>0.100025</v>
      </c>
      <c r="BC196">
        <v>25.423400000000001</v>
      </c>
      <c r="BD196">
        <v>26.963899999999999</v>
      </c>
      <c r="BE196">
        <v>26.7469</v>
      </c>
      <c r="BF196">
        <v>0</v>
      </c>
      <c r="BG196">
        <v>0</v>
      </c>
      <c r="BH196">
        <v>9975</v>
      </c>
      <c r="BI196">
        <v>1060.54</v>
      </c>
      <c r="BJ196">
        <v>1.78711</v>
      </c>
      <c r="BK196">
        <v>-417.03300000000002</v>
      </c>
      <c r="BL196">
        <v>392.88799999999998</v>
      </c>
      <c r="BM196">
        <v>800.154</v>
      </c>
      <c r="BN196">
        <v>25.036100000000001</v>
      </c>
      <c r="BO196">
        <v>800.01800000000003</v>
      </c>
      <c r="BP196">
        <v>0.170292</v>
      </c>
      <c r="BQ196">
        <v>2.4873599999999998</v>
      </c>
      <c r="BR196">
        <v>1.6804400000000001E-2</v>
      </c>
      <c r="BS196">
        <v>20.943999999999999</v>
      </c>
      <c r="BT196">
        <v>-41.088500000000003</v>
      </c>
      <c r="BU196">
        <v>1800</v>
      </c>
      <c r="BV196">
        <v>0.91002099999999997</v>
      </c>
      <c r="BW196">
        <v>3.4000299999999997E-2</v>
      </c>
      <c r="BX196">
        <v>2.1992399999999999E-2</v>
      </c>
      <c r="BY196">
        <v>3.3986299999999997E-2</v>
      </c>
      <c r="BZ196">
        <v>26</v>
      </c>
      <c r="CA196">
        <v>33528.5</v>
      </c>
      <c r="CB196">
        <v>1690381960.0999999</v>
      </c>
      <c r="CC196" t="s">
        <v>332</v>
      </c>
      <c r="CD196">
        <v>1690381960.0999999</v>
      </c>
      <c r="CE196">
        <v>1690381958.0999999</v>
      </c>
      <c r="CF196">
        <v>4</v>
      </c>
      <c r="CG196">
        <v>9.9000000000000005E-2</v>
      </c>
      <c r="CH196">
        <v>1.2E-2</v>
      </c>
      <c r="CI196">
        <v>-0.26300000000000001</v>
      </c>
      <c r="CJ196">
        <v>0.127</v>
      </c>
      <c r="CK196">
        <v>798</v>
      </c>
      <c r="CL196">
        <v>18</v>
      </c>
      <c r="CM196">
        <v>0.02</v>
      </c>
      <c r="CN196">
        <v>0.12</v>
      </c>
      <c r="CO196">
        <v>-416.51497499999999</v>
      </c>
      <c r="CP196">
        <v>-3.1543001876159811</v>
      </c>
      <c r="CQ196">
        <v>0.31303917386646568</v>
      </c>
      <c r="CR196">
        <v>-1</v>
      </c>
      <c r="CS196">
        <v>25.023107499999998</v>
      </c>
      <c r="CT196">
        <v>2.504352720443926E-2</v>
      </c>
      <c r="CU196">
        <v>2.9747594440560979E-3</v>
      </c>
      <c r="CV196">
        <v>-1</v>
      </c>
      <c r="CW196">
        <v>0</v>
      </c>
      <c r="CX196">
        <v>0</v>
      </c>
      <c r="CY196" t="s">
        <v>333</v>
      </c>
      <c r="CZ196">
        <v>2.3647100000000001</v>
      </c>
      <c r="DA196">
        <v>2.7137899999999999</v>
      </c>
      <c r="DB196">
        <v>8.6226200000000003E-2</v>
      </c>
      <c r="DC196">
        <v>0.14546000000000001</v>
      </c>
      <c r="DD196">
        <v>0.117534</v>
      </c>
      <c r="DE196">
        <v>1.4277300000000001E-3</v>
      </c>
      <c r="DF196">
        <v>33378.300000000003</v>
      </c>
      <c r="DG196">
        <v>27554.3</v>
      </c>
      <c r="DH196">
        <v>31183.200000000001</v>
      </c>
      <c r="DI196">
        <v>28096.7</v>
      </c>
      <c r="DJ196">
        <v>37353</v>
      </c>
      <c r="DK196">
        <v>39902.1</v>
      </c>
      <c r="DL196">
        <v>44378.7</v>
      </c>
      <c r="DM196">
        <v>42583.3</v>
      </c>
      <c r="DN196">
        <v>1.4778199999999999</v>
      </c>
      <c r="DO196">
        <v>2.0306500000000001</v>
      </c>
      <c r="DP196">
        <v>0.15584400000000001</v>
      </c>
      <c r="DQ196">
        <v>0.14474999999999999</v>
      </c>
      <c r="DR196">
        <v>24.409800000000001</v>
      </c>
      <c r="DS196">
        <v>24.374099999999999</v>
      </c>
      <c r="DT196">
        <v>22.7</v>
      </c>
      <c r="DU196">
        <v>29.2</v>
      </c>
      <c r="DV196">
        <v>9.36008</v>
      </c>
      <c r="DW196">
        <v>61.393099999999997</v>
      </c>
      <c r="DX196">
        <v>37.8446</v>
      </c>
      <c r="DY196">
        <v>1</v>
      </c>
      <c r="DZ196">
        <v>-0.108547</v>
      </c>
      <c r="EA196">
        <v>0.29229300000000003</v>
      </c>
      <c r="EB196">
        <v>20.189399999999999</v>
      </c>
      <c r="EC196">
        <v>5.24125</v>
      </c>
      <c r="ED196">
        <v>12.039899999999999</v>
      </c>
      <c r="EE196">
        <v>5.0172999999999996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</v>
      </c>
      <c r="EL196">
        <v>1.8646199999999999</v>
      </c>
      <c r="EM196">
        <v>1.8692</v>
      </c>
      <c r="EN196">
        <v>1.8672200000000001</v>
      </c>
      <c r="EO196">
        <v>1.86338</v>
      </c>
      <c r="EP196">
        <v>1.8644700000000001</v>
      </c>
      <c r="EQ196">
        <v>1.8702000000000001</v>
      </c>
      <c r="ER196">
        <v>1.86937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3.2000000000000001E-2</v>
      </c>
      <c r="FG196">
        <v>0.17519999999999999</v>
      </c>
      <c r="FH196">
        <v>0.28746640474027818</v>
      </c>
      <c r="FI196">
        <v>-6.1462078757559423E-4</v>
      </c>
      <c r="FJ196">
        <v>-1.8861989874597051E-7</v>
      </c>
      <c r="FK196">
        <v>1.1980462299894961E-10</v>
      </c>
      <c r="FL196">
        <v>0.17524818673008091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39.299999999999997</v>
      </c>
      <c r="FU196">
        <v>39.299999999999997</v>
      </c>
      <c r="FV196">
        <v>1.7639199999999999</v>
      </c>
      <c r="FW196">
        <v>2.5793499999999998</v>
      </c>
      <c r="FX196">
        <v>1.5490699999999999</v>
      </c>
      <c r="FY196">
        <v>2.3339799999999999</v>
      </c>
      <c r="FZ196">
        <v>1.50024</v>
      </c>
      <c r="GA196">
        <v>2.33765</v>
      </c>
      <c r="GB196">
        <v>33.602899999999998</v>
      </c>
      <c r="GC196">
        <v>23.982399999999998</v>
      </c>
      <c r="GD196">
        <v>19</v>
      </c>
      <c r="GE196">
        <v>282.75900000000001</v>
      </c>
      <c r="GF196">
        <v>576.39300000000003</v>
      </c>
      <c r="GG196">
        <v>23.3476</v>
      </c>
      <c r="GH196">
        <v>26.017299999999999</v>
      </c>
      <c r="GI196">
        <v>29.9999</v>
      </c>
      <c r="GJ196">
        <v>26.1675</v>
      </c>
      <c r="GK196">
        <v>26.154800000000002</v>
      </c>
      <c r="GL196">
        <v>35.276499999999999</v>
      </c>
      <c r="GM196">
        <v>100</v>
      </c>
      <c r="GN196">
        <v>3.8453300000000001</v>
      </c>
      <c r="GO196">
        <v>23.3779</v>
      </c>
      <c r="GP196">
        <v>800</v>
      </c>
      <c r="GQ196">
        <v>0</v>
      </c>
      <c r="GR196">
        <v>99.775700000000001</v>
      </c>
      <c r="GS196">
        <v>99.618499999999997</v>
      </c>
    </row>
    <row r="197" spans="1:201" x14ac:dyDescent="0.25">
      <c r="A197">
        <v>181</v>
      </c>
      <c r="B197">
        <v>1690384326</v>
      </c>
      <c r="C197">
        <v>1850.900000095367</v>
      </c>
      <c r="D197" t="s">
        <v>693</v>
      </c>
      <c r="E197" t="s">
        <v>694</v>
      </c>
      <c r="F197" t="s">
        <v>330</v>
      </c>
      <c r="H197">
        <v>1690384326</v>
      </c>
      <c r="I197">
        <f t="shared" si="60"/>
        <v>2.361215615048309E-3</v>
      </c>
      <c r="J197">
        <f t="shared" si="61"/>
        <v>2.3612156150483088</v>
      </c>
      <c r="K197">
        <f t="shared" si="62"/>
        <v>37.414858348551761</v>
      </c>
      <c r="L197">
        <f t="shared" si="63"/>
        <v>382.47899999999998</v>
      </c>
      <c r="M197">
        <f t="shared" si="64"/>
        <v>104.17173901221889</v>
      </c>
      <c r="N197">
        <f t="shared" si="65"/>
        <v>10.289677516065924</v>
      </c>
      <c r="O197">
        <f t="shared" si="66"/>
        <v>37.779781771769706</v>
      </c>
      <c r="P197">
        <f t="shared" si="67"/>
        <v>0.22966086192283197</v>
      </c>
      <c r="Q197">
        <f t="shared" si="68"/>
        <v>2.1109282751564784</v>
      </c>
      <c r="R197">
        <f t="shared" si="69"/>
        <v>0.21662777218103282</v>
      </c>
      <c r="S197">
        <f t="shared" si="70"/>
        <v>0.13650165603201739</v>
      </c>
      <c r="T197">
        <f t="shared" si="71"/>
        <v>276.11413943399998</v>
      </c>
      <c r="U197">
        <f t="shared" si="72"/>
        <v>26.802348734053002</v>
      </c>
      <c r="V197">
        <f t="shared" si="73"/>
        <v>26.802348734053002</v>
      </c>
      <c r="W197">
        <f t="shared" si="74"/>
        <v>3.5378207613373465</v>
      </c>
      <c r="X197">
        <f t="shared" si="75"/>
        <v>76.458173533753964</v>
      </c>
      <c r="Y197">
        <f t="shared" si="76"/>
        <v>2.4940469930278506</v>
      </c>
      <c r="Z197">
        <f t="shared" si="77"/>
        <v>3.2619756368190043</v>
      </c>
      <c r="AA197">
        <f t="shared" si="78"/>
        <v>1.0437737683094959</v>
      </c>
      <c r="AB197">
        <f t="shared" si="79"/>
        <v>-104.12960862363043</v>
      </c>
      <c r="AC197">
        <f t="shared" si="80"/>
        <v>-156.25893952669801</v>
      </c>
      <c r="AD197">
        <f t="shared" si="81"/>
        <v>-15.834452786578773</v>
      </c>
      <c r="AE197">
        <f t="shared" si="82"/>
        <v>-0.1088615029072173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52499.033358952474</v>
      </c>
      <c r="AK197">
        <f t="shared" si="86"/>
        <v>1800</v>
      </c>
      <c r="AL197">
        <f t="shared" si="87"/>
        <v>1499.1133463999997</v>
      </c>
      <c r="AM197">
        <f t="shared" si="88"/>
        <v>0.83284074799999985</v>
      </c>
      <c r="AN197">
        <f t="shared" si="89"/>
        <v>0.15339674412999998</v>
      </c>
      <c r="AO197">
        <v>32.700000000000003</v>
      </c>
      <c r="AP197">
        <v>0.5</v>
      </c>
      <c r="AQ197" t="s">
        <v>331</v>
      </c>
      <c r="AR197">
        <v>2</v>
      </c>
      <c r="AS197">
        <v>1690384326</v>
      </c>
      <c r="AT197">
        <v>382.47899999999998</v>
      </c>
      <c r="AU197">
        <v>800.02800000000002</v>
      </c>
      <c r="AV197">
        <v>25.249500000000001</v>
      </c>
      <c r="AW197">
        <v>0.169125</v>
      </c>
      <c r="AX197">
        <v>382.44799999999998</v>
      </c>
      <c r="AY197">
        <v>25.074300000000001</v>
      </c>
      <c r="AZ197">
        <v>300.084</v>
      </c>
      <c r="BA197">
        <v>98.676100000000005</v>
      </c>
      <c r="BB197">
        <v>9.9994299999999994E-2</v>
      </c>
      <c r="BC197">
        <v>25.429300000000001</v>
      </c>
      <c r="BD197">
        <v>27.009799999999998</v>
      </c>
      <c r="BE197">
        <v>26.744900000000001</v>
      </c>
      <c r="BF197">
        <v>0</v>
      </c>
      <c r="BG197">
        <v>0</v>
      </c>
      <c r="BH197">
        <v>10009.4</v>
      </c>
      <c r="BI197">
        <v>1060.56</v>
      </c>
      <c r="BJ197">
        <v>1.7310399999999999</v>
      </c>
      <c r="BK197">
        <v>-417.54899999999998</v>
      </c>
      <c r="BL197">
        <v>392.387</v>
      </c>
      <c r="BM197">
        <v>800.16399999999999</v>
      </c>
      <c r="BN197">
        <v>25.080400000000001</v>
      </c>
      <c r="BO197">
        <v>800.02800000000002</v>
      </c>
      <c r="BP197">
        <v>0.169125</v>
      </c>
      <c r="BQ197">
        <v>2.49153</v>
      </c>
      <c r="BR197">
        <v>1.6688600000000001E-2</v>
      </c>
      <c r="BS197">
        <v>20.971299999999999</v>
      </c>
      <c r="BT197">
        <v>-41.154000000000003</v>
      </c>
      <c r="BU197">
        <v>1800</v>
      </c>
      <c r="BV197">
        <v>0.91001799999999999</v>
      </c>
      <c r="BW197">
        <v>3.3999500000000002E-2</v>
      </c>
      <c r="BX197">
        <v>2.1991900000000002E-2</v>
      </c>
      <c r="BY197">
        <v>3.3990699999999999E-2</v>
      </c>
      <c r="BZ197">
        <v>26</v>
      </c>
      <c r="CA197">
        <v>33528.5</v>
      </c>
      <c r="CB197">
        <v>1690381960.0999999</v>
      </c>
      <c r="CC197" t="s">
        <v>332</v>
      </c>
      <c r="CD197">
        <v>1690381960.0999999</v>
      </c>
      <c r="CE197">
        <v>1690381958.0999999</v>
      </c>
      <c r="CF197">
        <v>4</v>
      </c>
      <c r="CG197">
        <v>9.9000000000000005E-2</v>
      </c>
      <c r="CH197">
        <v>1.2E-2</v>
      </c>
      <c r="CI197">
        <v>-0.26300000000000001</v>
      </c>
      <c r="CJ197">
        <v>0.127</v>
      </c>
      <c r="CK197">
        <v>798</v>
      </c>
      <c r="CL197">
        <v>18</v>
      </c>
      <c r="CM197">
        <v>0.02</v>
      </c>
      <c r="CN197">
        <v>0.12</v>
      </c>
      <c r="CO197">
        <v>-417.04802439024382</v>
      </c>
      <c r="CP197">
        <v>-3.092257839720757</v>
      </c>
      <c r="CQ197">
        <v>0.31313096206717778</v>
      </c>
      <c r="CR197">
        <v>-1</v>
      </c>
      <c r="CS197">
        <v>25.04050975609756</v>
      </c>
      <c r="CT197">
        <v>0.17677421602782961</v>
      </c>
      <c r="CU197">
        <v>1.8282229208128879E-2</v>
      </c>
      <c r="CV197">
        <v>-1</v>
      </c>
      <c r="CW197">
        <v>0</v>
      </c>
      <c r="CX197">
        <v>0</v>
      </c>
      <c r="CY197" t="s">
        <v>333</v>
      </c>
      <c r="CZ197">
        <v>2.3646400000000001</v>
      </c>
      <c r="DA197">
        <v>2.7137899999999999</v>
      </c>
      <c r="DB197">
        <v>8.6135699999999996E-2</v>
      </c>
      <c r="DC197">
        <v>0.145456</v>
      </c>
      <c r="DD197">
        <v>0.117672</v>
      </c>
      <c r="DE197">
        <v>1.418E-3</v>
      </c>
      <c r="DF197">
        <v>33382</v>
      </c>
      <c r="DG197">
        <v>27554.799999999999</v>
      </c>
      <c r="DH197">
        <v>31183.599999999999</v>
      </c>
      <c r="DI197">
        <v>28097</v>
      </c>
      <c r="DJ197">
        <v>37347.599999999999</v>
      </c>
      <c r="DK197">
        <v>39902.800000000003</v>
      </c>
      <c r="DL197">
        <v>44379.3</v>
      </c>
      <c r="DM197">
        <v>42583.6</v>
      </c>
      <c r="DN197">
        <v>1.47777</v>
      </c>
      <c r="DO197">
        <v>2.0303800000000001</v>
      </c>
      <c r="DP197">
        <v>0.158776</v>
      </c>
      <c r="DQ197">
        <v>0.14482800000000001</v>
      </c>
      <c r="DR197">
        <v>24.407699999999998</v>
      </c>
      <c r="DS197">
        <v>24.370799999999999</v>
      </c>
      <c r="DT197">
        <v>22.6</v>
      </c>
      <c r="DU197">
        <v>29.2</v>
      </c>
      <c r="DV197">
        <v>9.3169799999999992</v>
      </c>
      <c r="DW197">
        <v>60.933100000000003</v>
      </c>
      <c r="DX197">
        <v>37.724400000000003</v>
      </c>
      <c r="DY197">
        <v>1</v>
      </c>
      <c r="DZ197">
        <v>-0.10854900000000001</v>
      </c>
      <c r="EA197">
        <v>0.32586300000000001</v>
      </c>
      <c r="EB197">
        <v>20.189499999999999</v>
      </c>
      <c r="EC197">
        <v>5.24125</v>
      </c>
      <c r="ED197">
        <v>12.039899999999999</v>
      </c>
      <c r="EE197">
        <v>5.0172999999999996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</v>
      </c>
      <c r="EL197">
        <v>1.8646199999999999</v>
      </c>
      <c r="EM197">
        <v>1.8692</v>
      </c>
      <c r="EN197">
        <v>1.8672299999999999</v>
      </c>
      <c r="EO197">
        <v>1.8633900000000001</v>
      </c>
      <c r="EP197">
        <v>1.86446</v>
      </c>
      <c r="EQ197">
        <v>1.87016</v>
      </c>
      <c r="ER197">
        <v>1.86937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3.1E-2</v>
      </c>
      <c r="FG197">
        <v>0.17519999999999999</v>
      </c>
      <c r="FH197">
        <v>0.28746640474027818</v>
      </c>
      <c r="FI197">
        <v>-6.1462078757559423E-4</v>
      </c>
      <c r="FJ197">
        <v>-1.8861989874597051E-7</v>
      </c>
      <c r="FK197">
        <v>1.1980462299894961E-10</v>
      </c>
      <c r="FL197">
        <v>0.17524818673008091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39.4</v>
      </c>
      <c r="FU197">
        <v>39.5</v>
      </c>
      <c r="FV197">
        <v>1.7639199999999999</v>
      </c>
      <c r="FW197">
        <v>2.5781200000000002</v>
      </c>
      <c r="FX197">
        <v>1.5490699999999999</v>
      </c>
      <c r="FY197">
        <v>2.3327599999999999</v>
      </c>
      <c r="FZ197">
        <v>1.50146</v>
      </c>
      <c r="GA197">
        <v>2.3889200000000002</v>
      </c>
      <c r="GB197">
        <v>33.580399999999997</v>
      </c>
      <c r="GC197">
        <v>23.982399999999998</v>
      </c>
      <c r="GD197">
        <v>19</v>
      </c>
      <c r="GE197">
        <v>282.73399999999998</v>
      </c>
      <c r="GF197">
        <v>576.14400000000001</v>
      </c>
      <c r="GG197">
        <v>23.4024</v>
      </c>
      <c r="GH197">
        <v>26.0153</v>
      </c>
      <c r="GI197">
        <v>30</v>
      </c>
      <c r="GJ197">
        <v>26.166499999999999</v>
      </c>
      <c r="GK197">
        <v>26.152699999999999</v>
      </c>
      <c r="GL197">
        <v>35.277299999999997</v>
      </c>
      <c r="GM197">
        <v>100</v>
      </c>
      <c r="GN197">
        <v>3.0749900000000001</v>
      </c>
      <c r="GO197">
        <v>23.4053</v>
      </c>
      <c r="GP197">
        <v>800</v>
      </c>
      <c r="GQ197">
        <v>0</v>
      </c>
      <c r="GR197">
        <v>99.776899999999998</v>
      </c>
      <c r="GS197">
        <v>99.619500000000002</v>
      </c>
    </row>
    <row r="198" spans="1:201" x14ac:dyDescent="0.25">
      <c r="A198">
        <v>182</v>
      </c>
      <c r="B198">
        <v>1690384336</v>
      </c>
      <c r="C198">
        <v>1860.900000095367</v>
      </c>
      <c r="D198" t="s">
        <v>695</v>
      </c>
      <c r="E198" t="s">
        <v>696</v>
      </c>
      <c r="F198" t="s">
        <v>330</v>
      </c>
      <c r="H198">
        <v>1690384336</v>
      </c>
      <c r="I198">
        <f t="shared" si="60"/>
        <v>2.3649008889328922E-3</v>
      </c>
      <c r="J198">
        <f t="shared" si="61"/>
        <v>2.3649008889328922</v>
      </c>
      <c r="K198">
        <f t="shared" si="62"/>
        <v>37.46070725960243</v>
      </c>
      <c r="L198">
        <f t="shared" si="63"/>
        <v>381.88799999999998</v>
      </c>
      <c r="M198">
        <f t="shared" si="64"/>
        <v>104.56414434567851</v>
      </c>
      <c r="N198">
        <f t="shared" si="65"/>
        <v>10.328191816050808</v>
      </c>
      <c r="O198">
        <f t="shared" si="66"/>
        <v>37.720506784895996</v>
      </c>
      <c r="P198">
        <f t="shared" si="67"/>
        <v>0.2308133782832236</v>
      </c>
      <c r="Q198">
        <f t="shared" si="68"/>
        <v>2.1110392345862339</v>
      </c>
      <c r="R198">
        <f t="shared" si="69"/>
        <v>0.2176538238894114</v>
      </c>
      <c r="S198">
        <f t="shared" si="70"/>
        <v>0.13715341121359073</v>
      </c>
      <c r="T198">
        <f t="shared" si="71"/>
        <v>276.11416944000007</v>
      </c>
      <c r="U198">
        <f t="shared" si="72"/>
        <v>26.804581433144069</v>
      </c>
      <c r="V198">
        <f t="shared" si="73"/>
        <v>26.804581433144069</v>
      </c>
      <c r="W198">
        <f t="shared" si="74"/>
        <v>3.5382853944091623</v>
      </c>
      <c r="X198">
        <f t="shared" si="75"/>
        <v>76.558671364086351</v>
      </c>
      <c r="Y198">
        <f t="shared" si="76"/>
        <v>2.4978595293154</v>
      </c>
      <c r="Z198">
        <f t="shared" si="77"/>
        <v>3.2626735610868312</v>
      </c>
      <c r="AA198">
        <f t="shared" si="78"/>
        <v>1.0404258650937623</v>
      </c>
      <c r="AB198">
        <f t="shared" si="79"/>
        <v>-104.29212920194054</v>
      </c>
      <c r="AC198">
        <f t="shared" si="80"/>
        <v>-156.11154017451318</v>
      </c>
      <c r="AD198">
        <f t="shared" si="81"/>
        <v>-15.81914714842657</v>
      </c>
      <c r="AE198">
        <f t="shared" si="82"/>
        <v>-0.10864708488023211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52503.211372371166</v>
      </c>
      <c r="AK198">
        <f t="shared" si="86"/>
        <v>1800</v>
      </c>
      <c r="AL198">
        <f t="shared" si="87"/>
        <v>1499.113656</v>
      </c>
      <c r="AM198">
        <f t="shared" si="88"/>
        <v>0.83284091999999998</v>
      </c>
      <c r="AN198">
        <f t="shared" si="89"/>
        <v>0.15339676080000003</v>
      </c>
      <c r="AO198">
        <v>32.700000000000003</v>
      </c>
      <c r="AP198">
        <v>0.5</v>
      </c>
      <c r="AQ198" t="s">
        <v>331</v>
      </c>
      <c r="AR198">
        <v>2</v>
      </c>
      <c r="AS198">
        <v>1690384336</v>
      </c>
      <c r="AT198">
        <v>381.88799999999998</v>
      </c>
      <c r="AU198">
        <v>799.96600000000001</v>
      </c>
      <c r="AV198">
        <v>25.288699999999999</v>
      </c>
      <c r="AW198">
        <v>0.168433</v>
      </c>
      <c r="AX198">
        <v>381.85599999999999</v>
      </c>
      <c r="AY198">
        <v>25.113399999999999</v>
      </c>
      <c r="AZ198">
        <v>300.06299999999999</v>
      </c>
      <c r="BA198">
        <v>98.6738</v>
      </c>
      <c r="BB198">
        <v>9.9942000000000003E-2</v>
      </c>
      <c r="BC198">
        <v>25.4329</v>
      </c>
      <c r="BD198">
        <v>26.997599999999998</v>
      </c>
      <c r="BE198">
        <v>26.733699999999999</v>
      </c>
      <c r="BF198">
        <v>0</v>
      </c>
      <c r="BG198">
        <v>0</v>
      </c>
      <c r="BH198">
        <v>10010.6</v>
      </c>
      <c r="BI198">
        <v>1060.57</v>
      </c>
      <c r="BJ198">
        <v>2.2636699999999998</v>
      </c>
      <c r="BK198">
        <v>-418.07799999999997</v>
      </c>
      <c r="BL198">
        <v>391.79599999999999</v>
      </c>
      <c r="BM198">
        <v>800.101</v>
      </c>
      <c r="BN198">
        <v>25.120200000000001</v>
      </c>
      <c r="BO198">
        <v>799.96600000000001</v>
      </c>
      <c r="BP198">
        <v>0.168433</v>
      </c>
      <c r="BQ198">
        <v>2.49533</v>
      </c>
      <c r="BR198">
        <v>1.66199E-2</v>
      </c>
      <c r="BS198">
        <v>20.996099999999998</v>
      </c>
      <c r="BT198">
        <v>-41.192999999999998</v>
      </c>
      <c r="BU198">
        <v>1800</v>
      </c>
      <c r="BV198">
        <v>0.91001900000000002</v>
      </c>
      <c r="BW198">
        <v>3.3999599999999998E-2</v>
      </c>
      <c r="BX198">
        <v>2.1992000000000001E-2</v>
      </c>
      <c r="BY198">
        <v>3.3989600000000002E-2</v>
      </c>
      <c r="BZ198">
        <v>26</v>
      </c>
      <c r="CA198">
        <v>33528.5</v>
      </c>
      <c r="CB198">
        <v>1690381960.0999999</v>
      </c>
      <c r="CC198" t="s">
        <v>332</v>
      </c>
      <c r="CD198">
        <v>1690381960.0999999</v>
      </c>
      <c r="CE198">
        <v>1690381958.0999999</v>
      </c>
      <c r="CF198">
        <v>4</v>
      </c>
      <c r="CG198">
        <v>9.9000000000000005E-2</v>
      </c>
      <c r="CH198">
        <v>1.2E-2</v>
      </c>
      <c r="CI198">
        <v>-0.26300000000000001</v>
      </c>
      <c r="CJ198">
        <v>0.127</v>
      </c>
      <c r="CK198">
        <v>798</v>
      </c>
      <c r="CL198">
        <v>18</v>
      </c>
      <c r="CM198">
        <v>0.02</v>
      </c>
      <c r="CN198">
        <v>0.12</v>
      </c>
      <c r="CO198">
        <v>-417.53847500000001</v>
      </c>
      <c r="CP198">
        <v>-3.035898686678411</v>
      </c>
      <c r="CQ198">
        <v>0.30229687291634622</v>
      </c>
      <c r="CR198">
        <v>-1</v>
      </c>
      <c r="CS198">
        <v>25.074817500000002</v>
      </c>
      <c r="CT198">
        <v>0.25207317073166691</v>
      </c>
      <c r="CU198">
        <v>2.428716623548325E-2</v>
      </c>
      <c r="CV198">
        <v>-1</v>
      </c>
      <c r="CW198">
        <v>0</v>
      </c>
      <c r="CX198">
        <v>0</v>
      </c>
      <c r="CY198" t="s">
        <v>333</v>
      </c>
      <c r="CZ198">
        <v>2.3645399999999999</v>
      </c>
      <c r="DA198">
        <v>2.71374</v>
      </c>
      <c r="DB198">
        <v>8.6031300000000005E-2</v>
      </c>
      <c r="DC198">
        <v>0.14544599999999999</v>
      </c>
      <c r="DD198">
        <v>0.117797</v>
      </c>
      <c r="DE198">
        <v>1.41223E-3</v>
      </c>
      <c r="DF198">
        <v>33386.1</v>
      </c>
      <c r="DG198">
        <v>27555.200000000001</v>
      </c>
      <c r="DH198">
        <v>31183.8</v>
      </c>
      <c r="DI198">
        <v>28097.1</v>
      </c>
      <c r="DJ198">
        <v>37342.5</v>
      </c>
      <c r="DK198">
        <v>39903.1</v>
      </c>
      <c r="DL198">
        <v>44379.7</v>
      </c>
      <c r="DM198">
        <v>42583.7</v>
      </c>
      <c r="DN198">
        <v>1.4776</v>
      </c>
      <c r="DO198">
        <v>2.0310199999999998</v>
      </c>
      <c r="DP198">
        <v>0.15815000000000001</v>
      </c>
      <c r="DQ198">
        <v>0.144318</v>
      </c>
      <c r="DR198">
        <v>24.4057</v>
      </c>
      <c r="DS198">
        <v>24.367999999999999</v>
      </c>
      <c r="DT198">
        <v>22.5</v>
      </c>
      <c r="DU198">
        <v>29.2</v>
      </c>
      <c r="DV198">
        <v>9.2760800000000003</v>
      </c>
      <c r="DW198">
        <v>60.833100000000002</v>
      </c>
      <c r="DX198">
        <v>36.995199999999997</v>
      </c>
      <c r="DY198">
        <v>1</v>
      </c>
      <c r="DZ198">
        <v>-0.10875</v>
      </c>
      <c r="EA198">
        <v>0.38629599999999997</v>
      </c>
      <c r="EB198">
        <v>20.1891</v>
      </c>
      <c r="EC198">
        <v>5.24125</v>
      </c>
      <c r="ED198">
        <v>12.039899999999999</v>
      </c>
      <c r="EE198">
        <v>5.0172499999999998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</v>
      </c>
      <c r="EL198">
        <v>1.8646199999999999</v>
      </c>
      <c r="EM198">
        <v>1.8692</v>
      </c>
      <c r="EN198">
        <v>1.8672200000000001</v>
      </c>
      <c r="EO198">
        <v>1.86338</v>
      </c>
      <c r="EP198">
        <v>1.8644700000000001</v>
      </c>
      <c r="EQ198">
        <v>1.87019</v>
      </c>
      <c r="ER198">
        <v>1.86937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3.2000000000000001E-2</v>
      </c>
      <c r="FG198">
        <v>0.17530000000000001</v>
      </c>
      <c r="FH198">
        <v>0.28746640474027818</v>
      </c>
      <c r="FI198">
        <v>-6.1462078757559423E-4</v>
      </c>
      <c r="FJ198">
        <v>-1.8861989874597051E-7</v>
      </c>
      <c r="FK198">
        <v>1.1980462299894961E-10</v>
      </c>
      <c r="FL198">
        <v>0.17524818673008091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39.6</v>
      </c>
      <c r="FU198">
        <v>39.6</v>
      </c>
      <c r="FV198">
        <v>1.7651399999999999</v>
      </c>
      <c r="FW198">
        <v>2.5744600000000002</v>
      </c>
      <c r="FX198">
        <v>1.5490699999999999</v>
      </c>
      <c r="FY198">
        <v>2.3327599999999999</v>
      </c>
      <c r="FZ198">
        <v>1.50146</v>
      </c>
      <c r="GA198">
        <v>2.3596200000000001</v>
      </c>
      <c r="GB198">
        <v>33.602899999999998</v>
      </c>
      <c r="GC198">
        <v>23.982399999999998</v>
      </c>
      <c r="GD198">
        <v>19</v>
      </c>
      <c r="GE198">
        <v>282.654</v>
      </c>
      <c r="GF198">
        <v>576.66</v>
      </c>
      <c r="GG198">
        <v>23.414400000000001</v>
      </c>
      <c r="GH198">
        <v>26.0151</v>
      </c>
      <c r="GI198">
        <v>30</v>
      </c>
      <c r="GJ198">
        <v>26.165299999999998</v>
      </c>
      <c r="GK198">
        <v>26.151299999999999</v>
      </c>
      <c r="GL198">
        <v>35.279299999999999</v>
      </c>
      <c r="GM198">
        <v>100</v>
      </c>
      <c r="GN198">
        <v>2.6924800000000002</v>
      </c>
      <c r="GO198">
        <v>23.4209</v>
      </c>
      <c r="GP198">
        <v>800</v>
      </c>
      <c r="GQ198">
        <v>0</v>
      </c>
      <c r="GR198">
        <v>99.777799999999999</v>
      </c>
      <c r="GS198">
        <v>99.619699999999995</v>
      </c>
    </row>
    <row r="199" spans="1:201" x14ac:dyDescent="0.25">
      <c r="A199">
        <v>183</v>
      </c>
      <c r="B199">
        <v>1690384346</v>
      </c>
      <c r="C199">
        <v>1870.900000095367</v>
      </c>
      <c r="D199" t="s">
        <v>697</v>
      </c>
      <c r="E199" t="s">
        <v>698</v>
      </c>
      <c r="F199" t="s">
        <v>330</v>
      </c>
      <c r="H199">
        <v>1690384346</v>
      </c>
      <c r="I199">
        <f t="shared" si="60"/>
        <v>2.367613285590737E-3</v>
      </c>
      <c r="J199">
        <f t="shared" si="61"/>
        <v>2.3676132855907368</v>
      </c>
      <c r="K199">
        <f t="shared" si="62"/>
        <v>37.512900539734339</v>
      </c>
      <c r="L199">
        <f t="shared" si="63"/>
        <v>381.45</v>
      </c>
      <c r="M199">
        <f t="shared" si="64"/>
        <v>104.34221548866364</v>
      </c>
      <c r="N199">
        <f t="shared" si="65"/>
        <v>10.30668593703445</v>
      </c>
      <c r="O199">
        <f t="shared" si="66"/>
        <v>37.678760531100004</v>
      </c>
      <c r="P199">
        <f t="shared" si="67"/>
        <v>0.23136683211873771</v>
      </c>
      <c r="Q199">
        <f t="shared" si="68"/>
        <v>2.105480055061034</v>
      </c>
      <c r="R199">
        <f t="shared" si="69"/>
        <v>0.21811327219471849</v>
      </c>
      <c r="S199">
        <f t="shared" si="70"/>
        <v>0.13744826641595104</v>
      </c>
      <c r="T199">
        <f t="shared" si="71"/>
        <v>276.11423416800005</v>
      </c>
      <c r="U199">
        <f t="shared" si="72"/>
        <v>26.811608551988957</v>
      </c>
      <c r="V199">
        <f t="shared" si="73"/>
        <v>26.811608551988957</v>
      </c>
      <c r="W199">
        <f t="shared" si="74"/>
        <v>3.5397481119615515</v>
      </c>
      <c r="X199">
        <f t="shared" si="75"/>
        <v>76.612104721569523</v>
      </c>
      <c r="Y199">
        <f t="shared" si="76"/>
        <v>2.5003011091032006</v>
      </c>
      <c r="Z199">
        <f t="shared" si="77"/>
        <v>3.2635849363361258</v>
      </c>
      <c r="AA199">
        <f t="shared" si="78"/>
        <v>1.0394470028583509</v>
      </c>
      <c r="AB199">
        <f t="shared" si="79"/>
        <v>-104.4117458945515</v>
      </c>
      <c r="AC199">
        <f t="shared" si="80"/>
        <v>-155.96459110263703</v>
      </c>
      <c r="AD199">
        <f t="shared" si="81"/>
        <v>-15.846917212518148</v>
      </c>
      <c r="AE199">
        <f t="shared" si="82"/>
        <v>-0.10902004170660007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52259.263850150441</v>
      </c>
      <c r="AK199">
        <f t="shared" si="86"/>
        <v>1800</v>
      </c>
      <c r="AL199">
        <f t="shared" si="87"/>
        <v>1499.1134148000001</v>
      </c>
      <c r="AM199">
        <f t="shared" si="88"/>
        <v>0.832840786</v>
      </c>
      <c r="AN199">
        <f t="shared" si="89"/>
        <v>0.15339679676000004</v>
      </c>
      <c r="AO199">
        <v>32.700000000000003</v>
      </c>
      <c r="AP199">
        <v>0.5</v>
      </c>
      <c r="AQ199" t="s">
        <v>331</v>
      </c>
      <c r="AR199">
        <v>2</v>
      </c>
      <c r="AS199">
        <v>1690384346</v>
      </c>
      <c r="AT199">
        <v>381.45</v>
      </c>
      <c r="AU199">
        <v>800.03399999999999</v>
      </c>
      <c r="AV199">
        <v>25.3124</v>
      </c>
      <c r="AW199">
        <v>0.16770399999999999</v>
      </c>
      <c r="AX199">
        <v>381.41800000000001</v>
      </c>
      <c r="AY199">
        <v>25.1372</v>
      </c>
      <c r="AZ199">
        <v>300.108</v>
      </c>
      <c r="BA199">
        <v>98.677700000000002</v>
      </c>
      <c r="BB199">
        <v>0.100018</v>
      </c>
      <c r="BC199">
        <v>25.4376</v>
      </c>
      <c r="BD199">
        <v>26.9772</v>
      </c>
      <c r="BE199">
        <v>26.735199999999999</v>
      </c>
      <c r="BF199">
        <v>0</v>
      </c>
      <c r="BG199">
        <v>0</v>
      </c>
      <c r="BH199">
        <v>9961.8799999999992</v>
      </c>
      <c r="BI199">
        <v>1060.7</v>
      </c>
      <c r="BJ199">
        <v>1.94129</v>
      </c>
      <c r="BK199">
        <v>-418.584</v>
      </c>
      <c r="BL199">
        <v>391.35599999999999</v>
      </c>
      <c r="BM199">
        <v>800.16800000000001</v>
      </c>
      <c r="BN199">
        <v>25.1447</v>
      </c>
      <c r="BO199">
        <v>800.03399999999999</v>
      </c>
      <c r="BP199">
        <v>0.16770399999999999</v>
      </c>
      <c r="BQ199">
        <v>2.49777</v>
      </c>
      <c r="BR199">
        <v>1.65486E-2</v>
      </c>
      <c r="BS199">
        <v>21.012</v>
      </c>
      <c r="BT199">
        <v>-41.233699999999999</v>
      </c>
      <c r="BU199">
        <v>1800</v>
      </c>
      <c r="BV199">
        <v>0.91001600000000005</v>
      </c>
      <c r="BW199">
        <v>3.3999399999999999E-2</v>
      </c>
      <c r="BX199">
        <v>2.1991799999999999E-2</v>
      </c>
      <c r="BY199">
        <v>3.3993200000000001E-2</v>
      </c>
      <c r="BZ199">
        <v>26</v>
      </c>
      <c r="CA199">
        <v>33528.6</v>
      </c>
      <c r="CB199">
        <v>1690381960.0999999</v>
      </c>
      <c r="CC199" t="s">
        <v>332</v>
      </c>
      <c r="CD199">
        <v>1690381960.0999999</v>
      </c>
      <c r="CE199">
        <v>1690381958.0999999</v>
      </c>
      <c r="CF199">
        <v>4</v>
      </c>
      <c r="CG199">
        <v>9.9000000000000005E-2</v>
      </c>
      <c r="CH199">
        <v>1.2E-2</v>
      </c>
      <c r="CI199">
        <v>-0.26300000000000001</v>
      </c>
      <c r="CJ199">
        <v>0.127</v>
      </c>
      <c r="CK199">
        <v>798</v>
      </c>
      <c r="CL199">
        <v>18</v>
      </c>
      <c r="CM199">
        <v>0.02</v>
      </c>
      <c r="CN199">
        <v>0.12</v>
      </c>
      <c r="CO199">
        <v>-418.035325</v>
      </c>
      <c r="CP199">
        <v>-3.219996247654112</v>
      </c>
      <c r="CQ199">
        <v>0.31533342571792222</v>
      </c>
      <c r="CR199">
        <v>-1</v>
      </c>
      <c r="CS199">
        <v>25.1125975</v>
      </c>
      <c r="CT199">
        <v>0.20547354596623399</v>
      </c>
      <c r="CU199">
        <v>1.9889299730005468E-2</v>
      </c>
      <c r="CV199">
        <v>-1</v>
      </c>
      <c r="CW199">
        <v>0</v>
      </c>
      <c r="CX199">
        <v>0</v>
      </c>
      <c r="CY199" t="s">
        <v>333</v>
      </c>
      <c r="CZ199">
        <v>2.3647</v>
      </c>
      <c r="DA199">
        <v>2.7137699999999998</v>
      </c>
      <c r="DB199">
        <v>8.5958800000000002E-2</v>
      </c>
      <c r="DC199">
        <v>0.14546000000000001</v>
      </c>
      <c r="DD199">
        <v>0.11788</v>
      </c>
      <c r="DE199">
        <v>1.40624E-3</v>
      </c>
      <c r="DF199">
        <v>33388.300000000003</v>
      </c>
      <c r="DG199">
        <v>27554.799999999999</v>
      </c>
      <c r="DH199">
        <v>31183.5</v>
      </c>
      <c r="DI199">
        <v>28097.1</v>
      </c>
      <c r="DJ199">
        <v>37338.300000000003</v>
      </c>
      <c r="DK199">
        <v>39903.300000000003</v>
      </c>
      <c r="DL199">
        <v>44378.9</v>
      </c>
      <c r="DM199">
        <v>42583.7</v>
      </c>
      <c r="DN199">
        <v>1.47793</v>
      </c>
      <c r="DO199">
        <v>2.0306999999999999</v>
      </c>
      <c r="DP199">
        <v>0.157032</v>
      </c>
      <c r="DQ199">
        <v>0.14461199999999999</v>
      </c>
      <c r="DR199">
        <v>24.403600000000001</v>
      </c>
      <c r="DS199">
        <v>24.364599999999999</v>
      </c>
      <c r="DT199">
        <v>22.4</v>
      </c>
      <c r="DU199">
        <v>29.2</v>
      </c>
      <c r="DV199">
        <v>9.2367100000000004</v>
      </c>
      <c r="DW199">
        <v>61.063099999999999</v>
      </c>
      <c r="DX199">
        <v>36.847000000000001</v>
      </c>
      <c r="DY199">
        <v>1</v>
      </c>
      <c r="DZ199">
        <v>-0.108519</v>
      </c>
      <c r="EA199">
        <v>0.47705599999999998</v>
      </c>
      <c r="EB199">
        <v>20.1889</v>
      </c>
      <c r="EC199">
        <v>5.24125</v>
      </c>
      <c r="ED199">
        <v>12.039899999999999</v>
      </c>
      <c r="EE199">
        <v>5.0174000000000003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</v>
      </c>
      <c r="EL199">
        <v>1.8646199999999999</v>
      </c>
      <c r="EM199">
        <v>1.8692</v>
      </c>
      <c r="EN199">
        <v>1.8672200000000001</v>
      </c>
      <c r="EO199">
        <v>1.86338</v>
      </c>
      <c r="EP199">
        <v>1.8644700000000001</v>
      </c>
      <c r="EQ199">
        <v>1.87018</v>
      </c>
      <c r="ER199">
        <v>1.8694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3.2000000000000001E-2</v>
      </c>
      <c r="FG199">
        <v>0.17519999999999999</v>
      </c>
      <c r="FH199">
        <v>0.28746640474027818</v>
      </c>
      <c r="FI199">
        <v>-6.1462078757559423E-4</v>
      </c>
      <c r="FJ199">
        <v>-1.8861989874597051E-7</v>
      </c>
      <c r="FK199">
        <v>1.1980462299894961E-10</v>
      </c>
      <c r="FL199">
        <v>0.17524818673008091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39.799999999999997</v>
      </c>
      <c r="FU199">
        <v>39.799999999999997</v>
      </c>
      <c r="FV199">
        <v>1.7639199999999999</v>
      </c>
      <c r="FW199">
        <v>2.5830099999999998</v>
      </c>
      <c r="FX199">
        <v>1.5490699999999999</v>
      </c>
      <c r="FY199">
        <v>2.3339799999999999</v>
      </c>
      <c r="FZ199">
        <v>1.50146</v>
      </c>
      <c r="GA199">
        <v>2.32666</v>
      </c>
      <c r="GB199">
        <v>33.580399999999997</v>
      </c>
      <c r="GC199">
        <v>23.973700000000001</v>
      </c>
      <c r="GD199">
        <v>19</v>
      </c>
      <c r="GE199">
        <v>282.78699999999998</v>
      </c>
      <c r="GF199">
        <v>576.38499999999999</v>
      </c>
      <c r="GG199">
        <v>23.401399999999999</v>
      </c>
      <c r="GH199">
        <v>26.013100000000001</v>
      </c>
      <c r="GI199">
        <v>30</v>
      </c>
      <c r="GJ199">
        <v>26.163799999999998</v>
      </c>
      <c r="GK199">
        <v>26.150500000000001</v>
      </c>
      <c r="GL199">
        <v>35.276400000000002</v>
      </c>
      <c r="GM199">
        <v>100</v>
      </c>
      <c r="GN199">
        <v>2.3037100000000001</v>
      </c>
      <c r="GO199">
        <v>23.3996</v>
      </c>
      <c r="GP199">
        <v>800</v>
      </c>
      <c r="GQ199">
        <v>0</v>
      </c>
      <c r="GR199">
        <v>99.776300000000006</v>
      </c>
      <c r="GS199">
        <v>99.619699999999995</v>
      </c>
    </row>
    <row r="200" spans="1:201" x14ac:dyDescent="0.25">
      <c r="A200">
        <v>184</v>
      </c>
      <c r="B200">
        <v>1690384356</v>
      </c>
      <c r="C200">
        <v>1880.900000095367</v>
      </c>
      <c r="D200" t="s">
        <v>699</v>
      </c>
      <c r="E200" t="s">
        <v>700</v>
      </c>
      <c r="F200" t="s">
        <v>330</v>
      </c>
      <c r="H200">
        <v>1690384356</v>
      </c>
      <c r="I200">
        <f t="shared" si="60"/>
        <v>2.3695689848152548E-3</v>
      </c>
      <c r="J200">
        <f t="shared" si="61"/>
        <v>2.3695689848152548</v>
      </c>
      <c r="K200">
        <f t="shared" si="62"/>
        <v>37.554038249951176</v>
      </c>
      <c r="L200">
        <f t="shared" si="63"/>
        <v>381.048</v>
      </c>
      <c r="M200">
        <f t="shared" si="64"/>
        <v>104.32606593299252</v>
      </c>
      <c r="N200">
        <f t="shared" si="65"/>
        <v>10.305002982557093</v>
      </c>
      <c r="O200">
        <f t="shared" si="66"/>
        <v>37.638731427095998</v>
      </c>
      <c r="P200">
        <f t="shared" si="67"/>
        <v>0.23196238649474074</v>
      </c>
      <c r="Q200">
        <f t="shared" si="68"/>
        <v>2.1066934175005292</v>
      </c>
      <c r="R200">
        <f t="shared" si="69"/>
        <v>0.21864981477022866</v>
      </c>
      <c r="S200">
        <f t="shared" si="70"/>
        <v>0.13778850615814417</v>
      </c>
      <c r="T200">
        <f t="shared" si="71"/>
        <v>276.11404304400003</v>
      </c>
      <c r="U200">
        <f t="shared" si="72"/>
        <v>26.810597841892591</v>
      </c>
      <c r="V200">
        <f t="shared" si="73"/>
        <v>26.810597841892591</v>
      </c>
      <c r="W200">
        <f t="shared" si="74"/>
        <v>3.5395376968828667</v>
      </c>
      <c r="X200">
        <f t="shared" si="75"/>
        <v>76.656240566092251</v>
      </c>
      <c r="Y200">
        <f t="shared" si="76"/>
        <v>2.5018009852806</v>
      </c>
      <c r="Z200">
        <f t="shared" si="77"/>
        <v>3.2636625104561086</v>
      </c>
      <c r="AA200">
        <f t="shared" si="78"/>
        <v>1.0377367116022667</v>
      </c>
      <c r="AB200">
        <f t="shared" si="79"/>
        <v>-104.49799223035274</v>
      </c>
      <c r="AC200">
        <f t="shared" si="80"/>
        <v>-155.89424870331166</v>
      </c>
      <c r="AD200">
        <f t="shared" si="81"/>
        <v>-15.830598351354833</v>
      </c>
      <c r="AE200">
        <f t="shared" si="82"/>
        <v>-0.10879624101917784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52312.194193948366</v>
      </c>
      <c r="AK200">
        <f t="shared" si="86"/>
        <v>1800</v>
      </c>
      <c r="AL200">
        <f t="shared" si="87"/>
        <v>1499.1131033999998</v>
      </c>
      <c r="AM200">
        <f t="shared" si="88"/>
        <v>0.8328406129999999</v>
      </c>
      <c r="AN200">
        <f t="shared" si="89"/>
        <v>0.15339669058000002</v>
      </c>
      <c r="AO200">
        <v>32.700000000000003</v>
      </c>
      <c r="AP200">
        <v>0.5</v>
      </c>
      <c r="AQ200" t="s">
        <v>331</v>
      </c>
      <c r="AR200">
        <v>2</v>
      </c>
      <c r="AS200">
        <v>1690384356</v>
      </c>
      <c r="AT200">
        <v>381.048</v>
      </c>
      <c r="AU200">
        <v>800.00400000000002</v>
      </c>
      <c r="AV200">
        <v>25.3278</v>
      </c>
      <c r="AW200">
        <v>0.16717499999999999</v>
      </c>
      <c r="AX200">
        <v>381.01499999999999</v>
      </c>
      <c r="AY200">
        <v>25.1525</v>
      </c>
      <c r="AZ200">
        <v>300.161</v>
      </c>
      <c r="BA200">
        <v>98.6768</v>
      </c>
      <c r="BB200">
        <v>0.100077</v>
      </c>
      <c r="BC200">
        <v>25.437999999999999</v>
      </c>
      <c r="BD200">
        <v>27.000399999999999</v>
      </c>
      <c r="BE200">
        <v>26.7516</v>
      </c>
      <c r="BF200">
        <v>0</v>
      </c>
      <c r="BG200">
        <v>0</v>
      </c>
      <c r="BH200">
        <v>9972.5</v>
      </c>
      <c r="BI200">
        <v>1060.75</v>
      </c>
      <c r="BJ200">
        <v>1.68198</v>
      </c>
      <c r="BK200">
        <v>-418.95600000000002</v>
      </c>
      <c r="BL200">
        <v>390.95</v>
      </c>
      <c r="BM200">
        <v>800.13800000000003</v>
      </c>
      <c r="BN200">
        <v>25.160599999999999</v>
      </c>
      <c r="BO200">
        <v>800.00400000000002</v>
      </c>
      <c r="BP200">
        <v>0.16717499999999999</v>
      </c>
      <c r="BQ200">
        <v>2.49926</v>
      </c>
      <c r="BR200">
        <v>1.6496299999999998E-2</v>
      </c>
      <c r="BS200">
        <v>21.021699999999999</v>
      </c>
      <c r="BT200">
        <v>-41.263599999999997</v>
      </c>
      <c r="BU200">
        <v>1800</v>
      </c>
      <c r="BV200">
        <v>0.91001900000000002</v>
      </c>
      <c r="BW200">
        <v>3.3999500000000002E-2</v>
      </c>
      <c r="BX200">
        <v>2.1991900000000002E-2</v>
      </c>
      <c r="BY200">
        <v>3.3989400000000003E-2</v>
      </c>
      <c r="BZ200">
        <v>26</v>
      </c>
      <c r="CA200">
        <v>33528.6</v>
      </c>
      <c r="CB200">
        <v>1690381960.0999999</v>
      </c>
      <c r="CC200" t="s">
        <v>332</v>
      </c>
      <c r="CD200">
        <v>1690381960.0999999</v>
      </c>
      <c r="CE200">
        <v>1690381958.0999999</v>
      </c>
      <c r="CF200">
        <v>4</v>
      </c>
      <c r="CG200">
        <v>9.9000000000000005E-2</v>
      </c>
      <c r="CH200">
        <v>1.2E-2</v>
      </c>
      <c r="CI200">
        <v>-0.26300000000000001</v>
      </c>
      <c r="CJ200">
        <v>0.127</v>
      </c>
      <c r="CK200">
        <v>798</v>
      </c>
      <c r="CL200">
        <v>18</v>
      </c>
      <c r="CM200">
        <v>0.02</v>
      </c>
      <c r="CN200">
        <v>0.12</v>
      </c>
      <c r="CO200">
        <v>-418.50341463414628</v>
      </c>
      <c r="CP200">
        <v>-2.3697909407667219</v>
      </c>
      <c r="CQ200">
        <v>0.23869247238069141</v>
      </c>
      <c r="CR200">
        <v>-1</v>
      </c>
      <c r="CS200">
        <v>25.139539024390238</v>
      </c>
      <c r="CT200">
        <v>0.1110250871079855</v>
      </c>
      <c r="CU200">
        <v>1.12484986108994E-2</v>
      </c>
      <c r="CV200">
        <v>-1</v>
      </c>
      <c r="CW200">
        <v>0</v>
      </c>
      <c r="CX200">
        <v>0</v>
      </c>
      <c r="CY200" t="s">
        <v>333</v>
      </c>
      <c r="CZ200">
        <v>2.3648699999999998</v>
      </c>
      <c r="DA200">
        <v>2.7138399999999998</v>
      </c>
      <c r="DB200">
        <v>8.5888099999999995E-2</v>
      </c>
      <c r="DC200">
        <v>0.145456</v>
      </c>
      <c r="DD200">
        <v>0.11792900000000001</v>
      </c>
      <c r="DE200">
        <v>1.4018500000000001E-3</v>
      </c>
      <c r="DF200">
        <v>33391</v>
      </c>
      <c r="DG200">
        <v>27555.1</v>
      </c>
      <c r="DH200">
        <v>31183.599999999999</v>
      </c>
      <c r="DI200">
        <v>28097.3</v>
      </c>
      <c r="DJ200">
        <v>37336.6</v>
      </c>
      <c r="DK200">
        <v>39904</v>
      </c>
      <c r="DL200">
        <v>44379.4</v>
      </c>
      <c r="DM200">
        <v>42584.2</v>
      </c>
      <c r="DN200">
        <v>1.4781500000000001</v>
      </c>
      <c r="DO200">
        <v>2.0306700000000002</v>
      </c>
      <c r="DP200">
        <v>0.15857399999999999</v>
      </c>
      <c r="DQ200">
        <v>0.14573700000000001</v>
      </c>
      <c r="DR200">
        <v>24.401599999999998</v>
      </c>
      <c r="DS200">
        <v>24.362500000000001</v>
      </c>
      <c r="DT200">
        <v>22.3</v>
      </c>
      <c r="DU200">
        <v>29.2</v>
      </c>
      <c r="DV200">
        <v>9.1943800000000007</v>
      </c>
      <c r="DW200">
        <v>61.113100000000003</v>
      </c>
      <c r="DX200">
        <v>37.1554</v>
      </c>
      <c r="DY200">
        <v>1</v>
      </c>
      <c r="DZ200">
        <v>-0.108598</v>
      </c>
      <c r="EA200">
        <v>0.35534900000000003</v>
      </c>
      <c r="EB200">
        <v>20.189499999999999</v>
      </c>
      <c r="EC200">
        <v>5.2413999999999996</v>
      </c>
      <c r="ED200">
        <v>12.039899999999999</v>
      </c>
      <c r="EE200">
        <v>5.0175000000000001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</v>
      </c>
      <c r="EL200">
        <v>1.8646199999999999</v>
      </c>
      <c r="EM200">
        <v>1.8692</v>
      </c>
      <c r="EN200">
        <v>1.8672299999999999</v>
      </c>
      <c r="EO200">
        <v>1.8633999999999999</v>
      </c>
      <c r="EP200">
        <v>1.8644700000000001</v>
      </c>
      <c r="EQ200">
        <v>1.87018</v>
      </c>
      <c r="ER200">
        <v>1.86941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3.3000000000000002E-2</v>
      </c>
      <c r="FG200">
        <v>0.17530000000000001</v>
      </c>
      <c r="FH200">
        <v>0.28746640474027818</v>
      </c>
      <c r="FI200">
        <v>-6.1462078757559423E-4</v>
      </c>
      <c r="FJ200">
        <v>-1.8861989874597051E-7</v>
      </c>
      <c r="FK200">
        <v>1.1980462299894961E-10</v>
      </c>
      <c r="FL200">
        <v>0.17524818673008091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39.9</v>
      </c>
      <c r="FU200">
        <v>40</v>
      </c>
      <c r="FV200">
        <v>1.7651399999999999</v>
      </c>
      <c r="FW200">
        <v>2.5842299999999998</v>
      </c>
      <c r="FX200">
        <v>1.5490699999999999</v>
      </c>
      <c r="FY200">
        <v>2.3339799999999999</v>
      </c>
      <c r="FZ200">
        <v>1.50146</v>
      </c>
      <c r="GA200">
        <v>2.323</v>
      </c>
      <c r="GB200">
        <v>33.602899999999998</v>
      </c>
      <c r="GC200">
        <v>23.973700000000001</v>
      </c>
      <c r="GD200">
        <v>19</v>
      </c>
      <c r="GE200">
        <v>282.87900000000002</v>
      </c>
      <c r="GF200">
        <v>576.34</v>
      </c>
      <c r="GG200">
        <v>23.413</v>
      </c>
      <c r="GH200">
        <v>26.013000000000002</v>
      </c>
      <c r="GI200">
        <v>30</v>
      </c>
      <c r="GJ200">
        <v>26.1631</v>
      </c>
      <c r="GK200">
        <v>26.148299999999999</v>
      </c>
      <c r="GL200">
        <v>35.279800000000002</v>
      </c>
      <c r="GM200">
        <v>100</v>
      </c>
      <c r="GN200">
        <v>1.9246700000000001</v>
      </c>
      <c r="GO200">
        <v>23.421700000000001</v>
      </c>
      <c r="GP200">
        <v>800</v>
      </c>
      <c r="GQ200">
        <v>0</v>
      </c>
      <c r="GR200">
        <v>99.777100000000004</v>
      </c>
      <c r="GS200">
        <v>99.620800000000003</v>
      </c>
    </row>
    <row r="201" spans="1:201" x14ac:dyDescent="0.25">
      <c r="A201">
        <v>185</v>
      </c>
      <c r="B201">
        <v>1690384366</v>
      </c>
      <c r="C201">
        <v>1890.900000095367</v>
      </c>
      <c r="D201" t="s">
        <v>701</v>
      </c>
      <c r="E201" t="s">
        <v>702</v>
      </c>
      <c r="F201" t="s">
        <v>330</v>
      </c>
      <c r="H201">
        <v>1690384366</v>
      </c>
      <c r="I201">
        <f t="shared" si="60"/>
        <v>2.3726968513111367E-3</v>
      </c>
      <c r="J201">
        <f t="shared" si="61"/>
        <v>2.3726968513111366</v>
      </c>
      <c r="K201">
        <f t="shared" si="62"/>
        <v>37.604059102271655</v>
      </c>
      <c r="L201">
        <f t="shared" si="63"/>
        <v>380.51499999999999</v>
      </c>
      <c r="M201">
        <f t="shared" si="64"/>
        <v>104.54721156798742</v>
      </c>
      <c r="N201">
        <f t="shared" si="65"/>
        <v>10.326871939980423</v>
      </c>
      <c r="O201">
        <f t="shared" si="66"/>
        <v>37.586173914224993</v>
      </c>
      <c r="P201">
        <f t="shared" si="67"/>
        <v>0.2329235175628713</v>
      </c>
      <c r="Q201">
        <f t="shared" si="68"/>
        <v>2.111800551331056</v>
      </c>
      <c r="R201">
        <f t="shared" si="69"/>
        <v>0.21953427340008025</v>
      </c>
      <c r="S201">
        <f t="shared" si="70"/>
        <v>0.1383477111957081</v>
      </c>
      <c r="T201">
        <f t="shared" si="71"/>
        <v>276.11412415200004</v>
      </c>
      <c r="U201">
        <f t="shared" si="72"/>
        <v>26.811075850498689</v>
      </c>
      <c r="V201">
        <f t="shared" si="73"/>
        <v>26.811075850498689</v>
      </c>
      <c r="W201">
        <f t="shared" si="74"/>
        <v>3.5396372099314362</v>
      </c>
      <c r="X201">
        <f t="shared" si="75"/>
        <v>76.725036769473959</v>
      </c>
      <c r="Y201">
        <f t="shared" si="76"/>
        <v>2.504730815901</v>
      </c>
      <c r="Z201">
        <f t="shared" si="77"/>
        <v>3.2645547286300416</v>
      </c>
      <c r="AA201">
        <f t="shared" si="78"/>
        <v>1.0349063940304362</v>
      </c>
      <c r="AB201">
        <f t="shared" si="79"/>
        <v>-104.63593114282112</v>
      </c>
      <c r="AC201">
        <f t="shared" si="80"/>
        <v>-155.80287957169415</v>
      </c>
      <c r="AD201">
        <f t="shared" si="81"/>
        <v>-15.783459550408754</v>
      </c>
      <c r="AE201">
        <f t="shared" si="82"/>
        <v>-0.10814611292394716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52534.940917058084</v>
      </c>
      <c r="AK201">
        <f t="shared" si="86"/>
        <v>1800</v>
      </c>
      <c r="AL201">
        <f t="shared" si="87"/>
        <v>1499.1120882</v>
      </c>
      <c r="AM201">
        <f t="shared" si="88"/>
        <v>0.83284004899999997</v>
      </c>
      <c r="AN201">
        <f t="shared" si="89"/>
        <v>0.15339673564000003</v>
      </c>
      <c r="AO201">
        <v>32.700000000000003</v>
      </c>
      <c r="AP201">
        <v>0.5</v>
      </c>
      <c r="AQ201" t="s">
        <v>331</v>
      </c>
      <c r="AR201">
        <v>2</v>
      </c>
      <c r="AS201">
        <v>1690384366</v>
      </c>
      <c r="AT201">
        <v>380.51499999999999</v>
      </c>
      <c r="AU201">
        <v>799.98299999999995</v>
      </c>
      <c r="AV201">
        <v>25.357399999999998</v>
      </c>
      <c r="AW201">
        <v>0.16625799999999999</v>
      </c>
      <c r="AX201">
        <v>380.48200000000003</v>
      </c>
      <c r="AY201">
        <v>25.182099999999998</v>
      </c>
      <c r="AZ201">
        <v>300.18400000000003</v>
      </c>
      <c r="BA201">
        <v>98.677099999999996</v>
      </c>
      <c r="BB201">
        <v>0.10001500000000001</v>
      </c>
      <c r="BC201">
        <v>25.442599999999999</v>
      </c>
      <c r="BD201">
        <v>27.005700000000001</v>
      </c>
      <c r="BE201">
        <v>26.758700000000001</v>
      </c>
      <c r="BF201">
        <v>0</v>
      </c>
      <c r="BG201">
        <v>0</v>
      </c>
      <c r="BH201">
        <v>10016.9</v>
      </c>
      <c r="BI201">
        <v>1060.76</v>
      </c>
      <c r="BJ201">
        <v>1.68899</v>
      </c>
      <c r="BK201">
        <v>-419.46800000000002</v>
      </c>
      <c r="BL201">
        <v>390.41500000000002</v>
      </c>
      <c r="BM201">
        <v>800.11599999999999</v>
      </c>
      <c r="BN201">
        <v>25.191099999999999</v>
      </c>
      <c r="BO201">
        <v>799.98299999999995</v>
      </c>
      <c r="BP201">
        <v>0.16625799999999999</v>
      </c>
      <c r="BQ201">
        <v>2.5021900000000001</v>
      </c>
      <c r="BR201">
        <v>1.6405800000000002E-2</v>
      </c>
      <c r="BS201">
        <v>21.040800000000001</v>
      </c>
      <c r="BT201">
        <v>-41.315600000000003</v>
      </c>
      <c r="BU201">
        <v>1800</v>
      </c>
      <c r="BV201">
        <v>0.91001200000000004</v>
      </c>
      <c r="BW201">
        <v>3.39992E-2</v>
      </c>
      <c r="BX201">
        <v>2.1991699999999999E-2</v>
      </c>
      <c r="BY201">
        <v>3.3996999999999999E-2</v>
      </c>
      <c r="BZ201">
        <v>26</v>
      </c>
      <c r="CA201">
        <v>33528.5</v>
      </c>
      <c r="CB201">
        <v>1690381960.0999999</v>
      </c>
      <c r="CC201" t="s">
        <v>332</v>
      </c>
      <c r="CD201">
        <v>1690381960.0999999</v>
      </c>
      <c r="CE201">
        <v>1690381958.0999999</v>
      </c>
      <c r="CF201">
        <v>4</v>
      </c>
      <c r="CG201">
        <v>9.9000000000000005E-2</v>
      </c>
      <c r="CH201">
        <v>1.2E-2</v>
      </c>
      <c r="CI201">
        <v>-0.26300000000000001</v>
      </c>
      <c r="CJ201">
        <v>0.127</v>
      </c>
      <c r="CK201">
        <v>798</v>
      </c>
      <c r="CL201">
        <v>18</v>
      </c>
      <c r="CM201">
        <v>0.02</v>
      </c>
      <c r="CN201">
        <v>0.12</v>
      </c>
      <c r="CO201">
        <v>-418.93687499999999</v>
      </c>
      <c r="CP201">
        <v>-2.9719136960581598</v>
      </c>
      <c r="CQ201">
        <v>0.2929617029152492</v>
      </c>
      <c r="CR201">
        <v>-1</v>
      </c>
      <c r="CS201">
        <v>25.160387499999999</v>
      </c>
      <c r="CT201">
        <v>0.13968067542213289</v>
      </c>
      <c r="CU201">
        <v>1.3907051943168941E-2</v>
      </c>
      <c r="CV201">
        <v>-1</v>
      </c>
      <c r="CW201">
        <v>0</v>
      </c>
      <c r="CX201">
        <v>0</v>
      </c>
      <c r="CY201" t="s">
        <v>333</v>
      </c>
      <c r="CZ201">
        <v>2.3649300000000002</v>
      </c>
      <c r="DA201">
        <v>2.7138200000000001</v>
      </c>
      <c r="DB201">
        <v>8.5796200000000003E-2</v>
      </c>
      <c r="DC201">
        <v>0.145454</v>
      </c>
      <c r="DD201">
        <v>0.11802700000000001</v>
      </c>
      <c r="DE201">
        <v>1.3942399999999999E-3</v>
      </c>
      <c r="DF201">
        <v>33394.5</v>
      </c>
      <c r="DG201">
        <v>27555.9</v>
      </c>
      <c r="DH201">
        <v>31183.599999999999</v>
      </c>
      <c r="DI201">
        <v>28098.1</v>
      </c>
      <c r="DJ201">
        <v>37332.199999999997</v>
      </c>
      <c r="DK201">
        <v>39905.4</v>
      </c>
      <c r="DL201">
        <v>44379.199999999997</v>
      </c>
      <c r="DM201">
        <v>42585.3</v>
      </c>
      <c r="DN201">
        <v>1.478</v>
      </c>
      <c r="DO201">
        <v>2.0308000000000002</v>
      </c>
      <c r="DP201">
        <v>0.15889900000000001</v>
      </c>
      <c r="DQ201">
        <v>0.146173</v>
      </c>
      <c r="DR201">
        <v>24.401599999999998</v>
      </c>
      <c r="DS201">
        <v>24.362500000000001</v>
      </c>
      <c r="DT201">
        <v>22.3</v>
      </c>
      <c r="DU201">
        <v>29.2</v>
      </c>
      <c r="DV201">
        <v>9.1936800000000005</v>
      </c>
      <c r="DW201">
        <v>60.713099999999997</v>
      </c>
      <c r="DX201">
        <v>37.692300000000003</v>
      </c>
      <c r="DY201">
        <v>1</v>
      </c>
      <c r="DZ201">
        <v>-0.108859</v>
      </c>
      <c r="EA201">
        <v>0.39508399999999999</v>
      </c>
      <c r="EB201">
        <v>20.1891</v>
      </c>
      <c r="EC201">
        <v>5.2413999999999996</v>
      </c>
      <c r="ED201">
        <v>12.039899999999999</v>
      </c>
      <c r="EE201">
        <v>5.0172999999999996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</v>
      </c>
      <c r="EL201">
        <v>1.8646199999999999</v>
      </c>
      <c r="EM201">
        <v>1.8692</v>
      </c>
      <c r="EN201">
        <v>1.8672500000000001</v>
      </c>
      <c r="EO201">
        <v>1.8633999999999999</v>
      </c>
      <c r="EP201">
        <v>1.8644700000000001</v>
      </c>
      <c r="EQ201">
        <v>1.8701700000000001</v>
      </c>
      <c r="ER201">
        <v>1.8693900000000001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3.3000000000000002E-2</v>
      </c>
      <c r="FG201">
        <v>0.17530000000000001</v>
      </c>
      <c r="FH201">
        <v>0.28746640474027818</v>
      </c>
      <c r="FI201">
        <v>-6.1462078757559423E-4</v>
      </c>
      <c r="FJ201">
        <v>-1.8861989874597051E-7</v>
      </c>
      <c r="FK201">
        <v>1.1980462299894961E-10</v>
      </c>
      <c r="FL201">
        <v>0.17524818673008091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40.1</v>
      </c>
      <c r="FU201">
        <v>40.1</v>
      </c>
      <c r="FV201">
        <v>1.7639199999999999</v>
      </c>
      <c r="FW201">
        <v>2.5769000000000002</v>
      </c>
      <c r="FX201">
        <v>1.5490699999999999</v>
      </c>
      <c r="FY201">
        <v>2.3339799999999999</v>
      </c>
      <c r="FZ201">
        <v>1.50146</v>
      </c>
      <c r="GA201">
        <v>2.3547400000000001</v>
      </c>
      <c r="GB201">
        <v>33.602899999999998</v>
      </c>
      <c r="GC201">
        <v>23.982399999999998</v>
      </c>
      <c r="GD201">
        <v>19</v>
      </c>
      <c r="GE201">
        <v>282.80399999999997</v>
      </c>
      <c r="GF201">
        <v>576.44200000000001</v>
      </c>
      <c r="GG201">
        <v>23.428999999999998</v>
      </c>
      <c r="GH201">
        <v>26.0107</v>
      </c>
      <c r="GI201">
        <v>30.0001</v>
      </c>
      <c r="GJ201">
        <v>26.160900000000002</v>
      </c>
      <c r="GK201">
        <v>26.148299999999999</v>
      </c>
      <c r="GL201">
        <v>35.278500000000001</v>
      </c>
      <c r="GM201">
        <v>100</v>
      </c>
      <c r="GN201">
        <v>1.1644000000000001</v>
      </c>
      <c r="GO201">
        <v>23.413799999999998</v>
      </c>
      <c r="GP201">
        <v>800</v>
      </c>
      <c r="GQ201">
        <v>0</v>
      </c>
      <c r="GR201">
        <v>99.776799999999994</v>
      </c>
      <c r="GS201">
        <v>99.6233</v>
      </c>
    </row>
    <row r="202" spans="1:201" x14ac:dyDescent="0.25">
      <c r="A202">
        <v>186</v>
      </c>
      <c r="B202">
        <v>1690384376</v>
      </c>
      <c r="C202">
        <v>1900.900000095367</v>
      </c>
      <c r="D202" t="s">
        <v>703</v>
      </c>
      <c r="E202" t="s">
        <v>704</v>
      </c>
      <c r="F202" t="s">
        <v>330</v>
      </c>
      <c r="H202">
        <v>1690384376</v>
      </c>
      <c r="I202">
        <f t="shared" si="60"/>
        <v>2.3735073781683538E-3</v>
      </c>
      <c r="J202">
        <f t="shared" si="61"/>
        <v>2.373507378168354</v>
      </c>
      <c r="K202">
        <f t="shared" si="62"/>
        <v>37.61944097357167</v>
      </c>
      <c r="L202">
        <f t="shared" si="63"/>
        <v>380.13900000000001</v>
      </c>
      <c r="M202">
        <f t="shared" si="64"/>
        <v>104.55314270497992</v>
      </c>
      <c r="N202">
        <f t="shared" si="65"/>
        <v>10.327392433956394</v>
      </c>
      <c r="O202">
        <f t="shared" si="66"/>
        <v>37.548796056082203</v>
      </c>
      <c r="P202">
        <f t="shared" si="67"/>
        <v>0.23338124642682009</v>
      </c>
      <c r="Q202">
        <f t="shared" si="68"/>
        <v>2.1082002067035344</v>
      </c>
      <c r="R202">
        <f t="shared" si="69"/>
        <v>0.21991942459662159</v>
      </c>
      <c r="S202">
        <f t="shared" si="70"/>
        <v>0.13859438048415085</v>
      </c>
      <c r="T202">
        <f t="shared" si="71"/>
        <v>276.11410037400003</v>
      </c>
      <c r="U202">
        <f t="shared" si="72"/>
        <v>26.812913050996809</v>
      </c>
      <c r="V202">
        <f t="shared" si="73"/>
        <v>26.812913050996809</v>
      </c>
      <c r="W202">
        <f t="shared" si="74"/>
        <v>3.5400197057429863</v>
      </c>
      <c r="X202">
        <f t="shared" si="75"/>
        <v>76.782039944926936</v>
      </c>
      <c r="Y202">
        <f t="shared" si="76"/>
        <v>2.5065917157607198</v>
      </c>
      <c r="Z202">
        <f t="shared" si="77"/>
        <v>3.2645547286300416</v>
      </c>
      <c r="AA202">
        <f t="shared" si="78"/>
        <v>1.0334279899822665</v>
      </c>
      <c r="AB202">
        <f t="shared" si="79"/>
        <v>-104.6716753772244</v>
      </c>
      <c r="AC202">
        <f t="shared" si="80"/>
        <v>-155.74606720279368</v>
      </c>
      <c r="AD202">
        <f t="shared" si="81"/>
        <v>-15.804794922242102</v>
      </c>
      <c r="AE202">
        <f t="shared" si="82"/>
        <v>-0.1084371282601353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52377.270509781883</v>
      </c>
      <c r="AK202">
        <f t="shared" si="86"/>
        <v>1800</v>
      </c>
      <c r="AL202">
        <f t="shared" si="87"/>
        <v>1499.1133643999999</v>
      </c>
      <c r="AM202">
        <f t="shared" si="88"/>
        <v>0.8328407579999999</v>
      </c>
      <c r="AN202">
        <f t="shared" si="89"/>
        <v>0.15339672243000002</v>
      </c>
      <c r="AO202">
        <v>32.700000000000003</v>
      </c>
      <c r="AP202">
        <v>0.5</v>
      </c>
      <c r="AQ202" t="s">
        <v>331</v>
      </c>
      <c r="AR202">
        <v>2</v>
      </c>
      <c r="AS202">
        <v>1690384376</v>
      </c>
      <c r="AT202">
        <v>380.13900000000001</v>
      </c>
      <c r="AU202">
        <v>799.95699999999999</v>
      </c>
      <c r="AV202">
        <v>25.3764</v>
      </c>
      <c r="AW202">
        <v>0.16580600000000001</v>
      </c>
      <c r="AX202">
        <v>380.10500000000002</v>
      </c>
      <c r="AY202">
        <v>25.2012</v>
      </c>
      <c r="AZ202">
        <v>300.04899999999998</v>
      </c>
      <c r="BA202">
        <v>98.676500000000004</v>
      </c>
      <c r="BB202">
        <v>9.9989800000000004E-2</v>
      </c>
      <c r="BC202">
        <v>25.442599999999999</v>
      </c>
      <c r="BD202">
        <v>27.013000000000002</v>
      </c>
      <c r="BE202">
        <v>26.751000000000001</v>
      </c>
      <c r="BF202">
        <v>0</v>
      </c>
      <c r="BG202">
        <v>0</v>
      </c>
      <c r="BH202">
        <v>9985.6200000000008</v>
      </c>
      <c r="BI202">
        <v>1060.79</v>
      </c>
      <c r="BJ202">
        <v>1.9903500000000001</v>
      </c>
      <c r="BK202">
        <v>-419.81799999999998</v>
      </c>
      <c r="BL202">
        <v>390.036</v>
      </c>
      <c r="BM202">
        <v>800.08900000000006</v>
      </c>
      <c r="BN202">
        <v>25.210599999999999</v>
      </c>
      <c r="BO202">
        <v>799.95699999999999</v>
      </c>
      <c r="BP202">
        <v>0.16580600000000001</v>
      </c>
      <c r="BQ202">
        <v>2.50406</v>
      </c>
      <c r="BR202">
        <v>1.6361199999999999E-2</v>
      </c>
      <c r="BS202">
        <v>21.052900000000001</v>
      </c>
      <c r="BT202">
        <v>-41.3414</v>
      </c>
      <c r="BU202">
        <v>1800</v>
      </c>
      <c r="BV202">
        <v>0.91001900000000002</v>
      </c>
      <c r="BW202">
        <v>3.3999599999999998E-2</v>
      </c>
      <c r="BX202">
        <v>2.1991900000000002E-2</v>
      </c>
      <c r="BY202">
        <v>3.3989499999999999E-2</v>
      </c>
      <c r="BZ202">
        <v>26</v>
      </c>
      <c r="CA202">
        <v>33528.5</v>
      </c>
      <c r="CB202">
        <v>1690381960.0999999</v>
      </c>
      <c r="CC202" t="s">
        <v>332</v>
      </c>
      <c r="CD202">
        <v>1690381960.0999999</v>
      </c>
      <c r="CE202">
        <v>1690381958.0999999</v>
      </c>
      <c r="CF202">
        <v>4</v>
      </c>
      <c r="CG202">
        <v>9.9000000000000005E-2</v>
      </c>
      <c r="CH202">
        <v>1.2E-2</v>
      </c>
      <c r="CI202">
        <v>-0.26300000000000001</v>
      </c>
      <c r="CJ202">
        <v>0.127</v>
      </c>
      <c r="CK202">
        <v>798</v>
      </c>
      <c r="CL202">
        <v>18</v>
      </c>
      <c r="CM202">
        <v>0.02</v>
      </c>
      <c r="CN202">
        <v>0.12</v>
      </c>
      <c r="CO202">
        <v>-419.39814634146342</v>
      </c>
      <c r="CP202">
        <v>-2.5150871080144261</v>
      </c>
      <c r="CQ202">
        <v>0.25516685702817887</v>
      </c>
      <c r="CR202">
        <v>-1</v>
      </c>
      <c r="CS202">
        <v>25.186160975609749</v>
      </c>
      <c r="CT202">
        <v>0.15735052264807389</v>
      </c>
      <c r="CU202">
        <v>1.5658783525140409E-2</v>
      </c>
      <c r="CV202">
        <v>-1</v>
      </c>
      <c r="CW202">
        <v>0</v>
      </c>
      <c r="CX202">
        <v>0</v>
      </c>
      <c r="CY202" t="s">
        <v>333</v>
      </c>
      <c r="CZ202">
        <v>2.3645100000000001</v>
      </c>
      <c r="DA202">
        <v>2.7137699999999998</v>
      </c>
      <c r="DB202">
        <v>8.5730200000000006E-2</v>
      </c>
      <c r="DC202">
        <v>0.14545</v>
      </c>
      <c r="DD202">
        <v>0.118088</v>
      </c>
      <c r="DE202">
        <v>1.3905E-3</v>
      </c>
      <c r="DF202">
        <v>33396.5</v>
      </c>
      <c r="DG202">
        <v>27555.8</v>
      </c>
      <c r="DH202">
        <v>31183.200000000001</v>
      </c>
      <c r="DI202">
        <v>28097.8</v>
      </c>
      <c r="DJ202">
        <v>37329.4</v>
      </c>
      <c r="DK202">
        <v>39905.1</v>
      </c>
      <c r="DL202">
        <v>44379</v>
      </c>
      <c r="DM202">
        <v>42584.9</v>
      </c>
      <c r="DN202">
        <v>1.47773</v>
      </c>
      <c r="DO202">
        <v>2.0307300000000001</v>
      </c>
      <c r="DP202">
        <v>0.15934200000000001</v>
      </c>
      <c r="DQ202">
        <v>0.1457</v>
      </c>
      <c r="DR202">
        <v>24.401599999999998</v>
      </c>
      <c r="DS202">
        <v>24.362500000000001</v>
      </c>
      <c r="DT202">
        <v>22.2</v>
      </c>
      <c r="DU202">
        <v>29.2</v>
      </c>
      <c r="DV202">
        <v>9.1532599999999995</v>
      </c>
      <c r="DW202">
        <v>60.823</v>
      </c>
      <c r="DX202">
        <v>37.896599999999999</v>
      </c>
      <c r="DY202">
        <v>1</v>
      </c>
      <c r="DZ202">
        <v>-0.108913</v>
      </c>
      <c r="EA202">
        <v>0.43950699999999998</v>
      </c>
      <c r="EB202">
        <v>20.1891</v>
      </c>
      <c r="EC202">
        <v>5.242</v>
      </c>
      <c r="ED202">
        <v>12.039899999999999</v>
      </c>
      <c r="EE202">
        <v>5.0171999999999999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</v>
      </c>
      <c r="EL202">
        <v>1.8646199999999999</v>
      </c>
      <c r="EM202">
        <v>1.8692</v>
      </c>
      <c r="EN202">
        <v>1.8672299999999999</v>
      </c>
      <c r="EO202">
        <v>1.8633900000000001</v>
      </c>
      <c r="EP202">
        <v>1.86446</v>
      </c>
      <c r="EQ202">
        <v>1.87015</v>
      </c>
      <c r="ER202">
        <v>1.8693599999999999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3.4000000000000002E-2</v>
      </c>
      <c r="FG202">
        <v>0.17519999999999999</v>
      </c>
      <c r="FH202">
        <v>0.28746640474027818</v>
      </c>
      <c r="FI202">
        <v>-6.1462078757559423E-4</v>
      </c>
      <c r="FJ202">
        <v>-1.8861989874597051E-7</v>
      </c>
      <c r="FK202">
        <v>1.1980462299894961E-10</v>
      </c>
      <c r="FL202">
        <v>0.17524818673008091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40.299999999999997</v>
      </c>
      <c r="FU202">
        <v>40.299999999999997</v>
      </c>
      <c r="FV202">
        <v>1.7639199999999999</v>
      </c>
      <c r="FW202">
        <v>2.5781200000000002</v>
      </c>
      <c r="FX202">
        <v>1.5490699999999999</v>
      </c>
      <c r="FY202">
        <v>2.3339799999999999</v>
      </c>
      <c r="FZ202">
        <v>1.50146</v>
      </c>
      <c r="GA202">
        <v>2.3901400000000002</v>
      </c>
      <c r="GB202">
        <v>33.580399999999997</v>
      </c>
      <c r="GC202">
        <v>23.982399999999998</v>
      </c>
      <c r="GD202">
        <v>19</v>
      </c>
      <c r="GE202">
        <v>282.68599999999998</v>
      </c>
      <c r="GF202">
        <v>576.35599999999999</v>
      </c>
      <c r="GG202">
        <v>23.411300000000001</v>
      </c>
      <c r="GH202">
        <v>26.0107</v>
      </c>
      <c r="GI202">
        <v>30.0001</v>
      </c>
      <c r="GJ202">
        <v>26.160499999999999</v>
      </c>
      <c r="GK202">
        <v>26.146100000000001</v>
      </c>
      <c r="GL202">
        <v>35.280200000000001</v>
      </c>
      <c r="GM202">
        <v>100</v>
      </c>
      <c r="GN202">
        <v>0.78971899999999995</v>
      </c>
      <c r="GO202">
        <v>23.404599999999999</v>
      </c>
      <c r="GP202">
        <v>800</v>
      </c>
      <c r="GQ202">
        <v>0</v>
      </c>
      <c r="GR202">
        <v>99.7761</v>
      </c>
      <c r="GS202">
        <v>99.622399999999999</v>
      </c>
    </row>
    <row r="203" spans="1:201" x14ac:dyDescent="0.25">
      <c r="A203">
        <v>187</v>
      </c>
      <c r="B203">
        <v>1690384386</v>
      </c>
      <c r="C203">
        <v>1910.900000095367</v>
      </c>
      <c r="D203" t="s">
        <v>705</v>
      </c>
      <c r="E203" t="s">
        <v>706</v>
      </c>
      <c r="F203" t="s">
        <v>330</v>
      </c>
      <c r="H203">
        <v>1690384386</v>
      </c>
      <c r="I203">
        <f t="shared" si="60"/>
        <v>2.3746238761681968E-3</v>
      </c>
      <c r="J203">
        <f t="shared" si="61"/>
        <v>2.3746238761681968</v>
      </c>
      <c r="K203">
        <f t="shared" si="62"/>
        <v>37.641810368729544</v>
      </c>
      <c r="L203">
        <f t="shared" si="63"/>
        <v>379.83699999999999</v>
      </c>
      <c r="M203">
        <f t="shared" si="64"/>
        <v>104.6636969976965</v>
      </c>
      <c r="N203">
        <f t="shared" si="65"/>
        <v>10.338491699441564</v>
      </c>
      <c r="O203">
        <f t="shared" si="66"/>
        <v>37.519615533237001</v>
      </c>
      <c r="P203">
        <f t="shared" si="67"/>
        <v>0.23387995772222347</v>
      </c>
      <c r="Q203">
        <f t="shared" si="68"/>
        <v>2.1105853421662619</v>
      </c>
      <c r="R203">
        <f t="shared" si="69"/>
        <v>0.220376659174222</v>
      </c>
      <c r="S203">
        <f t="shared" si="70"/>
        <v>0.13888361775402705</v>
      </c>
      <c r="T203">
        <f t="shared" si="71"/>
        <v>276.11556172882092</v>
      </c>
      <c r="U203">
        <f t="shared" si="72"/>
        <v>26.811524138127321</v>
      </c>
      <c r="V203">
        <f t="shared" si="73"/>
        <v>26.811524138127321</v>
      </c>
      <c r="W203">
        <f t="shared" si="74"/>
        <v>3.5397305378106614</v>
      </c>
      <c r="X203">
        <f t="shared" si="75"/>
        <v>76.821787015524407</v>
      </c>
      <c r="Y203">
        <f t="shared" si="76"/>
        <v>2.5079488899297004</v>
      </c>
      <c r="Z203">
        <f t="shared" si="77"/>
        <v>3.2646323228889291</v>
      </c>
      <c r="AA203">
        <f t="shared" si="78"/>
        <v>1.0317816478809609</v>
      </c>
      <c r="AB203">
        <f t="shared" si="79"/>
        <v>-104.72091293901748</v>
      </c>
      <c r="AC203">
        <f t="shared" si="80"/>
        <v>-155.71871920714366</v>
      </c>
      <c r="AD203">
        <f t="shared" si="81"/>
        <v>-15.784083628870061</v>
      </c>
      <c r="AE203">
        <f t="shared" si="82"/>
        <v>-0.10815404621027369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52481.646147007297</v>
      </c>
      <c r="AK203">
        <f t="shared" si="86"/>
        <v>1800.01</v>
      </c>
      <c r="AL203">
        <f t="shared" si="87"/>
        <v>1499.1201735991401</v>
      </c>
      <c r="AM203">
        <f t="shared" si="88"/>
        <v>0.83283991400000001</v>
      </c>
      <c r="AN203">
        <f t="shared" si="89"/>
        <v>0.15339668209000001</v>
      </c>
      <c r="AO203">
        <v>32.700000000000003</v>
      </c>
      <c r="AP203">
        <v>0.5</v>
      </c>
      <c r="AQ203" t="s">
        <v>331</v>
      </c>
      <c r="AR203">
        <v>2</v>
      </c>
      <c r="AS203">
        <v>1690384386</v>
      </c>
      <c r="AT203">
        <v>379.83699999999999</v>
      </c>
      <c r="AU203">
        <v>799.93899999999996</v>
      </c>
      <c r="AV203">
        <v>25.389700000000001</v>
      </c>
      <c r="AW203">
        <v>0.16498499999999999</v>
      </c>
      <c r="AX203">
        <v>379.80399999999997</v>
      </c>
      <c r="AY203">
        <v>25.214400000000001</v>
      </c>
      <c r="AZ203">
        <v>300.01799999999997</v>
      </c>
      <c r="BA203">
        <v>98.678200000000004</v>
      </c>
      <c r="BB203">
        <v>0.10000100000000001</v>
      </c>
      <c r="BC203">
        <v>25.443000000000001</v>
      </c>
      <c r="BD203">
        <v>26.994599999999998</v>
      </c>
      <c r="BE203">
        <v>26.751100000000001</v>
      </c>
      <c r="BF203">
        <v>0</v>
      </c>
      <c r="BG203">
        <v>0</v>
      </c>
      <c r="BH203">
        <v>10006.200000000001</v>
      </c>
      <c r="BI203">
        <v>1060.76</v>
      </c>
      <c r="BJ203">
        <v>2.2426400000000002</v>
      </c>
      <c r="BK203">
        <v>-420.10199999999998</v>
      </c>
      <c r="BL203">
        <v>389.733</v>
      </c>
      <c r="BM203">
        <v>800.07100000000003</v>
      </c>
      <c r="BN203">
        <v>25.224699999999999</v>
      </c>
      <c r="BO203">
        <v>799.93899999999996</v>
      </c>
      <c r="BP203">
        <v>0.16498499999999999</v>
      </c>
      <c r="BQ203">
        <v>2.5054099999999999</v>
      </c>
      <c r="BR203">
        <v>1.62804E-2</v>
      </c>
      <c r="BS203">
        <v>21.061699999999998</v>
      </c>
      <c r="BT203">
        <v>-41.388100000000001</v>
      </c>
      <c r="BU203">
        <v>1800.01</v>
      </c>
      <c r="BV203">
        <v>0.91001299999999996</v>
      </c>
      <c r="BW203">
        <v>3.39992E-2</v>
      </c>
      <c r="BX203">
        <v>2.1991699999999999E-2</v>
      </c>
      <c r="BY203">
        <v>3.3995699999999997E-2</v>
      </c>
      <c r="BZ203">
        <v>26</v>
      </c>
      <c r="CA203">
        <v>33528.6</v>
      </c>
      <c r="CB203">
        <v>1690381960.0999999</v>
      </c>
      <c r="CC203" t="s">
        <v>332</v>
      </c>
      <c r="CD203">
        <v>1690381960.0999999</v>
      </c>
      <c r="CE203">
        <v>1690381958.0999999</v>
      </c>
      <c r="CF203">
        <v>4</v>
      </c>
      <c r="CG203">
        <v>9.9000000000000005E-2</v>
      </c>
      <c r="CH203">
        <v>1.2E-2</v>
      </c>
      <c r="CI203">
        <v>-0.26300000000000001</v>
      </c>
      <c r="CJ203">
        <v>0.127</v>
      </c>
      <c r="CK203">
        <v>798</v>
      </c>
      <c r="CL203">
        <v>18</v>
      </c>
      <c r="CM203">
        <v>0.02</v>
      </c>
      <c r="CN203">
        <v>0.12</v>
      </c>
      <c r="CO203">
        <v>-419.79546341463418</v>
      </c>
      <c r="CP203">
        <v>-2.258738675958273</v>
      </c>
      <c r="CQ203">
        <v>0.22519564367412501</v>
      </c>
      <c r="CR203">
        <v>-1</v>
      </c>
      <c r="CS203">
        <v>25.208075609756101</v>
      </c>
      <c r="CT203">
        <v>0.10417003484320141</v>
      </c>
      <c r="CU203">
        <v>1.0313400718691209E-2</v>
      </c>
      <c r="CV203">
        <v>-1</v>
      </c>
      <c r="CW203">
        <v>0</v>
      </c>
      <c r="CX203">
        <v>0</v>
      </c>
      <c r="CY203" t="s">
        <v>333</v>
      </c>
      <c r="CZ203">
        <v>2.3643999999999998</v>
      </c>
      <c r="DA203">
        <v>2.7138</v>
      </c>
      <c r="DB203">
        <v>8.5679500000000006E-2</v>
      </c>
      <c r="DC203">
        <v>0.145451</v>
      </c>
      <c r="DD203">
        <v>0.118134</v>
      </c>
      <c r="DE203">
        <v>1.38371E-3</v>
      </c>
      <c r="DF203">
        <v>33398.800000000003</v>
      </c>
      <c r="DG203">
        <v>27555.599999999999</v>
      </c>
      <c r="DH203">
        <v>31183.7</v>
      </c>
      <c r="DI203">
        <v>28097.7</v>
      </c>
      <c r="DJ203">
        <v>37327.9</v>
      </c>
      <c r="DK203">
        <v>39905.300000000003</v>
      </c>
      <c r="DL203">
        <v>44379.5</v>
      </c>
      <c r="DM203">
        <v>42584.800000000003</v>
      </c>
      <c r="DN203">
        <v>1.4775199999999999</v>
      </c>
      <c r="DO203">
        <v>2.0310199999999998</v>
      </c>
      <c r="DP203">
        <v>0.158221</v>
      </c>
      <c r="DQ203">
        <v>0.145707</v>
      </c>
      <c r="DR203">
        <v>24.401599999999998</v>
      </c>
      <c r="DS203">
        <v>24.362500000000001</v>
      </c>
      <c r="DT203">
        <v>22.1</v>
      </c>
      <c r="DU203">
        <v>29.2</v>
      </c>
      <c r="DV203">
        <v>9.11111</v>
      </c>
      <c r="DW203">
        <v>60.692999999999998</v>
      </c>
      <c r="DX203">
        <v>37.107399999999998</v>
      </c>
      <c r="DY203">
        <v>1</v>
      </c>
      <c r="DZ203">
        <v>-0.108968</v>
      </c>
      <c r="EA203">
        <v>0.376969</v>
      </c>
      <c r="EB203">
        <v>20.189299999999999</v>
      </c>
      <c r="EC203">
        <v>5.2416999999999998</v>
      </c>
      <c r="ED203">
        <v>12.039899999999999</v>
      </c>
      <c r="EE203">
        <v>5.0170000000000003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</v>
      </c>
      <c r="EL203">
        <v>1.8646199999999999</v>
      </c>
      <c r="EM203">
        <v>1.8692</v>
      </c>
      <c r="EN203">
        <v>1.8672299999999999</v>
      </c>
      <c r="EO203">
        <v>1.8633999999999999</v>
      </c>
      <c r="EP203">
        <v>1.86446</v>
      </c>
      <c r="EQ203">
        <v>1.8701399999999999</v>
      </c>
      <c r="ER203">
        <v>1.86938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3.3000000000000002E-2</v>
      </c>
      <c r="FG203">
        <v>0.17530000000000001</v>
      </c>
      <c r="FH203">
        <v>0.28746640474027818</v>
      </c>
      <c r="FI203">
        <v>-6.1462078757559423E-4</v>
      </c>
      <c r="FJ203">
        <v>-1.8861989874597051E-7</v>
      </c>
      <c r="FK203">
        <v>1.1980462299894961E-10</v>
      </c>
      <c r="FL203">
        <v>0.17524818673008091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40.4</v>
      </c>
      <c r="FU203">
        <v>40.5</v>
      </c>
      <c r="FV203">
        <v>1.7639199999999999</v>
      </c>
      <c r="FW203">
        <v>2.5756800000000002</v>
      </c>
      <c r="FX203">
        <v>1.5490699999999999</v>
      </c>
      <c r="FY203">
        <v>2.3339799999999999</v>
      </c>
      <c r="FZ203">
        <v>1.50146</v>
      </c>
      <c r="GA203">
        <v>2.3950200000000001</v>
      </c>
      <c r="GB203">
        <v>33.602899999999998</v>
      </c>
      <c r="GC203">
        <v>23.982399999999998</v>
      </c>
      <c r="GD203">
        <v>19</v>
      </c>
      <c r="GE203">
        <v>282.59300000000002</v>
      </c>
      <c r="GF203">
        <v>576.59299999999996</v>
      </c>
      <c r="GG203">
        <v>23.407</v>
      </c>
      <c r="GH203">
        <v>26.008500000000002</v>
      </c>
      <c r="GI203">
        <v>30</v>
      </c>
      <c r="GJ203">
        <v>26.1587</v>
      </c>
      <c r="GK203">
        <v>26.145299999999999</v>
      </c>
      <c r="GL203">
        <v>35.278500000000001</v>
      </c>
      <c r="GM203">
        <v>100</v>
      </c>
      <c r="GN203">
        <v>0.40878100000000001</v>
      </c>
      <c r="GO203">
        <v>23.433499999999999</v>
      </c>
      <c r="GP203">
        <v>800</v>
      </c>
      <c r="GQ203">
        <v>0</v>
      </c>
      <c r="GR203">
        <v>99.777299999999997</v>
      </c>
      <c r="GS203">
        <v>99.622100000000003</v>
      </c>
    </row>
    <row r="204" spans="1:201" x14ac:dyDescent="0.25">
      <c r="A204">
        <v>188</v>
      </c>
      <c r="B204">
        <v>1690384396</v>
      </c>
      <c r="C204">
        <v>1920.900000095367</v>
      </c>
      <c r="D204" t="s">
        <v>707</v>
      </c>
      <c r="E204" t="s">
        <v>708</v>
      </c>
      <c r="F204" t="s">
        <v>330</v>
      </c>
      <c r="H204">
        <v>1690384396</v>
      </c>
      <c r="I204">
        <f t="shared" si="60"/>
        <v>2.3778286689807486E-3</v>
      </c>
      <c r="J204">
        <f t="shared" si="61"/>
        <v>2.3778286689807486</v>
      </c>
      <c r="K204">
        <f t="shared" si="62"/>
        <v>37.708735787695403</v>
      </c>
      <c r="L204">
        <f t="shared" si="63"/>
        <v>379.36399999999998</v>
      </c>
      <c r="M204">
        <f t="shared" si="64"/>
        <v>104.52653669918261</v>
      </c>
      <c r="N204">
        <f t="shared" si="65"/>
        <v>10.32495171855521</v>
      </c>
      <c r="O204">
        <f t="shared" si="66"/>
        <v>37.472924172647993</v>
      </c>
      <c r="P204">
        <f t="shared" si="67"/>
        <v>0.23463191258805946</v>
      </c>
      <c r="Q204">
        <f t="shared" si="68"/>
        <v>2.1072854951676869</v>
      </c>
      <c r="R204">
        <f t="shared" si="69"/>
        <v>0.22102439929935258</v>
      </c>
      <c r="S204">
        <f t="shared" si="70"/>
        <v>0.13929702204098113</v>
      </c>
      <c r="T204">
        <f t="shared" si="71"/>
        <v>276.11413943399998</v>
      </c>
      <c r="U204">
        <f t="shared" si="72"/>
        <v>26.814426756396802</v>
      </c>
      <c r="V204">
        <f t="shared" si="73"/>
        <v>26.814426756396802</v>
      </c>
      <c r="W204">
        <f t="shared" si="74"/>
        <v>3.5403348786306812</v>
      </c>
      <c r="X204">
        <f t="shared" si="75"/>
        <v>76.881242104834428</v>
      </c>
      <c r="Y204">
        <f t="shared" si="76"/>
        <v>2.5102030913250002</v>
      </c>
      <c r="Z204">
        <f t="shared" si="77"/>
        <v>3.2650397191841862</v>
      </c>
      <c r="AA204">
        <f t="shared" si="78"/>
        <v>1.030131787305681</v>
      </c>
      <c r="AB204">
        <f t="shared" si="79"/>
        <v>-104.86224430205101</v>
      </c>
      <c r="AC204">
        <f t="shared" si="80"/>
        <v>-155.56644075035271</v>
      </c>
      <c r="AD204">
        <f t="shared" si="81"/>
        <v>-15.793737041872605</v>
      </c>
      <c r="AE204">
        <f t="shared" si="82"/>
        <v>-0.10828266027633049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52336.863384526448</v>
      </c>
      <c r="AK204">
        <f t="shared" si="86"/>
        <v>1800</v>
      </c>
      <c r="AL204">
        <f t="shared" si="87"/>
        <v>1499.1133463999997</v>
      </c>
      <c r="AM204">
        <f t="shared" si="88"/>
        <v>0.83284074799999985</v>
      </c>
      <c r="AN204">
        <f t="shared" si="89"/>
        <v>0.15339674412999998</v>
      </c>
      <c r="AO204">
        <v>32.700000000000003</v>
      </c>
      <c r="AP204">
        <v>0.5</v>
      </c>
      <c r="AQ204" t="s">
        <v>331</v>
      </c>
      <c r="AR204">
        <v>2</v>
      </c>
      <c r="AS204">
        <v>1690384396</v>
      </c>
      <c r="AT204">
        <v>379.36399999999998</v>
      </c>
      <c r="AU204">
        <v>800.03099999999995</v>
      </c>
      <c r="AV204">
        <v>25.412500000000001</v>
      </c>
      <c r="AW204">
        <v>0.16426299999999999</v>
      </c>
      <c r="AX204">
        <v>379.33100000000002</v>
      </c>
      <c r="AY204">
        <v>25.237300000000001</v>
      </c>
      <c r="AZ204">
        <v>300.13600000000002</v>
      </c>
      <c r="BA204">
        <v>98.678200000000004</v>
      </c>
      <c r="BB204">
        <v>0.100082</v>
      </c>
      <c r="BC204">
        <v>25.4451</v>
      </c>
      <c r="BD204">
        <v>26.995799999999999</v>
      </c>
      <c r="BE204">
        <v>26.746400000000001</v>
      </c>
      <c r="BF204">
        <v>0</v>
      </c>
      <c r="BG204">
        <v>0</v>
      </c>
      <c r="BH204">
        <v>9977.5</v>
      </c>
      <c r="BI204">
        <v>1060.79</v>
      </c>
      <c r="BJ204">
        <v>1.72403</v>
      </c>
      <c r="BK204">
        <v>-420.666</v>
      </c>
      <c r="BL204">
        <v>389.25599999999997</v>
      </c>
      <c r="BM204">
        <v>800.16200000000003</v>
      </c>
      <c r="BN204">
        <v>25.2483</v>
      </c>
      <c r="BO204">
        <v>800.03099999999995</v>
      </c>
      <c r="BP204">
        <v>0.16426299999999999</v>
      </c>
      <c r="BQ204">
        <v>2.50766</v>
      </c>
      <c r="BR204">
        <v>1.62092E-2</v>
      </c>
      <c r="BS204">
        <v>21.0763</v>
      </c>
      <c r="BT204">
        <v>-41.429499999999997</v>
      </c>
      <c r="BU204">
        <v>1800</v>
      </c>
      <c r="BV204">
        <v>0.91001799999999999</v>
      </c>
      <c r="BW204">
        <v>3.3999500000000002E-2</v>
      </c>
      <c r="BX204">
        <v>2.1991900000000002E-2</v>
      </c>
      <c r="BY204">
        <v>3.3990699999999999E-2</v>
      </c>
      <c r="BZ204">
        <v>26</v>
      </c>
      <c r="CA204">
        <v>33528.5</v>
      </c>
      <c r="CB204">
        <v>1690381960.0999999</v>
      </c>
      <c r="CC204" t="s">
        <v>332</v>
      </c>
      <c r="CD204">
        <v>1690381960.0999999</v>
      </c>
      <c r="CE204">
        <v>1690381958.0999999</v>
      </c>
      <c r="CF204">
        <v>4</v>
      </c>
      <c r="CG204">
        <v>9.9000000000000005E-2</v>
      </c>
      <c r="CH204">
        <v>1.2E-2</v>
      </c>
      <c r="CI204">
        <v>-0.26300000000000001</v>
      </c>
      <c r="CJ204">
        <v>0.127</v>
      </c>
      <c r="CK204">
        <v>798</v>
      </c>
      <c r="CL204">
        <v>18</v>
      </c>
      <c r="CM204">
        <v>0.02</v>
      </c>
      <c r="CN204">
        <v>0.12</v>
      </c>
      <c r="CO204">
        <v>-420.16319512195122</v>
      </c>
      <c r="CP204">
        <v>-2.210048780487794</v>
      </c>
      <c r="CQ204">
        <v>0.22271289836503899</v>
      </c>
      <c r="CR204">
        <v>-1</v>
      </c>
      <c r="CS204">
        <v>25.225521951219509</v>
      </c>
      <c r="CT204">
        <v>0.1055310104530217</v>
      </c>
      <c r="CU204">
        <v>1.049365690391748E-2</v>
      </c>
      <c r="CV204">
        <v>-1</v>
      </c>
      <c r="CW204">
        <v>0</v>
      </c>
      <c r="CX204">
        <v>0</v>
      </c>
      <c r="CY204" t="s">
        <v>333</v>
      </c>
      <c r="CZ204">
        <v>2.36477</v>
      </c>
      <c r="DA204">
        <v>2.7138499999999999</v>
      </c>
      <c r="DB204">
        <v>8.5597500000000007E-2</v>
      </c>
      <c r="DC204">
        <v>0.14546200000000001</v>
      </c>
      <c r="DD204">
        <v>0.11820899999999999</v>
      </c>
      <c r="DE204">
        <v>1.37772E-3</v>
      </c>
      <c r="DF204">
        <v>33401.800000000003</v>
      </c>
      <c r="DG204">
        <v>27555.599999999999</v>
      </c>
      <c r="DH204">
        <v>31183.7</v>
      </c>
      <c r="DI204">
        <v>28098</v>
      </c>
      <c r="DJ204">
        <v>37324.699999999997</v>
      </c>
      <c r="DK204">
        <v>39905.800000000003</v>
      </c>
      <c r="DL204">
        <v>44379.5</v>
      </c>
      <c r="DM204">
        <v>42585</v>
      </c>
      <c r="DN204">
        <v>1.47845</v>
      </c>
      <c r="DO204">
        <v>2.0308999999999999</v>
      </c>
      <c r="DP204">
        <v>0.15829099999999999</v>
      </c>
      <c r="DQ204">
        <v>0.14554300000000001</v>
      </c>
      <c r="DR204">
        <v>24.401599999999998</v>
      </c>
      <c r="DS204">
        <v>24.360499999999998</v>
      </c>
      <c r="DT204">
        <v>22.1</v>
      </c>
      <c r="DU204">
        <v>29.2</v>
      </c>
      <c r="DV204">
        <v>9.1114099999999993</v>
      </c>
      <c r="DW204">
        <v>60.923000000000002</v>
      </c>
      <c r="DX204">
        <v>36.694699999999997</v>
      </c>
      <c r="DY204">
        <v>1</v>
      </c>
      <c r="DZ204">
        <v>-0.109111</v>
      </c>
      <c r="EA204">
        <v>0.43649199999999999</v>
      </c>
      <c r="EB204">
        <v>20.189</v>
      </c>
      <c r="EC204">
        <v>5.2418500000000003</v>
      </c>
      <c r="ED204">
        <v>12.039899999999999</v>
      </c>
      <c r="EE204">
        <v>5.0172499999999998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1.8689100000000001</v>
      </c>
      <c r="EL204">
        <v>1.8646199999999999</v>
      </c>
      <c r="EM204">
        <v>1.8692</v>
      </c>
      <c r="EN204">
        <v>1.8672299999999999</v>
      </c>
      <c r="EO204">
        <v>1.8633900000000001</v>
      </c>
      <c r="EP204">
        <v>1.86446</v>
      </c>
      <c r="EQ204">
        <v>1.87015</v>
      </c>
      <c r="ER204">
        <v>1.86941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3.3000000000000002E-2</v>
      </c>
      <c r="FG204">
        <v>0.17519999999999999</v>
      </c>
      <c r="FH204">
        <v>0.28746640474027818</v>
      </c>
      <c r="FI204">
        <v>-6.1462078757559423E-4</v>
      </c>
      <c r="FJ204">
        <v>-1.8861989874597051E-7</v>
      </c>
      <c r="FK204">
        <v>1.1980462299894961E-10</v>
      </c>
      <c r="FL204">
        <v>0.17524818673008091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40.6</v>
      </c>
      <c r="FU204">
        <v>40.6</v>
      </c>
      <c r="FV204">
        <v>1.7651399999999999</v>
      </c>
      <c r="FW204">
        <v>2.5793499999999998</v>
      </c>
      <c r="FX204">
        <v>1.5490699999999999</v>
      </c>
      <c r="FY204">
        <v>2.3339799999999999</v>
      </c>
      <c r="FZ204">
        <v>1.50146</v>
      </c>
      <c r="GA204">
        <v>2.3327599999999999</v>
      </c>
      <c r="GB204">
        <v>33.580399999999997</v>
      </c>
      <c r="GC204">
        <v>23.982399999999998</v>
      </c>
      <c r="GD204">
        <v>19</v>
      </c>
      <c r="GE204">
        <v>282.976</v>
      </c>
      <c r="GF204">
        <v>576.47500000000002</v>
      </c>
      <c r="GG204">
        <v>23.4221</v>
      </c>
      <c r="GH204">
        <v>26.008500000000002</v>
      </c>
      <c r="GI204">
        <v>30</v>
      </c>
      <c r="GJ204">
        <v>26.156500000000001</v>
      </c>
      <c r="GK204">
        <v>26.143899999999999</v>
      </c>
      <c r="GL204">
        <v>35.276000000000003</v>
      </c>
      <c r="GM204">
        <v>100</v>
      </c>
      <c r="GN204">
        <v>0</v>
      </c>
      <c r="GO204">
        <v>23.406700000000001</v>
      </c>
      <c r="GP204">
        <v>800</v>
      </c>
      <c r="GQ204">
        <v>0</v>
      </c>
      <c r="GR204">
        <v>99.7774</v>
      </c>
      <c r="GS204">
        <v>99.622900000000001</v>
      </c>
    </row>
    <row r="205" spans="1:201" x14ac:dyDescent="0.25">
      <c r="A205">
        <v>189</v>
      </c>
      <c r="B205">
        <v>1690384406</v>
      </c>
      <c r="C205">
        <v>1930.900000095367</v>
      </c>
      <c r="D205" t="s">
        <v>709</v>
      </c>
      <c r="E205" t="s">
        <v>710</v>
      </c>
      <c r="F205" t="s">
        <v>330</v>
      </c>
      <c r="H205">
        <v>1690384406</v>
      </c>
      <c r="I205">
        <f t="shared" si="60"/>
        <v>2.3791569229362867E-3</v>
      </c>
      <c r="J205">
        <f t="shared" si="61"/>
        <v>2.3791569229362866</v>
      </c>
      <c r="K205">
        <f t="shared" si="62"/>
        <v>37.726352638661403</v>
      </c>
      <c r="L205">
        <f t="shared" si="63"/>
        <v>379.06200000000001</v>
      </c>
      <c r="M205">
        <f t="shared" si="64"/>
        <v>104.833342988159</v>
      </c>
      <c r="N205">
        <f t="shared" si="65"/>
        <v>10.354990956945876</v>
      </c>
      <c r="O205">
        <f t="shared" si="66"/>
        <v>37.442129290536599</v>
      </c>
      <c r="P205">
        <f t="shared" si="67"/>
        <v>0.2352862980813463</v>
      </c>
      <c r="Q205">
        <f t="shared" si="68"/>
        <v>2.1089833031806391</v>
      </c>
      <c r="R205">
        <f t="shared" si="69"/>
        <v>0.22161547867922732</v>
      </c>
      <c r="S205">
        <f t="shared" si="70"/>
        <v>0.13967170511516236</v>
      </c>
      <c r="T205">
        <f t="shared" si="71"/>
        <v>276.11415989999995</v>
      </c>
      <c r="U205">
        <f t="shared" si="72"/>
        <v>26.812757678225509</v>
      </c>
      <c r="V205">
        <f t="shared" si="73"/>
        <v>26.812757678225509</v>
      </c>
      <c r="W205">
        <f t="shared" si="74"/>
        <v>3.5399873565245046</v>
      </c>
      <c r="X205">
        <f t="shared" si="75"/>
        <v>76.93916985806149</v>
      </c>
      <c r="Y205">
        <f t="shared" si="76"/>
        <v>2.5120646018775998</v>
      </c>
      <c r="Z205">
        <f t="shared" si="77"/>
        <v>3.2650009176234853</v>
      </c>
      <c r="AA205">
        <f t="shared" si="78"/>
        <v>1.0279227546469047</v>
      </c>
      <c r="AB205">
        <f t="shared" si="79"/>
        <v>-104.92082030149025</v>
      </c>
      <c r="AC205">
        <f t="shared" si="80"/>
        <v>-155.52474481087532</v>
      </c>
      <c r="AD205">
        <f t="shared" si="81"/>
        <v>-15.776644732173095</v>
      </c>
      <c r="AE205">
        <f t="shared" si="82"/>
        <v>-0.10804994453874883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52411.116282261719</v>
      </c>
      <c r="AK205">
        <f t="shared" si="86"/>
        <v>1800</v>
      </c>
      <c r="AL205">
        <f t="shared" si="87"/>
        <v>1499.111721</v>
      </c>
      <c r="AM205">
        <f t="shared" si="88"/>
        <v>0.83283984499999997</v>
      </c>
      <c r="AN205">
        <f t="shared" si="89"/>
        <v>0.15339675549999998</v>
      </c>
      <c r="AO205">
        <v>32.700000000000003</v>
      </c>
      <c r="AP205">
        <v>0.5</v>
      </c>
      <c r="AQ205" t="s">
        <v>331</v>
      </c>
      <c r="AR205">
        <v>2</v>
      </c>
      <c r="AS205">
        <v>1690384406</v>
      </c>
      <c r="AT205">
        <v>379.06200000000001</v>
      </c>
      <c r="AU205">
        <v>800.02800000000002</v>
      </c>
      <c r="AV205">
        <v>25.431999999999999</v>
      </c>
      <c r="AW205">
        <v>0.16359799999999999</v>
      </c>
      <c r="AX205">
        <v>379.02800000000002</v>
      </c>
      <c r="AY205">
        <v>25.256799999999998</v>
      </c>
      <c r="AZ205">
        <v>300.05799999999999</v>
      </c>
      <c r="BA205">
        <v>98.675799999999995</v>
      </c>
      <c r="BB205">
        <v>9.9939299999999995E-2</v>
      </c>
      <c r="BC205">
        <v>25.444900000000001</v>
      </c>
      <c r="BD205">
        <v>26.9862</v>
      </c>
      <c r="BE205">
        <v>26.751899999999999</v>
      </c>
      <c r="BF205">
        <v>0</v>
      </c>
      <c r="BG205">
        <v>0</v>
      </c>
      <c r="BH205">
        <v>9992.5</v>
      </c>
      <c r="BI205">
        <v>1060.8</v>
      </c>
      <c r="BJ205">
        <v>1.8642000000000001</v>
      </c>
      <c r="BK205">
        <v>-420.96600000000001</v>
      </c>
      <c r="BL205">
        <v>388.95400000000001</v>
      </c>
      <c r="BM205">
        <v>800.15899999999999</v>
      </c>
      <c r="BN205">
        <v>25.2684</v>
      </c>
      <c r="BO205">
        <v>800.02800000000002</v>
      </c>
      <c r="BP205">
        <v>0.16359799999999999</v>
      </c>
      <c r="BQ205">
        <v>2.5095299999999998</v>
      </c>
      <c r="BR205">
        <v>1.6143100000000001E-2</v>
      </c>
      <c r="BS205">
        <v>21.0884</v>
      </c>
      <c r="BT205">
        <v>-41.4681</v>
      </c>
      <c r="BU205">
        <v>1800</v>
      </c>
      <c r="BV205">
        <v>0.91000899999999996</v>
      </c>
      <c r="BW205">
        <v>3.3998899999999999E-2</v>
      </c>
      <c r="BX205">
        <v>2.1991500000000001E-2</v>
      </c>
      <c r="BY205">
        <v>3.4000599999999999E-2</v>
      </c>
      <c r="BZ205">
        <v>26</v>
      </c>
      <c r="CA205">
        <v>33528.6</v>
      </c>
      <c r="CB205">
        <v>1690381960.0999999</v>
      </c>
      <c r="CC205" t="s">
        <v>332</v>
      </c>
      <c r="CD205">
        <v>1690381960.0999999</v>
      </c>
      <c r="CE205">
        <v>1690381958.0999999</v>
      </c>
      <c r="CF205">
        <v>4</v>
      </c>
      <c r="CG205">
        <v>9.9000000000000005E-2</v>
      </c>
      <c r="CH205">
        <v>1.2E-2</v>
      </c>
      <c r="CI205">
        <v>-0.26300000000000001</v>
      </c>
      <c r="CJ205">
        <v>0.127</v>
      </c>
      <c r="CK205">
        <v>798</v>
      </c>
      <c r="CL205">
        <v>18</v>
      </c>
      <c r="CM205">
        <v>0.02</v>
      </c>
      <c r="CN205">
        <v>0.12</v>
      </c>
      <c r="CO205">
        <v>-420.54717073170741</v>
      </c>
      <c r="CP205">
        <v>-2.480717770035954</v>
      </c>
      <c r="CQ205">
        <v>0.24979678593872809</v>
      </c>
      <c r="CR205">
        <v>-1</v>
      </c>
      <c r="CS205">
        <v>25.24619024390244</v>
      </c>
      <c r="CT205">
        <v>0.144232055749173</v>
      </c>
      <c r="CU205">
        <v>1.4242495754128471E-2</v>
      </c>
      <c r="CV205">
        <v>-1</v>
      </c>
      <c r="CW205">
        <v>0</v>
      </c>
      <c r="CX205">
        <v>0</v>
      </c>
      <c r="CY205" t="s">
        <v>333</v>
      </c>
      <c r="CZ205">
        <v>2.36456</v>
      </c>
      <c r="DA205">
        <v>2.7137199999999999</v>
      </c>
      <c r="DB205">
        <v>8.5542699999999999E-2</v>
      </c>
      <c r="DC205">
        <v>0.145459</v>
      </c>
      <c r="DD205">
        <v>0.11827</v>
      </c>
      <c r="DE205">
        <v>1.37217E-3</v>
      </c>
      <c r="DF205">
        <v>33404.400000000001</v>
      </c>
      <c r="DG205">
        <v>27555.8</v>
      </c>
      <c r="DH205">
        <v>31184.2</v>
      </c>
      <c r="DI205">
        <v>28098.1</v>
      </c>
      <c r="DJ205">
        <v>37322.699999999997</v>
      </c>
      <c r="DK205">
        <v>39906.400000000001</v>
      </c>
      <c r="DL205">
        <v>44380.2</v>
      </c>
      <c r="DM205">
        <v>42585.4</v>
      </c>
      <c r="DN205">
        <v>1.4776</v>
      </c>
      <c r="DO205">
        <v>2.0309699999999999</v>
      </c>
      <c r="DP205">
        <v>0.157502</v>
      </c>
      <c r="DQ205">
        <v>0.145756</v>
      </c>
      <c r="DR205">
        <v>24.404900000000001</v>
      </c>
      <c r="DS205">
        <v>24.362500000000001</v>
      </c>
      <c r="DT205">
        <v>22.1</v>
      </c>
      <c r="DU205">
        <v>29.2</v>
      </c>
      <c r="DV205">
        <v>9.1119900000000005</v>
      </c>
      <c r="DW205">
        <v>61.063099999999999</v>
      </c>
      <c r="DX205">
        <v>37.067300000000003</v>
      </c>
      <c r="DY205">
        <v>1</v>
      </c>
      <c r="DZ205">
        <v>-0.109362</v>
      </c>
      <c r="EA205">
        <v>0.39712399999999998</v>
      </c>
      <c r="EB205">
        <v>20.189299999999999</v>
      </c>
      <c r="EC205">
        <v>5.2416999999999998</v>
      </c>
      <c r="ED205">
        <v>12.039899999999999</v>
      </c>
      <c r="EE205">
        <v>5.0175000000000001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</v>
      </c>
      <c r="EL205">
        <v>1.8646199999999999</v>
      </c>
      <c r="EM205">
        <v>1.8692</v>
      </c>
      <c r="EN205">
        <v>1.8672299999999999</v>
      </c>
      <c r="EO205">
        <v>1.86338</v>
      </c>
      <c r="EP205">
        <v>1.86446</v>
      </c>
      <c r="EQ205">
        <v>1.8701700000000001</v>
      </c>
      <c r="ER205">
        <v>1.8693900000000001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3.4000000000000002E-2</v>
      </c>
      <c r="FG205">
        <v>0.17519999999999999</v>
      </c>
      <c r="FH205">
        <v>0.28746640474027818</v>
      </c>
      <c r="FI205">
        <v>-6.1462078757559423E-4</v>
      </c>
      <c r="FJ205">
        <v>-1.8861989874597051E-7</v>
      </c>
      <c r="FK205">
        <v>1.1980462299894961E-10</v>
      </c>
      <c r="FL205">
        <v>0.17524818673008091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40.799999999999997</v>
      </c>
      <c r="FU205">
        <v>40.799999999999997</v>
      </c>
      <c r="FV205">
        <v>1.7639199999999999</v>
      </c>
      <c r="FW205">
        <v>2.5830099999999998</v>
      </c>
      <c r="FX205">
        <v>1.5490699999999999</v>
      </c>
      <c r="FY205">
        <v>2.3339799999999999</v>
      </c>
      <c r="FZ205">
        <v>1.50146</v>
      </c>
      <c r="GA205">
        <v>2.3083499999999999</v>
      </c>
      <c r="GB205">
        <v>33.580399999999997</v>
      </c>
      <c r="GC205">
        <v>23.973700000000001</v>
      </c>
      <c r="GD205">
        <v>19</v>
      </c>
      <c r="GE205">
        <v>282.61500000000001</v>
      </c>
      <c r="GF205">
        <v>576.52099999999996</v>
      </c>
      <c r="GG205">
        <v>23.412099999999999</v>
      </c>
      <c r="GH205">
        <v>26.0063</v>
      </c>
      <c r="GI205">
        <v>30.0001</v>
      </c>
      <c r="GJ205">
        <v>26.156500000000001</v>
      </c>
      <c r="GK205">
        <v>26.142600000000002</v>
      </c>
      <c r="GL205">
        <v>35.276000000000003</v>
      </c>
      <c r="GM205">
        <v>100</v>
      </c>
      <c r="GN205">
        <v>0</v>
      </c>
      <c r="GO205">
        <v>23.422000000000001</v>
      </c>
      <c r="GP205">
        <v>800</v>
      </c>
      <c r="GQ205">
        <v>0</v>
      </c>
      <c r="GR205">
        <v>99.778999999999996</v>
      </c>
      <c r="GS205">
        <v>99.623599999999996</v>
      </c>
    </row>
    <row r="206" spans="1:201" x14ac:dyDescent="0.25">
      <c r="A206">
        <v>190</v>
      </c>
      <c r="B206">
        <v>1690384416</v>
      </c>
      <c r="C206">
        <v>1940.900000095367</v>
      </c>
      <c r="D206" t="s">
        <v>711</v>
      </c>
      <c r="E206" t="s">
        <v>712</v>
      </c>
      <c r="F206" t="s">
        <v>330</v>
      </c>
      <c r="H206">
        <v>1690384416</v>
      </c>
      <c r="I206">
        <f t="shared" si="60"/>
        <v>2.3814759080685107E-3</v>
      </c>
      <c r="J206">
        <f t="shared" si="61"/>
        <v>2.3814759080685106</v>
      </c>
      <c r="K206">
        <f t="shared" si="62"/>
        <v>37.75849930221537</v>
      </c>
      <c r="L206">
        <f t="shared" si="63"/>
        <v>378.74099999999999</v>
      </c>
      <c r="M206">
        <f t="shared" si="64"/>
        <v>105.04873902558703</v>
      </c>
      <c r="N206">
        <f t="shared" si="65"/>
        <v>10.376142250970886</v>
      </c>
      <c r="O206">
        <f t="shared" si="66"/>
        <v>37.409973015647097</v>
      </c>
      <c r="P206">
        <f t="shared" si="67"/>
        <v>0.23595632870638616</v>
      </c>
      <c r="Q206">
        <f t="shared" si="68"/>
        <v>2.1134909089711158</v>
      </c>
      <c r="R206">
        <f t="shared" si="69"/>
        <v>0.22223746656103591</v>
      </c>
      <c r="S206">
        <f t="shared" si="70"/>
        <v>0.14006448691594281</v>
      </c>
      <c r="T206">
        <f t="shared" si="71"/>
        <v>276.11430897600007</v>
      </c>
      <c r="U206">
        <f t="shared" si="72"/>
        <v>26.812688219754634</v>
      </c>
      <c r="V206">
        <f t="shared" si="73"/>
        <v>26.812688219754634</v>
      </c>
      <c r="W206">
        <f t="shared" si="74"/>
        <v>3.5399728950827627</v>
      </c>
      <c r="X206">
        <f t="shared" si="75"/>
        <v>76.981382008277919</v>
      </c>
      <c r="Y206">
        <f t="shared" si="76"/>
        <v>2.5139506607693396</v>
      </c>
      <c r="Z206">
        <f t="shared" si="77"/>
        <v>3.2656605989471723</v>
      </c>
      <c r="AA206">
        <f t="shared" si="78"/>
        <v>1.0260222343134231</v>
      </c>
      <c r="AB206">
        <f t="shared" si="79"/>
        <v>-105.02308754582133</v>
      </c>
      <c r="AC206">
        <f t="shared" si="80"/>
        <v>-155.46183458827926</v>
      </c>
      <c r="AD206">
        <f t="shared" si="81"/>
        <v>-15.736890975150578</v>
      </c>
      <c r="AE206">
        <f t="shared" si="82"/>
        <v>-0.10750413325109776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52608.008798822179</v>
      </c>
      <c r="AK206">
        <f t="shared" si="86"/>
        <v>1800</v>
      </c>
      <c r="AL206">
        <f t="shared" si="87"/>
        <v>1499.1130295999999</v>
      </c>
      <c r="AM206">
        <f t="shared" si="88"/>
        <v>0.83284057199999995</v>
      </c>
      <c r="AN206">
        <f t="shared" si="89"/>
        <v>0.15339683832000003</v>
      </c>
      <c r="AO206">
        <v>32.700000000000003</v>
      </c>
      <c r="AP206">
        <v>0.5</v>
      </c>
      <c r="AQ206" t="s">
        <v>331</v>
      </c>
      <c r="AR206">
        <v>2</v>
      </c>
      <c r="AS206">
        <v>1690384416</v>
      </c>
      <c r="AT206">
        <v>378.74099999999999</v>
      </c>
      <c r="AU206">
        <v>799.99400000000003</v>
      </c>
      <c r="AV206">
        <v>25.4514</v>
      </c>
      <c r="AW206">
        <v>0.162749</v>
      </c>
      <c r="AX206">
        <v>378.70699999999999</v>
      </c>
      <c r="AY206">
        <v>25.276199999999999</v>
      </c>
      <c r="AZ206">
        <v>300.10399999999998</v>
      </c>
      <c r="BA206">
        <v>98.674599999999998</v>
      </c>
      <c r="BB206">
        <v>9.9953100000000003E-2</v>
      </c>
      <c r="BC206">
        <v>25.4483</v>
      </c>
      <c r="BD206">
        <v>27.035299999999999</v>
      </c>
      <c r="BE206">
        <v>26.7502</v>
      </c>
      <c r="BF206">
        <v>0</v>
      </c>
      <c r="BG206">
        <v>0</v>
      </c>
      <c r="BH206">
        <v>10031.9</v>
      </c>
      <c r="BI206">
        <v>1060.79</v>
      </c>
      <c r="BJ206">
        <v>2.3337500000000002</v>
      </c>
      <c r="BK206">
        <v>-421.25200000000001</v>
      </c>
      <c r="BL206">
        <v>388.63299999999998</v>
      </c>
      <c r="BM206">
        <v>800.12400000000002</v>
      </c>
      <c r="BN206">
        <v>25.288699999999999</v>
      </c>
      <c r="BO206">
        <v>799.99400000000003</v>
      </c>
      <c r="BP206">
        <v>0.162749</v>
      </c>
      <c r="BQ206">
        <v>2.5114100000000001</v>
      </c>
      <c r="BR206">
        <v>1.60591E-2</v>
      </c>
      <c r="BS206">
        <v>21.1006</v>
      </c>
      <c r="BT206">
        <v>-41.517299999999999</v>
      </c>
      <c r="BU206">
        <v>1800</v>
      </c>
      <c r="BV206">
        <v>0.91001200000000004</v>
      </c>
      <c r="BW206">
        <v>3.3999000000000001E-2</v>
      </c>
      <c r="BX206">
        <v>2.19916E-2</v>
      </c>
      <c r="BY206">
        <v>3.3998E-2</v>
      </c>
      <c r="BZ206">
        <v>26</v>
      </c>
      <c r="CA206">
        <v>33528.5</v>
      </c>
      <c r="CB206">
        <v>1690381960.0999999</v>
      </c>
      <c r="CC206" t="s">
        <v>332</v>
      </c>
      <c r="CD206">
        <v>1690381960.0999999</v>
      </c>
      <c r="CE206">
        <v>1690381958.0999999</v>
      </c>
      <c r="CF206">
        <v>4</v>
      </c>
      <c r="CG206">
        <v>9.9000000000000005E-2</v>
      </c>
      <c r="CH206">
        <v>1.2E-2</v>
      </c>
      <c r="CI206">
        <v>-0.26300000000000001</v>
      </c>
      <c r="CJ206">
        <v>0.127</v>
      </c>
      <c r="CK206">
        <v>798</v>
      </c>
      <c r="CL206">
        <v>18</v>
      </c>
      <c r="CM206">
        <v>0.02</v>
      </c>
      <c r="CN206">
        <v>0.12</v>
      </c>
      <c r="CO206">
        <v>-420.94536585365859</v>
      </c>
      <c r="CP206">
        <v>-2.043324041812332</v>
      </c>
      <c r="CQ206">
        <v>0.2102105513698096</v>
      </c>
      <c r="CR206">
        <v>-1</v>
      </c>
      <c r="CS206">
        <v>25.26661463414634</v>
      </c>
      <c r="CT206">
        <v>0.1067205574913313</v>
      </c>
      <c r="CU206">
        <v>1.066609766973352E-2</v>
      </c>
      <c r="CV206">
        <v>-1</v>
      </c>
      <c r="CW206">
        <v>0</v>
      </c>
      <c r="CX206">
        <v>0</v>
      </c>
      <c r="CY206" t="s">
        <v>333</v>
      </c>
      <c r="CZ206">
        <v>2.36469</v>
      </c>
      <c r="DA206">
        <v>2.7137699999999998</v>
      </c>
      <c r="DB206">
        <v>8.5486300000000001E-2</v>
      </c>
      <c r="DC206">
        <v>0.145453</v>
      </c>
      <c r="DD206">
        <v>0.11833200000000001</v>
      </c>
      <c r="DE206">
        <v>1.3651100000000001E-3</v>
      </c>
      <c r="DF206">
        <v>33406</v>
      </c>
      <c r="DG206">
        <v>27556.5</v>
      </c>
      <c r="DH206">
        <v>31183.8</v>
      </c>
      <c r="DI206">
        <v>28098.6</v>
      </c>
      <c r="DJ206">
        <v>37319.800000000003</v>
      </c>
      <c r="DK206">
        <v>39907.199999999997</v>
      </c>
      <c r="DL206">
        <v>44380.1</v>
      </c>
      <c r="DM206">
        <v>42586.1</v>
      </c>
      <c r="DN206">
        <v>1.4782200000000001</v>
      </c>
      <c r="DO206">
        <v>2.03078</v>
      </c>
      <c r="DP206">
        <v>0.16045899999999999</v>
      </c>
      <c r="DQ206">
        <v>0.14554300000000001</v>
      </c>
      <c r="DR206">
        <v>24.4057</v>
      </c>
      <c r="DS206">
        <v>24.3644</v>
      </c>
      <c r="DT206">
        <v>22</v>
      </c>
      <c r="DU206">
        <v>29.2</v>
      </c>
      <c r="DV206">
        <v>9.0711899999999996</v>
      </c>
      <c r="DW206">
        <v>60.423000000000002</v>
      </c>
      <c r="DX206">
        <v>37.736400000000003</v>
      </c>
      <c r="DY206">
        <v>1</v>
      </c>
      <c r="DZ206">
        <v>-0.10922</v>
      </c>
      <c r="EA206">
        <v>0.36381000000000002</v>
      </c>
      <c r="EB206">
        <v>20.189</v>
      </c>
      <c r="EC206">
        <v>5.2416999999999998</v>
      </c>
      <c r="ED206">
        <v>12.039899999999999</v>
      </c>
      <c r="EE206">
        <v>5.0172499999999998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1.8689100000000001</v>
      </c>
      <c r="EL206">
        <v>1.86463</v>
      </c>
      <c r="EM206">
        <v>1.8692</v>
      </c>
      <c r="EN206">
        <v>1.8672200000000001</v>
      </c>
      <c r="EO206">
        <v>1.8633900000000001</v>
      </c>
      <c r="EP206">
        <v>1.8644700000000001</v>
      </c>
      <c r="EQ206">
        <v>1.87018</v>
      </c>
      <c r="ER206">
        <v>1.8693900000000001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3.4000000000000002E-2</v>
      </c>
      <c r="FG206">
        <v>0.17519999999999999</v>
      </c>
      <c r="FH206">
        <v>0.28746640474027818</v>
      </c>
      <c r="FI206">
        <v>-6.1462078757559423E-4</v>
      </c>
      <c r="FJ206">
        <v>-1.8861989874597051E-7</v>
      </c>
      <c r="FK206">
        <v>1.1980462299894961E-10</v>
      </c>
      <c r="FL206">
        <v>0.17524818673008091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40.9</v>
      </c>
      <c r="FU206">
        <v>41</v>
      </c>
      <c r="FV206">
        <v>1.7639199999999999</v>
      </c>
      <c r="FW206">
        <v>2.5781200000000002</v>
      </c>
      <c r="FX206">
        <v>1.5490699999999999</v>
      </c>
      <c r="FY206">
        <v>2.3339799999999999</v>
      </c>
      <c r="FZ206">
        <v>1.50146</v>
      </c>
      <c r="GA206">
        <v>2.3107899999999999</v>
      </c>
      <c r="GB206">
        <v>33.580399999999997</v>
      </c>
      <c r="GC206">
        <v>23.982399999999998</v>
      </c>
      <c r="GD206">
        <v>19</v>
      </c>
      <c r="GE206">
        <v>282.87099999999998</v>
      </c>
      <c r="GF206">
        <v>576.34799999999996</v>
      </c>
      <c r="GG206">
        <v>23.437799999999999</v>
      </c>
      <c r="GH206">
        <v>26.0063</v>
      </c>
      <c r="GI206">
        <v>30.0002</v>
      </c>
      <c r="GJ206">
        <v>26.154299999999999</v>
      </c>
      <c r="GK206">
        <v>26.1418</v>
      </c>
      <c r="GL206">
        <v>35.276000000000003</v>
      </c>
      <c r="GM206">
        <v>100</v>
      </c>
      <c r="GN206">
        <v>0</v>
      </c>
      <c r="GO206">
        <v>23.424299999999999</v>
      </c>
      <c r="GP206">
        <v>800</v>
      </c>
      <c r="GQ206">
        <v>0</v>
      </c>
      <c r="GR206">
        <v>99.778300000000002</v>
      </c>
      <c r="GS206">
        <v>99.625200000000007</v>
      </c>
    </row>
    <row r="207" spans="1:201" x14ac:dyDescent="0.25">
      <c r="A207">
        <v>191</v>
      </c>
      <c r="B207">
        <v>1690384426</v>
      </c>
      <c r="C207">
        <v>1950.900000095367</v>
      </c>
      <c r="D207" t="s">
        <v>713</v>
      </c>
      <c r="E207" t="s">
        <v>714</v>
      </c>
      <c r="F207" t="s">
        <v>330</v>
      </c>
      <c r="H207">
        <v>1690384426</v>
      </c>
      <c r="I207">
        <f t="shared" si="60"/>
        <v>2.3843198511126879E-3</v>
      </c>
      <c r="J207">
        <f t="shared" si="61"/>
        <v>2.384319851112688</v>
      </c>
      <c r="K207">
        <f t="shared" si="62"/>
        <v>37.811431342559409</v>
      </c>
      <c r="L207">
        <f t="shared" si="63"/>
        <v>378.18</v>
      </c>
      <c r="M207">
        <f t="shared" si="64"/>
        <v>105.15637617656027</v>
      </c>
      <c r="N207">
        <f t="shared" si="65"/>
        <v>10.387275647853951</v>
      </c>
      <c r="O207">
        <f t="shared" si="66"/>
        <v>37.35636437214</v>
      </c>
      <c r="P207">
        <f t="shared" si="67"/>
        <v>0.23693312368598318</v>
      </c>
      <c r="Q207">
        <f t="shared" si="68"/>
        <v>2.1095275201545762</v>
      </c>
      <c r="R207">
        <f t="shared" si="69"/>
        <v>0.22307966252144631</v>
      </c>
      <c r="S207">
        <f t="shared" si="70"/>
        <v>0.14060191958196791</v>
      </c>
      <c r="T207">
        <f t="shared" si="71"/>
        <v>276.1125856846686</v>
      </c>
      <c r="U207">
        <f t="shared" si="72"/>
        <v>26.813601935576038</v>
      </c>
      <c r="V207">
        <f t="shared" si="73"/>
        <v>26.813601935576038</v>
      </c>
      <c r="W207">
        <f t="shared" si="74"/>
        <v>3.5401631373146567</v>
      </c>
      <c r="X207">
        <f t="shared" si="75"/>
        <v>77.069205462866492</v>
      </c>
      <c r="Y207">
        <f t="shared" si="76"/>
        <v>2.5167588589877998</v>
      </c>
      <c r="Z207">
        <f t="shared" si="77"/>
        <v>3.2655829833362242</v>
      </c>
      <c r="AA207">
        <f t="shared" si="78"/>
        <v>1.0234042783268569</v>
      </c>
      <c r="AB207">
        <f t="shared" si="79"/>
        <v>-105.14850543406953</v>
      </c>
      <c r="AC207">
        <f t="shared" si="80"/>
        <v>-155.31970738907179</v>
      </c>
      <c r="AD207">
        <f t="shared" si="81"/>
        <v>-15.752084145018527</v>
      </c>
      <c r="AE207">
        <f t="shared" si="82"/>
        <v>-0.10771128349122705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52434.486052160893</v>
      </c>
      <c r="AK207">
        <f t="shared" si="86"/>
        <v>1799.99</v>
      </c>
      <c r="AL207">
        <f t="shared" si="87"/>
        <v>1499.1033728016598</v>
      </c>
      <c r="AM207">
        <f t="shared" si="88"/>
        <v>0.83283983399999995</v>
      </c>
      <c r="AN207">
        <f t="shared" si="89"/>
        <v>0.15339673313999999</v>
      </c>
      <c r="AO207">
        <v>32.700000000000003</v>
      </c>
      <c r="AP207">
        <v>0.5</v>
      </c>
      <c r="AQ207" t="s">
        <v>331</v>
      </c>
      <c r="AR207">
        <v>2</v>
      </c>
      <c r="AS207">
        <v>1690384426</v>
      </c>
      <c r="AT207">
        <v>378.18</v>
      </c>
      <c r="AU207">
        <v>799.976</v>
      </c>
      <c r="AV207">
        <v>25.4786</v>
      </c>
      <c r="AW207">
        <v>0.16231200000000001</v>
      </c>
      <c r="AX207">
        <v>378.14499999999998</v>
      </c>
      <c r="AY207">
        <v>25.3034</v>
      </c>
      <c r="AZ207">
        <v>300.12599999999998</v>
      </c>
      <c r="BA207">
        <v>98.679299999999998</v>
      </c>
      <c r="BB207">
        <v>0.100023</v>
      </c>
      <c r="BC207">
        <v>25.447900000000001</v>
      </c>
      <c r="BD207">
        <v>27.041</v>
      </c>
      <c r="BE207">
        <v>26.748100000000001</v>
      </c>
      <c r="BF207">
        <v>0</v>
      </c>
      <c r="BG207">
        <v>0</v>
      </c>
      <c r="BH207">
        <v>9996.8799999999992</v>
      </c>
      <c r="BI207">
        <v>1060.7</v>
      </c>
      <c r="BJ207">
        <v>2.5229699999999999</v>
      </c>
      <c r="BK207">
        <v>-421.79599999999999</v>
      </c>
      <c r="BL207">
        <v>388.06700000000001</v>
      </c>
      <c r="BM207">
        <v>800.10599999999999</v>
      </c>
      <c r="BN207">
        <v>25.316299999999998</v>
      </c>
      <c r="BO207">
        <v>799.976</v>
      </c>
      <c r="BP207">
        <v>0.16231200000000001</v>
      </c>
      <c r="BQ207">
        <v>2.5142099999999998</v>
      </c>
      <c r="BR207">
        <v>1.6016800000000001E-2</v>
      </c>
      <c r="BS207">
        <v>21.1188</v>
      </c>
      <c r="BT207">
        <v>-41.542200000000001</v>
      </c>
      <c r="BU207">
        <v>1799.99</v>
      </c>
      <c r="BV207">
        <v>0.91000899999999996</v>
      </c>
      <c r="BW207">
        <v>3.3998399999999998E-2</v>
      </c>
      <c r="BX207">
        <v>2.1991199999999999E-2</v>
      </c>
      <c r="BY207">
        <v>3.4001400000000001E-2</v>
      </c>
      <c r="BZ207">
        <v>26</v>
      </c>
      <c r="CA207">
        <v>33528.400000000001</v>
      </c>
      <c r="CB207">
        <v>1690381960.0999999</v>
      </c>
      <c r="CC207" t="s">
        <v>332</v>
      </c>
      <c r="CD207">
        <v>1690381960.0999999</v>
      </c>
      <c r="CE207">
        <v>1690381958.0999999</v>
      </c>
      <c r="CF207">
        <v>4</v>
      </c>
      <c r="CG207">
        <v>9.9000000000000005E-2</v>
      </c>
      <c r="CH207">
        <v>1.2E-2</v>
      </c>
      <c r="CI207">
        <v>-0.26300000000000001</v>
      </c>
      <c r="CJ207">
        <v>0.127</v>
      </c>
      <c r="CK207">
        <v>798</v>
      </c>
      <c r="CL207">
        <v>18</v>
      </c>
      <c r="CM207">
        <v>0.02</v>
      </c>
      <c r="CN207">
        <v>0.12</v>
      </c>
      <c r="CO207">
        <v>-421.33941463414641</v>
      </c>
      <c r="CP207">
        <v>-2.7301881533107641</v>
      </c>
      <c r="CQ207">
        <v>0.29095184209760222</v>
      </c>
      <c r="CR207">
        <v>-1</v>
      </c>
      <c r="CS207">
        <v>25.287221951219511</v>
      </c>
      <c r="CT207">
        <v>0.14303623693379719</v>
      </c>
      <c r="CU207">
        <v>1.4234302645458229E-2</v>
      </c>
      <c r="CV207">
        <v>-1</v>
      </c>
      <c r="CW207">
        <v>0</v>
      </c>
      <c r="CX207">
        <v>0</v>
      </c>
      <c r="CY207" t="s">
        <v>333</v>
      </c>
      <c r="CZ207">
        <v>2.3647900000000002</v>
      </c>
      <c r="DA207">
        <v>2.7138100000000001</v>
      </c>
      <c r="DB207">
        <v>8.5392300000000004E-2</v>
      </c>
      <c r="DC207">
        <v>0.145459</v>
      </c>
      <c r="DD207">
        <v>0.118426</v>
      </c>
      <c r="DE207">
        <v>1.3615599999999999E-3</v>
      </c>
      <c r="DF207">
        <v>33409.699999999997</v>
      </c>
      <c r="DG207">
        <v>27556.5</v>
      </c>
      <c r="DH207">
        <v>31184</v>
      </c>
      <c r="DI207">
        <v>28098.799999999999</v>
      </c>
      <c r="DJ207">
        <v>37315.699999999997</v>
      </c>
      <c r="DK207">
        <v>39907.599999999999</v>
      </c>
      <c r="DL207">
        <v>44380</v>
      </c>
      <c r="DM207">
        <v>42586.3</v>
      </c>
      <c r="DN207">
        <v>1.47767</v>
      </c>
      <c r="DO207">
        <v>2.0306700000000002</v>
      </c>
      <c r="DP207">
        <v>0.16067899999999999</v>
      </c>
      <c r="DQ207">
        <v>0.14551</v>
      </c>
      <c r="DR207">
        <v>24.407699999999998</v>
      </c>
      <c r="DS207">
        <v>24.3628</v>
      </c>
      <c r="DT207">
        <v>22</v>
      </c>
      <c r="DU207">
        <v>29.2</v>
      </c>
      <c r="DV207">
        <v>9.0710099999999994</v>
      </c>
      <c r="DW207">
        <v>60.803100000000001</v>
      </c>
      <c r="DX207">
        <v>37.616199999999999</v>
      </c>
      <c r="DY207">
        <v>1</v>
      </c>
      <c r="DZ207">
        <v>-0.10956</v>
      </c>
      <c r="EA207">
        <v>0.54176999999999997</v>
      </c>
      <c r="EB207">
        <v>20.188500000000001</v>
      </c>
      <c r="EC207">
        <v>5.24125</v>
      </c>
      <c r="ED207">
        <v>12.039899999999999</v>
      </c>
      <c r="EE207">
        <v>5.01715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1.8689100000000001</v>
      </c>
      <c r="EL207">
        <v>1.8646199999999999</v>
      </c>
      <c r="EM207">
        <v>1.8692</v>
      </c>
      <c r="EN207">
        <v>1.8672299999999999</v>
      </c>
      <c r="EO207">
        <v>1.8633900000000001</v>
      </c>
      <c r="EP207">
        <v>1.8644700000000001</v>
      </c>
      <c r="EQ207">
        <v>1.8702000000000001</v>
      </c>
      <c r="ER207">
        <v>1.86941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3.5000000000000003E-2</v>
      </c>
      <c r="FG207">
        <v>0.17519999999999999</v>
      </c>
      <c r="FH207">
        <v>0.28746640474027818</v>
      </c>
      <c r="FI207">
        <v>-6.1462078757559423E-4</v>
      </c>
      <c r="FJ207">
        <v>-1.8861989874597051E-7</v>
      </c>
      <c r="FK207">
        <v>1.1980462299894961E-10</v>
      </c>
      <c r="FL207">
        <v>0.17524818673008091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41.1</v>
      </c>
      <c r="FU207">
        <v>41.1</v>
      </c>
      <c r="FV207">
        <v>1.7639199999999999</v>
      </c>
      <c r="FW207">
        <v>2.5744600000000002</v>
      </c>
      <c r="FX207">
        <v>1.5490699999999999</v>
      </c>
      <c r="FY207">
        <v>2.3339799999999999</v>
      </c>
      <c r="FZ207">
        <v>1.50146</v>
      </c>
      <c r="GA207">
        <v>2.3815900000000001</v>
      </c>
      <c r="GB207">
        <v>33.580399999999997</v>
      </c>
      <c r="GC207">
        <v>23.982399999999998</v>
      </c>
      <c r="GD207">
        <v>19</v>
      </c>
      <c r="GE207">
        <v>282.637</v>
      </c>
      <c r="GF207">
        <v>576.24199999999996</v>
      </c>
      <c r="GG207">
        <v>23.4024</v>
      </c>
      <c r="GH207">
        <v>26.004200000000001</v>
      </c>
      <c r="GI207">
        <v>30.0001</v>
      </c>
      <c r="GJ207">
        <v>26.154299999999999</v>
      </c>
      <c r="GK207">
        <v>26.139600000000002</v>
      </c>
      <c r="GL207">
        <v>35.275599999999997</v>
      </c>
      <c r="GM207">
        <v>100</v>
      </c>
      <c r="GN207">
        <v>0</v>
      </c>
      <c r="GO207">
        <v>23.365200000000002</v>
      </c>
      <c r="GP207">
        <v>800</v>
      </c>
      <c r="GQ207">
        <v>0</v>
      </c>
      <c r="GR207">
        <v>99.778400000000005</v>
      </c>
      <c r="GS207">
        <v>99.625799999999998</v>
      </c>
    </row>
    <row r="208" spans="1:201" x14ac:dyDescent="0.25">
      <c r="A208">
        <v>192</v>
      </c>
      <c r="B208">
        <v>1690384436</v>
      </c>
      <c r="C208">
        <v>1960.900000095367</v>
      </c>
      <c r="D208" t="s">
        <v>715</v>
      </c>
      <c r="E208" t="s">
        <v>716</v>
      </c>
      <c r="F208" t="s">
        <v>330</v>
      </c>
      <c r="H208">
        <v>1690384436</v>
      </c>
      <c r="I208">
        <f t="shared" si="60"/>
        <v>2.3836242497217814E-3</v>
      </c>
      <c r="J208">
        <f t="shared" si="61"/>
        <v>2.3836242497217812</v>
      </c>
      <c r="K208">
        <f t="shared" si="62"/>
        <v>37.835812126662823</v>
      </c>
      <c r="L208">
        <f t="shared" si="63"/>
        <v>377.92399999999998</v>
      </c>
      <c r="M208">
        <f t="shared" si="64"/>
        <v>104.4148736530763</v>
      </c>
      <c r="N208">
        <f t="shared" si="65"/>
        <v>10.314160568865059</v>
      </c>
      <c r="O208">
        <f t="shared" si="66"/>
        <v>37.331547532001601</v>
      </c>
      <c r="P208">
        <f t="shared" si="67"/>
        <v>0.23662980434610714</v>
      </c>
      <c r="Q208">
        <f t="shared" si="68"/>
        <v>2.1111872788669852</v>
      </c>
      <c r="R208">
        <f t="shared" si="69"/>
        <v>0.22282086416732541</v>
      </c>
      <c r="S208">
        <f t="shared" si="70"/>
        <v>0.14043651836265802</v>
      </c>
      <c r="T208">
        <f t="shared" si="71"/>
        <v>276.11411916599997</v>
      </c>
      <c r="U208">
        <f t="shared" si="72"/>
        <v>26.814781165639943</v>
      </c>
      <c r="V208">
        <f t="shared" si="73"/>
        <v>26.814781165639943</v>
      </c>
      <c r="W208">
        <f t="shared" si="74"/>
        <v>3.5404086747218986</v>
      </c>
      <c r="X208">
        <f t="shared" si="75"/>
        <v>77.040304905614192</v>
      </c>
      <c r="Y208">
        <f t="shared" si="76"/>
        <v>2.5160991260574397</v>
      </c>
      <c r="Z208">
        <f t="shared" si="77"/>
        <v>3.2659516718424655</v>
      </c>
      <c r="AA208">
        <f t="shared" si="78"/>
        <v>1.0243095486644589</v>
      </c>
      <c r="AB208">
        <f t="shared" si="79"/>
        <v>-105.11782941273056</v>
      </c>
      <c r="AC208">
        <f t="shared" si="80"/>
        <v>-155.35987481396646</v>
      </c>
      <c r="AD208">
        <f t="shared" si="81"/>
        <v>-15.744013755066554</v>
      </c>
      <c r="AE208">
        <f t="shared" si="82"/>
        <v>-0.10759881576356634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52506.873771271268</v>
      </c>
      <c r="AK208">
        <f t="shared" si="86"/>
        <v>1800</v>
      </c>
      <c r="AL208">
        <f t="shared" si="87"/>
        <v>1499.1094386</v>
      </c>
      <c r="AM208">
        <f t="shared" si="88"/>
        <v>0.83283857699999997</v>
      </c>
      <c r="AN208">
        <f t="shared" si="89"/>
        <v>0.15339673287</v>
      </c>
      <c r="AO208">
        <v>32.700000000000003</v>
      </c>
      <c r="AP208">
        <v>0.5</v>
      </c>
      <c r="AQ208" t="s">
        <v>331</v>
      </c>
      <c r="AR208">
        <v>2</v>
      </c>
      <c r="AS208">
        <v>1690384436</v>
      </c>
      <c r="AT208">
        <v>377.92399999999998</v>
      </c>
      <c r="AU208">
        <v>799.99300000000005</v>
      </c>
      <c r="AV208">
        <v>25.471599999999999</v>
      </c>
      <c r="AW208">
        <v>0.16150400000000001</v>
      </c>
      <c r="AX208">
        <v>377.88900000000001</v>
      </c>
      <c r="AY208">
        <v>25.296399999999998</v>
      </c>
      <c r="AZ208">
        <v>300.11399999999998</v>
      </c>
      <c r="BA208">
        <v>98.680599999999998</v>
      </c>
      <c r="BB208">
        <v>9.9968399999999999E-2</v>
      </c>
      <c r="BC208">
        <v>25.4498</v>
      </c>
      <c r="BD208">
        <v>27.034400000000002</v>
      </c>
      <c r="BE208">
        <v>26.7624</v>
      </c>
      <c r="BF208">
        <v>0</v>
      </c>
      <c r="BG208">
        <v>0</v>
      </c>
      <c r="BH208">
        <v>10011.200000000001</v>
      </c>
      <c r="BI208">
        <v>1060.73</v>
      </c>
      <c r="BJ208">
        <v>2.5229699999999999</v>
      </c>
      <c r="BK208">
        <v>-422.06900000000002</v>
      </c>
      <c r="BL208">
        <v>387.80200000000002</v>
      </c>
      <c r="BM208">
        <v>800.12199999999996</v>
      </c>
      <c r="BN208">
        <v>25.310099999999998</v>
      </c>
      <c r="BO208">
        <v>799.99300000000005</v>
      </c>
      <c r="BP208">
        <v>0.16150400000000001</v>
      </c>
      <c r="BQ208">
        <v>2.51355</v>
      </c>
      <c r="BR208">
        <v>1.5937300000000001E-2</v>
      </c>
      <c r="BS208">
        <v>21.1145</v>
      </c>
      <c r="BT208">
        <v>-41.589100000000002</v>
      </c>
      <c r="BU208">
        <v>1800</v>
      </c>
      <c r="BV208">
        <v>0.90999699999999994</v>
      </c>
      <c r="BW208">
        <v>3.39975E-2</v>
      </c>
      <c r="BX208">
        <v>2.1990599999999999E-2</v>
      </c>
      <c r="BY208">
        <v>3.4014700000000002E-2</v>
      </c>
      <c r="BZ208">
        <v>26</v>
      </c>
      <c r="CA208">
        <v>33528.5</v>
      </c>
      <c r="CB208">
        <v>1690381960.0999999</v>
      </c>
      <c r="CC208" t="s">
        <v>332</v>
      </c>
      <c r="CD208">
        <v>1690381960.0999999</v>
      </c>
      <c r="CE208">
        <v>1690381958.0999999</v>
      </c>
      <c r="CF208">
        <v>4</v>
      </c>
      <c r="CG208">
        <v>9.9000000000000005E-2</v>
      </c>
      <c r="CH208">
        <v>1.2E-2</v>
      </c>
      <c r="CI208">
        <v>-0.26300000000000001</v>
      </c>
      <c r="CJ208">
        <v>0.127</v>
      </c>
      <c r="CK208">
        <v>798</v>
      </c>
      <c r="CL208">
        <v>18</v>
      </c>
      <c r="CM208">
        <v>0.02</v>
      </c>
      <c r="CN208">
        <v>0.12</v>
      </c>
      <c r="CO208">
        <v>-421.72917073170731</v>
      </c>
      <c r="CP208">
        <v>-2.5918536585364822</v>
      </c>
      <c r="CQ208">
        <v>0.27726802234757508</v>
      </c>
      <c r="CR208">
        <v>-1</v>
      </c>
      <c r="CS208">
        <v>25.307390243902439</v>
      </c>
      <c r="CT208">
        <v>9.128780487804293E-2</v>
      </c>
      <c r="CU208">
        <v>1.0447774996597801E-2</v>
      </c>
      <c r="CV208">
        <v>-1</v>
      </c>
      <c r="CW208">
        <v>0</v>
      </c>
      <c r="CX208">
        <v>0</v>
      </c>
      <c r="CY208" t="s">
        <v>333</v>
      </c>
      <c r="CZ208">
        <v>2.3647399999999998</v>
      </c>
      <c r="DA208">
        <v>2.7137699999999998</v>
      </c>
      <c r="DB208">
        <v>8.5348900000000005E-2</v>
      </c>
      <c r="DC208">
        <v>0.14546300000000001</v>
      </c>
      <c r="DD208">
        <v>0.118406</v>
      </c>
      <c r="DE208">
        <v>1.35486E-3</v>
      </c>
      <c r="DF208">
        <v>33411.1</v>
      </c>
      <c r="DG208">
        <v>27556.799999999999</v>
      </c>
      <c r="DH208">
        <v>31183.9</v>
      </c>
      <c r="DI208">
        <v>28099.3</v>
      </c>
      <c r="DJ208">
        <v>37316.5</v>
      </c>
      <c r="DK208">
        <v>39908.5</v>
      </c>
      <c r="DL208">
        <v>44379.8</v>
      </c>
      <c r="DM208">
        <v>42586.9</v>
      </c>
      <c r="DN208">
        <v>1.4780800000000001</v>
      </c>
      <c r="DO208">
        <v>2.0309699999999999</v>
      </c>
      <c r="DP208">
        <v>0.16023200000000001</v>
      </c>
      <c r="DQ208">
        <v>0.14627000000000001</v>
      </c>
      <c r="DR208">
        <v>24.4085</v>
      </c>
      <c r="DS208">
        <v>24.364599999999999</v>
      </c>
      <c r="DT208">
        <v>21.9</v>
      </c>
      <c r="DU208">
        <v>29.2</v>
      </c>
      <c r="DV208">
        <v>9.0295500000000004</v>
      </c>
      <c r="DW208">
        <v>61.063099999999999</v>
      </c>
      <c r="DX208">
        <v>37.095399999999998</v>
      </c>
      <c r="DY208">
        <v>1</v>
      </c>
      <c r="DZ208">
        <v>-0.109652</v>
      </c>
      <c r="EA208">
        <v>0.654586</v>
      </c>
      <c r="EB208">
        <v>20.1877</v>
      </c>
      <c r="EC208">
        <v>5.242</v>
      </c>
      <c r="ED208">
        <v>12.039899999999999</v>
      </c>
      <c r="EE208">
        <v>5.0174500000000002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1.8689100000000001</v>
      </c>
      <c r="EL208">
        <v>1.8646199999999999</v>
      </c>
      <c r="EM208">
        <v>1.8692</v>
      </c>
      <c r="EN208">
        <v>1.8672200000000001</v>
      </c>
      <c r="EO208">
        <v>1.8633999999999999</v>
      </c>
      <c r="EP208">
        <v>1.8644700000000001</v>
      </c>
      <c r="EQ208">
        <v>1.87018</v>
      </c>
      <c r="ER208">
        <v>1.8694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3.5000000000000003E-2</v>
      </c>
      <c r="FG208">
        <v>0.17519999999999999</v>
      </c>
      <c r="FH208">
        <v>0.28746640474027818</v>
      </c>
      <c r="FI208">
        <v>-6.1462078757559423E-4</v>
      </c>
      <c r="FJ208">
        <v>-1.8861989874597051E-7</v>
      </c>
      <c r="FK208">
        <v>1.1980462299894961E-10</v>
      </c>
      <c r="FL208">
        <v>0.17524818673008091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41.3</v>
      </c>
      <c r="FU208">
        <v>41.3</v>
      </c>
      <c r="FV208">
        <v>1.7651399999999999</v>
      </c>
      <c r="FW208">
        <v>2.5769000000000002</v>
      </c>
      <c r="FX208">
        <v>1.5490699999999999</v>
      </c>
      <c r="FY208">
        <v>2.3339799999999999</v>
      </c>
      <c r="FZ208">
        <v>1.50146</v>
      </c>
      <c r="GA208">
        <v>2.3742700000000001</v>
      </c>
      <c r="GB208">
        <v>33.602899999999998</v>
      </c>
      <c r="GC208">
        <v>23.982399999999998</v>
      </c>
      <c r="GD208">
        <v>19</v>
      </c>
      <c r="GE208">
        <v>282.798</v>
      </c>
      <c r="GF208">
        <v>576.48699999999997</v>
      </c>
      <c r="GG208">
        <v>23.324999999999999</v>
      </c>
      <c r="GH208">
        <v>26.004200000000001</v>
      </c>
      <c r="GI208">
        <v>30</v>
      </c>
      <c r="GJ208">
        <v>26.152100000000001</v>
      </c>
      <c r="GK208">
        <v>26.139600000000002</v>
      </c>
      <c r="GL208">
        <v>35.276200000000003</v>
      </c>
      <c r="GM208">
        <v>100</v>
      </c>
      <c r="GN208">
        <v>0</v>
      </c>
      <c r="GO208">
        <v>23.287099999999999</v>
      </c>
      <c r="GP208">
        <v>800</v>
      </c>
      <c r="GQ208">
        <v>0</v>
      </c>
      <c r="GR208">
        <v>99.778000000000006</v>
      </c>
      <c r="GS208">
        <v>99.627300000000005</v>
      </c>
    </row>
    <row r="209" spans="1:201" x14ac:dyDescent="0.25">
      <c r="A209">
        <v>193</v>
      </c>
      <c r="B209">
        <v>1690384446</v>
      </c>
      <c r="C209">
        <v>1970.900000095367</v>
      </c>
      <c r="D209" t="s">
        <v>717</v>
      </c>
      <c r="E209" t="s">
        <v>718</v>
      </c>
      <c r="F209" t="s">
        <v>330</v>
      </c>
      <c r="H209">
        <v>1690384446</v>
      </c>
      <c r="I209">
        <f t="shared" ref="I209:I272" si="90">(J209)/1000</f>
        <v>2.3823822977391837E-3</v>
      </c>
      <c r="J209">
        <f t="shared" ref="J209:J229" si="91">1000*AZ209*AH209*(AV209-AW209)/(100*AO209*(1000-AH209*AV209))</f>
        <v>2.3823822977391838</v>
      </c>
      <c r="K209">
        <f t="shared" ref="K209:K229" si="92">AZ209*AH209*(AU209-AT209*(1000-AH209*AW209)/(1000-AH209*AV209))/(100*AO209)</f>
        <v>37.872768023486231</v>
      </c>
      <c r="L209">
        <f t="shared" ref="L209:L272" si="93">AT209 - IF(AH209&gt;1, K209*AO209*100/(AJ209*BH209), 0)</f>
        <v>377.529</v>
      </c>
      <c r="M209">
        <f t="shared" ref="M209:M272" si="94">((S209-I209/2)*L209-K209)/(S209+I209/2)</f>
        <v>103.80195923642468</v>
      </c>
      <c r="N209">
        <f t="shared" ref="N209:N272" si="95">M209*(BA209+BB209)/1000</f>
        <v>10.253612652214384</v>
      </c>
      <c r="O209">
        <f t="shared" ref="O209:O229" si="96">(AT209 - IF(AH209&gt;1, K209*AO209*100/(AJ209*BH209), 0))*(BA209+BB209)/1000</f>
        <v>37.292515087898998</v>
      </c>
      <c r="P209">
        <f t="shared" ref="P209:P272" si="97">2/((1/R209-1/Q209)+SIGN(R209)*SQRT((1/R209-1/Q209)*(1/R209-1/Q209) + 4*AP209/((AP209+1)*(AP209+1))*(2*1/R209*1/Q209-1/Q209*1/Q209)))</f>
        <v>0.2366838473656194</v>
      </c>
      <c r="Q209">
        <f t="shared" ref="Q209:Q229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2.107383647482358</v>
      </c>
      <c r="R209">
        <f t="shared" ref="R209:R229" si="99">I209*(1000-(1000*0.61365*EXP(17.502*V209/(240.97+V209))/(BA209+BB209)+AV209)/2)/(1000*0.61365*EXP(17.502*V209/(240.97+V209))/(BA209+BB209)-AV209)</f>
        <v>0.22284542637446425</v>
      </c>
      <c r="S209">
        <f t="shared" ref="S209:S229" si="100">1/((AP209+1)/(P209/1.6)+1/(Q209/1.37)) + AP209/((AP209+1)/(P209/1.6) + AP209/(Q209/1.37))</f>
        <v>0.14045424629791115</v>
      </c>
      <c r="T209">
        <f t="shared" ref="T209:T229" si="101">(AK209*AN209)</f>
        <v>276.11402111999996</v>
      </c>
      <c r="U209">
        <f t="shared" ref="U209:U272" si="102">(BC209+(T209+2*0.95*0.0000000567*(((BC209+$B$7)+273)^4-(BC209+273)^4)-44100*I209)/(1.84*29.3*Q209+8*0.95*0.0000000567*(BC209+273)^3))</f>
        <v>26.804972050852591</v>
      </c>
      <c r="V209">
        <f t="shared" ref="V209:V272" si="103">($C$7*BD209+$D$7*BE209+$E$7*U209)</f>
        <v>26.804972050852591</v>
      </c>
      <c r="W209">
        <f t="shared" ref="W209:W272" si="104">0.61365*EXP(17.502*V209/(240.97+V209))</f>
        <v>3.5383666888975331</v>
      </c>
      <c r="X209">
        <f t="shared" ref="X209:X272" si="105">(Y209/Z209*100)</f>
        <v>77.0542360832208</v>
      </c>
      <c r="Y209">
        <f t="shared" ref="Y209:Y229" si="106">AV209*(BA209+BB209)/1000</f>
        <v>2.5146856118262999</v>
      </c>
      <c r="Z209">
        <f t="shared" ref="Z209:Z229" si="107">0.61365*EXP(17.502*BC209/(240.97+BC209))</f>
        <v>3.2635267568033073</v>
      </c>
      <c r="AA209">
        <f t="shared" ref="AA209:AA229" si="108">(W209-AV209*(BA209+BB209)/1000)</f>
        <v>1.0236810770712332</v>
      </c>
      <c r="AB209">
        <f t="shared" ref="AB209:AB229" si="109">(-I209*44100)</f>
        <v>-105.063059330298</v>
      </c>
      <c r="AC209">
        <f t="shared" ref="AC209:AC229" si="110">2*29.3*Q209*0.92*(BC209-V209)</f>
        <v>-155.38569015968457</v>
      </c>
      <c r="AD209">
        <f t="shared" ref="AD209:AD229" si="111">2*0.95*0.0000000567*(((BC209+$B$7)+273)^4-(V209+273)^4)</f>
        <v>-15.773286712505952</v>
      </c>
      <c r="AE209">
        <f t="shared" ref="AE209:AE272" si="112">T209+AD209+AB209+AC209</f>
        <v>-0.10801508248860614</v>
      </c>
      <c r="AF209">
        <v>0</v>
      </c>
      <c r="AG209">
        <v>0</v>
      </c>
      <c r="AH209">
        <f t="shared" ref="AH209:AH229" si="113">IF(AF209*$H$13&gt;=AJ209,1,(AJ209/(AJ209-AF209*$H$13)))</f>
        <v>1</v>
      </c>
      <c r="AI209">
        <f t="shared" ref="AI209:AI272" si="114">(AH209-1)*100</f>
        <v>0</v>
      </c>
      <c r="AJ209">
        <f t="shared" ref="AJ209:AJ229" si="115">MAX(0,($B$13+$C$13*BH209)/(1+$D$13*BH209)*BA209/(BC209+273)*$E$13)</f>
        <v>52342.572339272549</v>
      </c>
      <c r="AK209">
        <f t="shared" ref="AK209:AK229" si="116">$B$11*BI209+$C$11*BJ209+$D$11*BU209</f>
        <v>1800</v>
      </c>
      <c r="AL209">
        <f t="shared" ref="AL209:AL272" si="117">AK209*AM209</f>
        <v>1499.109021</v>
      </c>
      <c r="AM209">
        <f t="shared" ref="AM209:AM229" si="118">($B$11*$D$9+$C$11*$D$9+$D$11*(BV209*$E$9+BW209*$F$9+BX209*$G$9+BY209*$H$9))/($B$11+$C$11+$D$11)</f>
        <v>0.83283834499999998</v>
      </c>
      <c r="AN209">
        <f t="shared" ref="AN209:AN229" si="119">($B$11*$K$9+$C$11*$K$9+$D$11*(BV209*$L$9+BW209*$M$9+BX209*$N$9+BY209*$O$9))/($B$11+$C$11+$D$11)</f>
        <v>0.15339667839999999</v>
      </c>
      <c r="AO209">
        <v>32.700000000000003</v>
      </c>
      <c r="AP209">
        <v>0.5</v>
      </c>
      <c r="AQ209" t="s">
        <v>331</v>
      </c>
      <c r="AR209">
        <v>2</v>
      </c>
      <c r="AS209">
        <v>1690384446</v>
      </c>
      <c r="AT209">
        <v>377.529</v>
      </c>
      <c r="AU209">
        <v>799.96699999999998</v>
      </c>
      <c r="AV209">
        <v>25.4573</v>
      </c>
      <c r="AW209">
        <v>0.16111600000000001</v>
      </c>
      <c r="AX209">
        <v>377.49400000000003</v>
      </c>
      <c r="AY209">
        <v>25.282</v>
      </c>
      <c r="AZ209">
        <v>300.12700000000001</v>
      </c>
      <c r="BA209">
        <v>98.680499999999995</v>
      </c>
      <c r="BB209">
        <v>0.10003099999999999</v>
      </c>
      <c r="BC209">
        <v>25.4373</v>
      </c>
      <c r="BD209">
        <v>26.970600000000001</v>
      </c>
      <c r="BE209">
        <v>26.762</v>
      </c>
      <c r="BF209">
        <v>0</v>
      </c>
      <c r="BG209">
        <v>0</v>
      </c>
      <c r="BH209">
        <v>9978.1200000000008</v>
      </c>
      <c r="BI209">
        <v>1060.79</v>
      </c>
      <c r="BJ209">
        <v>2.4669099999999999</v>
      </c>
      <c r="BK209">
        <v>-422.43700000000001</v>
      </c>
      <c r="BL209">
        <v>387.39100000000002</v>
      </c>
      <c r="BM209">
        <v>800.096</v>
      </c>
      <c r="BN209">
        <v>25.296199999999999</v>
      </c>
      <c r="BO209">
        <v>799.96699999999998</v>
      </c>
      <c r="BP209">
        <v>0.16111600000000001</v>
      </c>
      <c r="BQ209">
        <v>2.51214</v>
      </c>
      <c r="BR209">
        <v>1.5899099999999999E-2</v>
      </c>
      <c r="BS209">
        <v>21.105399999999999</v>
      </c>
      <c r="BT209">
        <v>-41.611699999999999</v>
      </c>
      <c r="BU209">
        <v>1800</v>
      </c>
      <c r="BV209">
        <v>0.90999699999999994</v>
      </c>
      <c r="BW209">
        <v>3.3997399999999997E-2</v>
      </c>
      <c r="BX209">
        <v>2.19905E-2</v>
      </c>
      <c r="BY209">
        <v>3.4014599999999999E-2</v>
      </c>
      <c r="BZ209">
        <v>26</v>
      </c>
      <c r="CA209">
        <v>33528.6</v>
      </c>
      <c r="CB209">
        <v>1690381960.0999999</v>
      </c>
      <c r="CC209" t="s">
        <v>332</v>
      </c>
      <c r="CD209">
        <v>1690381960.0999999</v>
      </c>
      <c r="CE209">
        <v>1690381958.0999999</v>
      </c>
      <c r="CF209">
        <v>4</v>
      </c>
      <c r="CG209">
        <v>9.9000000000000005E-2</v>
      </c>
      <c r="CH209">
        <v>1.2E-2</v>
      </c>
      <c r="CI209">
        <v>-0.26300000000000001</v>
      </c>
      <c r="CJ209">
        <v>0.127</v>
      </c>
      <c r="CK209">
        <v>798</v>
      </c>
      <c r="CL209">
        <v>18</v>
      </c>
      <c r="CM209">
        <v>0.02</v>
      </c>
      <c r="CN209">
        <v>0.12</v>
      </c>
      <c r="CO209">
        <v>-422.06977499999999</v>
      </c>
      <c r="CP209">
        <v>-1.96148217635962</v>
      </c>
      <c r="CQ209">
        <v>0.1946876328249959</v>
      </c>
      <c r="CR209">
        <v>-1</v>
      </c>
      <c r="CS209">
        <v>25.310770000000002</v>
      </c>
      <c r="CT209">
        <v>-6.0607879924984481E-2</v>
      </c>
      <c r="CU209">
        <v>6.0982866446241219E-3</v>
      </c>
      <c r="CV209">
        <v>-1</v>
      </c>
      <c r="CW209">
        <v>0</v>
      </c>
      <c r="CX209">
        <v>0</v>
      </c>
      <c r="CY209" t="s">
        <v>333</v>
      </c>
      <c r="CZ209">
        <v>2.36477</v>
      </c>
      <c r="DA209">
        <v>2.7138</v>
      </c>
      <c r="DB209">
        <v>8.52802E-2</v>
      </c>
      <c r="DC209">
        <v>0.14546000000000001</v>
      </c>
      <c r="DD209">
        <v>0.11835900000000001</v>
      </c>
      <c r="DE209">
        <v>1.35165E-3</v>
      </c>
      <c r="DF209">
        <v>33413.800000000003</v>
      </c>
      <c r="DG209">
        <v>27556.6</v>
      </c>
      <c r="DH209">
        <v>31184</v>
      </c>
      <c r="DI209">
        <v>28098.9</v>
      </c>
      <c r="DJ209">
        <v>37318.800000000003</v>
      </c>
      <c r="DK209">
        <v>39908</v>
      </c>
      <c r="DL209">
        <v>44380.2</v>
      </c>
      <c r="DM209">
        <v>42586.3</v>
      </c>
      <c r="DN209">
        <v>1.4779500000000001</v>
      </c>
      <c r="DO209">
        <v>2.0308999999999999</v>
      </c>
      <c r="DP209">
        <v>0.15614600000000001</v>
      </c>
      <c r="DQ209">
        <v>0.14625099999999999</v>
      </c>
      <c r="DR209">
        <v>24.4116</v>
      </c>
      <c r="DS209">
        <v>24.364599999999999</v>
      </c>
      <c r="DT209">
        <v>21.9</v>
      </c>
      <c r="DU209">
        <v>29.2</v>
      </c>
      <c r="DV209">
        <v>9.0293399999999995</v>
      </c>
      <c r="DW209">
        <v>60.963099999999997</v>
      </c>
      <c r="DX209">
        <v>36.814900000000002</v>
      </c>
      <c r="DY209">
        <v>1</v>
      </c>
      <c r="DZ209">
        <v>-0.109657</v>
      </c>
      <c r="EA209">
        <v>0.50337100000000001</v>
      </c>
      <c r="EB209">
        <v>20.188500000000001</v>
      </c>
      <c r="EC209">
        <v>5.2415500000000002</v>
      </c>
      <c r="ED209">
        <v>12.039899999999999</v>
      </c>
      <c r="EE209">
        <v>5.0171000000000001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</v>
      </c>
      <c r="EL209">
        <v>1.8646199999999999</v>
      </c>
      <c r="EM209">
        <v>1.8692</v>
      </c>
      <c r="EN209">
        <v>1.8672200000000001</v>
      </c>
      <c r="EO209">
        <v>1.8633999999999999</v>
      </c>
      <c r="EP209">
        <v>1.8644700000000001</v>
      </c>
      <c r="EQ209">
        <v>1.87015</v>
      </c>
      <c r="ER209">
        <v>1.86937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3.5000000000000003E-2</v>
      </c>
      <c r="FG209">
        <v>0.17530000000000001</v>
      </c>
      <c r="FH209">
        <v>0.28746640474027818</v>
      </c>
      <c r="FI209">
        <v>-6.1462078757559423E-4</v>
      </c>
      <c r="FJ209">
        <v>-1.8861989874597051E-7</v>
      </c>
      <c r="FK209">
        <v>1.1980462299894961E-10</v>
      </c>
      <c r="FL209">
        <v>0.17524818673008091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41.4</v>
      </c>
      <c r="FU209">
        <v>41.5</v>
      </c>
      <c r="FV209">
        <v>1.7651399999999999</v>
      </c>
      <c r="FW209">
        <v>2.5793499999999998</v>
      </c>
      <c r="FX209">
        <v>1.5490699999999999</v>
      </c>
      <c r="FY209">
        <v>2.3339799999999999</v>
      </c>
      <c r="FZ209">
        <v>1.50146</v>
      </c>
      <c r="GA209">
        <v>2.3339799999999999</v>
      </c>
      <c r="GB209">
        <v>33.580399999999997</v>
      </c>
      <c r="GC209">
        <v>23.973700000000001</v>
      </c>
      <c r="GD209">
        <v>19</v>
      </c>
      <c r="GE209">
        <v>282.73500000000001</v>
      </c>
      <c r="GF209">
        <v>576.40099999999995</v>
      </c>
      <c r="GG209">
        <v>23.259599999999999</v>
      </c>
      <c r="GH209">
        <v>26.001999999999999</v>
      </c>
      <c r="GI209">
        <v>30</v>
      </c>
      <c r="GJ209">
        <v>26.149899999999999</v>
      </c>
      <c r="GK209">
        <v>26.1374</v>
      </c>
      <c r="GL209">
        <v>35.274500000000003</v>
      </c>
      <c r="GM209">
        <v>100</v>
      </c>
      <c r="GN209">
        <v>0</v>
      </c>
      <c r="GO209">
        <v>23.343499999999999</v>
      </c>
      <c r="GP209">
        <v>800</v>
      </c>
      <c r="GQ209">
        <v>0</v>
      </c>
      <c r="GR209">
        <v>99.778700000000001</v>
      </c>
      <c r="GS209">
        <v>99.625900000000001</v>
      </c>
    </row>
    <row r="210" spans="1:201" x14ac:dyDescent="0.25">
      <c r="A210">
        <v>194</v>
      </c>
      <c r="B210">
        <v>1690384456</v>
      </c>
      <c r="C210">
        <v>1980.900000095367</v>
      </c>
      <c r="D210" t="s">
        <v>719</v>
      </c>
      <c r="E210" t="s">
        <v>720</v>
      </c>
      <c r="F210" t="s">
        <v>330</v>
      </c>
      <c r="H210">
        <v>1690384456</v>
      </c>
      <c r="I210">
        <f t="shared" si="90"/>
        <v>2.3843432341311499E-3</v>
      </c>
      <c r="J210">
        <f t="shared" si="91"/>
        <v>2.3843432341311499</v>
      </c>
      <c r="K210">
        <f t="shared" si="92"/>
        <v>37.901640115663774</v>
      </c>
      <c r="L210">
        <f t="shared" si="93"/>
        <v>377.24200000000002</v>
      </c>
      <c r="M210">
        <f t="shared" si="94"/>
        <v>104.14886910329034</v>
      </c>
      <c r="N210">
        <f t="shared" si="95"/>
        <v>10.287415422563551</v>
      </c>
      <c r="O210">
        <f t="shared" si="96"/>
        <v>37.262480161833203</v>
      </c>
      <c r="P210">
        <f t="shared" si="97"/>
        <v>0.23744787703838055</v>
      </c>
      <c r="Q210">
        <f t="shared" si="98"/>
        <v>2.1083404959705723</v>
      </c>
      <c r="R210">
        <f t="shared" si="99"/>
        <v>0.22352871222683984</v>
      </c>
      <c r="S210">
        <f t="shared" si="100"/>
        <v>0.14088798396425289</v>
      </c>
      <c r="T210">
        <f t="shared" si="101"/>
        <v>276.11262143247001</v>
      </c>
      <c r="U210">
        <f t="shared" si="102"/>
        <v>26.802607204149343</v>
      </c>
      <c r="V210">
        <f t="shared" si="103"/>
        <v>26.802607204149343</v>
      </c>
      <c r="W210">
        <f t="shared" si="104"/>
        <v>3.5378745472093764</v>
      </c>
      <c r="X210">
        <f t="shared" si="105"/>
        <v>77.116023318128953</v>
      </c>
      <c r="Y210">
        <f t="shared" si="106"/>
        <v>2.5165375530271201</v>
      </c>
      <c r="Z210">
        <f t="shared" si="107"/>
        <v>3.2633134396020074</v>
      </c>
      <c r="AA210">
        <f t="shared" si="108"/>
        <v>1.0213369941822563</v>
      </c>
      <c r="AB210">
        <f t="shared" si="109"/>
        <v>-105.14953662518371</v>
      </c>
      <c r="AC210">
        <f t="shared" si="110"/>
        <v>-155.31247375013598</v>
      </c>
      <c r="AD210">
        <f t="shared" si="111"/>
        <v>-15.758425345631961</v>
      </c>
      <c r="AE210">
        <f t="shared" si="112"/>
        <v>-0.10781428848164865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52384.522617348499</v>
      </c>
      <c r="AK210">
        <f t="shared" si="116"/>
        <v>1799.99</v>
      </c>
      <c r="AL210">
        <f t="shared" si="117"/>
        <v>1499.1030056037</v>
      </c>
      <c r="AM210">
        <f t="shared" si="118"/>
        <v>0.83283963000000005</v>
      </c>
      <c r="AN210">
        <f t="shared" si="119"/>
        <v>0.153396753</v>
      </c>
      <c r="AO210">
        <v>32.700000000000003</v>
      </c>
      <c r="AP210">
        <v>0.5</v>
      </c>
      <c r="AQ210" t="s">
        <v>331</v>
      </c>
      <c r="AR210">
        <v>2</v>
      </c>
      <c r="AS210">
        <v>1690384456</v>
      </c>
      <c r="AT210">
        <v>377.24200000000002</v>
      </c>
      <c r="AU210">
        <v>799.99800000000005</v>
      </c>
      <c r="AV210">
        <v>25.4772</v>
      </c>
      <c r="AW210">
        <v>0.16054299999999999</v>
      </c>
      <c r="AX210">
        <v>377.20699999999999</v>
      </c>
      <c r="AY210">
        <v>25.3019</v>
      </c>
      <c r="AZ210">
        <v>300.125</v>
      </c>
      <c r="BA210">
        <v>98.676100000000005</v>
      </c>
      <c r="BB210">
        <v>9.9964600000000001E-2</v>
      </c>
      <c r="BC210">
        <v>25.436199999999999</v>
      </c>
      <c r="BD210">
        <v>26.977799999999998</v>
      </c>
      <c r="BE210">
        <v>26.7455</v>
      </c>
      <c r="BF210">
        <v>0</v>
      </c>
      <c r="BG210">
        <v>0</v>
      </c>
      <c r="BH210">
        <v>9986.8799999999992</v>
      </c>
      <c r="BI210">
        <v>1060.8800000000001</v>
      </c>
      <c r="BJ210">
        <v>1.8642000000000001</v>
      </c>
      <c r="BK210">
        <v>-422.75599999999997</v>
      </c>
      <c r="BL210">
        <v>387.10399999999998</v>
      </c>
      <c r="BM210">
        <v>800.12699999999995</v>
      </c>
      <c r="BN210">
        <v>25.316600000000001</v>
      </c>
      <c r="BO210">
        <v>799.99800000000005</v>
      </c>
      <c r="BP210">
        <v>0.16054299999999999</v>
      </c>
      <c r="BQ210">
        <v>2.5139900000000002</v>
      </c>
      <c r="BR210">
        <v>1.58418E-2</v>
      </c>
      <c r="BS210">
        <v>21.1173</v>
      </c>
      <c r="BT210">
        <v>-41.645699999999998</v>
      </c>
      <c r="BU210">
        <v>1799.99</v>
      </c>
      <c r="BV210">
        <v>0.91000599999999998</v>
      </c>
      <c r="BW210">
        <v>3.3998100000000003E-2</v>
      </c>
      <c r="BX210">
        <v>2.1991E-2</v>
      </c>
      <c r="BY210">
        <v>3.4005000000000001E-2</v>
      </c>
      <c r="BZ210">
        <v>26</v>
      </c>
      <c r="CA210">
        <v>33528.400000000001</v>
      </c>
      <c r="CB210">
        <v>1690381960.0999999</v>
      </c>
      <c r="CC210" t="s">
        <v>332</v>
      </c>
      <c r="CD210">
        <v>1690381960.0999999</v>
      </c>
      <c r="CE210">
        <v>1690381958.0999999</v>
      </c>
      <c r="CF210">
        <v>4</v>
      </c>
      <c r="CG210">
        <v>9.9000000000000005E-2</v>
      </c>
      <c r="CH210">
        <v>1.2E-2</v>
      </c>
      <c r="CI210">
        <v>-0.26300000000000001</v>
      </c>
      <c r="CJ210">
        <v>0.127</v>
      </c>
      <c r="CK210">
        <v>798</v>
      </c>
      <c r="CL210">
        <v>18</v>
      </c>
      <c r="CM210">
        <v>0.02</v>
      </c>
      <c r="CN210">
        <v>0.12</v>
      </c>
      <c r="CO210">
        <v>-422.41141463414641</v>
      </c>
      <c r="CP210">
        <v>-2.131986062718171</v>
      </c>
      <c r="CQ210">
        <v>0.2126370978818084</v>
      </c>
      <c r="CR210">
        <v>-1</v>
      </c>
      <c r="CS210">
        <v>25.303248780487799</v>
      </c>
      <c r="CT210">
        <v>-1.6222996515644132E-2</v>
      </c>
      <c r="CU210">
        <v>5.0125755003727094E-3</v>
      </c>
      <c r="CV210">
        <v>-1</v>
      </c>
      <c r="CW210">
        <v>0</v>
      </c>
      <c r="CX210">
        <v>0</v>
      </c>
      <c r="CY210" t="s">
        <v>333</v>
      </c>
      <c r="CZ210">
        <v>2.36477</v>
      </c>
      <c r="DA210">
        <v>2.71374</v>
      </c>
      <c r="DB210">
        <v>8.5226200000000002E-2</v>
      </c>
      <c r="DC210">
        <v>0.145458</v>
      </c>
      <c r="DD210">
        <v>0.118419</v>
      </c>
      <c r="DE210">
        <v>1.34684E-3</v>
      </c>
      <c r="DF210">
        <v>33415.699999999997</v>
      </c>
      <c r="DG210">
        <v>27556.799999999999</v>
      </c>
      <c r="DH210">
        <v>31184</v>
      </c>
      <c r="DI210">
        <v>28099.1</v>
      </c>
      <c r="DJ210">
        <v>37316.1</v>
      </c>
      <c r="DK210">
        <v>39908.699999999997</v>
      </c>
      <c r="DL210">
        <v>44380</v>
      </c>
      <c r="DM210">
        <v>42586.8</v>
      </c>
      <c r="DN210">
        <v>1.47817</v>
      </c>
      <c r="DO210">
        <v>2.0309499999999998</v>
      </c>
      <c r="DP210">
        <v>0.15644</v>
      </c>
      <c r="DQ210">
        <v>0.14524200000000001</v>
      </c>
      <c r="DR210">
        <v>24.413900000000002</v>
      </c>
      <c r="DS210">
        <v>24.364599999999999</v>
      </c>
      <c r="DT210">
        <v>21.8</v>
      </c>
      <c r="DU210">
        <v>29.2</v>
      </c>
      <c r="DV210">
        <v>8.98888</v>
      </c>
      <c r="DW210">
        <v>61.192999999999998</v>
      </c>
      <c r="DX210">
        <v>37.395800000000001</v>
      </c>
      <c r="DY210">
        <v>1</v>
      </c>
      <c r="DZ210">
        <v>-0.11021300000000001</v>
      </c>
      <c r="EA210">
        <v>0.27547899999999997</v>
      </c>
      <c r="EB210">
        <v>20.189599999999999</v>
      </c>
      <c r="EC210">
        <v>5.24125</v>
      </c>
      <c r="ED210">
        <v>12.039899999999999</v>
      </c>
      <c r="EE210">
        <v>5.01715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</v>
      </c>
      <c r="EL210">
        <v>1.8646199999999999</v>
      </c>
      <c r="EM210">
        <v>1.8692</v>
      </c>
      <c r="EN210">
        <v>1.8672200000000001</v>
      </c>
      <c r="EO210">
        <v>1.86338</v>
      </c>
      <c r="EP210">
        <v>1.8644700000000001</v>
      </c>
      <c r="EQ210">
        <v>1.87016</v>
      </c>
      <c r="ER210">
        <v>1.86937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3.5000000000000003E-2</v>
      </c>
      <c r="FG210">
        <v>0.17530000000000001</v>
      </c>
      <c r="FH210">
        <v>0.28746640474027818</v>
      </c>
      <c r="FI210">
        <v>-6.1462078757559423E-4</v>
      </c>
      <c r="FJ210">
        <v>-1.8861989874597051E-7</v>
      </c>
      <c r="FK210">
        <v>1.1980462299894961E-10</v>
      </c>
      <c r="FL210">
        <v>0.17524818673008091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41.6</v>
      </c>
      <c r="FU210">
        <v>41.6</v>
      </c>
      <c r="FV210">
        <v>1.7639199999999999</v>
      </c>
      <c r="FW210">
        <v>2.5830099999999998</v>
      </c>
      <c r="FX210">
        <v>1.5490699999999999</v>
      </c>
      <c r="FY210">
        <v>2.3339799999999999</v>
      </c>
      <c r="FZ210">
        <v>1.50146</v>
      </c>
      <c r="GA210">
        <v>2.2888199999999999</v>
      </c>
      <c r="GB210">
        <v>33.580399999999997</v>
      </c>
      <c r="GC210">
        <v>23.973700000000001</v>
      </c>
      <c r="GD210">
        <v>19</v>
      </c>
      <c r="GE210">
        <v>282.83100000000002</v>
      </c>
      <c r="GF210">
        <v>576.43399999999997</v>
      </c>
      <c r="GG210">
        <v>23.3642</v>
      </c>
      <c r="GH210">
        <v>26.001999999999999</v>
      </c>
      <c r="GI210">
        <v>29.9999</v>
      </c>
      <c r="GJ210">
        <v>26.149899999999999</v>
      </c>
      <c r="GK210">
        <v>26.136600000000001</v>
      </c>
      <c r="GL210">
        <v>35.274000000000001</v>
      </c>
      <c r="GM210">
        <v>100</v>
      </c>
      <c r="GN210">
        <v>0</v>
      </c>
      <c r="GO210">
        <v>23.389500000000002</v>
      </c>
      <c r="GP210">
        <v>800</v>
      </c>
      <c r="GQ210">
        <v>0</v>
      </c>
      <c r="GR210">
        <v>99.778499999999994</v>
      </c>
      <c r="GS210">
        <v>99.626999999999995</v>
      </c>
    </row>
    <row r="211" spans="1:201" x14ac:dyDescent="0.25">
      <c r="A211">
        <v>195</v>
      </c>
      <c r="B211">
        <v>1690384466</v>
      </c>
      <c r="C211">
        <v>1990.900000095367</v>
      </c>
      <c r="D211" t="s">
        <v>721</v>
      </c>
      <c r="E211" t="s">
        <v>722</v>
      </c>
      <c r="F211" t="s">
        <v>330</v>
      </c>
      <c r="H211">
        <v>1690384466</v>
      </c>
      <c r="I211">
        <f t="shared" si="90"/>
        <v>2.3886467050139317E-3</v>
      </c>
      <c r="J211">
        <f t="shared" si="91"/>
        <v>2.3886467050139317</v>
      </c>
      <c r="K211">
        <f t="shared" si="92"/>
        <v>37.928178111776234</v>
      </c>
      <c r="L211">
        <f t="shared" si="93"/>
        <v>376.93599999999998</v>
      </c>
      <c r="M211">
        <f t="shared" si="94"/>
        <v>105.06893872803528</v>
      </c>
      <c r="N211">
        <f t="shared" si="95"/>
        <v>10.378339462587672</v>
      </c>
      <c r="O211">
        <f t="shared" si="96"/>
        <v>37.2324096067616</v>
      </c>
      <c r="P211">
        <f t="shared" si="97"/>
        <v>0.23872138177882671</v>
      </c>
      <c r="Q211">
        <f t="shared" si="98"/>
        <v>2.1148754509010006</v>
      </c>
      <c r="R211">
        <f t="shared" si="99"/>
        <v>0.22469797497638391</v>
      </c>
      <c r="S211">
        <f t="shared" si="100"/>
        <v>0.1416274839841857</v>
      </c>
      <c r="T211">
        <f t="shared" si="101"/>
        <v>276.11579826813499</v>
      </c>
      <c r="U211">
        <f t="shared" si="102"/>
        <v>26.808768832949799</v>
      </c>
      <c r="V211">
        <f t="shared" si="103"/>
        <v>26.808768832949799</v>
      </c>
      <c r="W211">
        <f t="shared" si="104"/>
        <v>3.5391569516964836</v>
      </c>
      <c r="X211">
        <f t="shared" si="105"/>
        <v>77.210065752637803</v>
      </c>
      <c r="Y211">
        <f t="shared" si="106"/>
        <v>2.5213288055753602</v>
      </c>
      <c r="Z211">
        <f t="shared" si="107"/>
        <v>3.2655441761351196</v>
      </c>
      <c r="AA211">
        <f t="shared" si="108"/>
        <v>1.0178281461211234</v>
      </c>
      <c r="AB211">
        <f t="shared" si="109"/>
        <v>-105.33931969111438</v>
      </c>
      <c r="AC211">
        <f t="shared" si="110"/>
        <v>-155.18521012333042</v>
      </c>
      <c r="AD211">
        <f t="shared" si="111"/>
        <v>-15.698248912749458</v>
      </c>
      <c r="AE211">
        <f t="shared" si="112"/>
        <v>-0.10698045905928666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52668.924414133915</v>
      </c>
      <c r="AK211">
        <f t="shared" si="116"/>
        <v>1800.01</v>
      </c>
      <c r="AL211">
        <f t="shared" si="117"/>
        <v>1499.11873539115</v>
      </c>
      <c r="AM211">
        <f t="shared" si="118"/>
        <v>0.83283911499999996</v>
      </c>
      <c r="AN211">
        <f t="shared" si="119"/>
        <v>0.15339681350000001</v>
      </c>
      <c r="AO211">
        <v>32.700000000000003</v>
      </c>
      <c r="AP211">
        <v>0.5</v>
      </c>
      <c r="AQ211" t="s">
        <v>331</v>
      </c>
      <c r="AR211">
        <v>2</v>
      </c>
      <c r="AS211">
        <v>1690384466</v>
      </c>
      <c r="AT211">
        <v>376.93599999999998</v>
      </c>
      <c r="AU211">
        <v>800.06700000000001</v>
      </c>
      <c r="AV211">
        <v>25.525600000000001</v>
      </c>
      <c r="AW211">
        <v>0.159945</v>
      </c>
      <c r="AX211">
        <v>376.9</v>
      </c>
      <c r="AY211">
        <v>25.3504</v>
      </c>
      <c r="AZ211">
        <v>300.07100000000003</v>
      </c>
      <c r="BA211">
        <v>98.676500000000004</v>
      </c>
      <c r="BB211">
        <v>9.9975599999999998E-2</v>
      </c>
      <c r="BC211">
        <v>25.447700000000001</v>
      </c>
      <c r="BD211">
        <v>26.975300000000001</v>
      </c>
      <c r="BE211">
        <v>26.747800000000002</v>
      </c>
      <c r="BF211">
        <v>0</v>
      </c>
      <c r="BG211">
        <v>0</v>
      </c>
      <c r="BH211">
        <v>10043.799999999999</v>
      </c>
      <c r="BI211">
        <v>1060.8599999999999</v>
      </c>
      <c r="BJ211">
        <v>2.5159699999999998</v>
      </c>
      <c r="BK211">
        <v>-423.13099999999997</v>
      </c>
      <c r="BL211">
        <v>386.80900000000003</v>
      </c>
      <c r="BM211">
        <v>800.19500000000005</v>
      </c>
      <c r="BN211">
        <v>25.3657</v>
      </c>
      <c r="BO211">
        <v>800.06700000000001</v>
      </c>
      <c r="BP211">
        <v>0.159945</v>
      </c>
      <c r="BQ211">
        <v>2.51878</v>
      </c>
      <c r="BR211">
        <v>1.57828E-2</v>
      </c>
      <c r="BS211">
        <v>21.148399999999999</v>
      </c>
      <c r="BT211">
        <v>-41.680900000000001</v>
      </c>
      <c r="BU211">
        <v>1800.01</v>
      </c>
      <c r="BV211">
        <v>0.90999799999999997</v>
      </c>
      <c r="BW211">
        <v>3.3997300000000001E-2</v>
      </c>
      <c r="BX211">
        <v>2.19905E-2</v>
      </c>
      <c r="BY211">
        <v>3.4014599999999999E-2</v>
      </c>
      <c r="BZ211">
        <v>26</v>
      </c>
      <c r="CA211">
        <v>33528.6</v>
      </c>
      <c r="CB211">
        <v>1690381960.0999999</v>
      </c>
      <c r="CC211" t="s">
        <v>332</v>
      </c>
      <c r="CD211">
        <v>1690381960.0999999</v>
      </c>
      <c r="CE211">
        <v>1690381958.0999999</v>
      </c>
      <c r="CF211">
        <v>4</v>
      </c>
      <c r="CG211">
        <v>9.9000000000000005E-2</v>
      </c>
      <c r="CH211">
        <v>1.2E-2</v>
      </c>
      <c r="CI211">
        <v>-0.26300000000000001</v>
      </c>
      <c r="CJ211">
        <v>0.127</v>
      </c>
      <c r="CK211">
        <v>798</v>
      </c>
      <c r="CL211">
        <v>18</v>
      </c>
      <c r="CM211">
        <v>0.02</v>
      </c>
      <c r="CN211">
        <v>0.12</v>
      </c>
      <c r="CO211">
        <v>-422.72036585365851</v>
      </c>
      <c r="CP211">
        <v>-1.61155400696926</v>
      </c>
      <c r="CQ211">
        <v>0.16428704149980711</v>
      </c>
      <c r="CR211">
        <v>-1</v>
      </c>
      <c r="CS211">
        <v>25.319365853658539</v>
      </c>
      <c r="CT211">
        <v>0.21096376306622419</v>
      </c>
      <c r="CU211">
        <v>2.1494419125427721E-2</v>
      </c>
      <c r="CV211">
        <v>-1</v>
      </c>
      <c r="CW211">
        <v>0</v>
      </c>
      <c r="CX211">
        <v>0</v>
      </c>
      <c r="CY211" t="s">
        <v>333</v>
      </c>
      <c r="CZ211">
        <v>2.3646099999999999</v>
      </c>
      <c r="DA211">
        <v>2.7138</v>
      </c>
      <c r="DB211">
        <v>8.5173299999999993E-2</v>
      </c>
      <c r="DC211">
        <v>0.14546700000000001</v>
      </c>
      <c r="DD211">
        <v>0.118577</v>
      </c>
      <c r="DE211">
        <v>1.3418799999999999E-3</v>
      </c>
      <c r="DF211">
        <v>33417.199999999997</v>
      </c>
      <c r="DG211">
        <v>27556.6</v>
      </c>
      <c r="DH211">
        <v>31183.599999999999</v>
      </c>
      <c r="DI211">
        <v>28099.1</v>
      </c>
      <c r="DJ211">
        <v>37308.800000000003</v>
      </c>
      <c r="DK211">
        <v>39908.800000000003</v>
      </c>
      <c r="DL211">
        <v>44379.5</v>
      </c>
      <c r="DM211">
        <v>42586.7</v>
      </c>
      <c r="DN211">
        <v>1.4779800000000001</v>
      </c>
      <c r="DO211">
        <v>2.0312999999999999</v>
      </c>
      <c r="DP211">
        <v>0.156164</v>
      </c>
      <c r="DQ211">
        <v>0.14537900000000001</v>
      </c>
      <c r="DR211">
        <v>24.415900000000001</v>
      </c>
      <c r="DS211">
        <v>24.364599999999999</v>
      </c>
      <c r="DT211">
        <v>21.8</v>
      </c>
      <c r="DU211">
        <v>29.3</v>
      </c>
      <c r="DV211">
        <v>9.0412499999999998</v>
      </c>
      <c r="DW211">
        <v>60.313000000000002</v>
      </c>
      <c r="DX211">
        <v>37.864600000000003</v>
      </c>
      <c r="DY211">
        <v>1</v>
      </c>
      <c r="DZ211">
        <v>-0.11003</v>
      </c>
      <c r="EA211">
        <v>0.33058799999999999</v>
      </c>
      <c r="EB211">
        <v>20.189499999999999</v>
      </c>
      <c r="EC211">
        <v>5.24125</v>
      </c>
      <c r="ED211">
        <v>12.039899999999999</v>
      </c>
      <c r="EE211">
        <v>5.0173500000000004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</v>
      </c>
      <c r="EL211">
        <v>1.8646199999999999</v>
      </c>
      <c r="EM211">
        <v>1.8692</v>
      </c>
      <c r="EN211">
        <v>1.8672299999999999</v>
      </c>
      <c r="EO211">
        <v>1.8633999999999999</v>
      </c>
      <c r="EP211">
        <v>1.8644700000000001</v>
      </c>
      <c r="EQ211">
        <v>1.87018</v>
      </c>
      <c r="ER211">
        <v>1.86937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3.5999999999999997E-2</v>
      </c>
      <c r="FG211">
        <v>0.17519999999999999</v>
      </c>
      <c r="FH211">
        <v>0.28746640474027818</v>
      </c>
      <c r="FI211">
        <v>-6.1462078757559423E-4</v>
      </c>
      <c r="FJ211">
        <v>-1.8861989874597051E-7</v>
      </c>
      <c r="FK211">
        <v>1.1980462299894961E-10</v>
      </c>
      <c r="FL211">
        <v>0.17524818673008091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41.8</v>
      </c>
      <c r="FU211">
        <v>41.8</v>
      </c>
      <c r="FV211">
        <v>1.7639199999999999</v>
      </c>
      <c r="FW211">
        <v>2.5769000000000002</v>
      </c>
      <c r="FX211">
        <v>1.5490699999999999</v>
      </c>
      <c r="FY211">
        <v>2.3339799999999999</v>
      </c>
      <c r="FZ211">
        <v>1.50146</v>
      </c>
      <c r="GA211">
        <v>2.36694</v>
      </c>
      <c r="GB211">
        <v>33.580399999999997</v>
      </c>
      <c r="GC211">
        <v>23.982399999999998</v>
      </c>
      <c r="GD211">
        <v>19</v>
      </c>
      <c r="GE211">
        <v>282.745</v>
      </c>
      <c r="GF211">
        <v>576.70399999999995</v>
      </c>
      <c r="GG211">
        <v>23.412400000000002</v>
      </c>
      <c r="GH211">
        <v>25.9998</v>
      </c>
      <c r="GI211">
        <v>30.0001</v>
      </c>
      <c r="GJ211">
        <v>26.149899999999999</v>
      </c>
      <c r="GK211">
        <v>26.135200000000001</v>
      </c>
      <c r="GL211">
        <v>35.2729</v>
      </c>
      <c r="GM211">
        <v>100</v>
      </c>
      <c r="GN211">
        <v>0</v>
      </c>
      <c r="GO211">
        <v>23.4162</v>
      </c>
      <c r="GP211">
        <v>800</v>
      </c>
      <c r="GQ211">
        <v>0</v>
      </c>
      <c r="GR211">
        <v>99.777199999999993</v>
      </c>
      <c r="GS211">
        <v>99.626800000000003</v>
      </c>
    </row>
    <row r="212" spans="1:201" x14ac:dyDescent="0.25">
      <c r="A212">
        <v>196</v>
      </c>
      <c r="B212">
        <v>1690384476</v>
      </c>
      <c r="C212">
        <v>2000.900000095367</v>
      </c>
      <c r="D212" t="s">
        <v>723</v>
      </c>
      <c r="E212" t="s">
        <v>724</v>
      </c>
      <c r="F212" t="s">
        <v>330</v>
      </c>
      <c r="H212">
        <v>1690384476</v>
      </c>
      <c r="I212">
        <f t="shared" si="90"/>
        <v>2.3915092683261269E-3</v>
      </c>
      <c r="J212">
        <f t="shared" si="91"/>
        <v>2.3915092683261268</v>
      </c>
      <c r="K212">
        <f t="shared" si="92"/>
        <v>37.923275651677493</v>
      </c>
      <c r="L212">
        <f t="shared" si="93"/>
        <v>376.78800000000001</v>
      </c>
      <c r="M212">
        <f t="shared" si="94"/>
        <v>106.05214699698416</v>
      </c>
      <c r="N212">
        <f t="shared" si="95"/>
        <v>10.475545874323178</v>
      </c>
      <c r="O212">
        <f t="shared" si="96"/>
        <v>37.218105344031599</v>
      </c>
      <c r="P212">
        <f t="shared" si="97"/>
        <v>0.23978855404571842</v>
      </c>
      <c r="Q212">
        <f t="shared" si="98"/>
        <v>2.1087144722715299</v>
      </c>
      <c r="R212">
        <f t="shared" si="99"/>
        <v>0.22560477019513764</v>
      </c>
      <c r="S212">
        <f t="shared" si="100"/>
        <v>0.142207371384167</v>
      </c>
      <c r="T212">
        <f t="shared" si="101"/>
        <v>276.11415664200007</v>
      </c>
      <c r="U212">
        <f t="shared" si="102"/>
        <v>26.812258392515478</v>
      </c>
      <c r="V212">
        <f t="shared" si="103"/>
        <v>26.812258392515478</v>
      </c>
      <c r="W212">
        <f t="shared" si="104"/>
        <v>3.5398834050346304</v>
      </c>
      <c r="X212">
        <f t="shared" si="105"/>
        <v>77.316687739840333</v>
      </c>
      <c r="Y212">
        <f t="shared" si="106"/>
        <v>2.5249456161134005</v>
      </c>
      <c r="Z212">
        <f t="shared" si="107"/>
        <v>3.2657188117130462</v>
      </c>
      <c r="AA212">
        <f t="shared" si="108"/>
        <v>1.0149377889212299</v>
      </c>
      <c r="AB212">
        <f t="shared" si="109"/>
        <v>-105.46555873318219</v>
      </c>
      <c r="AC212">
        <f t="shared" si="110"/>
        <v>-155.02752430222091</v>
      </c>
      <c r="AD212">
        <f t="shared" si="111"/>
        <v>-15.728462800795127</v>
      </c>
      <c r="AE212">
        <f t="shared" si="112"/>
        <v>-0.10738919419816284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52398.7367976799</v>
      </c>
      <c r="AK212">
        <f t="shared" si="116"/>
        <v>1800</v>
      </c>
      <c r="AL212">
        <f t="shared" si="117"/>
        <v>1499.1102702000001</v>
      </c>
      <c r="AM212">
        <f t="shared" si="118"/>
        <v>0.832839039</v>
      </c>
      <c r="AN212">
        <f t="shared" si="119"/>
        <v>0.15339675369000003</v>
      </c>
      <c r="AO212">
        <v>32.700000000000003</v>
      </c>
      <c r="AP212">
        <v>0.5</v>
      </c>
      <c r="AQ212" t="s">
        <v>331</v>
      </c>
      <c r="AR212">
        <v>2</v>
      </c>
      <c r="AS212">
        <v>1690384476</v>
      </c>
      <c r="AT212">
        <v>376.78800000000001</v>
      </c>
      <c r="AU212">
        <v>799.99900000000002</v>
      </c>
      <c r="AV212">
        <v>25.562000000000001</v>
      </c>
      <c r="AW212">
        <v>0.159361</v>
      </c>
      <c r="AX212">
        <v>376.75299999999999</v>
      </c>
      <c r="AY212">
        <v>25.386700000000001</v>
      </c>
      <c r="AZ212">
        <v>299.98200000000003</v>
      </c>
      <c r="BA212">
        <v>98.677400000000006</v>
      </c>
      <c r="BB212">
        <v>9.9910700000000005E-2</v>
      </c>
      <c r="BC212">
        <v>25.448599999999999</v>
      </c>
      <c r="BD212">
        <v>26.9894</v>
      </c>
      <c r="BE212">
        <v>26.768799999999999</v>
      </c>
      <c r="BF212">
        <v>0</v>
      </c>
      <c r="BG212">
        <v>0</v>
      </c>
      <c r="BH212">
        <v>9990</v>
      </c>
      <c r="BI212">
        <v>1060.94</v>
      </c>
      <c r="BJ212">
        <v>2.4809299999999999</v>
      </c>
      <c r="BK212">
        <v>-423.21100000000001</v>
      </c>
      <c r="BL212">
        <v>386.67200000000003</v>
      </c>
      <c r="BM212">
        <v>800.12699999999995</v>
      </c>
      <c r="BN212">
        <v>25.4026</v>
      </c>
      <c r="BO212">
        <v>799.99900000000002</v>
      </c>
      <c r="BP212">
        <v>0.159361</v>
      </c>
      <c r="BQ212">
        <v>2.5223900000000001</v>
      </c>
      <c r="BR212">
        <v>1.5725300000000001E-2</v>
      </c>
      <c r="BS212">
        <v>21.171700000000001</v>
      </c>
      <c r="BT212">
        <v>-41.715200000000003</v>
      </c>
      <c r="BU212">
        <v>1800</v>
      </c>
      <c r="BV212">
        <v>0.909999</v>
      </c>
      <c r="BW212">
        <v>3.3996899999999997E-2</v>
      </c>
      <c r="BX212">
        <v>2.1990200000000001E-2</v>
      </c>
      <c r="BY212">
        <v>3.4014099999999999E-2</v>
      </c>
      <c r="BZ212">
        <v>26</v>
      </c>
      <c r="CA212">
        <v>33528.5</v>
      </c>
      <c r="CB212">
        <v>1690381960.0999999</v>
      </c>
      <c r="CC212" t="s">
        <v>332</v>
      </c>
      <c r="CD212">
        <v>1690381960.0999999</v>
      </c>
      <c r="CE212">
        <v>1690381958.0999999</v>
      </c>
      <c r="CF212">
        <v>4</v>
      </c>
      <c r="CG212">
        <v>9.9000000000000005E-2</v>
      </c>
      <c r="CH212">
        <v>1.2E-2</v>
      </c>
      <c r="CI212">
        <v>-0.26300000000000001</v>
      </c>
      <c r="CJ212">
        <v>0.127</v>
      </c>
      <c r="CK212">
        <v>798</v>
      </c>
      <c r="CL212">
        <v>18</v>
      </c>
      <c r="CM212">
        <v>0.02</v>
      </c>
      <c r="CN212">
        <v>0.12</v>
      </c>
      <c r="CO212">
        <v>-423.00421951219511</v>
      </c>
      <c r="CP212">
        <v>-1.7306550522664841</v>
      </c>
      <c r="CQ212">
        <v>0.17830126768561971</v>
      </c>
      <c r="CR212">
        <v>-1</v>
      </c>
      <c r="CS212">
        <v>25.359346341463411</v>
      </c>
      <c r="CT212">
        <v>0.26454564459935243</v>
      </c>
      <c r="CU212">
        <v>2.6146968276068688E-2</v>
      </c>
      <c r="CV212">
        <v>-1</v>
      </c>
      <c r="CW212">
        <v>0</v>
      </c>
      <c r="CX212">
        <v>0</v>
      </c>
      <c r="CY212" t="s">
        <v>333</v>
      </c>
      <c r="CZ212">
        <v>2.36429</v>
      </c>
      <c r="DA212">
        <v>2.7136900000000002</v>
      </c>
      <c r="DB212">
        <v>8.51489E-2</v>
      </c>
      <c r="DC212">
        <v>0.14546000000000001</v>
      </c>
      <c r="DD212">
        <v>0.118697</v>
      </c>
      <c r="DE212">
        <v>1.3370400000000001E-3</v>
      </c>
      <c r="DF212">
        <v>33418.1</v>
      </c>
      <c r="DG212">
        <v>27556.5</v>
      </c>
      <c r="DH212">
        <v>31183.599999999999</v>
      </c>
      <c r="DI212">
        <v>28098.799999999999</v>
      </c>
      <c r="DJ212">
        <v>37303.800000000003</v>
      </c>
      <c r="DK212">
        <v>39908.699999999997</v>
      </c>
      <c r="DL212">
        <v>44379.6</v>
      </c>
      <c r="DM212">
        <v>42586.400000000001</v>
      </c>
      <c r="DN212">
        <v>1.47793</v>
      </c>
      <c r="DO212">
        <v>2.03118</v>
      </c>
      <c r="DP212">
        <v>0.15690200000000001</v>
      </c>
      <c r="DQ212">
        <v>0.14662</v>
      </c>
      <c r="DR212">
        <v>24.417999999999999</v>
      </c>
      <c r="DS212">
        <v>24.365400000000001</v>
      </c>
      <c r="DT212">
        <v>21.7</v>
      </c>
      <c r="DU212">
        <v>29.3</v>
      </c>
      <c r="DV212">
        <v>8.9977</v>
      </c>
      <c r="DW212">
        <v>60.902999999999999</v>
      </c>
      <c r="DX212">
        <v>37.6282</v>
      </c>
      <c r="DY212">
        <v>1</v>
      </c>
      <c r="DZ212">
        <v>-0.11015</v>
      </c>
      <c r="EA212">
        <v>0.28742099999999998</v>
      </c>
      <c r="EB212">
        <v>20.189299999999999</v>
      </c>
      <c r="EC212">
        <v>5.2409499999999998</v>
      </c>
      <c r="ED212">
        <v>12.039899999999999</v>
      </c>
      <c r="EE212">
        <v>5.0172499999999998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</v>
      </c>
      <c r="EL212">
        <v>1.8646199999999999</v>
      </c>
      <c r="EM212">
        <v>1.8692</v>
      </c>
      <c r="EN212">
        <v>1.8672200000000001</v>
      </c>
      <c r="EO212">
        <v>1.8633999999999999</v>
      </c>
      <c r="EP212">
        <v>1.86446</v>
      </c>
      <c r="EQ212">
        <v>1.8701700000000001</v>
      </c>
      <c r="ER212">
        <v>1.8693900000000001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3.5000000000000003E-2</v>
      </c>
      <c r="FG212">
        <v>0.17530000000000001</v>
      </c>
      <c r="FH212">
        <v>0.28746640474027818</v>
      </c>
      <c r="FI212">
        <v>-6.1462078757559423E-4</v>
      </c>
      <c r="FJ212">
        <v>-1.8861989874597051E-7</v>
      </c>
      <c r="FK212">
        <v>1.1980462299894961E-10</v>
      </c>
      <c r="FL212">
        <v>0.17524818673008091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41.9</v>
      </c>
      <c r="FU212">
        <v>42</v>
      </c>
      <c r="FV212">
        <v>1.7639199999999999</v>
      </c>
      <c r="FW212">
        <v>2.5732400000000002</v>
      </c>
      <c r="FX212">
        <v>1.5490699999999999</v>
      </c>
      <c r="FY212">
        <v>2.3339799999999999</v>
      </c>
      <c r="FZ212">
        <v>1.50146</v>
      </c>
      <c r="GA212">
        <v>2.3791500000000001</v>
      </c>
      <c r="GB212">
        <v>33.602899999999998</v>
      </c>
      <c r="GC212">
        <v>23.982399999999998</v>
      </c>
      <c r="GD212">
        <v>19</v>
      </c>
      <c r="GE212">
        <v>282.71499999999997</v>
      </c>
      <c r="GF212">
        <v>576.60199999999998</v>
      </c>
      <c r="GG212">
        <v>23.444099999999999</v>
      </c>
      <c r="GH212">
        <v>25.9998</v>
      </c>
      <c r="GI212">
        <v>30</v>
      </c>
      <c r="GJ212">
        <v>26.1477</v>
      </c>
      <c r="GK212">
        <v>26.135200000000001</v>
      </c>
      <c r="GL212">
        <v>35.276299999999999</v>
      </c>
      <c r="GM212">
        <v>100</v>
      </c>
      <c r="GN212">
        <v>0</v>
      </c>
      <c r="GO212">
        <v>23.468399999999999</v>
      </c>
      <c r="GP212">
        <v>800</v>
      </c>
      <c r="GQ212">
        <v>0</v>
      </c>
      <c r="GR212">
        <v>99.777299999999997</v>
      </c>
      <c r="GS212">
        <v>99.626000000000005</v>
      </c>
    </row>
    <row r="213" spans="1:201" x14ac:dyDescent="0.25">
      <c r="A213">
        <v>197</v>
      </c>
      <c r="B213">
        <v>1690384486</v>
      </c>
      <c r="C213">
        <v>2010.900000095367</v>
      </c>
      <c r="D213" t="s">
        <v>725</v>
      </c>
      <c r="E213" t="s">
        <v>726</v>
      </c>
      <c r="F213" t="s">
        <v>330</v>
      </c>
      <c r="H213">
        <v>1690384486</v>
      </c>
      <c r="I213">
        <f t="shared" si="90"/>
        <v>2.3956704275536925E-3</v>
      </c>
      <c r="J213">
        <f t="shared" si="91"/>
        <v>2.3956704275536924</v>
      </c>
      <c r="K213">
        <f t="shared" si="92"/>
        <v>37.967193923801197</v>
      </c>
      <c r="L213">
        <f t="shared" si="93"/>
        <v>376.43700000000001</v>
      </c>
      <c r="M213">
        <f t="shared" si="94"/>
        <v>106.72240362595733</v>
      </c>
      <c r="N213">
        <f t="shared" si="95"/>
        <v>10.541702779894962</v>
      </c>
      <c r="O213">
        <f t="shared" si="96"/>
        <v>37.183260819944103</v>
      </c>
      <c r="P213">
        <f t="shared" si="97"/>
        <v>0.24102498761100985</v>
      </c>
      <c r="Q213">
        <f t="shared" si="98"/>
        <v>2.1117982224196861</v>
      </c>
      <c r="R213">
        <f t="shared" si="99"/>
        <v>0.22671882933165274</v>
      </c>
      <c r="S213">
        <f t="shared" si="100"/>
        <v>0.14291380514637006</v>
      </c>
      <c r="T213">
        <f t="shared" si="101"/>
        <v>276.11402961600004</v>
      </c>
      <c r="U213">
        <f t="shared" si="102"/>
        <v>26.812379421404923</v>
      </c>
      <c r="V213">
        <f t="shared" si="103"/>
        <v>26.812379421404923</v>
      </c>
      <c r="W213">
        <f t="shared" si="104"/>
        <v>3.5399086030544176</v>
      </c>
      <c r="X213">
        <f t="shared" si="105"/>
        <v>77.401409487469522</v>
      </c>
      <c r="Y213">
        <f t="shared" si="106"/>
        <v>2.5282230908882903</v>
      </c>
      <c r="Z213">
        <f t="shared" si="107"/>
        <v>3.2663786197557338</v>
      </c>
      <c r="AA213">
        <f t="shared" si="108"/>
        <v>1.0116855121661272</v>
      </c>
      <c r="AB213">
        <f t="shared" si="109"/>
        <v>-105.64906585511784</v>
      </c>
      <c r="AC213">
        <f t="shared" si="110"/>
        <v>-154.88091905045204</v>
      </c>
      <c r="AD213">
        <f t="shared" si="111"/>
        <v>-15.690919731473993</v>
      </c>
      <c r="AE213">
        <f t="shared" si="112"/>
        <v>-0.10687502104380542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52533.179809205743</v>
      </c>
      <c r="AK213">
        <f t="shared" si="116"/>
        <v>1800</v>
      </c>
      <c r="AL213">
        <f t="shared" si="117"/>
        <v>1499.1097265999997</v>
      </c>
      <c r="AM213">
        <f t="shared" si="118"/>
        <v>0.83283873699999988</v>
      </c>
      <c r="AN213">
        <f t="shared" si="119"/>
        <v>0.15339668312000002</v>
      </c>
      <c r="AO213">
        <v>32.700000000000003</v>
      </c>
      <c r="AP213">
        <v>0.5</v>
      </c>
      <c r="AQ213" t="s">
        <v>331</v>
      </c>
      <c r="AR213">
        <v>2</v>
      </c>
      <c r="AS213">
        <v>1690384486</v>
      </c>
      <c r="AT213">
        <v>376.43700000000001</v>
      </c>
      <c r="AU213">
        <v>799.98500000000001</v>
      </c>
      <c r="AV213">
        <v>25.595300000000002</v>
      </c>
      <c r="AW213">
        <v>0.15831899999999999</v>
      </c>
      <c r="AX213">
        <v>376.40199999999999</v>
      </c>
      <c r="AY213">
        <v>25.420100000000001</v>
      </c>
      <c r="AZ213">
        <v>300.08800000000002</v>
      </c>
      <c r="BA213">
        <v>98.676900000000003</v>
      </c>
      <c r="BB213">
        <v>9.9949300000000005E-2</v>
      </c>
      <c r="BC213">
        <v>25.452000000000002</v>
      </c>
      <c r="BD213">
        <v>27.0167</v>
      </c>
      <c r="BE213">
        <v>26.756799999999998</v>
      </c>
      <c r="BF213">
        <v>0</v>
      </c>
      <c r="BG213">
        <v>0</v>
      </c>
      <c r="BH213">
        <v>10016.9</v>
      </c>
      <c r="BI213">
        <v>1060.96</v>
      </c>
      <c r="BJ213">
        <v>2.4669099999999999</v>
      </c>
      <c r="BK213">
        <v>-423.548</v>
      </c>
      <c r="BL213">
        <v>386.32499999999999</v>
      </c>
      <c r="BM213">
        <v>800.11199999999997</v>
      </c>
      <c r="BN213">
        <v>25.437000000000001</v>
      </c>
      <c r="BO213">
        <v>799.98500000000001</v>
      </c>
      <c r="BP213">
        <v>0.15831899999999999</v>
      </c>
      <c r="BQ213">
        <v>2.5256699999999999</v>
      </c>
      <c r="BR213">
        <v>1.56224E-2</v>
      </c>
      <c r="BS213">
        <v>21.192900000000002</v>
      </c>
      <c r="BT213">
        <v>-41.777000000000001</v>
      </c>
      <c r="BU213">
        <v>1800</v>
      </c>
      <c r="BV213">
        <v>0.909999</v>
      </c>
      <c r="BW213">
        <v>3.3996699999999998E-2</v>
      </c>
      <c r="BX213">
        <v>2.1990099999999999E-2</v>
      </c>
      <c r="BY213">
        <v>3.4014000000000003E-2</v>
      </c>
      <c r="BZ213">
        <v>26</v>
      </c>
      <c r="CA213">
        <v>33528.5</v>
      </c>
      <c r="CB213">
        <v>1690381960.0999999</v>
      </c>
      <c r="CC213" t="s">
        <v>332</v>
      </c>
      <c r="CD213">
        <v>1690381960.0999999</v>
      </c>
      <c r="CE213">
        <v>1690381958.0999999</v>
      </c>
      <c r="CF213">
        <v>4</v>
      </c>
      <c r="CG213">
        <v>9.9000000000000005E-2</v>
      </c>
      <c r="CH213">
        <v>1.2E-2</v>
      </c>
      <c r="CI213">
        <v>-0.26300000000000001</v>
      </c>
      <c r="CJ213">
        <v>0.127</v>
      </c>
      <c r="CK213">
        <v>798</v>
      </c>
      <c r="CL213">
        <v>18</v>
      </c>
      <c r="CM213">
        <v>0.02</v>
      </c>
      <c r="CN213">
        <v>0.12</v>
      </c>
      <c r="CO213">
        <v>-423.27043902439033</v>
      </c>
      <c r="CP213">
        <v>-1.346550522648422</v>
      </c>
      <c r="CQ213">
        <v>0.14798286795708501</v>
      </c>
      <c r="CR213">
        <v>-1</v>
      </c>
      <c r="CS213">
        <v>25.400039024390239</v>
      </c>
      <c r="CT213">
        <v>0.22548919860632191</v>
      </c>
      <c r="CU213">
        <v>2.2261493365294659E-2</v>
      </c>
      <c r="CV213">
        <v>-1</v>
      </c>
      <c r="CW213">
        <v>0</v>
      </c>
      <c r="CX213">
        <v>0</v>
      </c>
      <c r="CY213" t="s">
        <v>333</v>
      </c>
      <c r="CZ213">
        <v>2.3646500000000001</v>
      </c>
      <c r="DA213">
        <v>2.7137500000000001</v>
      </c>
      <c r="DB213">
        <v>8.5086800000000004E-2</v>
      </c>
      <c r="DC213">
        <v>0.145457</v>
      </c>
      <c r="DD213">
        <v>0.11880400000000001</v>
      </c>
      <c r="DE213">
        <v>1.3283800000000001E-3</v>
      </c>
      <c r="DF213">
        <v>33421</v>
      </c>
      <c r="DG213">
        <v>27556.7</v>
      </c>
      <c r="DH213">
        <v>31184.2</v>
      </c>
      <c r="DI213">
        <v>28099</v>
      </c>
      <c r="DJ213">
        <v>37299.9</v>
      </c>
      <c r="DK213">
        <v>39908.9</v>
      </c>
      <c r="DL213">
        <v>44380.5</v>
      </c>
      <c r="DM213">
        <v>42586.3</v>
      </c>
      <c r="DN213">
        <v>1.4779</v>
      </c>
      <c r="DO213">
        <v>2.03105</v>
      </c>
      <c r="DP213">
        <v>0.15857099999999999</v>
      </c>
      <c r="DQ213">
        <v>0.14580399999999999</v>
      </c>
      <c r="DR213">
        <v>24.417999999999999</v>
      </c>
      <c r="DS213">
        <v>24.366700000000002</v>
      </c>
      <c r="DT213">
        <v>21.7</v>
      </c>
      <c r="DU213">
        <v>29.3</v>
      </c>
      <c r="DV213">
        <v>8.9985900000000001</v>
      </c>
      <c r="DW213">
        <v>60.713000000000001</v>
      </c>
      <c r="DX213">
        <v>36.854999999999997</v>
      </c>
      <c r="DY213">
        <v>1</v>
      </c>
      <c r="DZ213">
        <v>-0.110015</v>
      </c>
      <c r="EA213">
        <v>0.422628</v>
      </c>
      <c r="EB213">
        <v>20.1889</v>
      </c>
      <c r="EC213">
        <v>5.2411000000000003</v>
      </c>
      <c r="ED213">
        <v>12.039899999999999</v>
      </c>
      <c r="EE213">
        <v>5.0172999999999996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1.8689100000000001</v>
      </c>
      <c r="EL213">
        <v>1.8646199999999999</v>
      </c>
      <c r="EM213">
        <v>1.8692</v>
      </c>
      <c r="EN213">
        <v>1.8672200000000001</v>
      </c>
      <c r="EO213">
        <v>1.8633999999999999</v>
      </c>
      <c r="EP213">
        <v>1.86446</v>
      </c>
      <c r="EQ213">
        <v>1.87018</v>
      </c>
      <c r="ER213">
        <v>1.8693900000000001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3.5000000000000003E-2</v>
      </c>
      <c r="FG213">
        <v>0.17519999999999999</v>
      </c>
      <c r="FH213">
        <v>0.28746640474027818</v>
      </c>
      <c r="FI213">
        <v>-6.1462078757559423E-4</v>
      </c>
      <c r="FJ213">
        <v>-1.8861989874597051E-7</v>
      </c>
      <c r="FK213">
        <v>1.1980462299894961E-10</v>
      </c>
      <c r="FL213">
        <v>0.17524818673008091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42.1</v>
      </c>
      <c r="FU213">
        <v>42.1</v>
      </c>
      <c r="FV213">
        <v>1.7639199999999999</v>
      </c>
      <c r="FW213">
        <v>2.5781200000000002</v>
      </c>
      <c r="FX213">
        <v>1.5490699999999999</v>
      </c>
      <c r="FY213">
        <v>2.3339799999999999</v>
      </c>
      <c r="FZ213">
        <v>1.50146</v>
      </c>
      <c r="GA213">
        <v>2.36938</v>
      </c>
      <c r="GB213">
        <v>33.580399999999997</v>
      </c>
      <c r="GC213">
        <v>23.982399999999998</v>
      </c>
      <c r="GD213">
        <v>19</v>
      </c>
      <c r="GE213">
        <v>282.70299999999997</v>
      </c>
      <c r="GF213">
        <v>576.47500000000002</v>
      </c>
      <c r="GG213">
        <v>23.478200000000001</v>
      </c>
      <c r="GH213">
        <v>25.9983</v>
      </c>
      <c r="GI213">
        <v>30.0002</v>
      </c>
      <c r="GJ213">
        <v>26.1477</v>
      </c>
      <c r="GK213">
        <v>26.132999999999999</v>
      </c>
      <c r="GL213">
        <v>35.272599999999997</v>
      </c>
      <c r="GM213">
        <v>100</v>
      </c>
      <c r="GN213">
        <v>0</v>
      </c>
      <c r="GO213">
        <v>23.410799999999998</v>
      </c>
      <c r="GP213">
        <v>800</v>
      </c>
      <c r="GQ213">
        <v>0</v>
      </c>
      <c r="GR213">
        <v>99.779300000000006</v>
      </c>
      <c r="GS213">
        <v>99.626000000000005</v>
      </c>
    </row>
    <row r="214" spans="1:201" x14ac:dyDescent="0.25">
      <c r="A214">
        <v>198</v>
      </c>
      <c r="B214">
        <v>1690384496</v>
      </c>
      <c r="C214">
        <v>2020.900000095367</v>
      </c>
      <c r="D214" t="s">
        <v>727</v>
      </c>
      <c r="E214" t="s">
        <v>728</v>
      </c>
      <c r="F214" t="s">
        <v>330</v>
      </c>
      <c r="H214">
        <v>1690384496</v>
      </c>
      <c r="I214">
        <f t="shared" si="90"/>
        <v>2.3958297578694507E-3</v>
      </c>
      <c r="J214">
        <f t="shared" si="91"/>
        <v>2.3958297578694507</v>
      </c>
      <c r="K214">
        <f t="shared" si="92"/>
        <v>37.999001766930718</v>
      </c>
      <c r="L214">
        <f t="shared" si="93"/>
        <v>376.09699999999998</v>
      </c>
      <c r="M214">
        <f t="shared" si="94"/>
        <v>106.35933755158975</v>
      </c>
      <c r="N214">
        <f t="shared" si="95"/>
        <v>10.505832173671557</v>
      </c>
      <c r="O214">
        <f t="shared" si="96"/>
        <v>37.149648107810101</v>
      </c>
      <c r="P214">
        <f t="shared" si="97"/>
        <v>0.24121109214304737</v>
      </c>
      <c r="Q214">
        <f t="shared" si="98"/>
        <v>2.1112245340646929</v>
      </c>
      <c r="R214">
        <f t="shared" si="99"/>
        <v>0.22687989233651362</v>
      </c>
      <c r="S214">
        <f t="shared" si="100"/>
        <v>0.14301652591616978</v>
      </c>
      <c r="T214">
        <f t="shared" si="101"/>
        <v>276.11500833000008</v>
      </c>
      <c r="U214">
        <f t="shared" si="102"/>
        <v>26.811368628294954</v>
      </c>
      <c r="V214">
        <f t="shared" si="103"/>
        <v>26.811368628294954</v>
      </c>
      <c r="W214">
        <f t="shared" si="104"/>
        <v>3.5396981623645911</v>
      </c>
      <c r="X214">
        <f t="shared" si="105"/>
        <v>77.420938089273093</v>
      </c>
      <c r="Y214">
        <f t="shared" si="106"/>
        <v>2.5286656411253396</v>
      </c>
      <c r="Z214">
        <f t="shared" si="107"/>
        <v>3.2661263264590872</v>
      </c>
      <c r="AA214">
        <f t="shared" si="108"/>
        <v>1.0110325212392515</v>
      </c>
      <c r="AB214">
        <f t="shared" si="109"/>
        <v>-105.65609232204278</v>
      </c>
      <c r="AC214">
        <f t="shared" si="110"/>
        <v>-154.87176192738724</v>
      </c>
      <c r="AD214">
        <f t="shared" si="111"/>
        <v>-15.694073687152768</v>
      </c>
      <c r="AE214">
        <f t="shared" si="112"/>
        <v>-0.10691960658269295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52508.266851553715</v>
      </c>
      <c r="AK214">
        <f t="shared" si="116"/>
        <v>1800</v>
      </c>
      <c r="AL214">
        <f t="shared" si="117"/>
        <v>1499.110416</v>
      </c>
      <c r="AM214">
        <f t="shared" si="118"/>
        <v>0.83283912000000004</v>
      </c>
      <c r="AN214">
        <f t="shared" si="119"/>
        <v>0.15339722685000004</v>
      </c>
      <c r="AO214">
        <v>32.700000000000003</v>
      </c>
      <c r="AP214">
        <v>0.5</v>
      </c>
      <c r="AQ214" t="s">
        <v>331</v>
      </c>
      <c r="AR214">
        <v>2</v>
      </c>
      <c r="AS214">
        <v>1690384496</v>
      </c>
      <c r="AT214">
        <v>376.09699999999998</v>
      </c>
      <c r="AU214">
        <v>800.03</v>
      </c>
      <c r="AV214">
        <v>25.599799999999998</v>
      </c>
      <c r="AW214">
        <v>0.158447</v>
      </c>
      <c r="AX214">
        <v>376.06099999999998</v>
      </c>
      <c r="AY214">
        <v>25.424600000000002</v>
      </c>
      <c r="AZ214">
        <v>300.05500000000001</v>
      </c>
      <c r="BA214">
        <v>98.676900000000003</v>
      </c>
      <c r="BB214">
        <v>9.9873299999999998E-2</v>
      </c>
      <c r="BC214">
        <v>25.450700000000001</v>
      </c>
      <c r="BD214">
        <v>27.0304</v>
      </c>
      <c r="BE214">
        <v>26.767099999999999</v>
      </c>
      <c r="BF214">
        <v>0</v>
      </c>
      <c r="BG214">
        <v>0</v>
      </c>
      <c r="BH214">
        <v>10011.9</v>
      </c>
      <c r="BI214">
        <v>1060.96</v>
      </c>
      <c r="BJ214">
        <v>2.4669099999999999</v>
      </c>
      <c r="BK214">
        <v>-423.93299999999999</v>
      </c>
      <c r="BL214">
        <v>385.97800000000001</v>
      </c>
      <c r="BM214">
        <v>800.15700000000004</v>
      </c>
      <c r="BN214">
        <v>25.441400000000002</v>
      </c>
      <c r="BO214">
        <v>800.03</v>
      </c>
      <c r="BP214">
        <v>0.158447</v>
      </c>
      <c r="BQ214">
        <v>2.5261100000000001</v>
      </c>
      <c r="BR214">
        <v>1.5635099999999999E-2</v>
      </c>
      <c r="BS214">
        <v>21.195699999999999</v>
      </c>
      <c r="BT214">
        <v>-41.769399999999997</v>
      </c>
      <c r="BU214">
        <v>1800</v>
      </c>
      <c r="BV214">
        <v>0.90999300000000005</v>
      </c>
      <c r="BW214">
        <v>3.3995999999999998E-2</v>
      </c>
      <c r="BX214">
        <v>2.19975E-2</v>
      </c>
      <c r="BY214">
        <v>3.4013300000000003E-2</v>
      </c>
      <c r="BZ214">
        <v>26</v>
      </c>
      <c r="CA214">
        <v>33528.5</v>
      </c>
      <c r="CB214">
        <v>1690381960.0999999</v>
      </c>
      <c r="CC214" t="s">
        <v>332</v>
      </c>
      <c r="CD214">
        <v>1690381960.0999999</v>
      </c>
      <c r="CE214">
        <v>1690381958.0999999</v>
      </c>
      <c r="CF214">
        <v>4</v>
      </c>
      <c r="CG214">
        <v>9.9000000000000005E-2</v>
      </c>
      <c r="CH214">
        <v>1.2E-2</v>
      </c>
      <c r="CI214">
        <v>-0.26300000000000001</v>
      </c>
      <c r="CJ214">
        <v>0.127</v>
      </c>
      <c r="CK214">
        <v>798</v>
      </c>
      <c r="CL214">
        <v>18</v>
      </c>
      <c r="CM214">
        <v>0.02</v>
      </c>
      <c r="CN214">
        <v>0.12</v>
      </c>
      <c r="CO214">
        <v>-423.54317073170728</v>
      </c>
      <c r="CP214">
        <v>-1.983177700349273</v>
      </c>
      <c r="CQ214">
        <v>0.20660128944879011</v>
      </c>
      <c r="CR214">
        <v>-1</v>
      </c>
      <c r="CS214">
        <v>25.42963414634146</v>
      </c>
      <c r="CT214">
        <v>0.13609547038323469</v>
      </c>
      <c r="CU214">
        <v>1.421201157654183E-2</v>
      </c>
      <c r="CV214">
        <v>-1</v>
      </c>
      <c r="CW214">
        <v>0</v>
      </c>
      <c r="CX214">
        <v>0</v>
      </c>
      <c r="CY214" t="s">
        <v>333</v>
      </c>
      <c r="CZ214">
        <v>2.3645399999999999</v>
      </c>
      <c r="DA214">
        <v>2.71367</v>
      </c>
      <c r="DB214">
        <v>8.5028099999999995E-2</v>
      </c>
      <c r="DC214">
        <v>0.14546400000000001</v>
      </c>
      <c r="DD214">
        <v>0.11882</v>
      </c>
      <c r="DE214">
        <v>1.32945E-3</v>
      </c>
      <c r="DF214">
        <v>33423</v>
      </c>
      <c r="DG214">
        <v>27556.6</v>
      </c>
      <c r="DH214">
        <v>31184</v>
      </c>
      <c r="DI214">
        <v>28099</v>
      </c>
      <c r="DJ214">
        <v>37299</v>
      </c>
      <c r="DK214">
        <v>39909.300000000003</v>
      </c>
      <c r="DL214">
        <v>44380.2</v>
      </c>
      <c r="DM214">
        <v>42586.7</v>
      </c>
      <c r="DN214">
        <v>1.4775799999999999</v>
      </c>
      <c r="DO214">
        <v>2.0309300000000001</v>
      </c>
      <c r="DP214">
        <v>0.15953600000000001</v>
      </c>
      <c r="DQ214">
        <v>0.146311</v>
      </c>
      <c r="DR214">
        <v>24.415900000000001</v>
      </c>
      <c r="DS214">
        <v>24.3687</v>
      </c>
      <c r="DT214">
        <v>21.7</v>
      </c>
      <c r="DU214">
        <v>29.3</v>
      </c>
      <c r="DV214">
        <v>8.9980499999999992</v>
      </c>
      <c r="DW214">
        <v>61.423000000000002</v>
      </c>
      <c r="DX214">
        <v>37.055300000000003</v>
      </c>
      <c r="DY214">
        <v>1</v>
      </c>
      <c r="DZ214">
        <v>-0.110315</v>
      </c>
      <c r="EA214">
        <v>0.61151699999999998</v>
      </c>
      <c r="EB214">
        <v>20.188199999999998</v>
      </c>
      <c r="EC214">
        <v>5.2411000000000003</v>
      </c>
      <c r="ED214">
        <v>12.039899999999999</v>
      </c>
      <c r="EE214">
        <v>5.0174000000000003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1.8689100000000001</v>
      </c>
      <c r="EL214">
        <v>1.8646199999999999</v>
      </c>
      <c r="EM214">
        <v>1.8692</v>
      </c>
      <c r="EN214">
        <v>1.8672200000000001</v>
      </c>
      <c r="EO214">
        <v>1.8633900000000001</v>
      </c>
      <c r="EP214">
        <v>1.86446</v>
      </c>
      <c r="EQ214">
        <v>1.8701700000000001</v>
      </c>
      <c r="ER214">
        <v>1.86937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3.5999999999999997E-2</v>
      </c>
      <c r="FG214">
        <v>0.17519999999999999</v>
      </c>
      <c r="FH214">
        <v>0.28746640474027818</v>
      </c>
      <c r="FI214">
        <v>-6.1462078757559423E-4</v>
      </c>
      <c r="FJ214">
        <v>-1.8861989874597051E-7</v>
      </c>
      <c r="FK214">
        <v>1.1980462299894961E-10</v>
      </c>
      <c r="FL214">
        <v>0.17524818673008091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42.3</v>
      </c>
      <c r="FU214">
        <v>42.3</v>
      </c>
      <c r="FV214">
        <v>1.7639199999999999</v>
      </c>
      <c r="FW214">
        <v>2.5830099999999998</v>
      </c>
      <c r="FX214">
        <v>1.5490699999999999</v>
      </c>
      <c r="FY214">
        <v>2.3339799999999999</v>
      </c>
      <c r="FZ214">
        <v>1.50146</v>
      </c>
      <c r="GA214">
        <v>2.2607400000000002</v>
      </c>
      <c r="GB214">
        <v>33.580399999999997</v>
      </c>
      <c r="GC214">
        <v>23.973700000000001</v>
      </c>
      <c r="GD214">
        <v>19</v>
      </c>
      <c r="GE214">
        <v>282.55599999999998</v>
      </c>
      <c r="GF214">
        <v>576.37199999999996</v>
      </c>
      <c r="GG214">
        <v>23.3889</v>
      </c>
      <c r="GH214">
        <v>25.997599999999998</v>
      </c>
      <c r="GI214">
        <v>30</v>
      </c>
      <c r="GJ214">
        <v>26.145499999999998</v>
      </c>
      <c r="GK214">
        <v>26.132999999999999</v>
      </c>
      <c r="GL214">
        <v>35.273800000000001</v>
      </c>
      <c r="GM214">
        <v>100</v>
      </c>
      <c r="GN214">
        <v>0</v>
      </c>
      <c r="GO214">
        <v>23.344100000000001</v>
      </c>
      <c r="GP214">
        <v>800</v>
      </c>
      <c r="GQ214">
        <v>0</v>
      </c>
      <c r="GR214">
        <v>99.778700000000001</v>
      </c>
      <c r="GS214">
        <v>99.626800000000003</v>
      </c>
    </row>
    <row r="215" spans="1:201" x14ac:dyDescent="0.25">
      <c r="A215">
        <v>199</v>
      </c>
      <c r="B215">
        <v>1690384506</v>
      </c>
      <c r="C215">
        <v>2030.900000095367</v>
      </c>
      <c r="D215" t="s">
        <v>729</v>
      </c>
      <c r="E215" t="s">
        <v>730</v>
      </c>
      <c r="F215" t="s">
        <v>330</v>
      </c>
      <c r="H215">
        <v>1690384506</v>
      </c>
      <c r="I215">
        <f t="shared" si="90"/>
        <v>2.3952376619536322E-3</v>
      </c>
      <c r="J215">
        <f t="shared" si="91"/>
        <v>2.3952376619536322</v>
      </c>
      <c r="K215">
        <f t="shared" si="92"/>
        <v>38.04366615782282</v>
      </c>
      <c r="L215">
        <f t="shared" si="93"/>
        <v>375.74200000000002</v>
      </c>
      <c r="M215">
        <f t="shared" si="94"/>
        <v>105.22900973774624</v>
      </c>
      <c r="N215">
        <f t="shared" si="95"/>
        <v>10.394580089223986</v>
      </c>
      <c r="O215">
        <f t="shared" si="96"/>
        <v>37.116003672551997</v>
      </c>
      <c r="P215">
        <f t="shared" si="97"/>
        <v>0.24077239883051127</v>
      </c>
      <c r="Q215">
        <f t="shared" si="98"/>
        <v>2.109756380540786</v>
      </c>
      <c r="R215">
        <f t="shared" si="99"/>
        <v>0.22648231937986513</v>
      </c>
      <c r="S215">
        <f t="shared" si="100"/>
        <v>0.14276462678852547</v>
      </c>
      <c r="T215">
        <f t="shared" si="101"/>
        <v>276.11462106000005</v>
      </c>
      <c r="U215">
        <f t="shared" si="102"/>
        <v>26.810336962026625</v>
      </c>
      <c r="V215">
        <f t="shared" si="103"/>
        <v>26.810336962026625</v>
      </c>
      <c r="W215">
        <f t="shared" si="104"/>
        <v>3.5394833872784517</v>
      </c>
      <c r="X215">
        <f t="shared" si="105"/>
        <v>77.375791198131878</v>
      </c>
      <c r="Y215">
        <f t="shared" si="106"/>
        <v>2.5268757688691998</v>
      </c>
      <c r="Z215">
        <f t="shared" si="107"/>
        <v>3.2657188117130462</v>
      </c>
      <c r="AA215">
        <f t="shared" si="108"/>
        <v>1.0126076184092518</v>
      </c>
      <c r="AB215">
        <f t="shared" si="109"/>
        <v>-105.62998089215519</v>
      </c>
      <c r="AC215">
        <f t="shared" si="110"/>
        <v>-154.88557706421628</v>
      </c>
      <c r="AD215">
        <f t="shared" si="111"/>
        <v>-15.706149423372246</v>
      </c>
      <c r="AE215">
        <f t="shared" si="112"/>
        <v>-0.10708631974367222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52444.408691971053</v>
      </c>
      <c r="AK215">
        <f t="shared" si="116"/>
        <v>1800</v>
      </c>
      <c r="AL215">
        <f t="shared" si="117"/>
        <v>1499.1099119999997</v>
      </c>
      <c r="AM215">
        <f t="shared" si="118"/>
        <v>0.83283883999999986</v>
      </c>
      <c r="AN215">
        <f t="shared" si="119"/>
        <v>0.15339701170000003</v>
      </c>
      <c r="AO215">
        <v>32.700000000000003</v>
      </c>
      <c r="AP215">
        <v>0.5</v>
      </c>
      <c r="AQ215" t="s">
        <v>331</v>
      </c>
      <c r="AR215">
        <v>2</v>
      </c>
      <c r="AS215">
        <v>1690384506</v>
      </c>
      <c r="AT215">
        <v>375.74200000000002</v>
      </c>
      <c r="AU215">
        <v>799.93799999999999</v>
      </c>
      <c r="AV215">
        <v>25.5807</v>
      </c>
      <c r="AW215">
        <v>0.15784500000000001</v>
      </c>
      <c r="AX215">
        <v>375.70600000000002</v>
      </c>
      <c r="AY215">
        <v>25.4055</v>
      </c>
      <c r="AZ215">
        <v>300.20499999999998</v>
      </c>
      <c r="BA215">
        <v>98.680499999999995</v>
      </c>
      <c r="BB215">
        <v>0.10005600000000001</v>
      </c>
      <c r="BC215">
        <v>25.448599999999999</v>
      </c>
      <c r="BD215">
        <v>26.9788</v>
      </c>
      <c r="BE215">
        <v>26.7546</v>
      </c>
      <c r="BF215">
        <v>0</v>
      </c>
      <c r="BG215">
        <v>0</v>
      </c>
      <c r="BH215">
        <v>9998.75</v>
      </c>
      <c r="BI215">
        <v>1061</v>
      </c>
      <c r="BJ215">
        <v>2.4669099999999999</v>
      </c>
      <c r="BK215">
        <v>-424.19600000000003</v>
      </c>
      <c r="BL215">
        <v>385.60599999999999</v>
      </c>
      <c r="BM215">
        <v>800.06399999999996</v>
      </c>
      <c r="BN215">
        <v>25.422899999999998</v>
      </c>
      <c r="BO215">
        <v>799.93799999999999</v>
      </c>
      <c r="BP215">
        <v>0.15784500000000001</v>
      </c>
      <c r="BQ215">
        <v>2.5243199999999999</v>
      </c>
      <c r="BR215">
        <v>1.55762E-2</v>
      </c>
      <c r="BS215">
        <v>21.184100000000001</v>
      </c>
      <c r="BT215">
        <v>-41.804900000000004</v>
      </c>
      <c r="BU215">
        <v>1800</v>
      </c>
      <c r="BV215">
        <v>0.909995</v>
      </c>
      <c r="BW215">
        <v>3.3996199999999997E-2</v>
      </c>
      <c r="BX215">
        <v>2.1995000000000001E-2</v>
      </c>
      <c r="BY215">
        <v>3.4013399999999999E-2</v>
      </c>
      <c r="BZ215">
        <v>26</v>
      </c>
      <c r="CA215">
        <v>33528.5</v>
      </c>
      <c r="CB215">
        <v>1690381960.0999999</v>
      </c>
      <c r="CC215" t="s">
        <v>332</v>
      </c>
      <c r="CD215">
        <v>1690381960.0999999</v>
      </c>
      <c r="CE215">
        <v>1690381958.0999999</v>
      </c>
      <c r="CF215">
        <v>4</v>
      </c>
      <c r="CG215">
        <v>9.9000000000000005E-2</v>
      </c>
      <c r="CH215">
        <v>1.2E-2</v>
      </c>
      <c r="CI215">
        <v>-0.26300000000000001</v>
      </c>
      <c r="CJ215">
        <v>0.127</v>
      </c>
      <c r="CK215">
        <v>798</v>
      </c>
      <c r="CL215">
        <v>18</v>
      </c>
      <c r="CM215">
        <v>0.02</v>
      </c>
      <c r="CN215">
        <v>0.12</v>
      </c>
      <c r="CO215">
        <v>-423.88663414634152</v>
      </c>
      <c r="CP215">
        <v>-2.2446898954696448</v>
      </c>
      <c r="CQ215">
        <v>0.22453928507356069</v>
      </c>
      <c r="CR215">
        <v>-1</v>
      </c>
      <c r="CS215">
        <v>25.4373</v>
      </c>
      <c r="CT215">
        <v>-3.7118466898965807E-2</v>
      </c>
      <c r="CU215">
        <v>5.4794961491711541E-3</v>
      </c>
      <c r="CV215">
        <v>-1</v>
      </c>
      <c r="CW215">
        <v>0</v>
      </c>
      <c r="CX215">
        <v>0</v>
      </c>
      <c r="CY215" t="s">
        <v>333</v>
      </c>
      <c r="CZ215">
        <v>2.36504</v>
      </c>
      <c r="DA215">
        <v>2.7138499999999999</v>
      </c>
      <c r="DB215">
        <v>8.4969100000000006E-2</v>
      </c>
      <c r="DC215">
        <v>0.145459</v>
      </c>
      <c r="DD215">
        <v>0.11876299999999999</v>
      </c>
      <c r="DE215">
        <v>1.3244999999999999E-3</v>
      </c>
      <c r="DF215">
        <v>33425.1</v>
      </c>
      <c r="DG215">
        <v>27556.9</v>
      </c>
      <c r="DH215">
        <v>31184</v>
      </c>
      <c r="DI215">
        <v>28099.200000000001</v>
      </c>
      <c r="DJ215">
        <v>37301.4</v>
      </c>
      <c r="DK215">
        <v>39909.5</v>
      </c>
      <c r="DL215">
        <v>44380.1</v>
      </c>
      <c r="DM215">
        <v>42586.7</v>
      </c>
      <c r="DN215">
        <v>1.4782999999999999</v>
      </c>
      <c r="DO215">
        <v>2.0309699999999999</v>
      </c>
      <c r="DP215">
        <v>0.15637999999999999</v>
      </c>
      <c r="DQ215">
        <v>0.14554700000000001</v>
      </c>
      <c r="DR215">
        <v>24.415900000000001</v>
      </c>
      <c r="DS215">
        <v>24.3687</v>
      </c>
      <c r="DT215">
        <v>21.6</v>
      </c>
      <c r="DU215">
        <v>29.3</v>
      </c>
      <c r="DV215">
        <v>8.9568999999999992</v>
      </c>
      <c r="DW215">
        <v>60.783000000000001</v>
      </c>
      <c r="DX215">
        <v>37.411900000000003</v>
      </c>
      <c r="DY215">
        <v>1</v>
      </c>
      <c r="DZ215">
        <v>-0.11035300000000001</v>
      </c>
      <c r="EA215">
        <v>0.51260600000000001</v>
      </c>
      <c r="EB215">
        <v>20.188300000000002</v>
      </c>
      <c r="EC215">
        <v>5.24125</v>
      </c>
      <c r="ED215">
        <v>12.039899999999999</v>
      </c>
      <c r="EE215">
        <v>5.0170000000000003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</v>
      </c>
      <c r="EL215">
        <v>1.8646199999999999</v>
      </c>
      <c r="EM215">
        <v>1.8692</v>
      </c>
      <c r="EN215">
        <v>1.8672200000000001</v>
      </c>
      <c r="EO215">
        <v>1.8633900000000001</v>
      </c>
      <c r="EP215">
        <v>1.8644499999999999</v>
      </c>
      <c r="EQ215">
        <v>1.8701700000000001</v>
      </c>
      <c r="ER215">
        <v>1.86938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3.5999999999999997E-2</v>
      </c>
      <c r="FG215">
        <v>0.17519999999999999</v>
      </c>
      <c r="FH215">
        <v>0.28746640474027818</v>
      </c>
      <c r="FI215">
        <v>-6.1462078757559423E-4</v>
      </c>
      <c r="FJ215">
        <v>-1.8861989874597051E-7</v>
      </c>
      <c r="FK215">
        <v>1.1980462299894961E-10</v>
      </c>
      <c r="FL215">
        <v>0.17524818673008091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42.4</v>
      </c>
      <c r="FU215">
        <v>42.5</v>
      </c>
      <c r="FV215">
        <v>1.7639199999999999</v>
      </c>
      <c r="FW215">
        <v>2.5781200000000002</v>
      </c>
      <c r="FX215">
        <v>1.5490699999999999</v>
      </c>
      <c r="FY215">
        <v>2.3339799999999999</v>
      </c>
      <c r="FZ215">
        <v>1.50146</v>
      </c>
      <c r="GA215">
        <v>2.2888199999999999</v>
      </c>
      <c r="GB215">
        <v>33.580399999999997</v>
      </c>
      <c r="GC215">
        <v>23.982399999999998</v>
      </c>
      <c r="GD215">
        <v>19</v>
      </c>
      <c r="GE215">
        <v>282.85500000000002</v>
      </c>
      <c r="GF215">
        <v>576.38900000000001</v>
      </c>
      <c r="GG215">
        <v>23.318100000000001</v>
      </c>
      <c r="GH215">
        <v>25.997599999999998</v>
      </c>
      <c r="GI215">
        <v>30</v>
      </c>
      <c r="GJ215">
        <v>26.1434</v>
      </c>
      <c r="GK215">
        <v>26.130800000000001</v>
      </c>
      <c r="GL215">
        <v>35.273499999999999</v>
      </c>
      <c r="GM215">
        <v>100</v>
      </c>
      <c r="GN215">
        <v>0</v>
      </c>
      <c r="GO215">
        <v>23.366099999999999</v>
      </c>
      <c r="GP215">
        <v>800</v>
      </c>
      <c r="GQ215">
        <v>0</v>
      </c>
      <c r="GR215">
        <v>99.778599999999997</v>
      </c>
      <c r="GS215">
        <v>99.626900000000006</v>
      </c>
    </row>
    <row r="216" spans="1:201" x14ac:dyDescent="0.25">
      <c r="A216">
        <v>200</v>
      </c>
      <c r="B216">
        <v>1690384516</v>
      </c>
      <c r="C216">
        <v>2040.900000095367</v>
      </c>
      <c r="D216" t="s">
        <v>731</v>
      </c>
      <c r="E216" t="s">
        <v>732</v>
      </c>
      <c r="F216" t="s">
        <v>330</v>
      </c>
      <c r="H216">
        <v>1690384516</v>
      </c>
      <c r="I216">
        <f t="shared" si="90"/>
        <v>2.3943172021629335E-3</v>
      </c>
      <c r="J216">
        <f t="shared" si="91"/>
        <v>2.3943172021629335</v>
      </c>
      <c r="K216">
        <f t="shared" si="92"/>
        <v>38.046009338888702</v>
      </c>
      <c r="L216">
        <f t="shared" si="93"/>
        <v>375.596</v>
      </c>
      <c r="M216">
        <f t="shared" si="94"/>
        <v>105.21617798581622</v>
      </c>
      <c r="N216">
        <f t="shared" si="95"/>
        <v>10.393311025477688</v>
      </c>
      <c r="O216">
        <f t="shared" si="96"/>
        <v>37.1015762276744</v>
      </c>
      <c r="P216">
        <f t="shared" si="97"/>
        <v>0.24090430794660656</v>
      </c>
      <c r="Q216">
        <f t="shared" si="98"/>
        <v>2.1106936612194485</v>
      </c>
      <c r="R216">
        <f t="shared" si="99"/>
        <v>0.2266050132953446</v>
      </c>
      <c r="S216">
        <f t="shared" si="100"/>
        <v>0.14284208594250458</v>
      </c>
      <c r="T216">
        <f t="shared" si="101"/>
        <v>276.1135794051479</v>
      </c>
      <c r="U216">
        <f t="shared" si="102"/>
        <v>26.805808735028961</v>
      </c>
      <c r="V216">
        <f t="shared" si="103"/>
        <v>26.805808735028961</v>
      </c>
      <c r="W216">
        <f t="shared" si="104"/>
        <v>3.5385408232336562</v>
      </c>
      <c r="X216">
        <f t="shared" si="105"/>
        <v>77.39524952414321</v>
      </c>
      <c r="Y216">
        <f t="shared" si="106"/>
        <v>2.5268655173368404</v>
      </c>
      <c r="Z216">
        <f t="shared" si="107"/>
        <v>3.2648845153585202</v>
      </c>
      <c r="AA216">
        <f t="shared" si="108"/>
        <v>1.0116753058968158</v>
      </c>
      <c r="AB216">
        <f t="shared" si="109"/>
        <v>-105.58938861538537</v>
      </c>
      <c r="AC216">
        <f t="shared" si="110"/>
        <v>-154.92841621151783</v>
      </c>
      <c r="AD216">
        <f t="shared" si="111"/>
        <v>-15.702821871126549</v>
      </c>
      <c r="AE216">
        <f t="shared" si="112"/>
        <v>-0.10704729288184467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52486.214830581055</v>
      </c>
      <c r="AK216">
        <f t="shared" si="116"/>
        <v>1799.99</v>
      </c>
      <c r="AL216">
        <f t="shared" si="117"/>
        <v>1499.1028904043399</v>
      </c>
      <c r="AM216">
        <f t="shared" si="118"/>
        <v>0.83283956599999986</v>
      </c>
      <c r="AN216">
        <f t="shared" si="119"/>
        <v>0.15339728521000001</v>
      </c>
      <c r="AO216">
        <v>32.700000000000003</v>
      </c>
      <c r="AP216">
        <v>0.5</v>
      </c>
      <c r="AQ216" t="s">
        <v>331</v>
      </c>
      <c r="AR216">
        <v>2</v>
      </c>
      <c r="AS216">
        <v>1690384516</v>
      </c>
      <c r="AT216">
        <v>375.596</v>
      </c>
      <c r="AU216">
        <v>799.98099999999999</v>
      </c>
      <c r="AV216">
        <v>25.5806</v>
      </c>
      <c r="AW216">
        <v>0.15726499999999999</v>
      </c>
      <c r="AX216">
        <v>375.56</v>
      </c>
      <c r="AY216">
        <v>25.4054</v>
      </c>
      <c r="AZ216">
        <v>300.084</v>
      </c>
      <c r="BA216">
        <v>98.680599999999998</v>
      </c>
      <c r="BB216">
        <v>9.99414E-2</v>
      </c>
      <c r="BC216">
        <v>25.444299999999998</v>
      </c>
      <c r="BD216">
        <v>27.012799999999999</v>
      </c>
      <c r="BE216">
        <v>26.752800000000001</v>
      </c>
      <c r="BF216">
        <v>0</v>
      </c>
      <c r="BG216">
        <v>0</v>
      </c>
      <c r="BH216">
        <v>10006.9</v>
      </c>
      <c r="BI216">
        <v>1060.9100000000001</v>
      </c>
      <c r="BJ216">
        <v>2.4669099999999999</v>
      </c>
      <c r="BK216">
        <v>-424.38499999999999</v>
      </c>
      <c r="BL216">
        <v>385.45699999999999</v>
      </c>
      <c r="BM216">
        <v>800.10699999999997</v>
      </c>
      <c r="BN216">
        <v>25.423400000000001</v>
      </c>
      <c r="BO216">
        <v>799.98099999999999</v>
      </c>
      <c r="BP216">
        <v>0.15726499999999999</v>
      </c>
      <c r="BQ216">
        <v>2.5243099999999998</v>
      </c>
      <c r="BR216">
        <v>1.5519E-2</v>
      </c>
      <c r="BS216">
        <v>21.184100000000001</v>
      </c>
      <c r="BT216">
        <v>-41.839500000000001</v>
      </c>
      <c r="BU216">
        <v>1799.99</v>
      </c>
      <c r="BV216">
        <v>0.90999399999999997</v>
      </c>
      <c r="BW216">
        <v>3.3995900000000003E-2</v>
      </c>
      <c r="BX216">
        <v>2.1997300000000001E-2</v>
      </c>
      <c r="BY216">
        <v>3.4013099999999998E-2</v>
      </c>
      <c r="BZ216">
        <v>26</v>
      </c>
      <c r="CA216">
        <v>33528.300000000003</v>
      </c>
      <c r="CB216">
        <v>1690381960.0999999</v>
      </c>
      <c r="CC216" t="s">
        <v>332</v>
      </c>
      <c r="CD216">
        <v>1690381960.0999999</v>
      </c>
      <c r="CE216">
        <v>1690381958.0999999</v>
      </c>
      <c r="CF216">
        <v>4</v>
      </c>
      <c r="CG216">
        <v>9.9000000000000005E-2</v>
      </c>
      <c r="CH216">
        <v>1.2E-2</v>
      </c>
      <c r="CI216">
        <v>-0.26300000000000001</v>
      </c>
      <c r="CJ216">
        <v>0.127</v>
      </c>
      <c r="CK216">
        <v>798</v>
      </c>
      <c r="CL216">
        <v>18</v>
      </c>
      <c r="CM216">
        <v>0.02</v>
      </c>
      <c r="CN216">
        <v>0.12</v>
      </c>
      <c r="CO216">
        <v>-424.18672499999991</v>
      </c>
      <c r="CP216">
        <v>-1.48402626641602</v>
      </c>
      <c r="CQ216">
        <v>0.14804239046637971</v>
      </c>
      <c r="CR216">
        <v>-1</v>
      </c>
      <c r="CS216">
        <v>25.4270575</v>
      </c>
      <c r="CT216">
        <v>-8.3553095684758008E-2</v>
      </c>
      <c r="CU216">
        <v>8.309057933965875E-3</v>
      </c>
      <c r="CV216">
        <v>-1</v>
      </c>
      <c r="CW216">
        <v>0</v>
      </c>
      <c r="CX216">
        <v>0</v>
      </c>
      <c r="CY216" t="s">
        <v>333</v>
      </c>
      <c r="CZ216">
        <v>2.3646400000000001</v>
      </c>
      <c r="DA216">
        <v>2.71374</v>
      </c>
      <c r="DB216">
        <v>8.4943599999999994E-2</v>
      </c>
      <c r="DC216">
        <v>0.14546400000000001</v>
      </c>
      <c r="DD216">
        <v>0.11876299999999999</v>
      </c>
      <c r="DE216">
        <v>1.3196799999999999E-3</v>
      </c>
      <c r="DF216">
        <v>33426.199999999997</v>
      </c>
      <c r="DG216">
        <v>27557.200000000001</v>
      </c>
      <c r="DH216">
        <v>31184.1</v>
      </c>
      <c r="DI216">
        <v>28099.599999999999</v>
      </c>
      <c r="DJ216">
        <v>37301.699999999997</v>
      </c>
      <c r="DK216">
        <v>39910.400000000001</v>
      </c>
      <c r="DL216">
        <v>44380.5</v>
      </c>
      <c r="DM216">
        <v>42587.5</v>
      </c>
      <c r="DN216">
        <v>1.4782999999999999</v>
      </c>
      <c r="DO216">
        <v>2.0311300000000001</v>
      </c>
      <c r="DP216">
        <v>0.15845500000000001</v>
      </c>
      <c r="DQ216">
        <v>0.14543500000000001</v>
      </c>
      <c r="DR216">
        <v>24.415900000000001</v>
      </c>
      <c r="DS216">
        <v>24.3687</v>
      </c>
      <c r="DT216">
        <v>21.6</v>
      </c>
      <c r="DU216">
        <v>29.3</v>
      </c>
      <c r="DV216">
        <v>8.9591399999999997</v>
      </c>
      <c r="DW216">
        <v>60.802999999999997</v>
      </c>
      <c r="DX216">
        <v>37.868600000000001</v>
      </c>
      <c r="DY216">
        <v>1</v>
      </c>
      <c r="DZ216">
        <v>-0.110155</v>
      </c>
      <c r="EA216">
        <v>0.382631</v>
      </c>
      <c r="EB216">
        <v>20.1891</v>
      </c>
      <c r="EC216">
        <v>5.2408000000000001</v>
      </c>
      <c r="ED216">
        <v>12.039899999999999</v>
      </c>
      <c r="EE216">
        <v>5.0163500000000001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</v>
      </c>
      <c r="EL216">
        <v>1.8646100000000001</v>
      </c>
      <c r="EM216">
        <v>1.8692</v>
      </c>
      <c r="EN216">
        <v>1.8672200000000001</v>
      </c>
      <c r="EO216">
        <v>1.8633999999999999</v>
      </c>
      <c r="EP216">
        <v>1.8644499999999999</v>
      </c>
      <c r="EQ216">
        <v>1.87018</v>
      </c>
      <c r="ER216">
        <v>1.86938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3.5999999999999997E-2</v>
      </c>
      <c r="FG216">
        <v>0.17519999999999999</v>
      </c>
      <c r="FH216">
        <v>0.28746640474027818</v>
      </c>
      <c r="FI216">
        <v>-6.1462078757559423E-4</v>
      </c>
      <c r="FJ216">
        <v>-1.8861989874597051E-7</v>
      </c>
      <c r="FK216">
        <v>1.1980462299894961E-10</v>
      </c>
      <c r="FL216">
        <v>0.17524818673008091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42.6</v>
      </c>
      <c r="FU216">
        <v>42.6</v>
      </c>
      <c r="FV216">
        <v>1.7639199999999999</v>
      </c>
      <c r="FW216">
        <v>2.5756800000000002</v>
      </c>
      <c r="FX216">
        <v>1.5490699999999999</v>
      </c>
      <c r="FY216">
        <v>2.3339799999999999</v>
      </c>
      <c r="FZ216">
        <v>1.50146</v>
      </c>
      <c r="GA216">
        <v>2.36084</v>
      </c>
      <c r="GB216">
        <v>33.580399999999997</v>
      </c>
      <c r="GC216">
        <v>23.982399999999998</v>
      </c>
      <c r="GD216">
        <v>19</v>
      </c>
      <c r="GE216">
        <v>282.85500000000002</v>
      </c>
      <c r="GF216">
        <v>576.51199999999994</v>
      </c>
      <c r="GG216">
        <v>23.372699999999998</v>
      </c>
      <c r="GH216">
        <v>25.9954</v>
      </c>
      <c r="GI216">
        <v>30.0002</v>
      </c>
      <c r="GJ216">
        <v>26.1434</v>
      </c>
      <c r="GK216">
        <v>26.130800000000001</v>
      </c>
      <c r="GL216">
        <v>35.273600000000002</v>
      </c>
      <c r="GM216">
        <v>100</v>
      </c>
      <c r="GN216">
        <v>0</v>
      </c>
      <c r="GO216">
        <v>23.3672</v>
      </c>
      <c r="GP216">
        <v>800</v>
      </c>
      <c r="GQ216">
        <v>0</v>
      </c>
      <c r="GR216">
        <v>99.779200000000003</v>
      </c>
      <c r="GS216">
        <v>99.628699999999995</v>
      </c>
    </row>
    <row r="217" spans="1:201" x14ac:dyDescent="0.25">
      <c r="A217">
        <v>201</v>
      </c>
      <c r="B217">
        <v>1690384526</v>
      </c>
      <c r="C217">
        <v>2050.900000095367</v>
      </c>
      <c r="D217" t="s">
        <v>733</v>
      </c>
      <c r="E217" t="s">
        <v>734</v>
      </c>
      <c r="F217" t="s">
        <v>330</v>
      </c>
      <c r="H217">
        <v>1690384526</v>
      </c>
      <c r="I217">
        <f t="shared" si="90"/>
        <v>2.3962830198687442E-3</v>
      </c>
      <c r="J217">
        <f t="shared" si="91"/>
        <v>2.3962830198687444</v>
      </c>
      <c r="K217">
        <f t="shared" si="92"/>
        <v>38.057598426723814</v>
      </c>
      <c r="L217">
        <f t="shared" si="93"/>
        <v>375.39800000000002</v>
      </c>
      <c r="M217">
        <f t="shared" si="94"/>
        <v>105.9072087610222</v>
      </c>
      <c r="N217">
        <f t="shared" si="95"/>
        <v>10.461245881998305</v>
      </c>
      <c r="O217">
        <f t="shared" si="96"/>
        <v>37.080863782104807</v>
      </c>
      <c r="P217">
        <f t="shared" si="97"/>
        <v>0.24181678472616369</v>
      </c>
      <c r="Q217">
        <f t="shared" si="98"/>
        <v>2.11209311836173</v>
      </c>
      <c r="R217">
        <f t="shared" si="99"/>
        <v>0.22742137150276567</v>
      </c>
      <c r="S217">
        <f t="shared" si="100"/>
        <v>0.14336026102661184</v>
      </c>
      <c r="T217">
        <f t="shared" si="101"/>
        <v>276.11479517399999</v>
      </c>
      <c r="U217">
        <f t="shared" si="102"/>
        <v>26.80300863301699</v>
      </c>
      <c r="V217">
        <f t="shared" si="103"/>
        <v>26.80300863301699</v>
      </c>
      <c r="W217">
        <f t="shared" si="104"/>
        <v>3.5379580832463526</v>
      </c>
      <c r="X217">
        <f t="shared" si="105"/>
        <v>77.470528486117885</v>
      </c>
      <c r="Y217">
        <f t="shared" si="106"/>
        <v>2.5291279136706799</v>
      </c>
      <c r="Z217">
        <f t="shared" si="107"/>
        <v>3.2646323228889291</v>
      </c>
      <c r="AA217">
        <f t="shared" si="108"/>
        <v>1.0088301695756727</v>
      </c>
      <c r="AB217">
        <f t="shared" si="109"/>
        <v>-105.67608117621161</v>
      </c>
      <c r="AC217">
        <f t="shared" si="110"/>
        <v>-154.86032632524291</v>
      </c>
      <c r="AD217">
        <f t="shared" si="111"/>
        <v>-15.685197920516979</v>
      </c>
      <c r="AE217">
        <f t="shared" si="112"/>
        <v>-0.1068102479715094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52547.706630230641</v>
      </c>
      <c r="AK217">
        <f t="shared" si="116"/>
        <v>1800</v>
      </c>
      <c r="AL217">
        <f t="shared" si="117"/>
        <v>1499.1110063999997</v>
      </c>
      <c r="AM217">
        <f t="shared" si="118"/>
        <v>0.83283944799999987</v>
      </c>
      <c r="AN217">
        <f t="shared" si="119"/>
        <v>0.15339710843000001</v>
      </c>
      <c r="AO217">
        <v>32.700000000000003</v>
      </c>
      <c r="AP217">
        <v>0.5</v>
      </c>
      <c r="AQ217" t="s">
        <v>331</v>
      </c>
      <c r="AR217">
        <v>2</v>
      </c>
      <c r="AS217">
        <v>1690384526</v>
      </c>
      <c r="AT217">
        <v>375.39800000000002</v>
      </c>
      <c r="AU217">
        <v>799.97299999999996</v>
      </c>
      <c r="AV217">
        <v>25.604299999999999</v>
      </c>
      <c r="AW217">
        <v>0.15706400000000001</v>
      </c>
      <c r="AX217">
        <v>375.36099999999999</v>
      </c>
      <c r="AY217">
        <v>25.429099999999998</v>
      </c>
      <c r="AZ217">
        <v>300.041</v>
      </c>
      <c r="BA217">
        <v>98.677599999999998</v>
      </c>
      <c r="BB217">
        <v>9.9867600000000001E-2</v>
      </c>
      <c r="BC217">
        <v>25.443000000000001</v>
      </c>
      <c r="BD217">
        <v>27.010999999999999</v>
      </c>
      <c r="BE217">
        <v>26.747299999999999</v>
      </c>
      <c r="BF217">
        <v>0</v>
      </c>
      <c r="BG217">
        <v>0</v>
      </c>
      <c r="BH217">
        <v>10019.4</v>
      </c>
      <c r="BI217">
        <v>1060.97</v>
      </c>
      <c r="BJ217">
        <v>2.4669099999999999</v>
      </c>
      <c r="BK217">
        <v>-424.57499999999999</v>
      </c>
      <c r="BL217">
        <v>385.262</v>
      </c>
      <c r="BM217">
        <v>800.09900000000005</v>
      </c>
      <c r="BN217">
        <v>25.447199999999999</v>
      </c>
      <c r="BO217">
        <v>799.97299999999996</v>
      </c>
      <c r="BP217">
        <v>0.15706400000000001</v>
      </c>
      <c r="BQ217">
        <v>2.52657</v>
      </c>
      <c r="BR217">
        <v>1.5498700000000001E-2</v>
      </c>
      <c r="BS217">
        <v>21.198699999999999</v>
      </c>
      <c r="BT217">
        <v>-41.851799999999997</v>
      </c>
      <c r="BU217">
        <v>1800</v>
      </c>
      <c r="BV217">
        <v>0.90999600000000003</v>
      </c>
      <c r="BW217">
        <v>3.3996100000000001E-2</v>
      </c>
      <c r="BX217">
        <v>2.1994900000000001E-2</v>
      </c>
      <c r="BY217">
        <v>3.4013300000000003E-2</v>
      </c>
      <c r="BZ217">
        <v>26</v>
      </c>
      <c r="CA217">
        <v>33528.5</v>
      </c>
      <c r="CB217">
        <v>1690381960.0999999</v>
      </c>
      <c r="CC217" t="s">
        <v>332</v>
      </c>
      <c r="CD217">
        <v>1690381960.0999999</v>
      </c>
      <c r="CE217">
        <v>1690381958.0999999</v>
      </c>
      <c r="CF217">
        <v>4</v>
      </c>
      <c r="CG217">
        <v>9.9000000000000005E-2</v>
      </c>
      <c r="CH217">
        <v>1.2E-2</v>
      </c>
      <c r="CI217">
        <v>-0.26300000000000001</v>
      </c>
      <c r="CJ217">
        <v>0.127</v>
      </c>
      <c r="CK217">
        <v>798</v>
      </c>
      <c r="CL217">
        <v>18</v>
      </c>
      <c r="CM217">
        <v>0.02</v>
      </c>
      <c r="CN217">
        <v>0.12</v>
      </c>
      <c r="CO217">
        <v>-424.41280487804869</v>
      </c>
      <c r="CP217">
        <v>-1.204034843206051</v>
      </c>
      <c r="CQ217">
        <v>0.12333698029347009</v>
      </c>
      <c r="CR217">
        <v>-1</v>
      </c>
      <c r="CS217">
        <v>25.426378048780489</v>
      </c>
      <c r="CT217">
        <v>7.2108710801443723E-2</v>
      </c>
      <c r="CU217">
        <v>8.4132448481943883E-3</v>
      </c>
      <c r="CV217">
        <v>-1</v>
      </c>
      <c r="CW217">
        <v>0</v>
      </c>
      <c r="CX217">
        <v>0</v>
      </c>
      <c r="CY217" t="s">
        <v>333</v>
      </c>
      <c r="CZ217">
        <v>2.3645200000000002</v>
      </c>
      <c r="DA217">
        <v>2.71367</v>
      </c>
      <c r="DB217">
        <v>8.4906899999999993E-2</v>
      </c>
      <c r="DC217">
        <v>0.145459</v>
      </c>
      <c r="DD217">
        <v>0.118837</v>
      </c>
      <c r="DE217">
        <v>1.31799E-3</v>
      </c>
      <c r="DF217">
        <v>33427.300000000003</v>
      </c>
      <c r="DG217">
        <v>27557.3</v>
      </c>
      <c r="DH217">
        <v>31183.9</v>
      </c>
      <c r="DI217">
        <v>28099.599999999999</v>
      </c>
      <c r="DJ217">
        <v>37298.1</v>
      </c>
      <c r="DK217">
        <v>39910.5</v>
      </c>
      <c r="DL217">
        <v>44380.1</v>
      </c>
      <c r="DM217">
        <v>42587.5</v>
      </c>
      <c r="DN217">
        <v>1.47817</v>
      </c>
      <c r="DO217">
        <v>2.0311499999999998</v>
      </c>
      <c r="DP217">
        <v>0.158299</v>
      </c>
      <c r="DQ217">
        <v>0.14510000000000001</v>
      </c>
      <c r="DR217">
        <v>24.416699999999999</v>
      </c>
      <c r="DS217">
        <v>24.3687</v>
      </c>
      <c r="DT217">
        <v>21.6</v>
      </c>
      <c r="DU217">
        <v>29.3</v>
      </c>
      <c r="DV217">
        <v>8.9574400000000001</v>
      </c>
      <c r="DW217">
        <v>60.643000000000001</v>
      </c>
      <c r="DX217">
        <v>37.6843</v>
      </c>
      <c r="DY217">
        <v>1</v>
      </c>
      <c r="DZ217">
        <v>-0.11043699999999999</v>
      </c>
      <c r="EA217">
        <v>0.52092099999999997</v>
      </c>
      <c r="EB217">
        <v>20.188700000000001</v>
      </c>
      <c r="EC217">
        <v>5.24125</v>
      </c>
      <c r="ED217">
        <v>12.039899999999999</v>
      </c>
      <c r="EE217">
        <v>5.0174000000000003</v>
      </c>
      <c r="EF217">
        <v>3.2879700000000001</v>
      </c>
      <c r="EG217">
        <v>9999</v>
      </c>
      <c r="EH217">
        <v>9999</v>
      </c>
      <c r="EI217">
        <v>9999</v>
      </c>
      <c r="EJ217">
        <v>999.9</v>
      </c>
      <c r="EK217">
        <v>1.8689</v>
      </c>
      <c r="EL217">
        <v>1.8646199999999999</v>
      </c>
      <c r="EM217">
        <v>1.8692</v>
      </c>
      <c r="EN217">
        <v>1.8672299999999999</v>
      </c>
      <c r="EO217">
        <v>1.8633900000000001</v>
      </c>
      <c r="EP217">
        <v>1.8644499999999999</v>
      </c>
      <c r="EQ217">
        <v>1.8701700000000001</v>
      </c>
      <c r="ER217">
        <v>1.8694200000000001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3.6999999999999998E-2</v>
      </c>
      <c r="FG217">
        <v>0.17519999999999999</v>
      </c>
      <c r="FH217">
        <v>0.28746640474027818</v>
      </c>
      <c r="FI217">
        <v>-6.1462078757559423E-4</v>
      </c>
      <c r="FJ217">
        <v>-1.8861989874597051E-7</v>
      </c>
      <c r="FK217">
        <v>1.1980462299894961E-10</v>
      </c>
      <c r="FL217">
        <v>0.17524818673008091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42.8</v>
      </c>
      <c r="FU217">
        <v>42.8</v>
      </c>
      <c r="FV217">
        <v>1.7639199999999999</v>
      </c>
      <c r="FW217">
        <v>2.5793499999999998</v>
      </c>
      <c r="FX217">
        <v>1.5490699999999999</v>
      </c>
      <c r="FY217">
        <v>2.3339799999999999</v>
      </c>
      <c r="FZ217">
        <v>1.50146</v>
      </c>
      <c r="GA217">
        <v>2.36572</v>
      </c>
      <c r="GB217">
        <v>33.580399999999997</v>
      </c>
      <c r="GC217">
        <v>23.982399999999998</v>
      </c>
      <c r="GD217">
        <v>19</v>
      </c>
      <c r="GE217">
        <v>282.79199999999997</v>
      </c>
      <c r="GF217">
        <v>576.50800000000004</v>
      </c>
      <c r="GG217">
        <v>23.356999999999999</v>
      </c>
      <c r="GH217">
        <v>25.9954</v>
      </c>
      <c r="GI217">
        <v>30</v>
      </c>
      <c r="GJ217">
        <v>26.141100000000002</v>
      </c>
      <c r="GK217">
        <v>26.128699999999998</v>
      </c>
      <c r="GL217">
        <v>35.272799999999997</v>
      </c>
      <c r="GM217">
        <v>100</v>
      </c>
      <c r="GN217">
        <v>0</v>
      </c>
      <c r="GO217">
        <v>23.332599999999999</v>
      </c>
      <c r="GP217">
        <v>800</v>
      </c>
      <c r="GQ217">
        <v>0</v>
      </c>
      <c r="GR217">
        <v>99.778400000000005</v>
      </c>
      <c r="GS217">
        <v>99.628600000000006</v>
      </c>
    </row>
    <row r="218" spans="1:201" x14ac:dyDescent="0.25">
      <c r="A218">
        <v>202</v>
      </c>
      <c r="B218">
        <v>1690384536</v>
      </c>
      <c r="C218">
        <v>2060.900000095367</v>
      </c>
      <c r="D218" t="s">
        <v>735</v>
      </c>
      <c r="E218" t="s">
        <v>736</v>
      </c>
      <c r="F218" t="s">
        <v>330</v>
      </c>
      <c r="H218">
        <v>1690384536</v>
      </c>
      <c r="I218">
        <f t="shared" si="90"/>
        <v>2.3974321873787637E-3</v>
      </c>
      <c r="J218">
        <f t="shared" si="91"/>
        <v>2.3974321873787638</v>
      </c>
      <c r="K218">
        <f t="shared" si="92"/>
        <v>38.092734493002851</v>
      </c>
      <c r="L218">
        <f t="shared" si="93"/>
        <v>375.15600000000001</v>
      </c>
      <c r="M218">
        <f t="shared" si="94"/>
        <v>105.55405002300843</v>
      </c>
      <c r="N218">
        <f t="shared" si="95"/>
        <v>10.426489508263238</v>
      </c>
      <c r="O218">
        <f t="shared" si="96"/>
        <v>37.057413686252403</v>
      </c>
      <c r="P218">
        <f t="shared" si="97"/>
        <v>0.24193250205311043</v>
      </c>
      <c r="Q218">
        <f t="shared" si="98"/>
        <v>2.113389730358278</v>
      </c>
      <c r="R218">
        <f t="shared" si="99"/>
        <v>0.22753202407812165</v>
      </c>
      <c r="S218">
        <f t="shared" si="100"/>
        <v>0.1434298578688461</v>
      </c>
      <c r="T218">
        <f t="shared" si="101"/>
        <v>276.11634997120001</v>
      </c>
      <c r="U218">
        <f t="shared" si="102"/>
        <v>26.80675258525762</v>
      </c>
      <c r="V218">
        <f t="shared" si="103"/>
        <v>26.80675258525762</v>
      </c>
      <c r="W218">
        <f t="shared" si="104"/>
        <v>3.5387372704131352</v>
      </c>
      <c r="X218">
        <f t="shared" si="105"/>
        <v>77.471913389332201</v>
      </c>
      <c r="Y218">
        <f t="shared" si="106"/>
        <v>2.5299096205070102</v>
      </c>
      <c r="Z218">
        <f t="shared" si="107"/>
        <v>3.2655829833362242</v>
      </c>
      <c r="AA218">
        <f t="shared" si="108"/>
        <v>1.0088276499061251</v>
      </c>
      <c r="AB218">
        <f t="shared" si="109"/>
        <v>-105.72675946340348</v>
      </c>
      <c r="AC218">
        <f t="shared" si="110"/>
        <v>-154.82367824403906</v>
      </c>
      <c r="AD218">
        <f t="shared" si="111"/>
        <v>-15.672544226073239</v>
      </c>
      <c r="AE218">
        <f t="shared" si="112"/>
        <v>-0.10663196231575967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52603.731380179743</v>
      </c>
      <c r="AK218">
        <f t="shared" si="116"/>
        <v>1800.01</v>
      </c>
      <c r="AL218">
        <f t="shared" si="117"/>
        <v>1499.1184293894498</v>
      </c>
      <c r="AM218">
        <f t="shared" si="118"/>
        <v>0.83283894499999989</v>
      </c>
      <c r="AN218">
        <f t="shared" si="119"/>
        <v>0.15339712</v>
      </c>
      <c r="AO218">
        <v>32.700000000000003</v>
      </c>
      <c r="AP218">
        <v>0.5</v>
      </c>
      <c r="AQ218" t="s">
        <v>331</v>
      </c>
      <c r="AR218">
        <v>2</v>
      </c>
      <c r="AS218">
        <v>1690384536</v>
      </c>
      <c r="AT218">
        <v>375.15600000000001</v>
      </c>
      <c r="AU218">
        <v>800.05</v>
      </c>
      <c r="AV218">
        <v>25.611899999999999</v>
      </c>
      <c r="AW218">
        <v>0.156392</v>
      </c>
      <c r="AX218">
        <v>375.11900000000003</v>
      </c>
      <c r="AY218">
        <v>25.436599999999999</v>
      </c>
      <c r="AZ218">
        <v>300.08499999999998</v>
      </c>
      <c r="BA218">
        <v>98.678700000000006</v>
      </c>
      <c r="BB218">
        <v>9.9977899999999995E-2</v>
      </c>
      <c r="BC218">
        <v>25.447900000000001</v>
      </c>
      <c r="BD218">
        <v>26.979399999999998</v>
      </c>
      <c r="BE218">
        <v>26.745899999999999</v>
      </c>
      <c r="BF218">
        <v>0</v>
      </c>
      <c r="BG218">
        <v>0</v>
      </c>
      <c r="BH218">
        <v>10030.6</v>
      </c>
      <c r="BI218">
        <v>1060.96</v>
      </c>
      <c r="BJ218">
        <v>2.4669099999999999</v>
      </c>
      <c r="BK218">
        <v>-424.89400000000001</v>
      </c>
      <c r="BL218">
        <v>385.017</v>
      </c>
      <c r="BM218">
        <v>800.17499999999995</v>
      </c>
      <c r="BN218">
        <v>25.455500000000001</v>
      </c>
      <c r="BO218">
        <v>800.05</v>
      </c>
      <c r="BP218">
        <v>0.156392</v>
      </c>
      <c r="BQ218">
        <v>2.5273500000000002</v>
      </c>
      <c r="BR218">
        <v>1.5432599999999999E-2</v>
      </c>
      <c r="BS218">
        <v>21.203700000000001</v>
      </c>
      <c r="BT218">
        <v>-41.892000000000003</v>
      </c>
      <c r="BU218">
        <v>1800.01</v>
      </c>
      <c r="BV218">
        <v>0.90999399999999997</v>
      </c>
      <c r="BW218">
        <v>3.3995900000000003E-2</v>
      </c>
      <c r="BX218">
        <v>2.1996499999999999E-2</v>
      </c>
      <c r="BY218">
        <v>3.40132E-2</v>
      </c>
      <c r="BZ218">
        <v>26</v>
      </c>
      <c r="CA218">
        <v>33528.5</v>
      </c>
      <c r="CB218">
        <v>1690381960.0999999</v>
      </c>
      <c r="CC218" t="s">
        <v>332</v>
      </c>
      <c r="CD218">
        <v>1690381960.0999999</v>
      </c>
      <c r="CE218">
        <v>1690381958.0999999</v>
      </c>
      <c r="CF218">
        <v>4</v>
      </c>
      <c r="CG218">
        <v>9.9000000000000005E-2</v>
      </c>
      <c r="CH218">
        <v>1.2E-2</v>
      </c>
      <c r="CI218">
        <v>-0.26300000000000001</v>
      </c>
      <c r="CJ218">
        <v>0.127</v>
      </c>
      <c r="CK218">
        <v>798</v>
      </c>
      <c r="CL218">
        <v>18</v>
      </c>
      <c r="CM218">
        <v>0.02</v>
      </c>
      <c r="CN218">
        <v>0.12</v>
      </c>
      <c r="CO218">
        <v>-424.66604999999998</v>
      </c>
      <c r="CP218">
        <v>-1.682814258910921</v>
      </c>
      <c r="CQ218">
        <v>0.16771641988785979</v>
      </c>
      <c r="CR218">
        <v>-1</v>
      </c>
      <c r="CS218">
        <v>25.444482499999999</v>
      </c>
      <c r="CT218">
        <v>0.1138818011256786</v>
      </c>
      <c r="CU218">
        <v>1.12358997748289E-2</v>
      </c>
      <c r="CV218">
        <v>-1</v>
      </c>
      <c r="CW218">
        <v>0</v>
      </c>
      <c r="CX218">
        <v>0</v>
      </c>
      <c r="CY218" t="s">
        <v>333</v>
      </c>
      <c r="CZ218">
        <v>2.3646400000000001</v>
      </c>
      <c r="DA218">
        <v>2.7138</v>
      </c>
      <c r="DB218">
        <v>8.4865399999999994E-2</v>
      </c>
      <c r="DC218">
        <v>0.14546999999999999</v>
      </c>
      <c r="DD218">
        <v>0.118863</v>
      </c>
      <c r="DE218">
        <v>1.3124199999999999E-3</v>
      </c>
      <c r="DF218">
        <v>33428.9</v>
      </c>
      <c r="DG218">
        <v>27556.5</v>
      </c>
      <c r="DH218">
        <v>31184</v>
      </c>
      <c r="DI218">
        <v>28099.1</v>
      </c>
      <c r="DJ218">
        <v>37297.1</v>
      </c>
      <c r="DK218">
        <v>39910.1</v>
      </c>
      <c r="DL218">
        <v>44380.2</v>
      </c>
      <c r="DM218">
        <v>42586.9</v>
      </c>
      <c r="DN218">
        <v>1.47817</v>
      </c>
      <c r="DO218">
        <v>2.0308999999999999</v>
      </c>
      <c r="DP218">
        <v>0.15629100000000001</v>
      </c>
      <c r="DQ218">
        <v>0.145011</v>
      </c>
      <c r="DR218">
        <v>24.417999999999999</v>
      </c>
      <c r="DS218">
        <v>24.3687</v>
      </c>
      <c r="DT218">
        <v>21.5</v>
      </c>
      <c r="DU218">
        <v>29.3</v>
      </c>
      <c r="DV218">
        <v>8.9151799999999994</v>
      </c>
      <c r="DW218">
        <v>60.692999999999998</v>
      </c>
      <c r="DX218">
        <v>36.939100000000003</v>
      </c>
      <c r="DY218">
        <v>1</v>
      </c>
      <c r="DZ218">
        <v>-0.11040899999999999</v>
      </c>
      <c r="EA218">
        <v>0.49075999999999997</v>
      </c>
      <c r="EB218">
        <v>20.188400000000001</v>
      </c>
      <c r="EC218">
        <v>5.2411000000000003</v>
      </c>
      <c r="ED218">
        <v>12.039899999999999</v>
      </c>
      <c r="EE218">
        <v>5.0174000000000003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</v>
      </c>
      <c r="EL218">
        <v>1.8646199999999999</v>
      </c>
      <c r="EM218">
        <v>1.8692</v>
      </c>
      <c r="EN218">
        <v>1.8672200000000001</v>
      </c>
      <c r="EO218">
        <v>1.8633999999999999</v>
      </c>
      <c r="EP218">
        <v>1.8644700000000001</v>
      </c>
      <c r="EQ218">
        <v>1.8702000000000001</v>
      </c>
      <c r="ER218">
        <v>1.8694200000000001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3.6999999999999998E-2</v>
      </c>
      <c r="FG218">
        <v>0.17530000000000001</v>
      </c>
      <c r="FH218">
        <v>0.28746640474027818</v>
      </c>
      <c r="FI218">
        <v>-6.1462078757559423E-4</v>
      </c>
      <c r="FJ218">
        <v>-1.8861989874597051E-7</v>
      </c>
      <c r="FK218">
        <v>1.1980462299894961E-10</v>
      </c>
      <c r="FL218">
        <v>0.17524818673008091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42.9</v>
      </c>
      <c r="FU218">
        <v>43</v>
      </c>
      <c r="FV218">
        <v>1.7639199999999999</v>
      </c>
      <c r="FW218">
        <v>2.5805699999999998</v>
      </c>
      <c r="FX218">
        <v>1.5490699999999999</v>
      </c>
      <c r="FY218">
        <v>2.3339799999999999</v>
      </c>
      <c r="FZ218">
        <v>1.50146</v>
      </c>
      <c r="GA218">
        <v>2.33765</v>
      </c>
      <c r="GB218">
        <v>33.580399999999997</v>
      </c>
      <c r="GC218">
        <v>23.982399999999998</v>
      </c>
      <c r="GD218">
        <v>19</v>
      </c>
      <c r="GE218">
        <v>282.79199999999997</v>
      </c>
      <c r="GF218">
        <v>576.303</v>
      </c>
      <c r="GG218">
        <v>23.3231</v>
      </c>
      <c r="GH218">
        <v>25.994499999999999</v>
      </c>
      <c r="GI218">
        <v>30</v>
      </c>
      <c r="GJ218">
        <v>26.141100000000002</v>
      </c>
      <c r="GK218">
        <v>26.128699999999998</v>
      </c>
      <c r="GL218">
        <v>35.2727</v>
      </c>
      <c r="GM218">
        <v>100</v>
      </c>
      <c r="GN218">
        <v>0</v>
      </c>
      <c r="GO218">
        <v>23.346</v>
      </c>
      <c r="GP218">
        <v>800</v>
      </c>
      <c r="GQ218">
        <v>0</v>
      </c>
      <c r="GR218">
        <v>99.778700000000001</v>
      </c>
      <c r="GS218">
        <v>99.626999999999995</v>
      </c>
    </row>
    <row r="219" spans="1:201" x14ac:dyDescent="0.25">
      <c r="A219">
        <v>203</v>
      </c>
      <c r="B219">
        <v>1690384546</v>
      </c>
      <c r="C219">
        <v>2070.900000095367</v>
      </c>
      <c r="D219" t="s">
        <v>737</v>
      </c>
      <c r="E219" t="s">
        <v>738</v>
      </c>
      <c r="F219" t="s">
        <v>330</v>
      </c>
      <c r="H219">
        <v>1690384546</v>
      </c>
      <c r="I219">
        <f t="shared" si="90"/>
        <v>2.3986923004841398E-3</v>
      </c>
      <c r="J219">
        <f t="shared" si="91"/>
        <v>2.3986923004841398</v>
      </c>
      <c r="K219">
        <f t="shared" si="92"/>
        <v>38.12578669116953</v>
      </c>
      <c r="L219">
        <f t="shared" si="93"/>
        <v>374.803</v>
      </c>
      <c r="M219">
        <f t="shared" si="94"/>
        <v>105.41465453662228</v>
      </c>
      <c r="N219">
        <f t="shared" si="95"/>
        <v>10.412299285697221</v>
      </c>
      <c r="O219">
        <f t="shared" si="96"/>
        <v>37.021048224574699</v>
      </c>
      <c r="P219">
        <f t="shared" si="97"/>
        <v>0.24239863667341924</v>
      </c>
      <c r="Q219">
        <f t="shared" si="98"/>
        <v>2.1057333408051493</v>
      </c>
      <c r="R219">
        <f t="shared" si="99"/>
        <v>0.22789521218747866</v>
      </c>
      <c r="S219">
        <f t="shared" si="100"/>
        <v>0.14366521246435157</v>
      </c>
      <c r="T219">
        <f t="shared" si="101"/>
        <v>276.11494302600005</v>
      </c>
      <c r="U219">
        <f t="shared" si="102"/>
        <v>26.804292747770678</v>
      </c>
      <c r="V219">
        <f t="shared" si="103"/>
        <v>26.804292747770678</v>
      </c>
      <c r="W219">
        <f t="shared" si="104"/>
        <v>3.5382253148994254</v>
      </c>
      <c r="X219">
        <f t="shared" si="105"/>
        <v>77.520494742920448</v>
      </c>
      <c r="Y219">
        <f t="shared" si="106"/>
        <v>2.53051852992159</v>
      </c>
      <c r="Z219">
        <f t="shared" si="107"/>
        <v>3.264321955520916</v>
      </c>
      <c r="AA219">
        <f t="shared" si="108"/>
        <v>1.0077067849778354</v>
      </c>
      <c r="AB219">
        <f t="shared" si="109"/>
        <v>-105.78233045135056</v>
      </c>
      <c r="AC219">
        <f t="shared" si="110"/>
        <v>-154.72143953629666</v>
      </c>
      <c r="AD219">
        <f t="shared" si="111"/>
        <v>-15.718436325090948</v>
      </c>
      <c r="AE219">
        <f t="shared" si="112"/>
        <v>-0.10726328673814578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52269.599510642445</v>
      </c>
      <c r="AK219">
        <f t="shared" si="116"/>
        <v>1800</v>
      </c>
      <c r="AL219">
        <f t="shared" si="117"/>
        <v>1499.1106445999999</v>
      </c>
      <c r="AM219">
        <f t="shared" si="118"/>
        <v>0.83283924699999989</v>
      </c>
      <c r="AN219">
        <f t="shared" si="119"/>
        <v>0.15339719057000004</v>
      </c>
      <c r="AO219">
        <v>32.700000000000003</v>
      </c>
      <c r="AP219">
        <v>0.5</v>
      </c>
      <c r="AQ219" t="s">
        <v>331</v>
      </c>
      <c r="AR219">
        <v>2</v>
      </c>
      <c r="AS219">
        <v>1690384546</v>
      </c>
      <c r="AT219">
        <v>374.803</v>
      </c>
      <c r="AU219">
        <v>799.96100000000001</v>
      </c>
      <c r="AV219">
        <v>25.6191</v>
      </c>
      <c r="AW219">
        <v>0.155916</v>
      </c>
      <c r="AX219">
        <v>374.76600000000002</v>
      </c>
      <c r="AY219">
        <v>25.4438</v>
      </c>
      <c r="AZ219">
        <v>300.14999999999998</v>
      </c>
      <c r="BA219">
        <v>98.674700000000001</v>
      </c>
      <c r="BB219">
        <v>9.9984900000000002E-2</v>
      </c>
      <c r="BC219">
        <v>25.441400000000002</v>
      </c>
      <c r="BD219">
        <v>26.975000000000001</v>
      </c>
      <c r="BE219">
        <v>26.7362</v>
      </c>
      <c r="BF219">
        <v>0</v>
      </c>
      <c r="BG219">
        <v>0</v>
      </c>
      <c r="BH219">
        <v>9964.3799999999992</v>
      </c>
      <c r="BI219">
        <v>1061</v>
      </c>
      <c r="BJ219">
        <v>2.4669099999999999</v>
      </c>
      <c r="BK219">
        <v>-425.15800000000002</v>
      </c>
      <c r="BL219">
        <v>384.65800000000002</v>
      </c>
      <c r="BM219">
        <v>800.08600000000001</v>
      </c>
      <c r="BN219">
        <v>25.463200000000001</v>
      </c>
      <c r="BO219">
        <v>799.96100000000001</v>
      </c>
      <c r="BP219">
        <v>0.155916</v>
      </c>
      <c r="BQ219">
        <v>2.5279600000000002</v>
      </c>
      <c r="BR219">
        <v>1.5384999999999999E-2</v>
      </c>
      <c r="BS219">
        <v>21.207599999999999</v>
      </c>
      <c r="BT219">
        <v>-41.920999999999999</v>
      </c>
      <c r="BU219">
        <v>1800</v>
      </c>
      <c r="BV219">
        <v>0.90999399999999997</v>
      </c>
      <c r="BW219">
        <v>3.3996100000000001E-2</v>
      </c>
      <c r="BX219">
        <v>2.1996600000000002E-2</v>
      </c>
      <c r="BY219">
        <v>3.4013300000000003E-2</v>
      </c>
      <c r="BZ219">
        <v>26</v>
      </c>
      <c r="CA219">
        <v>33528.5</v>
      </c>
      <c r="CB219">
        <v>1690381960.0999999</v>
      </c>
      <c r="CC219" t="s">
        <v>332</v>
      </c>
      <c r="CD219">
        <v>1690381960.0999999</v>
      </c>
      <c r="CE219">
        <v>1690381958.0999999</v>
      </c>
      <c r="CF219">
        <v>4</v>
      </c>
      <c r="CG219">
        <v>9.9000000000000005E-2</v>
      </c>
      <c r="CH219">
        <v>1.2E-2</v>
      </c>
      <c r="CI219">
        <v>-0.26300000000000001</v>
      </c>
      <c r="CJ219">
        <v>0.127</v>
      </c>
      <c r="CK219">
        <v>798</v>
      </c>
      <c r="CL219">
        <v>18</v>
      </c>
      <c r="CM219">
        <v>0.02</v>
      </c>
      <c r="CN219">
        <v>0.12</v>
      </c>
      <c r="CO219">
        <v>-424.88945000000001</v>
      </c>
      <c r="CP219">
        <v>-1.6397448405247279</v>
      </c>
      <c r="CQ219">
        <v>0.1652678053947568</v>
      </c>
      <c r="CR219">
        <v>-1</v>
      </c>
      <c r="CS219">
        <v>25.454432499999999</v>
      </c>
      <c r="CT219">
        <v>2.206716697932137E-2</v>
      </c>
      <c r="CU219">
        <v>3.3783418639917379E-3</v>
      </c>
      <c r="CV219">
        <v>-1</v>
      </c>
      <c r="CW219">
        <v>0</v>
      </c>
      <c r="CX219">
        <v>0</v>
      </c>
      <c r="CY219" t="s">
        <v>333</v>
      </c>
      <c r="CZ219">
        <v>2.3648400000000001</v>
      </c>
      <c r="DA219">
        <v>2.71374</v>
      </c>
      <c r="DB219">
        <v>8.4800700000000007E-2</v>
      </c>
      <c r="DC219">
        <v>0.145454</v>
      </c>
      <c r="DD219">
        <v>0.118882</v>
      </c>
      <c r="DE219">
        <v>1.30842E-3</v>
      </c>
      <c r="DF219">
        <v>33431.599999999999</v>
      </c>
      <c r="DG219">
        <v>27557.3</v>
      </c>
      <c r="DH219">
        <v>31184.3</v>
      </c>
      <c r="DI219">
        <v>28099.4</v>
      </c>
      <c r="DJ219">
        <v>37296.5</v>
      </c>
      <c r="DK219">
        <v>39910.699999999997</v>
      </c>
      <c r="DL219">
        <v>44380.4</v>
      </c>
      <c r="DM219">
        <v>42587.3</v>
      </c>
      <c r="DN219">
        <v>1.4784299999999999</v>
      </c>
      <c r="DO219">
        <v>2.0310800000000002</v>
      </c>
      <c r="DP219">
        <v>0.15601899999999999</v>
      </c>
      <c r="DQ219">
        <v>0.14454900000000001</v>
      </c>
      <c r="DR219">
        <v>24.417999999999999</v>
      </c>
      <c r="DS219">
        <v>24.366700000000002</v>
      </c>
      <c r="DT219">
        <v>21.5</v>
      </c>
      <c r="DU219">
        <v>29.3</v>
      </c>
      <c r="DV219">
        <v>8.9156099999999991</v>
      </c>
      <c r="DW219">
        <v>61.103000000000002</v>
      </c>
      <c r="DX219">
        <v>36.7348</v>
      </c>
      <c r="DY219">
        <v>1</v>
      </c>
      <c r="DZ219">
        <v>-0.110615</v>
      </c>
      <c r="EA219">
        <v>0.39263300000000001</v>
      </c>
      <c r="EB219">
        <v>20.1892</v>
      </c>
      <c r="EC219">
        <v>5.24125</v>
      </c>
      <c r="ED219">
        <v>12.039899999999999</v>
      </c>
      <c r="EE219">
        <v>5.0173500000000004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1.8689100000000001</v>
      </c>
      <c r="EL219">
        <v>1.8646199999999999</v>
      </c>
      <c r="EM219">
        <v>1.8692</v>
      </c>
      <c r="EN219">
        <v>1.8672200000000001</v>
      </c>
      <c r="EO219">
        <v>1.8633999999999999</v>
      </c>
      <c r="EP219">
        <v>1.8644700000000001</v>
      </c>
      <c r="EQ219">
        <v>1.8702000000000001</v>
      </c>
      <c r="ER219">
        <v>1.86941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3.6999999999999998E-2</v>
      </c>
      <c r="FG219">
        <v>0.17530000000000001</v>
      </c>
      <c r="FH219">
        <v>0.28746640474027818</v>
      </c>
      <c r="FI219">
        <v>-6.1462078757559423E-4</v>
      </c>
      <c r="FJ219">
        <v>-1.8861989874597051E-7</v>
      </c>
      <c r="FK219">
        <v>1.1980462299894961E-10</v>
      </c>
      <c r="FL219">
        <v>0.17524818673008091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43.1</v>
      </c>
      <c r="FU219">
        <v>43.1</v>
      </c>
      <c r="FV219">
        <v>1.7639199999999999</v>
      </c>
      <c r="FW219">
        <v>2.5805699999999998</v>
      </c>
      <c r="FX219">
        <v>1.5490699999999999</v>
      </c>
      <c r="FY219">
        <v>2.3339799999999999</v>
      </c>
      <c r="FZ219">
        <v>1.50146</v>
      </c>
      <c r="GA219">
        <v>2.3059099999999999</v>
      </c>
      <c r="GB219">
        <v>33.580399999999997</v>
      </c>
      <c r="GC219">
        <v>23.973700000000001</v>
      </c>
      <c r="GD219">
        <v>19</v>
      </c>
      <c r="GE219">
        <v>282.88799999999998</v>
      </c>
      <c r="GF219">
        <v>576.42200000000003</v>
      </c>
      <c r="GG219">
        <v>23.3537</v>
      </c>
      <c r="GH219">
        <v>25.993300000000001</v>
      </c>
      <c r="GI219">
        <v>30</v>
      </c>
      <c r="GJ219">
        <v>26.1389</v>
      </c>
      <c r="GK219">
        <v>26.1265</v>
      </c>
      <c r="GL219">
        <v>35.273800000000001</v>
      </c>
      <c r="GM219">
        <v>100</v>
      </c>
      <c r="GN219">
        <v>0</v>
      </c>
      <c r="GO219">
        <v>23.367899999999999</v>
      </c>
      <c r="GP219">
        <v>800</v>
      </c>
      <c r="GQ219">
        <v>0</v>
      </c>
      <c r="GR219">
        <v>99.779399999999995</v>
      </c>
      <c r="GS219">
        <v>99.628100000000003</v>
      </c>
    </row>
    <row r="220" spans="1:201" x14ac:dyDescent="0.25">
      <c r="A220">
        <v>204</v>
      </c>
      <c r="B220">
        <v>1690384556</v>
      </c>
      <c r="C220">
        <v>2080.900000095367</v>
      </c>
      <c r="D220" t="s">
        <v>739</v>
      </c>
      <c r="E220" t="s">
        <v>740</v>
      </c>
      <c r="F220" t="s">
        <v>330</v>
      </c>
      <c r="H220">
        <v>1690384556</v>
      </c>
      <c r="I220">
        <f t="shared" si="90"/>
        <v>2.4008440070395405E-3</v>
      </c>
      <c r="J220">
        <f t="shared" si="91"/>
        <v>2.4008440070395403</v>
      </c>
      <c r="K220">
        <f t="shared" si="92"/>
        <v>38.144887517166147</v>
      </c>
      <c r="L220">
        <f t="shared" si="93"/>
        <v>374.64499999999998</v>
      </c>
      <c r="M220">
        <f t="shared" si="94"/>
        <v>106.22011572774494</v>
      </c>
      <c r="N220">
        <f t="shared" si="95"/>
        <v>10.491814262859387</v>
      </c>
      <c r="O220">
        <f t="shared" si="96"/>
        <v>37.005285934576001</v>
      </c>
      <c r="P220">
        <f t="shared" si="97"/>
        <v>0.24341561106615434</v>
      </c>
      <c r="Q220">
        <f t="shared" si="98"/>
        <v>2.1114122913507836</v>
      </c>
      <c r="R220">
        <f t="shared" si="99"/>
        <v>0.22883097076182884</v>
      </c>
      <c r="S220">
        <f t="shared" si="100"/>
        <v>0.14425685117753898</v>
      </c>
      <c r="T220">
        <f t="shared" si="101"/>
        <v>276.11491028400002</v>
      </c>
      <c r="U220">
        <f t="shared" si="102"/>
        <v>26.79920578538961</v>
      </c>
      <c r="V220">
        <f t="shared" si="103"/>
        <v>26.79920578538961</v>
      </c>
      <c r="W220">
        <f t="shared" si="104"/>
        <v>3.5371667921756962</v>
      </c>
      <c r="X220">
        <f t="shared" si="105"/>
        <v>77.591650501581285</v>
      </c>
      <c r="Y220">
        <f t="shared" si="106"/>
        <v>2.5326907811545603</v>
      </c>
      <c r="Z220">
        <f t="shared" si="107"/>
        <v>3.2641279890069423</v>
      </c>
      <c r="AA220">
        <f t="shared" si="108"/>
        <v>1.0044760110211359</v>
      </c>
      <c r="AB220">
        <f t="shared" si="109"/>
        <v>-105.87722071044374</v>
      </c>
      <c r="AC220">
        <f t="shared" si="110"/>
        <v>-154.67348685598847</v>
      </c>
      <c r="AD220">
        <f t="shared" si="111"/>
        <v>-15.670821973145808</v>
      </c>
      <c r="AE220">
        <f t="shared" si="112"/>
        <v>-0.10661925557798213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52518.249876174239</v>
      </c>
      <c r="AK220">
        <f t="shared" si="116"/>
        <v>1800</v>
      </c>
      <c r="AL220">
        <f t="shared" si="117"/>
        <v>1499.1099984</v>
      </c>
      <c r="AM220">
        <f t="shared" si="118"/>
        <v>0.83283888800000005</v>
      </c>
      <c r="AN220">
        <f t="shared" si="119"/>
        <v>0.15339717238</v>
      </c>
      <c r="AO220">
        <v>32.700000000000003</v>
      </c>
      <c r="AP220">
        <v>0.5</v>
      </c>
      <c r="AQ220" t="s">
        <v>331</v>
      </c>
      <c r="AR220">
        <v>2</v>
      </c>
      <c r="AS220">
        <v>1690384556</v>
      </c>
      <c r="AT220">
        <v>374.64499999999998</v>
      </c>
      <c r="AU220">
        <v>800.02</v>
      </c>
      <c r="AV220">
        <v>25.641200000000001</v>
      </c>
      <c r="AW220">
        <v>0.155498</v>
      </c>
      <c r="AX220">
        <v>374.608</v>
      </c>
      <c r="AY220">
        <v>25.466000000000001</v>
      </c>
      <c r="AZ220">
        <v>300.14699999999999</v>
      </c>
      <c r="BA220">
        <v>98.674300000000002</v>
      </c>
      <c r="BB220">
        <v>9.9968799999999997E-2</v>
      </c>
      <c r="BC220">
        <v>25.4404</v>
      </c>
      <c r="BD220">
        <v>26.974599999999999</v>
      </c>
      <c r="BE220">
        <v>26.749600000000001</v>
      </c>
      <c r="BF220">
        <v>0</v>
      </c>
      <c r="BG220">
        <v>0</v>
      </c>
      <c r="BH220">
        <v>10013.799999999999</v>
      </c>
      <c r="BI220">
        <v>1061.06</v>
      </c>
      <c r="BJ220">
        <v>2.4669099999999999</v>
      </c>
      <c r="BK220">
        <v>-425.375</v>
      </c>
      <c r="BL220">
        <v>384.50400000000002</v>
      </c>
      <c r="BM220">
        <v>800.14499999999998</v>
      </c>
      <c r="BN220">
        <v>25.485700000000001</v>
      </c>
      <c r="BO220">
        <v>800.02</v>
      </c>
      <c r="BP220">
        <v>0.155498</v>
      </c>
      <c r="BQ220">
        <v>2.5301300000000002</v>
      </c>
      <c r="BR220">
        <v>1.5343600000000001E-2</v>
      </c>
      <c r="BS220">
        <v>21.221599999999999</v>
      </c>
      <c r="BT220">
        <v>-41.946300000000001</v>
      </c>
      <c r="BU220">
        <v>1800</v>
      </c>
      <c r="BV220">
        <v>0.90999300000000005</v>
      </c>
      <c r="BW220">
        <v>3.3995900000000003E-2</v>
      </c>
      <c r="BX220">
        <v>2.19974E-2</v>
      </c>
      <c r="BY220">
        <v>3.40132E-2</v>
      </c>
      <c r="BZ220">
        <v>26</v>
      </c>
      <c r="CA220">
        <v>33528.5</v>
      </c>
      <c r="CB220">
        <v>1690381960.0999999</v>
      </c>
      <c r="CC220" t="s">
        <v>332</v>
      </c>
      <c r="CD220">
        <v>1690381960.0999999</v>
      </c>
      <c r="CE220">
        <v>1690381958.0999999</v>
      </c>
      <c r="CF220">
        <v>4</v>
      </c>
      <c r="CG220">
        <v>9.9000000000000005E-2</v>
      </c>
      <c r="CH220">
        <v>1.2E-2</v>
      </c>
      <c r="CI220">
        <v>-0.26300000000000001</v>
      </c>
      <c r="CJ220">
        <v>0.127</v>
      </c>
      <c r="CK220">
        <v>798</v>
      </c>
      <c r="CL220">
        <v>18</v>
      </c>
      <c r="CM220">
        <v>0.02</v>
      </c>
      <c r="CN220">
        <v>0.12</v>
      </c>
      <c r="CO220">
        <v>-425.15131707317067</v>
      </c>
      <c r="CP220">
        <v>-1.5300627177705211</v>
      </c>
      <c r="CQ220">
        <v>0.16410978464376891</v>
      </c>
      <c r="CR220">
        <v>-1</v>
      </c>
      <c r="CS220">
        <v>25.465078048780491</v>
      </c>
      <c r="CT220">
        <v>0.10362857142861751</v>
      </c>
      <c r="CU220">
        <v>1.0831875098244339E-2</v>
      </c>
      <c r="CV220">
        <v>-1</v>
      </c>
      <c r="CW220">
        <v>0</v>
      </c>
      <c r="CX220">
        <v>0</v>
      </c>
      <c r="CY220" t="s">
        <v>333</v>
      </c>
      <c r="CZ220">
        <v>2.3648500000000001</v>
      </c>
      <c r="DA220">
        <v>2.7137699999999998</v>
      </c>
      <c r="DB220">
        <v>8.4772799999999995E-2</v>
      </c>
      <c r="DC220">
        <v>0.14546100000000001</v>
      </c>
      <c r="DD220">
        <v>0.118954</v>
      </c>
      <c r="DE220">
        <v>1.3049400000000001E-3</v>
      </c>
      <c r="DF220">
        <v>33432.1</v>
      </c>
      <c r="DG220">
        <v>27557.5</v>
      </c>
      <c r="DH220">
        <v>31183.8</v>
      </c>
      <c r="DI220">
        <v>28099.8</v>
      </c>
      <c r="DJ220">
        <v>37293</v>
      </c>
      <c r="DK220">
        <v>39911.300000000003</v>
      </c>
      <c r="DL220">
        <v>44379.9</v>
      </c>
      <c r="DM220">
        <v>42587.8</v>
      </c>
      <c r="DN220">
        <v>1.4781200000000001</v>
      </c>
      <c r="DO220">
        <v>2.0310999999999999</v>
      </c>
      <c r="DP220">
        <v>0.155997</v>
      </c>
      <c r="DQ220">
        <v>0.14524200000000001</v>
      </c>
      <c r="DR220">
        <v>24.417999999999999</v>
      </c>
      <c r="DS220">
        <v>24.3687</v>
      </c>
      <c r="DT220">
        <v>21.5</v>
      </c>
      <c r="DU220">
        <v>29.3</v>
      </c>
      <c r="DV220">
        <v>8.9160400000000006</v>
      </c>
      <c r="DW220">
        <v>60.853000000000002</v>
      </c>
      <c r="DX220">
        <v>37.235599999999998</v>
      </c>
      <c r="DY220">
        <v>1</v>
      </c>
      <c r="DZ220">
        <v>-0.11039599999999999</v>
      </c>
      <c r="EA220">
        <v>0.36330600000000002</v>
      </c>
      <c r="EB220">
        <v>20.1891</v>
      </c>
      <c r="EC220">
        <v>5.2413999999999996</v>
      </c>
      <c r="ED220">
        <v>12.039899999999999</v>
      </c>
      <c r="EE220">
        <v>5.0174500000000002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</v>
      </c>
      <c r="EL220">
        <v>1.8646199999999999</v>
      </c>
      <c r="EM220">
        <v>1.8692</v>
      </c>
      <c r="EN220">
        <v>1.86724</v>
      </c>
      <c r="EO220">
        <v>1.8633900000000001</v>
      </c>
      <c r="EP220">
        <v>1.86446</v>
      </c>
      <c r="EQ220">
        <v>1.87018</v>
      </c>
      <c r="ER220">
        <v>1.8693900000000001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3.6999999999999998E-2</v>
      </c>
      <c r="FG220">
        <v>0.17519999999999999</v>
      </c>
      <c r="FH220">
        <v>0.28746640474027818</v>
      </c>
      <c r="FI220">
        <v>-6.1462078757559423E-4</v>
      </c>
      <c r="FJ220">
        <v>-1.8861989874597051E-7</v>
      </c>
      <c r="FK220">
        <v>1.1980462299894961E-10</v>
      </c>
      <c r="FL220">
        <v>0.17524818673008091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43.3</v>
      </c>
      <c r="FU220">
        <v>43.3</v>
      </c>
      <c r="FV220">
        <v>1.7639199999999999</v>
      </c>
      <c r="FW220">
        <v>2.5817899999999998</v>
      </c>
      <c r="FX220">
        <v>1.5490699999999999</v>
      </c>
      <c r="FY220">
        <v>2.3339799999999999</v>
      </c>
      <c r="FZ220">
        <v>1.50146</v>
      </c>
      <c r="GA220">
        <v>2.2997999999999998</v>
      </c>
      <c r="GB220">
        <v>33.580399999999997</v>
      </c>
      <c r="GC220">
        <v>23.982399999999998</v>
      </c>
      <c r="GD220">
        <v>19</v>
      </c>
      <c r="GE220">
        <v>282.76100000000002</v>
      </c>
      <c r="GF220">
        <v>576.44200000000001</v>
      </c>
      <c r="GG220">
        <v>23.385300000000001</v>
      </c>
      <c r="GH220">
        <v>25.993300000000001</v>
      </c>
      <c r="GI220">
        <v>30.0002</v>
      </c>
      <c r="GJ220">
        <v>26.1389</v>
      </c>
      <c r="GK220">
        <v>26.1265</v>
      </c>
      <c r="GL220">
        <v>35.269500000000001</v>
      </c>
      <c r="GM220">
        <v>100</v>
      </c>
      <c r="GN220">
        <v>0</v>
      </c>
      <c r="GO220">
        <v>23.398900000000001</v>
      </c>
      <c r="GP220">
        <v>800</v>
      </c>
      <c r="GQ220">
        <v>0</v>
      </c>
      <c r="GR220">
        <v>99.778000000000006</v>
      </c>
      <c r="GS220">
        <v>99.629300000000001</v>
      </c>
    </row>
    <row r="221" spans="1:201" x14ac:dyDescent="0.25">
      <c r="A221">
        <v>205</v>
      </c>
      <c r="B221">
        <v>1690384566</v>
      </c>
      <c r="C221">
        <v>2090.900000095367</v>
      </c>
      <c r="D221" t="s">
        <v>741</v>
      </c>
      <c r="E221" t="s">
        <v>742</v>
      </c>
      <c r="F221" t="s">
        <v>330</v>
      </c>
      <c r="H221">
        <v>1690384566</v>
      </c>
      <c r="I221">
        <f t="shared" si="90"/>
        <v>2.4038629245779638E-3</v>
      </c>
      <c r="J221">
        <f t="shared" si="91"/>
        <v>2.4038629245779637</v>
      </c>
      <c r="K221">
        <f t="shared" si="92"/>
        <v>38.168700431713624</v>
      </c>
      <c r="L221">
        <f t="shared" si="93"/>
        <v>374.32100000000003</v>
      </c>
      <c r="M221">
        <f t="shared" si="94"/>
        <v>106.3432436355055</v>
      </c>
      <c r="N221">
        <f t="shared" si="95"/>
        <v>10.504033472194278</v>
      </c>
      <c r="O221">
        <f t="shared" si="96"/>
        <v>36.973484905368011</v>
      </c>
      <c r="P221">
        <f t="shared" si="97"/>
        <v>0.24402017735479478</v>
      </c>
      <c r="Q221">
        <f t="shared" si="98"/>
        <v>2.1090417756757227</v>
      </c>
      <c r="R221">
        <f t="shared" si="99"/>
        <v>0.22934993111970578</v>
      </c>
      <c r="S221">
        <f t="shared" si="100"/>
        <v>0.14458821670345973</v>
      </c>
      <c r="T221">
        <f t="shared" si="101"/>
        <v>276.11429049000003</v>
      </c>
      <c r="U221">
        <f t="shared" si="102"/>
        <v>26.80831358387826</v>
      </c>
      <c r="V221">
        <f t="shared" si="103"/>
        <v>26.80831358387826</v>
      </c>
      <c r="W221">
        <f t="shared" si="104"/>
        <v>3.5390621879566475</v>
      </c>
      <c r="X221">
        <f t="shared" si="105"/>
        <v>77.640734373150025</v>
      </c>
      <c r="Y221">
        <f t="shared" si="106"/>
        <v>2.5356184637256001</v>
      </c>
      <c r="Z221">
        <f t="shared" si="107"/>
        <v>3.2658352399645465</v>
      </c>
      <c r="AA221">
        <f t="shared" si="108"/>
        <v>1.0034437242310474</v>
      </c>
      <c r="AB221">
        <f t="shared" si="109"/>
        <v>-106.0103549738882</v>
      </c>
      <c r="AC221">
        <f t="shared" si="110"/>
        <v>-154.53483001481695</v>
      </c>
      <c r="AD221">
        <f t="shared" si="111"/>
        <v>-15.675779419787078</v>
      </c>
      <c r="AE221">
        <f t="shared" si="112"/>
        <v>-0.10667391849219143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52412.896394697716</v>
      </c>
      <c r="AK221">
        <f t="shared" si="116"/>
        <v>1800</v>
      </c>
      <c r="AL221">
        <f t="shared" si="117"/>
        <v>1499.109678</v>
      </c>
      <c r="AM221">
        <f t="shared" si="118"/>
        <v>0.83283870999999998</v>
      </c>
      <c r="AN221">
        <f t="shared" si="119"/>
        <v>0.15339682805000002</v>
      </c>
      <c r="AO221">
        <v>32.700000000000003</v>
      </c>
      <c r="AP221">
        <v>0.5</v>
      </c>
      <c r="AQ221" t="s">
        <v>331</v>
      </c>
      <c r="AR221">
        <v>2</v>
      </c>
      <c r="AS221">
        <v>1690384566</v>
      </c>
      <c r="AT221">
        <v>374.32100000000003</v>
      </c>
      <c r="AU221">
        <v>799.93799999999999</v>
      </c>
      <c r="AV221">
        <v>25.6707</v>
      </c>
      <c r="AW221">
        <v>0.154999</v>
      </c>
      <c r="AX221">
        <v>374.28399999999999</v>
      </c>
      <c r="AY221">
        <v>25.4954</v>
      </c>
      <c r="AZ221">
        <v>300.16199999999998</v>
      </c>
      <c r="BA221">
        <v>98.674700000000001</v>
      </c>
      <c r="BB221">
        <v>0.100108</v>
      </c>
      <c r="BC221">
        <v>25.449200000000001</v>
      </c>
      <c r="BD221">
        <v>27.040500000000002</v>
      </c>
      <c r="BE221">
        <v>26.733799999999999</v>
      </c>
      <c r="BF221">
        <v>0</v>
      </c>
      <c r="BG221">
        <v>0</v>
      </c>
      <c r="BH221">
        <v>9993.1200000000008</v>
      </c>
      <c r="BI221">
        <v>1061.03</v>
      </c>
      <c r="BJ221">
        <v>2.4669099999999999</v>
      </c>
      <c r="BK221">
        <v>-425.61700000000002</v>
      </c>
      <c r="BL221">
        <v>384.18299999999999</v>
      </c>
      <c r="BM221">
        <v>800.06200000000001</v>
      </c>
      <c r="BN221">
        <v>25.515699999999999</v>
      </c>
      <c r="BO221">
        <v>799.93799999999999</v>
      </c>
      <c r="BP221">
        <v>0.154999</v>
      </c>
      <c r="BQ221">
        <v>2.5330499999999998</v>
      </c>
      <c r="BR221">
        <v>1.5294500000000001E-2</v>
      </c>
      <c r="BS221">
        <v>21.240400000000001</v>
      </c>
      <c r="BT221">
        <v>-41.976399999999998</v>
      </c>
      <c r="BU221">
        <v>1800</v>
      </c>
      <c r="BV221">
        <v>0.90999699999999994</v>
      </c>
      <c r="BW221">
        <v>3.3996400000000003E-2</v>
      </c>
      <c r="BX221">
        <v>2.1992500000000002E-2</v>
      </c>
      <c r="BY221">
        <v>3.4013700000000001E-2</v>
      </c>
      <c r="BZ221">
        <v>26</v>
      </c>
      <c r="CA221">
        <v>33528.5</v>
      </c>
      <c r="CB221">
        <v>1690381960.0999999</v>
      </c>
      <c r="CC221" t="s">
        <v>332</v>
      </c>
      <c r="CD221">
        <v>1690381960.0999999</v>
      </c>
      <c r="CE221">
        <v>1690381958.0999999</v>
      </c>
      <c r="CF221">
        <v>4</v>
      </c>
      <c r="CG221">
        <v>9.9000000000000005E-2</v>
      </c>
      <c r="CH221">
        <v>1.2E-2</v>
      </c>
      <c r="CI221">
        <v>-0.26300000000000001</v>
      </c>
      <c r="CJ221">
        <v>0.127</v>
      </c>
      <c r="CK221">
        <v>798</v>
      </c>
      <c r="CL221">
        <v>18</v>
      </c>
      <c r="CM221">
        <v>0.02</v>
      </c>
      <c r="CN221">
        <v>0.12</v>
      </c>
      <c r="CO221">
        <v>-425.3546585365853</v>
      </c>
      <c r="CP221">
        <v>-0.88751916376281159</v>
      </c>
      <c r="CQ221">
        <v>0.1051033428156728</v>
      </c>
      <c r="CR221">
        <v>-1</v>
      </c>
      <c r="CS221">
        <v>25.485858536585361</v>
      </c>
      <c r="CT221">
        <v>0.145705923345018</v>
      </c>
      <c r="CU221">
        <v>1.4446351140445301E-2</v>
      </c>
      <c r="CV221">
        <v>-1</v>
      </c>
      <c r="CW221">
        <v>0</v>
      </c>
      <c r="CX221">
        <v>0</v>
      </c>
      <c r="CY221" t="s">
        <v>333</v>
      </c>
      <c r="CZ221">
        <v>2.3649</v>
      </c>
      <c r="DA221">
        <v>2.7138900000000001</v>
      </c>
      <c r="DB221">
        <v>8.4716399999999997E-2</v>
      </c>
      <c r="DC221">
        <v>0.145452</v>
      </c>
      <c r="DD221">
        <v>0.11905</v>
      </c>
      <c r="DE221">
        <v>1.3008099999999999E-3</v>
      </c>
      <c r="DF221">
        <v>33433.800000000003</v>
      </c>
      <c r="DG221">
        <v>27557.200000000001</v>
      </c>
      <c r="DH221">
        <v>31183.5</v>
      </c>
      <c r="DI221">
        <v>28099.3</v>
      </c>
      <c r="DJ221">
        <v>37288.400000000001</v>
      </c>
      <c r="DK221">
        <v>39910.800000000003</v>
      </c>
      <c r="DL221">
        <v>44379.4</v>
      </c>
      <c r="DM221">
        <v>42587.1</v>
      </c>
      <c r="DN221">
        <v>1.47855</v>
      </c>
      <c r="DO221">
        <v>2.0310000000000001</v>
      </c>
      <c r="DP221">
        <v>0.15989700000000001</v>
      </c>
      <c r="DQ221">
        <v>0.14419499999999999</v>
      </c>
      <c r="DR221">
        <v>24.420100000000001</v>
      </c>
      <c r="DS221">
        <v>24.37</v>
      </c>
      <c r="DT221">
        <v>21.4</v>
      </c>
      <c r="DU221">
        <v>29.3</v>
      </c>
      <c r="DV221">
        <v>8.8735400000000002</v>
      </c>
      <c r="DW221">
        <v>61.442999999999998</v>
      </c>
      <c r="DX221">
        <v>37.788499999999999</v>
      </c>
      <c r="DY221">
        <v>1</v>
      </c>
      <c r="DZ221">
        <v>-0.110124</v>
      </c>
      <c r="EA221">
        <v>0.40497</v>
      </c>
      <c r="EB221">
        <v>20.1892</v>
      </c>
      <c r="EC221">
        <v>5.2411000000000003</v>
      </c>
      <c r="ED221">
        <v>12.039899999999999</v>
      </c>
      <c r="EE221">
        <v>5.0172999999999996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</v>
      </c>
      <c r="EL221">
        <v>1.8646199999999999</v>
      </c>
      <c r="EM221">
        <v>1.8692</v>
      </c>
      <c r="EN221">
        <v>1.8672200000000001</v>
      </c>
      <c r="EO221">
        <v>1.8633999999999999</v>
      </c>
      <c r="EP221">
        <v>1.86446</v>
      </c>
      <c r="EQ221">
        <v>1.87018</v>
      </c>
      <c r="ER221">
        <v>1.8693900000000001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3.6999999999999998E-2</v>
      </c>
      <c r="FG221">
        <v>0.17530000000000001</v>
      </c>
      <c r="FH221">
        <v>0.28746640474027818</v>
      </c>
      <c r="FI221">
        <v>-6.1462078757559423E-4</v>
      </c>
      <c r="FJ221">
        <v>-1.8861989874597051E-7</v>
      </c>
      <c r="FK221">
        <v>1.1980462299894961E-10</v>
      </c>
      <c r="FL221">
        <v>0.17524818673008091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43.4</v>
      </c>
      <c r="FU221">
        <v>43.5</v>
      </c>
      <c r="FV221">
        <v>1.7639199999999999</v>
      </c>
      <c r="FW221">
        <v>2.5756800000000002</v>
      </c>
      <c r="FX221">
        <v>1.5490699999999999</v>
      </c>
      <c r="FY221">
        <v>2.3339799999999999</v>
      </c>
      <c r="FZ221">
        <v>1.50146</v>
      </c>
      <c r="GA221">
        <v>2.3645</v>
      </c>
      <c r="GB221">
        <v>33.580399999999997</v>
      </c>
      <c r="GC221">
        <v>23.982399999999998</v>
      </c>
      <c r="GD221">
        <v>19</v>
      </c>
      <c r="GE221">
        <v>282.94099999999997</v>
      </c>
      <c r="GF221">
        <v>576.346</v>
      </c>
      <c r="GG221">
        <v>23.416799999999999</v>
      </c>
      <c r="GH221">
        <v>25.993300000000001</v>
      </c>
      <c r="GI221">
        <v>30.0002</v>
      </c>
      <c r="GJ221">
        <v>26.1389</v>
      </c>
      <c r="GK221">
        <v>26.1251</v>
      </c>
      <c r="GL221">
        <v>35.273699999999998</v>
      </c>
      <c r="GM221">
        <v>100</v>
      </c>
      <c r="GN221">
        <v>0</v>
      </c>
      <c r="GO221">
        <v>23.38</v>
      </c>
      <c r="GP221">
        <v>800</v>
      </c>
      <c r="GQ221">
        <v>0</v>
      </c>
      <c r="GR221">
        <v>99.776899999999998</v>
      </c>
      <c r="GS221">
        <v>99.627600000000001</v>
      </c>
    </row>
    <row r="222" spans="1:201" x14ac:dyDescent="0.25">
      <c r="A222">
        <v>206</v>
      </c>
      <c r="B222">
        <v>1690384576</v>
      </c>
      <c r="C222">
        <v>2100.900000095367</v>
      </c>
      <c r="D222" t="s">
        <v>743</v>
      </c>
      <c r="E222" t="s">
        <v>744</v>
      </c>
      <c r="F222" t="s">
        <v>330</v>
      </c>
      <c r="H222">
        <v>1690384576</v>
      </c>
      <c r="I222">
        <f t="shared" si="90"/>
        <v>2.4053921493824596E-3</v>
      </c>
      <c r="J222">
        <f t="shared" si="91"/>
        <v>2.4053921493824597</v>
      </c>
      <c r="K222">
        <f t="shared" si="92"/>
        <v>38.207931467450138</v>
      </c>
      <c r="L222">
        <f t="shared" si="93"/>
        <v>374.08</v>
      </c>
      <c r="M222">
        <f t="shared" si="94"/>
        <v>106.33742916468692</v>
      </c>
      <c r="N222">
        <f t="shared" si="95"/>
        <v>10.503392050037748</v>
      </c>
      <c r="O222">
        <f t="shared" si="96"/>
        <v>36.949444132159996</v>
      </c>
      <c r="P222">
        <f t="shared" si="97"/>
        <v>0.24449754273595445</v>
      </c>
      <c r="Q222">
        <f t="shared" si="98"/>
        <v>2.1106179774126494</v>
      </c>
      <c r="R222">
        <f t="shared" si="99"/>
        <v>0.2297819882938309</v>
      </c>
      <c r="S222">
        <f t="shared" si="100"/>
        <v>0.14486201242751434</v>
      </c>
      <c r="T222">
        <f t="shared" si="101"/>
        <v>276.11491028400002</v>
      </c>
      <c r="U222">
        <f t="shared" si="102"/>
        <v>26.807257423600646</v>
      </c>
      <c r="V222">
        <f t="shared" si="103"/>
        <v>26.807257423600646</v>
      </c>
      <c r="W222">
        <f t="shared" si="104"/>
        <v>3.5388423482679734</v>
      </c>
      <c r="X222">
        <f t="shared" si="105"/>
        <v>77.670754160167917</v>
      </c>
      <c r="Y222">
        <f t="shared" si="106"/>
        <v>2.5366591492078001</v>
      </c>
      <c r="Z222">
        <f t="shared" si="107"/>
        <v>3.2659128608135513</v>
      </c>
      <c r="AA222">
        <f t="shared" si="108"/>
        <v>1.0021831990601733</v>
      </c>
      <c r="AB222">
        <f t="shared" si="109"/>
        <v>-106.07779378776647</v>
      </c>
      <c r="AC222">
        <f t="shared" si="110"/>
        <v>-154.48462927008336</v>
      </c>
      <c r="AD222">
        <f t="shared" si="111"/>
        <v>-15.658932624204494</v>
      </c>
      <c r="AE222">
        <f t="shared" si="112"/>
        <v>-0.10644539805431918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52481.825600053511</v>
      </c>
      <c r="AK222">
        <f t="shared" si="116"/>
        <v>1800</v>
      </c>
      <c r="AL222">
        <f t="shared" si="117"/>
        <v>1499.1099984</v>
      </c>
      <c r="AM222">
        <f t="shared" si="118"/>
        <v>0.83283888800000005</v>
      </c>
      <c r="AN222">
        <f t="shared" si="119"/>
        <v>0.15339717238</v>
      </c>
      <c r="AO222">
        <v>32.700000000000003</v>
      </c>
      <c r="AP222">
        <v>0.5</v>
      </c>
      <c r="AQ222" t="s">
        <v>331</v>
      </c>
      <c r="AR222">
        <v>2</v>
      </c>
      <c r="AS222">
        <v>1690384576</v>
      </c>
      <c r="AT222">
        <v>374.08</v>
      </c>
      <c r="AU222">
        <v>800.04200000000003</v>
      </c>
      <c r="AV222">
        <v>25.6814</v>
      </c>
      <c r="AW222">
        <v>0.15468000000000001</v>
      </c>
      <c r="AX222">
        <v>374.04300000000001</v>
      </c>
      <c r="AY222">
        <v>25.5061</v>
      </c>
      <c r="AZ222">
        <v>300.22000000000003</v>
      </c>
      <c r="BA222">
        <v>98.674099999999996</v>
      </c>
      <c r="BB222">
        <v>0.100077</v>
      </c>
      <c r="BC222">
        <v>25.4496</v>
      </c>
      <c r="BD222">
        <v>26.968299999999999</v>
      </c>
      <c r="BE222">
        <v>26.751999999999999</v>
      </c>
      <c r="BF222">
        <v>0</v>
      </c>
      <c r="BG222">
        <v>0</v>
      </c>
      <c r="BH222">
        <v>10006.9</v>
      </c>
      <c r="BI222">
        <v>1061.1099999999999</v>
      </c>
      <c r="BJ222">
        <v>2.4599000000000002</v>
      </c>
      <c r="BK222">
        <v>-425.96199999999999</v>
      </c>
      <c r="BL222">
        <v>383.94</v>
      </c>
      <c r="BM222">
        <v>800.16600000000005</v>
      </c>
      <c r="BN222">
        <v>25.526700000000002</v>
      </c>
      <c r="BO222">
        <v>800.04200000000003</v>
      </c>
      <c r="BP222">
        <v>0.15468000000000001</v>
      </c>
      <c r="BQ222">
        <v>2.53409</v>
      </c>
      <c r="BR222">
        <v>1.5262899999999999E-2</v>
      </c>
      <c r="BS222">
        <v>21.2471</v>
      </c>
      <c r="BT222">
        <v>-41.995800000000003</v>
      </c>
      <c r="BU222">
        <v>1800</v>
      </c>
      <c r="BV222">
        <v>0.90999300000000005</v>
      </c>
      <c r="BW222">
        <v>3.3995900000000003E-2</v>
      </c>
      <c r="BX222">
        <v>2.19974E-2</v>
      </c>
      <c r="BY222">
        <v>3.40132E-2</v>
      </c>
      <c r="BZ222">
        <v>26</v>
      </c>
      <c r="CA222">
        <v>33528.400000000001</v>
      </c>
      <c r="CB222">
        <v>1690381960.0999999</v>
      </c>
      <c r="CC222" t="s">
        <v>332</v>
      </c>
      <c r="CD222">
        <v>1690381960.0999999</v>
      </c>
      <c r="CE222">
        <v>1690381958.0999999</v>
      </c>
      <c r="CF222">
        <v>4</v>
      </c>
      <c r="CG222">
        <v>9.9000000000000005E-2</v>
      </c>
      <c r="CH222">
        <v>1.2E-2</v>
      </c>
      <c r="CI222">
        <v>-0.26300000000000001</v>
      </c>
      <c r="CJ222">
        <v>0.127</v>
      </c>
      <c r="CK222">
        <v>798</v>
      </c>
      <c r="CL222">
        <v>18</v>
      </c>
      <c r="CM222">
        <v>0.02</v>
      </c>
      <c r="CN222">
        <v>0.12</v>
      </c>
      <c r="CO222">
        <v>-425.58345000000003</v>
      </c>
      <c r="CP222">
        <v>-1.9130206378976271</v>
      </c>
      <c r="CQ222">
        <v>0.18814368844051391</v>
      </c>
      <c r="CR222">
        <v>-1</v>
      </c>
      <c r="CS222">
        <v>25.509879999999999</v>
      </c>
      <c r="CT222">
        <v>0.15060562851773501</v>
      </c>
      <c r="CU222">
        <v>1.479336337686581E-2</v>
      </c>
      <c r="CV222">
        <v>-1</v>
      </c>
      <c r="CW222">
        <v>0</v>
      </c>
      <c r="CX222">
        <v>0</v>
      </c>
      <c r="CY222" t="s">
        <v>333</v>
      </c>
      <c r="CZ222">
        <v>2.3650899999999999</v>
      </c>
      <c r="DA222">
        <v>2.7138800000000001</v>
      </c>
      <c r="DB222">
        <v>8.4674399999999997E-2</v>
      </c>
      <c r="DC222">
        <v>0.14546500000000001</v>
      </c>
      <c r="DD222">
        <v>0.119085</v>
      </c>
      <c r="DE222">
        <v>1.2981500000000001E-3</v>
      </c>
      <c r="DF222">
        <v>33436</v>
      </c>
      <c r="DG222">
        <v>27557.4</v>
      </c>
      <c r="DH222">
        <v>31184</v>
      </c>
      <c r="DI222">
        <v>28099.8</v>
      </c>
      <c r="DJ222">
        <v>37287.699999999997</v>
      </c>
      <c r="DK222">
        <v>39911.599999999999</v>
      </c>
      <c r="DL222">
        <v>44380.3</v>
      </c>
      <c r="DM222">
        <v>42587.8</v>
      </c>
      <c r="DN222">
        <v>1.47872</v>
      </c>
      <c r="DO222">
        <v>2.03105</v>
      </c>
      <c r="DP222">
        <v>0.15537799999999999</v>
      </c>
      <c r="DQ222">
        <v>0.14518600000000001</v>
      </c>
      <c r="DR222">
        <v>24.421800000000001</v>
      </c>
      <c r="DS222">
        <v>24.3721</v>
      </c>
      <c r="DT222">
        <v>21.4</v>
      </c>
      <c r="DU222">
        <v>29.3</v>
      </c>
      <c r="DV222">
        <v>8.8756500000000003</v>
      </c>
      <c r="DW222">
        <v>60.863</v>
      </c>
      <c r="DX222">
        <v>37.303699999999999</v>
      </c>
      <c r="DY222">
        <v>1</v>
      </c>
      <c r="DZ222">
        <v>-0.110833</v>
      </c>
      <c r="EA222">
        <v>0.53215999999999997</v>
      </c>
      <c r="EB222">
        <v>20.188500000000001</v>
      </c>
      <c r="EC222">
        <v>5.2413999999999996</v>
      </c>
      <c r="ED222">
        <v>12.039899999999999</v>
      </c>
      <c r="EE222">
        <v>5.0173500000000004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1.8689100000000001</v>
      </c>
      <c r="EL222">
        <v>1.8646199999999999</v>
      </c>
      <c r="EM222">
        <v>1.8692</v>
      </c>
      <c r="EN222">
        <v>1.8672299999999999</v>
      </c>
      <c r="EO222">
        <v>1.86338</v>
      </c>
      <c r="EP222">
        <v>1.86446</v>
      </c>
      <c r="EQ222">
        <v>1.87018</v>
      </c>
      <c r="ER222">
        <v>1.8693900000000001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3.6999999999999998E-2</v>
      </c>
      <c r="FG222">
        <v>0.17530000000000001</v>
      </c>
      <c r="FH222">
        <v>0.28746640474027818</v>
      </c>
      <c r="FI222">
        <v>-6.1462078757559423E-4</v>
      </c>
      <c r="FJ222">
        <v>-1.8861989874597051E-7</v>
      </c>
      <c r="FK222">
        <v>1.1980462299894961E-10</v>
      </c>
      <c r="FL222">
        <v>0.17524818673008091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43.6</v>
      </c>
      <c r="FU222">
        <v>43.6</v>
      </c>
      <c r="FV222">
        <v>1.7639199999999999</v>
      </c>
      <c r="FW222">
        <v>2.5744600000000002</v>
      </c>
      <c r="FX222">
        <v>1.5490699999999999</v>
      </c>
      <c r="FY222">
        <v>2.3339799999999999</v>
      </c>
      <c r="FZ222">
        <v>1.50146</v>
      </c>
      <c r="GA222">
        <v>2.3645</v>
      </c>
      <c r="GB222">
        <v>33.580399999999997</v>
      </c>
      <c r="GC222">
        <v>23.982399999999998</v>
      </c>
      <c r="GD222">
        <v>19</v>
      </c>
      <c r="GE222">
        <v>283.01</v>
      </c>
      <c r="GF222">
        <v>576.37699999999995</v>
      </c>
      <c r="GG222">
        <v>23.357700000000001</v>
      </c>
      <c r="GH222">
        <v>25.991</v>
      </c>
      <c r="GI222">
        <v>30</v>
      </c>
      <c r="GJ222">
        <v>26.137499999999999</v>
      </c>
      <c r="GK222">
        <v>26.124300000000002</v>
      </c>
      <c r="GL222">
        <v>35.271599999999999</v>
      </c>
      <c r="GM222">
        <v>100</v>
      </c>
      <c r="GN222">
        <v>0</v>
      </c>
      <c r="GO222">
        <v>23.3719</v>
      </c>
      <c r="GP222">
        <v>800</v>
      </c>
      <c r="GQ222">
        <v>0</v>
      </c>
      <c r="GR222">
        <v>99.778899999999993</v>
      </c>
      <c r="GS222">
        <v>99.629400000000004</v>
      </c>
    </row>
    <row r="223" spans="1:201" x14ac:dyDescent="0.25">
      <c r="A223">
        <v>207</v>
      </c>
      <c r="B223">
        <v>1690384586</v>
      </c>
      <c r="C223">
        <v>2110.900000095367</v>
      </c>
      <c r="D223" t="s">
        <v>745</v>
      </c>
      <c r="E223" t="s">
        <v>746</v>
      </c>
      <c r="F223" t="s">
        <v>330</v>
      </c>
      <c r="H223">
        <v>1690384586</v>
      </c>
      <c r="I223">
        <f t="shared" si="90"/>
        <v>2.4043348926251645E-3</v>
      </c>
      <c r="J223">
        <f t="shared" si="91"/>
        <v>2.4043348926251644</v>
      </c>
      <c r="K223">
        <f t="shared" si="92"/>
        <v>38.205497808692954</v>
      </c>
      <c r="L223">
        <f t="shared" si="93"/>
        <v>373.91199999999998</v>
      </c>
      <c r="M223">
        <f t="shared" si="94"/>
        <v>105.77278291876928</v>
      </c>
      <c r="N223">
        <f t="shared" si="95"/>
        <v>10.447281595450557</v>
      </c>
      <c r="O223">
        <f t="shared" si="96"/>
        <v>36.931655272019206</v>
      </c>
      <c r="P223">
        <f t="shared" si="97"/>
        <v>0.24412042448727439</v>
      </c>
      <c r="Q223">
        <f t="shared" si="98"/>
        <v>2.10619389276212</v>
      </c>
      <c r="R223">
        <f t="shared" si="99"/>
        <v>0.22941994208581715</v>
      </c>
      <c r="S223">
        <f t="shared" si="100"/>
        <v>0.1446344166338811</v>
      </c>
      <c r="T223">
        <f t="shared" si="101"/>
        <v>276.11467839000005</v>
      </c>
      <c r="U223">
        <f t="shared" si="102"/>
        <v>26.811217741020883</v>
      </c>
      <c r="V223">
        <f t="shared" si="103"/>
        <v>26.811217741020883</v>
      </c>
      <c r="W223">
        <f t="shared" si="104"/>
        <v>3.5396667495316971</v>
      </c>
      <c r="X223">
        <f t="shared" si="105"/>
        <v>77.657578488234407</v>
      </c>
      <c r="Y223">
        <f t="shared" si="106"/>
        <v>2.5363795448990403</v>
      </c>
      <c r="Z223">
        <f t="shared" si="107"/>
        <v>3.2661069199876187</v>
      </c>
      <c r="AA223">
        <f t="shared" si="108"/>
        <v>1.0032872046326569</v>
      </c>
      <c r="AB223">
        <f t="shared" si="109"/>
        <v>-106.03116876476976</v>
      </c>
      <c r="AC223">
        <f t="shared" si="110"/>
        <v>-154.49695415185258</v>
      </c>
      <c r="AD223">
        <f t="shared" si="111"/>
        <v>-15.693466999116355</v>
      </c>
      <c r="AE223">
        <f t="shared" si="112"/>
        <v>-0.1069115257386386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52288.031684086927</v>
      </c>
      <c r="AK223">
        <f t="shared" si="116"/>
        <v>1800</v>
      </c>
      <c r="AL223">
        <f t="shared" si="117"/>
        <v>1499.110173</v>
      </c>
      <c r="AM223">
        <f t="shared" si="118"/>
        <v>0.83283898499999998</v>
      </c>
      <c r="AN223">
        <f t="shared" si="119"/>
        <v>0.15339704355000003</v>
      </c>
      <c r="AO223">
        <v>32.700000000000003</v>
      </c>
      <c r="AP223">
        <v>0.5</v>
      </c>
      <c r="AQ223" t="s">
        <v>331</v>
      </c>
      <c r="AR223">
        <v>2</v>
      </c>
      <c r="AS223">
        <v>1690384586</v>
      </c>
      <c r="AT223">
        <v>373.91199999999998</v>
      </c>
      <c r="AU223">
        <v>800.00199999999995</v>
      </c>
      <c r="AV223">
        <v>25.679400000000001</v>
      </c>
      <c r="AW223">
        <v>0.15407000000000001</v>
      </c>
      <c r="AX223">
        <v>373.87400000000002</v>
      </c>
      <c r="AY223">
        <v>25.504200000000001</v>
      </c>
      <c r="AZ223">
        <v>300.10500000000002</v>
      </c>
      <c r="BA223">
        <v>98.671000000000006</v>
      </c>
      <c r="BB223">
        <v>9.9981600000000004E-2</v>
      </c>
      <c r="BC223">
        <v>25.450600000000001</v>
      </c>
      <c r="BD223">
        <v>26.9864</v>
      </c>
      <c r="BE223">
        <v>26.745699999999999</v>
      </c>
      <c r="BF223">
        <v>0</v>
      </c>
      <c r="BG223">
        <v>0</v>
      </c>
      <c r="BH223">
        <v>9968.75</v>
      </c>
      <c r="BI223">
        <v>1061.1400000000001</v>
      </c>
      <c r="BJ223">
        <v>2.3547799999999999</v>
      </c>
      <c r="BK223">
        <v>-426.09</v>
      </c>
      <c r="BL223">
        <v>383.767</v>
      </c>
      <c r="BM223">
        <v>800.125</v>
      </c>
      <c r="BN223">
        <v>25.525400000000001</v>
      </c>
      <c r="BO223">
        <v>800.00199999999995</v>
      </c>
      <c r="BP223">
        <v>0.15407000000000001</v>
      </c>
      <c r="BQ223">
        <v>2.53382</v>
      </c>
      <c r="BR223">
        <v>1.52023E-2</v>
      </c>
      <c r="BS223">
        <v>21.2454</v>
      </c>
      <c r="BT223">
        <v>-42.033200000000001</v>
      </c>
      <c r="BU223">
        <v>1800</v>
      </c>
      <c r="BV223">
        <v>0.909995</v>
      </c>
      <c r="BW223">
        <v>3.39963E-2</v>
      </c>
      <c r="BX223">
        <v>2.1995000000000001E-2</v>
      </c>
      <c r="BY223">
        <v>3.4013500000000002E-2</v>
      </c>
      <c r="BZ223">
        <v>26</v>
      </c>
      <c r="CA223">
        <v>33528.5</v>
      </c>
      <c r="CB223">
        <v>1690381960.0999999</v>
      </c>
      <c r="CC223" t="s">
        <v>332</v>
      </c>
      <c r="CD223">
        <v>1690381960.0999999</v>
      </c>
      <c r="CE223">
        <v>1690381958.0999999</v>
      </c>
      <c r="CF223">
        <v>4</v>
      </c>
      <c r="CG223">
        <v>9.9000000000000005E-2</v>
      </c>
      <c r="CH223">
        <v>1.2E-2</v>
      </c>
      <c r="CI223">
        <v>-0.26300000000000001</v>
      </c>
      <c r="CJ223">
        <v>0.127</v>
      </c>
      <c r="CK223">
        <v>798</v>
      </c>
      <c r="CL223">
        <v>18</v>
      </c>
      <c r="CM223">
        <v>0.02</v>
      </c>
      <c r="CN223">
        <v>0.12</v>
      </c>
      <c r="CO223">
        <v>-425.86582926829271</v>
      </c>
      <c r="CP223">
        <v>-1.339296167247775</v>
      </c>
      <c r="CQ223">
        <v>0.1390912847191717</v>
      </c>
      <c r="CR223">
        <v>-1</v>
      </c>
      <c r="CS223">
        <v>25.52441951219512</v>
      </c>
      <c r="CT223">
        <v>1.9085017421601611E-2</v>
      </c>
      <c r="CU223">
        <v>3.5266386616510902E-3</v>
      </c>
      <c r="CV223">
        <v>-1</v>
      </c>
      <c r="CW223">
        <v>0</v>
      </c>
      <c r="CX223">
        <v>0</v>
      </c>
      <c r="CY223" t="s">
        <v>333</v>
      </c>
      <c r="CZ223">
        <v>2.36469</v>
      </c>
      <c r="DA223">
        <v>2.71374</v>
      </c>
      <c r="DB223">
        <v>8.4641800000000003E-2</v>
      </c>
      <c r="DC223">
        <v>0.145455</v>
      </c>
      <c r="DD223">
        <v>0.119075</v>
      </c>
      <c r="DE223">
        <v>1.2930400000000001E-3</v>
      </c>
      <c r="DF223">
        <v>33437.800000000003</v>
      </c>
      <c r="DG223">
        <v>27557.599999999999</v>
      </c>
      <c r="DH223">
        <v>31184.7</v>
      </c>
      <c r="DI223">
        <v>28099.7</v>
      </c>
      <c r="DJ223">
        <v>37289</v>
      </c>
      <c r="DK223">
        <v>39911.9</v>
      </c>
      <c r="DL223">
        <v>44381.3</v>
      </c>
      <c r="DM223">
        <v>42587.9</v>
      </c>
      <c r="DN223">
        <v>1.4782</v>
      </c>
      <c r="DO223">
        <v>2.0309499999999998</v>
      </c>
      <c r="DP223">
        <v>0.15645100000000001</v>
      </c>
      <c r="DQ223">
        <v>0.14466000000000001</v>
      </c>
      <c r="DR223">
        <v>24.4223</v>
      </c>
      <c r="DS223">
        <v>24.374400000000001</v>
      </c>
      <c r="DT223">
        <v>21.3</v>
      </c>
      <c r="DU223">
        <v>29.3</v>
      </c>
      <c r="DV223">
        <v>8.8324499999999997</v>
      </c>
      <c r="DW223">
        <v>60.972999999999999</v>
      </c>
      <c r="DX223">
        <v>36.806899999999999</v>
      </c>
      <c r="DY223">
        <v>1</v>
      </c>
      <c r="DZ223">
        <v>-0.110335</v>
      </c>
      <c r="EA223">
        <v>0.33697199999999999</v>
      </c>
      <c r="EB223">
        <v>20.189299999999999</v>
      </c>
      <c r="EC223">
        <v>5.2411000000000003</v>
      </c>
      <c r="ED223">
        <v>12.039899999999999</v>
      </c>
      <c r="EE223">
        <v>5.0171999999999999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</v>
      </c>
      <c r="EL223">
        <v>1.8646199999999999</v>
      </c>
      <c r="EM223">
        <v>1.8692</v>
      </c>
      <c r="EN223">
        <v>1.8672200000000001</v>
      </c>
      <c r="EO223">
        <v>1.8633999999999999</v>
      </c>
      <c r="EP223">
        <v>1.8644700000000001</v>
      </c>
      <c r="EQ223">
        <v>1.8702099999999999</v>
      </c>
      <c r="ER223">
        <v>1.86938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3.7999999999999999E-2</v>
      </c>
      <c r="FG223">
        <v>0.17519999999999999</v>
      </c>
      <c r="FH223">
        <v>0.28746640474027818</v>
      </c>
      <c r="FI223">
        <v>-6.1462078757559423E-4</v>
      </c>
      <c r="FJ223">
        <v>-1.8861989874597051E-7</v>
      </c>
      <c r="FK223">
        <v>1.1980462299894961E-10</v>
      </c>
      <c r="FL223">
        <v>0.17524818673008091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43.8</v>
      </c>
      <c r="FU223">
        <v>43.8</v>
      </c>
      <c r="FV223">
        <v>1.7639199999999999</v>
      </c>
      <c r="FW223">
        <v>2.5805699999999998</v>
      </c>
      <c r="FX223">
        <v>1.5490699999999999</v>
      </c>
      <c r="FY223">
        <v>2.3339799999999999</v>
      </c>
      <c r="FZ223">
        <v>1.50146</v>
      </c>
      <c r="GA223">
        <v>2.36694</v>
      </c>
      <c r="GB223">
        <v>33.580399999999997</v>
      </c>
      <c r="GC223">
        <v>23.973700000000001</v>
      </c>
      <c r="GD223">
        <v>19</v>
      </c>
      <c r="GE223">
        <v>282.78300000000002</v>
      </c>
      <c r="GF223">
        <v>576.29300000000001</v>
      </c>
      <c r="GG223">
        <v>23.387799999999999</v>
      </c>
      <c r="GH223">
        <v>25.991</v>
      </c>
      <c r="GI223">
        <v>30.0002</v>
      </c>
      <c r="GJ223">
        <v>26.136800000000001</v>
      </c>
      <c r="GK223">
        <v>26.123999999999999</v>
      </c>
      <c r="GL223">
        <v>35.271500000000003</v>
      </c>
      <c r="GM223">
        <v>100</v>
      </c>
      <c r="GN223">
        <v>0</v>
      </c>
      <c r="GO223">
        <v>23.416499999999999</v>
      </c>
      <c r="GP223">
        <v>800</v>
      </c>
      <c r="GQ223">
        <v>0</v>
      </c>
      <c r="GR223">
        <v>99.781099999999995</v>
      </c>
      <c r="GS223">
        <v>99.629400000000004</v>
      </c>
    </row>
    <row r="224" spans="1:201" x14ac:dyDescent="0.25">
      <c r="A224">
        <v>208</v>
      </c>
      <c r="B224">
        <v>1690384596</v>
      </c>
      <c r="C224">
        <v>2120.900000095367</v>
      </c>
      <c r="D224" t="s">
        <v>747</v>
      </c>
      <c r="E224" t="s">
        <v>748</v>
      </c>
      <c r="F224" t="s">
        <v>330</v>
      </c>
      <c r="H224">
        <v>1690384596</v>
      </c>
      <c r="I224">
        <f t="shared" si="90"/>
        <v>2.4061305396530998E-3</v>
      </c>
      <c r="J224">
        <f t="shared" si="91"/>
        <v>2.4061305396530996</v>
      </c>
      <c r="K224">
        <f t="shared" si="92"/>
        <v>38.224724115405927</v>
      </c>
      <c r="L224">
        <f t="shared" si="93"/>
        <v>373.685</v>
      </c>
      <c r="M224">
        <f t="shared" si="94"/>
        <v>106.11936200675382</v>
      </c>
      <c r="N224">
        <f t="shared" si="95"/>
        <v>10.481509137607361</v>
      </c>
      <c r="O224">
        <f t="shared" si="96"/>
        <v>36.909218713900003</v>
      </c>
      <c r="P224">
        <f t="shared" si="97"/>
        <v>0.24480327657371384</v>
      </c>
      <c r="Q224">
        <f t="shared" si="98"/>
        <v>2.1063367477034944</v>
      </c>
      <c r="R224">
        <f t="shared" si="99"/>
        <v>0.23002404792127626</v>
      </c>
      <c r="S224">
        <f t="shared" si="100"/>
        <v>0.1450184723668701</v>
      </c>
      <c r="T224">
        <f t="shared" si="101"/>
        <v>276.11517492000002</v>
      </c>
      <c r="U224">
        <f t="shared" si="102"/>
        <v>26.812801566869073</v>
      </c>
      <c r="V224">
        <f t="shared" si="103"/>
        <v>26.812801566869073</v>
      </c>
      <c r="W224">
        <f t="shared" si="104"/>
        <v>3.5399964942855426</v>
      </c>
      <c r="X224">
        <f t="shared" si="105"/>
        <v>77.715269617507516</v>
      </c>
      <c r="Y224">
        <f t="shared" si="106"/>
        <v>2.5386106998800004</v>
      </c>
      <c r="Z224">
        <f t="shared" si="107"/>
        <v>3.2665532943195346</v>
      </c>
      <c r="AA224">
        <f t="shared" si="108"/>
        <v>1.0013857944055422</v>
      </c>
      <c r="AB224">
        <f t="shared" si="109"/>
        <v>-106.1103567987017</v>
      </c>
      <c r="AC224">
        <f t="shared" si="110"/>
        <v>-154.42610661538515</v>
      </c>
      <c r="AD224">
        <f t="shared" si="111"/>
        <v>-15.685511986335142</v>
      </c>
      <c r="AE224">
        <f t="shared" si="112"/>
        <v>-0.10680048042198109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52293.869023555133</v>
      </c>
      <c r="AK224">
        <f t="shared" si="116"/>
        <v>1800</v>
      </c>
      <c r="AL224">
        <f t="shared" si="117"/>
        <v>1499.1104699999999</v>
      </c>
      <c r="AM224">
        <f t="shared" si="118"/>
        <v>0.83283914999999997</v>
      </c>
      <c r="AN224">
        <f t="shared" si="119"/>
        <v>0.15339731940000001</v>
      </c>
      <c r="AO224">
        <v>32.700000000000003</v>
      </c>
      <c r="AP224">
        <v>0.5</v>
      </c>
      <c r="AQ224" t="s">
        <v>331</v>
      </c>
      <c r="AR224">
        <v>2</v>
      </c>
      <c r="AS224">
        <v>1690384596</v>
      </c>
      <c r="AT224">
        <v>373.685</v>
      </c>
      <c r="AU224">
        <v>800.06399999999996</v>
      </c>
      <c r="AV224">
        <v>25.702000000000002</v>
      </c>
      <c r="AW224">
        <v>0.15351699999999999</v>
      </c>
      <c r="AX224">
        <v>373.64800000000002</v>
      </c>
      <c r="AY224">
        <v>25.526800000000001</v>
      </c>
      <c r="AZ224">
        <v>300.05</v>
      </c>
      <c r="BA224">
        <v>98.670900000000003</v>
      </c>
      <c r="BB224">
        <v>0.10004</v>
      </c>
      <c r="BC224">
        <v>25.4529</v>
      </c>
      <c r="BD224">
        <v>27.039400000000001</v>
      </c>
      <c r="BE224">
        <v>26.749600000000001</v>
      </c>
      <c r="BF224">
        <v>0</v>
      </c>
      <c r="BG224">
        <v>0</v>
      </c>
      <c r="BH224">
        <v>9970</v>
      </c>
      <c r="BI224">
        <v>1061.25</v>
      </c>
      <c r="BJ224">
        <v>2.3547799999999999</v>
      </c>
      <c r="BK224">
        <v>-426.37799999999999</v>
      </c>
      <c r="BL224">
        <v>383.54300000000001</v>
      </c>
      <c r="BM224">
        <v>800.18700000000001</v>
      </c>
      <c r="BN224">
        <v>25.548500000000001</v>
      </c>
      <c r="BO224">
        <v>800.06399999999996</v>
      </c>
      <c r="BP224">
        <v>0.15351699999999999</v>
      </c>
      <c r="BQ224">
        <v>2.5360399999999998</v>
      </c>
      <c r="BR224">
        <v>1.51477E-2</v>
      </c>
      <c r="BS224">
        <v>21.259699999999999</v>
      </c>
      <c r="BT224">
        <v>-42.066899999999997</v>
      </c>
      <c r="BU224">
        <v>1800</v>
      </c>
      <c r="BV224">
        <v>0.90999200000000002</v>
      </c>
      <c r="BW224">
        <v>3.3995699999999997E-2</v>
      </c>
      <c r="BX224">
        <v>2.1999000000000001E-2</v>
      </c>
      <c r="BY224">
        <v>3.4013000000000002E-2</v>
      </c>
      <c r="BZ224">
        <v>26</v>
      </c>
      <c r="CA224">
        <v>33528.5</v>
      </c>
      <c r="CB224">
        <v>1690381960.0999999</v>
      </c>
      <c r="CC224" t="s">
        <v>332</v>
      </c>
      <c r="CD224">
        <v>1690381960.0999999</v>
      </c>
      <c r="CE224">
        <v>1690381958.0999999</v>
      </c>
      <c r="CF224">
        <v>4</v>
      </c>
      <c r="CG224">
        <v>9.9000000000000005E-2</v>
      </c>
      <c r="CH224">
        <v>1.2E-2</v>
      </c>
      <c r="CI224">
        <v>-0.26300000000000001</v>
      </c>
      <c r="CJ224">
        <v>0.127</v>
      </c>
      <c r="CK224">
        <v>798</v>
      </c>
      <c r="CL224">
        <v>18</v>
      </c>
      <c r="CM224">
        <v>0.02</v>
      </c>
      <c r="CN224">
        <v>0.12</v>
      </c>
      <c r="CO224">
        <v>-426.07104878048779</v>
      </c>
      <c r="CP224">
        <v>-1.115686411150181</v>
      </c>
      <c r="CQ224">
        <v>0.1144079033641124</v>
      </c>
      <c r="CR224">
        <v>-1</v>
      </c>
      <c r="CS224">
        <v>25.529348780487808</v>
      </c>
      <c r="CT224">
        <v>4.4174216027935108E-2</v>
      </c>
      <c r="CU224">
        <v>5.655910871034041E-3</v>
      </c>
      <c r="CV224">
        <v>-1</v>
      </c>
      <c r="CW224">
        <v>0</v>
      </c>
      <c r="CX224">
        <v>0</v>
      </c>
      <c r="CY224" t="s">
        <v>333</v>
      </c>
      <c r="CZ224">
        <v>2.3645399999999999</v>
      </c>
      <c r="DA224">
        <v>2.7138</v>
      </c>
      <c r="DB224">
        <v>8.4602399999999994E-2</v>
      </c>
      <c r="DC224">
        <v>0.14546300000000001</v>
      </c>
      <c r="DD224">
        <v>0.119148</v>
      </c>
      <c r="DE224">
        <v>1.28845E-3</v>
      </c>
      <c r="DF224">
        <v>33439.1</v>
      </c>
      <c r="DG224">
        <v>27557.599999999999</v>
      </c>
      <c r="DH224">
        <v>31184.5</v>
      </c>
      <c r="DI224">
        <v>28100</v>
      </c>
      <c r="DJ224">
        <v>37285.800000000003</v>
      </c>
      <c r="DK224">
        <v>39912.199999999997</v>
      </c>
      <c r="DL224">
        <v>44381.3</v>
      </c>
      <c r="DM224">
        <v>42588.1</v>
      </c>
      <c r="DN224">
        <v>1.47817</v>
      </c>
      <c r="DO224">
        <v>2.0311499999999998</v>
      </c>
      <c r="DP224">
        <v>0.159692</v>
      </c>
      <c r="DQ224">
        <v>0.144869</v>
      </c>
      <c r="DR224">
        <v>24.4223</v>
      </c>
      <c r="DS224">
        <v>24.3749</v>
      </c>
      <c r="DT224">
        <v>21.3</v>
      </c>
      <c r="DU224">
        <v>29.3</v>
      </c>
      <c r="DV224">
        <v>8.8335699999999999</v>
      </c>
      <c r="DW224">
        <v>60.933</v>
      </c>
      <c r="DX224">
        <v>36.814900000000002</v>
      </c>
      <c r="DY224">
        <v>1</v>
      </c>
      <c r="DZ224">
        <v>-0.110305</v>
      </c>
      <c r="EA224">
        <v>0.51760600000000001</v>
      </c>
      <c r="EB224">
        <v>20.188700000000001</v>
      </c>
      <c r="EC224">
        <v>5.2413999999999996</v>
      </c>
      <c r="ED224">
        <v>12.039899999999999</v>
      </c>
      <c r="EE224">
        <v>5.0173500000000004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</v>
      </c>
      <c r="EL224">
        <v>1.8646199999999999</v>
      </c>
      <c r="EM224">
        <v>1.8692</v>
      </c>
      <c r="EN224">
        <v>1.8672299999999999</v>
      </c>
      <c r="EO224">
        <v>1.8633999999999999</v>
      </c>
      <c r="EP224">
        <v>1.86446</v>
      </c>
      <c r="EQ224">
        <v>1.8701700000000001</v>
      </c>
      <c r="ER224">
        <v>1.86937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3.6999999999999998E-2</v>
      </c>
      <c r="FG224">
        <v>0.17519999999999999</v>
      </c>
      <c r="FH224">
        <v>0.28746640474027818</v>
      </c>
      <c r="FI224">
        <v>-6.1462078757559423E-4</v>
      </c>
      <c r="FJ224">
        <v>-1.8861989874597051E-7</v>
      </c>
      <c r="FK224">
        <v>1.1980462299894961E-10</v>
      </c>
      <c r="FL224">
        <v>0.17524818673008091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43.9</v>
      </c>
      <c r="FU224">
        <v>44</v>
      </c>
      <c r="FV224">
        <v>1.7639199999999999</v>
      </c>
      <c r="FW224">
        <v>2.5817899999999998</v>
      </c>
      <c r="FX224">
        <v>1.5490699999999999</v>
      </c>
      <c r="FY224">
        <v>2.3339799999999999</v>
      </c>
      <c r="FZ224">
        <v>1.50146</v>
      </c>
      <c r="GA224">
        <v>2.3083499999999999</v>
      </c>
      <c r="GB224">
        <v>33.580399999999997</v>
      </c>
      <c r="GC224">
        <v>23.973700000000001</v>
      </c>
      <c r="GD224">
        <v>19</v>
      </c>
      <c r="GE224">
        <v>282.77100000000002</v>
      </c>
      <c r="GF224">
        <v>576.43399999999997</v>
      </c>
      <c r="GG224">
        <v>23.400500000000001</v>
      </c>
      <c r="GH224">
        <v>25.990100000000002</v>
      </c>
      <c r="GI224">
        <v>30.0001</v>
      </c>
      <c r="GJ224">
        <v>26.136399999999998</v>
      </c>
      <c r="GK224">
        <v>26.1221</v>
      </c>
      <c r="GL224">
        <v>35.270200000000003</v>
      </c>
      <c r="GM224">
        <v>100</v>
      </c>
      <c r="GN224">
        <v>0</v>
      </c>
      <c r="GO224">
        <v>23.346699999999998</v>
      </c>
      <c r="GP224">
        <v>800</v>
      </c>
      <c r="GQ224">
        <v>0</v>
      </c>
      <c r="GR224">
        <v>99.780900000000003</v>
      </c>
      <c r="GS224">
        <v>99.629900000000006</v>
      </c>
    </row>
    <row r="225" spans="1:201" x14ac:dyDescent="0.25">
      <c r="A225">
        <v>209</v>
      </c>
      <c r="B225">
        <v>1690384606</v>
      </c>
      <c r="C225">
        <v>2130.900000095367</v>
      </c>
      <c r="D225" t="s">
        <v>749</v>
      </c>
      <c r="E225" t="s">
        <v>750</v>
      </c>
      <c r="F225" t="s">
        <v>330</v>
      </c>
      <c r="H225">
        <v>1690384606</v>
      </c>
      <c r="I225">
        <f t="shared" si="90"/>
        <v>2.407055761599144E-3</v>
      </c>
      <c r="J225">
        <f t="shared" si="91"/>
        <v>2.4070557615991439</v>
      </c>
      <c r="K225">
        <f t="shared" si="92"/>
        <v>38.244331242349759</v>
      </c>
      <c r="L225">
        <f t="shared" si="93"/>
        <v>373.58800000000002</v>
      </c>
      <c r="M225">
        <f t="shared" si="94"/>
        <v>106.36824737615629</v>
      </c>
      <c r="N225">
        <f t="shared" si="95"/>
        <v>10.50608272755764</v>
      </c>
      <c r="O225">
        <f t="shared" si="96"/>
        <v>36.899606140381202</v>
      </c>
      <c r="P225">
        <f t="shared" si="97"/>
        <v>0.24522654184226603</v>
      </c>
      <c r="Q225">
        <f t="shared" si="98"/>
        <v>2.1132988920567786</v>
      </c>
      <c r="R225">
        <f t="shared" si="99"/>
        <v>0.23044351559181017</v>
      </c>
      <c r="S225">
        <f t="shared" si="100"/>
        <v>0.14528107142692886</v>
      </c>
      <c r="T225">
        <f t="shared" si="101"/>
        <v>276.11505604800004</v>
      </c>
      <c r="U225">
        <f t="shared" si="102"/>
        <v>26.805208389874974</v>
      </c>
      <c r="V225">
        <f t="shared" si="103"/>
        <v>26.805208389874974</v>
      </c>
      <c r="W225">
        <f t="shared" si="104"/>
        <v>3.5384158760407649</v>
      </c>
      <c r="X225">
        <f t="shared" si="105"/>
        <v>77.725444050640718</v>
      </c>
      <c r="Y225">
        <f t="shared" si="106"/>
        <v>2.5384603563574499</v>
      </c>
      <c r="Z225">
        <f t="shared" si="107"/>
        <v>3.2659322662776407</v>
      </c>
      <c r="AA225">
        <f t="shared" si="108"/>
        <v>0.99995551968331498</v>
      </c>
      <c r="AB225">
        <f t="shared" si="109"/>
        <v>-106.15115908652224</v>
      </c>
      <c r="AC225">
        <f t="shared" si="110"/>
        <v>-154.43601213350058</v>
      </c>
      <c r="AD225">
        <f t="shared" si="111"/>
        <v>-15.633993070261294</v>
      </c>
      <c r="AE225">
        <f t="shared" si="112"/>
        <v>-0.10610824228405136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52599.256112252791</v>
      </c>
      <c r="AK225">
        <f t="shared" si="116"/>
        <v>1800</v>
      </c>
      <c r="AL225">
        <f t="shared" si="117"/>
        <v>1499.1109578000001</v>
      </c>
      <c r="AM225">
        <f t="shared" si="118"/>
        <v>0.83283942099999997</v>
      </c>
      <c r="AN225">
        <f t="shared" si="119"/>
        <v>0.15339725336000001</v>
      </c>
      <c r="AO225">
        <v>32.700000000000003</v>
      </c>
      <c r="AP225">
        <v>0.5</v>
      </c>
      <c r="AQ225" t="s">
        <v>331</v>
      </c>
      <c r="AR225">
        <v>2</v>
      </c>
      <c r="AS225">
        <v>1690384606</v>
      </c>
      <c r="AT225">
        <v>373.58800000000002</v>
      </c>
      <c r="AU225">
        <v>800</v>
      </c>
      <c r="AV225">
        <v>25.700500000000002</v>
      </c>
      <c r="AW225">
        <v>0.15305199999999999</v>
      </c>
      <c r="AX225">
        <v>373.55</v>
      </c>
      <c r="AY225">
        <v>25.525300000000001</v>
      </c>
      <c r="AZ225">
        <v>300.178</v>
      </c>
      <c r="BA225">
        <v>98.670900000000003</v>
      </c>
      <c r="BB225">
        <v>9.9954899999999999E-2</v>
      </c>
      <c r="BC225">
        <v>25.4497</v>
      </c>
      <c r="BD225">
        <v>27.025099999999998</v>
      </c>
      <c r="BE225">
        <v>26.749199999999998</v>
      </c>
      <c r="BF225">
        <v>0</v>
      </c>
      <c r="BG225">
        <v>0</v>
      </c>
      <c r="BH225">
        <v>10030.6</v>
      </c>
      <c r="BI225">
        <v>1061.26</v>
      </c>
      <c r="BJ225">
        <v>2.2987099999999998</v>
      </c>
      <c r="BK225">
        <v>-426.41199999999998</v>
      </c>
      <c r="BL225">
        <v>383.44200000000001</v>
      </c>
      <c r="BM225">
        <v>800.12199999999996</v>
      </c>
      <c r="BN225">
        <v>25.547499999999999</v>
      </c>
      <c r="BO225">
        <v>800</v>
      </c>
      <c r="BP225">
        <v>0.15305199999999999</v>
      </c>
      <c r="BQ225">
        <v>2.5358900000000002</v>
      </c>
      <c r="BR225">
        <v>1.51018E-2</v>
      </c>
      <c r="BS225">
        <v>21.258700000000001</v>
      </c>
      <c r="BT225">
        <v>-42.095399999999998</v>
      </c>
      <c r="BU225">
        <v>1800</v>
      </c>
      <c r="BV225">
        <v>0.90999399999999997</v>
      </c>
      <c r="BW225">
        <v>3.39958E-2</v>
      </c>
      <c r="BX225">
        <v>2.1997300000000001E-2</v>
      </c>
      <c r="BY225">
        <v>3.4013000000000002E-2</v>
      </c>
      <c r="BZ225">
        <v>26</v>
      </c>
      <c r="CA225">
        <v>33528.5</v>
      </c>
      <c r="CB225">
        <v>1690381960.0999999</v>
      </c>
      <c r="CC225" t="s">
        <v>332</v>
      </c>
      <c r="CD225">
        <v>1690381960.0999999</v>
      </c>
      <c r="CE225">
        <v>1690381958.0999999</v>
      </c>
      <c r="CF225">
        <v>4</v>
      </c>
      <c r="CG225">
        <v>9.9000000000000005E-2</v>
      </c>
      <c r="CH225">
        <v>1.2E-2</v>
      </c>
      <c r="CI225">
        <v>-0.26300000000000001</v>
      </c>
      <c r="CJ225">
        <v>0.127</v>
      </c>
      <c r="CK225">
        <v>798</v>
      </c>
      <c r="CL225">
        <v>18</v>
      </c>
      <c r="CM225">
        <v>0.02</v>
      </c>
      <c r="CN225">
        <v>0.12</v>
      </c>
      <c r="CO225">
        <v>-426.22572500000001</v>
      </c>
      <c r="CP225">
        <v>-0.67550093808563827</v>
      </c>
      <c r="CQ225">
        <v>9.207035014052567E-2</v>
      </c>
      <c r="CR225">
        <v>-1</v>
      </c>
      <c r="CS225">
        <v>25.541767499999999</v>
      </c>
      <c r="CT225">
        <v>0.1034015009380171</v>
      </c>
      <c r="CU225">
        <v>1.0585966831140031E-2</v>
      </c>
      <c r="CV225">
        <v>-1</v>
      </c>
      <c r="CW225">
        <v>0</v>
      </c>
      <c r="CX225">
        <v>0</v>
      </c>
      <c r="CY225" t="s">
        <v>333</v>
      </c>
      <c r="CZ225">
        <v>2.36497</v>
      </c>
      <c r="DA225">
        <v>2.7137699999999998</v>
      </c>
      <c r="DB225">
        <v>8.4584999999999994E-2</v>
      </c>
      <c r="DC225">
        <v>0.145454</v>
      </c>
      <c r="DD225">
        <v>0.119143</v>
      </c>
      <c r="DE225">
        <v>1.28458E-3</v>
      </c>
      <c r="DF225">
        <v>33440.5</v>
      </c>
      <c r="DG225">
        <v>27557.9</v>
      </c>
      <c r="DH225">
        <v>31185.200000000001</v>
      </c>
      <c r="DI225">
        <v>28100.1</v>
      </c>
      <c r="DJ225">
        <v>37286.6</v>
      </c>
      <c r="DK225">
        <v>39912.6</v>
      </c>
      <c r="DL225">
        <v>44381.9</v>
      </c>
      <c r="DM225">
        <v>42588.3</v>
      </c>
      <c r="DN225">
        <v>1.4781200000000001</v>
      </c>
      <c r="DO225">
        <v>2.0310199999999998</v>
      </c>
      <c r="DP225">
        <v>0.15871199999999999</v>
      </c>
      <c r="DQ225">
        <v>0.144839</v>
      </c>
      <c r="DR225">
        <v>24.424099999999999</v>
      </c>
      <c r="DS225">
        <v>24.3749</v>
      </c>
      <c r="DT225">
        <v>21.3</v>
      </c>
      <c r="DU225">
        <v>29.3</v>
      </c>
      <c r="DV225">
        <v>8.8332800000000002</v>
      </c>
      <c r="DW225">
        <v>60.593000000000004</v>
      </c>
      <c r="DX225">
        <v>37.5</v>
      </c>
      <c r="DY225">
        <v>1</v>
      </c>
      <c r="DZ225">
        <v>-0.11067299999999999</v>
      </c>
      <c r="EA225">
        <v>0.69689000000000001</v>
      </c>
      <c r="EB225">
        <v>20.1876</v>
      </c>
      <c r="EC225">
        <v>5.2415500000000002</v>
      </c>
      <c r="ED225">
        <v>12.039899999999999</v>
      </c>
      <c r="EE225">
        <v>5.0173500000000004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</v>
      </c>
      <c r="EL225">
        <v>1.8646199999999999</v>
      </c>
      <c r="EM225">
        <v>1.8692</v>
      </c>
      <c r="EN225">
        <v>1.86724</v>
      </c>
      <c r="EO225">
        <v>1.8633999999999999</v>
      </c>
      <c r="EP225">
        <v>1.8644700000000001</v>
      </c>
      <c r="EQ225">
        <v>1.8701700000000001</v>
      </c>
      <c r="ER225">
        <v>1.8693900000000001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3.7999999999999999E-2</v>
      </c>
      <c r="FG225">
        <v>0.17519999999999999</v>
      </c>
      <c r="FH225">
        <v>0.28746640474027818</v>
      </c>
      <c r="FI225">
        <v>-6.1462078757559423E-4</v>
      </c>
      <c r="FJ225">
        <v>-1.8861989874597051E-7</v>
      </c>
      <c r="FK225">
        <v>1.1980462299894961E-10</v>
      </c>
      <c r="FL225">
        <v>0.17524818673008091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44.1</v>
      </c>
      <c r="FU225">
        <v>44.1</v>
      </c>
      <c r="FV225">
        <v>1.7639199999999999</v>
      </c>
      <c r="FW225">
        <v>2.5781200000000002</v>
      </c>
      <c r="FX225">
        <v>1.5490699999999999</v>
      </c>
      <c r="FY225">
        <v>2.3339799999999999</v>
      </c>
      <c r="FZ225">
        <v>1.50146</v>
      </c>
      <c r="GA225">
        <v>2.3095699999999999</v>
      </c>
      <c r="GB225">
        <v>33.580399999999997</v>
      </c>
      <c r="GC225">
        <v>23.982399999999998</v>
      </c>
      <c r="GD225">
        <v>19</v>
      </c>
      <c r="GE225">
        <v>282.74099999999999</v>
      </c>
      <c r="GF225">
        <v>576.33199999999999</v>
      </c>
      <c r="GG225">
        <v>23.302399999999999</v>
      </c>
      <c r="GH225">
        <v>25.988800000000001</v>
      </c>
      <c r="GI225">
        <v>30.0001</v>
      </c>
      <c r="GJ225">
        <v>26.134599999999999</v>
      </c>
      <c r="GK225">
        <v>26.1221</v>
      </c>
      <c r="GL225">
        <v>35.271500000000003</v>
      </c>
      <c r="GM225">
        <v>100</v>
      </c>
      <c r="GN225">
        <v>0</v>
      </c>
      <c r="GO225">
        <v>23.267800000000001</v>
      </c>
      <c r="GP225">
        <v>800</v>
      </c>
      <c r="GQ225">
        <v>0</v>
      </c>
      <c r="GR225">
        <v>99.782600000000002</v>
      </c>
      <c r="GS225">
        <v>99.630300000000005</v>
      </c>
    </row>
    <row r="226" spans="1:201" x14ac:dyDescent="0.25">
      <c r="A226">
        <v>210</v>
      </c>
      <c r="B226">
        <v>1690384616</v>
      </c>
      <c r="C226">
        <v>2140.900000095367</v>
      </c>
      <c r="D226" t="s">
        <v>751</v>
      </c>
      <c r="E226" t="s">
        <v>752</v>
      </c>
      <c r="F226" t="s">
        <v>330</v>
      </c>
      <c r="H226">
        <v>1690384616</v>
      </c>
      <c r="I226">
        <f t="shared" si="90"/>
        <v>2.4047958975002195E-3</v>
      </c>
      <c r="J226">
        <f t="shared" si="91"/>
        <v>2.4047958975002195</v>
      </c>
      <c r="K226">
        <f t="shared" si="92"/>
        <v>38.262152909758534</v>
      </c>
      <c r="L226">
        <f t="shared" si="93"/>
        <v>373.29</v>
      </c>
      <c r="M226">
        <f t="shared" si="94"/>
        <v>105.87725805396806</v>
      </c>
      <c r="N226">
        <f t="shared" si="95"/>
        <v>10.457451102541301</v>
      </c>
      <c r="O226">
        <f t="shared" si="96"/>
        <v>36.869692262694002</v>
      </c>
      <c r="P226">
        <f t="shared" si="97"/>
        <v>0.24512695179409352</v>
      </c>
      <c r="Q226">
        <f t="shared" si="98"/>
        <v>2.1167159252180108</v>
      </c>
      <c r="R226">
        <f t="shared" si="99"/>
        <v>0.23037784826206487</v>
      </c>
      <c r="S226">
        <f t="shared" si="100"/>
        <v>0.14523729256621964</v>
      </c>
      <c r="T226">
        <f t="shared" si="101"/>
        <v>276.11511337800005</v>
      </c>
      <c r="U226">
        <f t="shared" si="102"/>
        <v>26.793027568823007</v>
      </c>
      <c r="V226">
        <f t="shared" si="103"/>
        <v>26.793027568823007</v>
      </c>
      <c r="W226">
        <f t="shared" si="104"/>
        <v>3.5358815671559962</v>
      </c>
      <c r="X226">
        <f t="shared" si="105"/>
        <v>77.718358207807256</v>
      </c>
      <c r="Y226">
        <f t="shared" si="106"/>
        <v>2.5365704299146201</v>
      </c>
      <c r="Z226">
        <f t="shared" si="107"/>
        <v>3.2637982690424447</v>
      </c>
      <c r="AA226">
        <f t="shared" si="108"/>
        <v>0.9993111372413761</v>
      </c>
      <c r="AB226">
        <f t="shared" si="109"/>
        <v>-106.05149907975968</v>
      </c>
      <c r="AC226">
        <f t="shared" si="110"/>
        <v>-154.55097162353596</v>
      </c>
      <c r="AD226">
        <f t="shared" si="111"/>
        <v>-15.618558054545918</v>
      </c>
      <c r="AE226">
        <f t="shared" si="112"/>
        <v>-0.10591537984151955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52751.210163824238</v>
      </c>
      <c r="AK226">
        <f t="shared" si="116"/>
        <v>1800</v>
      </c>
      <c r="AL226">
        <f t="shared" si="117"/>
        <v>1499.1112187999997</v>
      </c>
      <c r="AM226">
        <f t="shared" si="118"/>
        <v>0.83283956599999986</v>
      </c>
      <c r="AN226">
        <f t="shared" si="119"/>
        <v>0.15339728521000001</v>
      </c>
      <c r="AO226">
        <v>32.700000000000003</v>
      </c>
      <c r="AP226">
        <v>0.5</v>
      </c>
      <c r="AQ226" t="s">
        <v>331</v>
      </c>
      <c r="AR226">
        <v>2</v>
      </c>
      <c r="AS226">
        <v>1690384616</v>
      </c>
      <c r="AT226">
        <v>373.29</v>
      </c>
      <c r="AU226">
        <v>799.96299999999997</v>
      </c>
      <c r="AV226">
        <v>25.681699999999999</v>
      </c>
      <c r="AW226">
        <v>0.152727</v>
      </c>
      <c r="AX226">
        <v>373.25200000000001</v>
      </c>
      <c r="AY226">
        <v>25.506399999999999</v>
      </c>
      <c r="AZ226">
        <v>300.11900000000003</v>
      </c>
      <c r="BA226">
        <v>98.669600000000003</v>
      </c>
      <c r="BB226">
        <v>9.9968600000000005E-2</v>
      </c>
      <c r="BC226">
        <v>25.438700000000001</v>
      </c>
      <c r="BD226">
        <v>27.010300000000001</v>
      </c>
      <c r="BE226">
        <v>26.7272</v>
      </c>
      <c r="BF226">
        <v>0</v>
      </c>
      <c r="BG226">
        <v>0</v>
      </c>
      <c r="BH226">
        <v>10060.6</v>
      </c>
      <c r="BI226">
        <v>1061.22</v>
      </c>
      <c r="BJ226">
        <v>2.2987099999999998</v>
      </c>
      <c r="BK226">
        <v>-426.67200000000003</v>
      </c>
      <c r="BL226">
        <v>383.13</v>
      </c>
      <c r="BM226">
        <v>800.08500000000004</v>
      </c>
      <c r="BN226">
        <v>25.529</v>
      </c>
      <c r="BO226">
        <v>799.96299999999997</v>
      </c>
      <c r="BP226">
        <v>0.152727</v>
      </c>
      <c r="BQ226">
        <v>2.5339999999999998</v>
      </c>
      <c r="BR226">
        <v>1.50695E-2</v>
      </c>
      <c r="BS226">
        <v>21.246600000000001</v>
      </c>
      <c r="BT226">
        <v>-42.115499999999997</v>
      </c>
      <c r="BU226">
        <v>1800</v>
      </c>
      <c r="BV226">
        <v>0.90999399999999997</v>
      </c>
      <c r="BW226">
        <v>3.3995900000000003E-2</v>
      </c>
      <c r="BX226">
        <v>2.1997300000000001E-2</v>
      </c>
      <c r="BY226">
        <v>3.4013099999999998E-2</v>
      </c>
      <c r="BZ226">
        <v>26</v>
      </c>
      <c r="CA226">
        <v>33528.400000000001</v>
      </c>
      <c r="CB226">
        <v>1690381960.0999999</v>
      </c>
      <c r="CC226" t="s">
        <v>332</v>
      </c>
      <c r="CD226">
        <v>1690381960.0999999</v>
      </c>
      <c r="CE226">
        <v>1690381958.0999999</v>
      </c>
      <c r="CF226">
        <v>4</v>
      </c>
      <c r="CG226">
        <v>9.9000000000000005E-2</v>
      </c>
      <c r="CH226">
        <v>1.2E-2</v>
      </c>
      <c r="CI226">
        <v>-0.26300000000000001</v>
      </c>
      <c r="CJ226">
        <v>0.127</v>
      </c>
      <c r="CK226">
        <v>798</v>
      </c>
      <c r="CL226">
        <v>18</v>
      </c>
      <c r="CM226">
        <v>0.02</v>
      </c>
      <c r="CN226">
        <v>0.12</v>
      </c>
      <c r="CO226">
        <v>-426.42180487804882</v>
      </c>
      <c r="CP226">
        <v>-1.2928432055758701</v>
      </c>
      <c r="CQ226">
        <v>0.15504164971689879</v>
      </c>
      <c r="CR226">
        <v>-1</v>
      </c>
      <c r="CS226">
        <v>25.54538780487805</v>
      </c>
      <c r="CT226">
        <v>-6.5103135888500654E-2</v>
      </c>
      <c r="CU226">
        <v>7.3680323058118733E-3</v>
      </c>
      <c r="CV226">
        <v>-1</v>
      </c>
      <c r="CW226">
        <v>0</v>
      </c>
      <c r="CX226">
        <v>0</v>
      </c>
      <c r="CY226" t="s">
        <v>333</v>
      </c>
      <c r="CZ226">
        <v>2.36476</v>
      </c>
      <c r="DA226">
        <v>2.7138100000000001</v>
      </c>
      <c r="DB226">
        <v>8.4532399999999994E-2</v>
      </c>
      <c r="DC226">
        <v>0.14544899999999999</v>
      </c>
      <c r="DD226">
        <v>0.11908199999999999</v>
      </c>
      <c r="DE226">
        <v>1.2818700000000001E-3</v>
      </c>
      <c r="DF226">
        <v>33442.6</v>
      </c>
      <c r="DG226">
        <v>27558.7</v>
      </c>
      <c r="DH226">
        <v>31185.4</v>
      </c>
      <c r="DI226">
        <v>28100.7</v>
      </c>
      <c r="DJ226">
        <v>37289.5</v>
      </c>
      <c r="DK226">
        <v>39913.4</v>
      </c>
      <c r="DL226">
        <v>44382.3</v>
      </c>
      <c r="DM226">
        <v>42589</v>
      </c>
      <c r="DN226">
        <v>1.47803</v>
      </c>
      <c r="DO226">
        <v>2.0311499999999998</v>
      </c>
      <c r="DP226">
        <v>0.15767700000000001</v>
      </c>
      <c r="DQ226">
        <v>0.14349799999999999</v>
      </c>
      <c r="DR226">
        <v>24.426200000000001</v>
      </c>
      <c r="DS226">
        <v>24.3749</v>
      </c>
      <c r="DT226">
        <v>21.2</v>
      </c>
      <c r="DU226">
        <v>29.3</v>
      </c>
      <c r="DV226">
        <v>8.7925000000000004</v>
      </c>
      <c r="DW226">
        <v>60.613</v>
      </c>
      <c r="DX226">
        <v>37.772399999999998</v>
      </c>
      <c r="DY226">
        <v>1</v>
      </c>
      <c r="DZ226">
        <v>-0.11092</v>
      </c>
      <c r="EA226">
        <v>0.64522900000000005</v>
      </c>
      <c r="EB226">
        <v>20.187899999999999</v>
      </c>
      <c r="EC226">
        <v>5.24125</v>
      </c>
      <c r="ED226">
        <v>12.039899999999999</v>
      </c>
      <c r="EE226">
        <v>5.0174000000000003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1.8689100000000001</v>
      </c>
      <c r="EL226">
        <v>1.8646199999999999</v>
      </c>
      <c r="EM226">
        <v>1.8692</v>
      </c>
      <c r="EN226">
        <v>1.8672299999999999</v>
      </c>
      <c r="EO226">
        <v>1.86338</v>
      </c>
      <c r="EP226">
        <v>1.8644700000000001</v>
      </c>
      <c r="EQ226">
        <v>1.87016</v>
      </c>
      <c r="ER226">
        <v>1.8693900000000001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3.7999999999999999E-2</v>
      </c>
      <c r="FG226">
        <v>0.17530000000000001</v>
      </c>
      <c r="FH226">
        <v>0.28746640474027818</v>
      </c>
      <c r="FI226">
        <v>-6.1462078757559423E-4</v>
      </c>
      <c r="FJ226">
        <v>-1.8861989874597051E-7</v>
      </c>
      <c r="FK226">
        <v>1.1980462299894961E-10</v>
      </c>
      <c r="FL226">
        <v>0.17524818673008091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44.3</v>
      </c>
      <c r="FU226">
        <v>44.3</v>
      </c>
      <c r="FV226">
        <v>1.7639199999999999</v>
      </c>
      <c r="FW226">
        <v>2.5769000000000002</v>
      </c>
      <c r="FX226">
        <v>1.5490699999999999</v>
      </c>
      <c r="FY226">
        <v>2.3339799999999999</v>
      </c>
      <c r="FZ226">
        <v>1.50146</v>
      </c>
      <c r="GA226">
        <v>2.34619</v>
      </c>
      <c r="GB226">
        <v>33.580399999999997</v>
      </c>
      <c r="GC226">
        <v>23.982399999999998</v>
      </c>
      <c r="GD226">
        <v>19</v>
      </c>
      <c r="GE226">
        <v>282.68900000000002</v>
      </c>
      <c r="GF226">
        <v>576.40899999999999</v>
      </c>
      <c r="GG226">
        <v>23.234400000000001</v>
      </c>
      <c r="GH226">
        <v>25.988800000000001</v>
      </c>
      <c r="GI226">
        <v>29.9998</v>
      </c>
      <c r="GJ226">
        <v>26.132300000000001</v>
      </c>
      <c r="GK226">
        <v>26.119900000000001</v>
      </c>
      <c r="GL226">
        <v>35.272199999999998</v>
      </c>
      <c r="GM226">
        <v>100</v>
      </c>
      <c r="GN226">
        <v>0</v>
      </c>
      <c r="GO226">
        <v>23.220600000000001</v>
      </c>
      <c r="GP226">
        <v>800</v>
      </c>
      <c r="GQ226">
        <v>0</v>
      </c>
      <c r="GR226">
        <v>99.783299999999997</v>
      </c>
      <c r="GS226">
        <v>99.632300000000001</v>
      </c>
    </row>
    <row r="227" spans="1:201" x14ac:dyDescent="0.25">
      <c r="A227">
        <v>211</v>
      </c>
      <c r="B227">
        <v>1690384626</v>
      </c>
      <c r="C227">
        <v>2150.900000095367</v>
      </c>
      <c r="D227" t="s">
        <v>753</v>
      </c>
      <c r="E227" t="s">
        <v>754</v>
      </c>
      <c r="F227" t="s">
        <v>330</v>
      </c>
      <c r="H227">
        <v>1690384626</v>
      </c>
      <c r="I227">
        <f t="shared" si="90"/>
        <v>2.4027950828201827E-3</v>
      </c>
      <c r="J227">
        <f t="shared" si="91"/>
        <v>2.4027950828201825</v>
      </c>
      <c r="K227">
        <f t="shared" si="92"/>
        <v>38.251998969571687</v>
      </c>
      <c r="L227">
        <f t="shared" si="93"/>
        <v>373.32900000000001</v>
      </c>
      <c r="M227">
        <f t="shared" si="94"/>
        <v>105.38589454819335</v>
      </c>
      <c r="N227">
        <f t="shared" si="95"/>
        <v>10.409188328007394</v>
      </c>
      <c r="O227">
        <f t="shared" si="96"/>
        <v>36.874497160809</v>
      </c>
      <c r="P227">
        <f t="shared" si="97"/>
        <v>0.24458067064195313</v>
      </c>
      <c r="Q227">
        <f t="shared" si="98"/>
        <v>2.1104454182202383</v>
      </c>
      <c r="R227">
        <f t="shared" si="99"/>
        <v>0.22985430520843819</v>
      </c>
      <c r="S227">
        <f t="shared" si="100"/>
        <v>0.14490809831231835</v>
      </c>
      <c r="T227">
        <f t="shared" si="101"/>
        <v>276.11685465800383</v>
      </c>
      <c r="U227">
        <f t="shared" si="102"/>
        <v>26.791908825864404</v>
      </c>
      <c r="V227">
        <f t="shared" si="103"/>
        <v>26.791908825864404</v>
      </c>
      <c r="W227">
        <f t="shared" si="104"/>
        <v>3.5356488839779883</v>
      </c>
      <c r="X227">
        <f t="shared" si="105"/>
        <v>77.691281219168602</v>
      </c>
      <c r="Y227">
        <f t="shared" si="106"/>
        <v>2.5348580817077</v>
      </c>
      <c r="Z227">
        <f t="shared" si="107"/>
        <v>3.2627317273309173</v>
      </c>
      <c r="AA227">
        <f t="shared" si="108"/>
        <v>1.0007908022702883</v>
      </c>
      <c r="AB227">
        <f t="shared" si="109"/>
        <v>-105.96326315237006</v>
      </c>
      <c r="AC227">
        <f t="shared" si="110"/>
        <v>-154.59162576518113</v>
      </c>
      <c r="AD227">
        <f t="shared" si="111"/>
        <v>-15.668564621691953</v>
      </c>
      <c r="AE227">
        <f t="shared" si="112"/>
        <v>-0.10659888123930727</v>
      </c>
      <c r="AF227">
        <v>0</v>
      </c>
      <c r="AG227">
        <v>0</v>
      </c>
      <c r="AH227">
        <f t="shared" si="113"/>
        <v>1</v>
      </c>
      <c r="AI227">
        <f t="shared" si="114"/>
        <v>0</v>
      </c>
      <c r="AJ227">
        <f t="shared" si="115"/>
        <v>52477.107385865835</v>
      </c>
      <c r="AK227">
        <f t="shared" si="116"/>
        <v>1800.01</v>
      </c>
      <c r="AL227">
        <f t="shared" si="117"/>
        <v>1499.1197577968303</v>
      </c>
      <c r="AM227">
        <f t="shared" si="118"/>
        <v>0.83283968300000011</v>
      </c>
      <c r="AN227">
        <f t="shared" si="119"/>
        <v>0.15339740038000002</v>
      </c>
      <c r="AO227">
        <v>32.700000000000003</v>
      </c>
      <c r="AP227">
        <v>0.5</v>
      </c>
      <c r="AQ227" t="s">
        <v>331</v>
      </c>
      <c r="AR227">
        <v>2</v>
      </c>
      <c r="AS227">
        <v>1690384626</v>
      </c>
      <c r="AT227">
        <v>373.32900000000001</v>
      </c>
      <c r="AU227">
        <v>799.93399999999997</v>
      </c>
      <c r="AV227">
        <v>25.663699999999999</v>
      </c>
      <c r="AW227">
        <v>0.15252099999999999</v>
      </c>
      <c r="AX227">
        <v>373.291</v>
      </c>
      <c r="AY227">
        <v>25.488399999999999</v>
      </c>
      <c r="AZ227">
        <v>300.084</v>
      </c>
      <c r="BA227">
        <v>98.6721</v>
      </c>
      <c r="BB227">
        <v>0.100021</v>
      </c>
      <c r="BC227">
        <v>25.433199999999999</v>
      </c>
      <c r="BD227">
        <v>26.9925</v>
      </c>
      <c r="BE227">
        <v>26.717700000000001</v>
      </c>
      <c r="BF227">
        <v>0</v>
      </c>
      <c r="BG227">
        <v>0</v>
      </c>
      <c r="BH227">
        <v>10005.6</v>
      </c>
      <c r="BI227">
        <v>1061.19</v>
      </c>
      <c r="BJ227">
        <v>2.3687900000000002</v>
      </c>
      <c r="BK227">
        <v>-426.60500000000002</v>
      </c>
      <c r="BL227">
        <v>383.16199999999998</v>
      </c>
      <c r="BM227">
        <v>800.05600000000004</v>
      </c>
      <c r="BN227">
        <v>25.511199999999999</v>
      </c>
      <c r="BO227">
        <v>799.93399999999997</v>
      </c>
      <c r="BP227">
        <v>0.15252099999999999</v>
      </c>
      <c r="BQ227">
        <v>2.5322900000000002</v>
      </c>
      <c r="BR227">
        <v>1.50496E-2</v>
      </c>
      <c r="BS227">
        <v>21.235499999999998</v>
      </c>
      <c r="BT227">
        <v>-42.127800000000001</v>
      </c>
      <c r="BU227">
        <v>1800.01</v>
      </c>
      <c r="BV227">
        <v>0.90999300000000005</v>
      </c>
      <c r="BW227">
        <v>3.3995600000000001E-2</v>
      </c>
      <c r="BX227">
        <v>2.1998899999999998E-2</v>
      </c>
      <c r="BY227">
        <v>3.4012800000000003E-2</v>
      </c>
      <c r="BZ227">
        <v>26</v>
      </c>
      <c r="CA227">
        <v>33528.5</v>
      </c>
      <c r="CB227">
        <v>1690381960.0999999</v>
      </c>
      <c r="CC227" t="s">
        <v>332</v>
      </c>
      <c r="CD227">
        <v>1690381960.0999999</v>
      </c>
      <c r="CE227">
        <v>1690381958.0999999</v>
      </c>
      <c r="CF227">
        <v>4</v>
      </c>
      <c r="CG227">
        <v>9.9000000000000005E-2</v>
      </c>
      <c r="CH227">
        <v>1.2E-2</v>
      </c>
      <c r="CI227">
        <v>-0.26300000000000001</v>
      </c>
      <c r="CJ227">
        <v>0.127</v>
      </c>
      <c r="CK227">
        <v>798</v>
      </c>
      <c r="CL227">
        <v>18</v>
      </c>
      <c r="CM227">
        <v>0.02</v>
      </c>
      <c r="CN227">
        <v>0.12</v>
      </c>
      <c r="CO227">
        <v>-426.64035000000001</v>
      </c>
      <c r="CP227">
        <v>-1.2058986866785799</v>
      </c>
      <c r="CQ227">
        <v>0.13475265303510861</v>
      </c>
      <c r="CR227">
        <v>-1</v>
      </c>
      <c r="CS227">
        <v>25.531604999999999</v>
      </c>
      <c r="CT227">
        <v>-0.1034499061913893</v>
      </c>
      <c r="CU227">
        <v>9.9866398252863517E-3</v>
      </c>
      <c r="CV227">
        <v>-1</v>
      </c>
      <c r="CW227">
        <v>0</v>
      </c>
      <c r="CX227">
        <v>0</v>
      </c>
      <c r="CY227" t="s">
        <v>333</v>
      </c>
      <c r="CZ227">
        <v>2.3646600000000002</v>
      </c>
      <c r="DA227">
        <v>2.7138200000000001</v>
      </c>
      <c r="DB227">
        <v>8.4541099999999994E-2</v>
      </c>
      <c r="DC227">
        <v>0.14544899999999999</v>
      </c>
      <c r="DD227">
        <v>0.11902600000000001</v>
      </c>
      <c r="DE227">
        <v>1.2801900000000001E-3</v>
      </c>
      <c r="DF227">
        <v>33442.300000000003</v>
      </c>
      <c r="DG227">
        <v>27558.7</v>
      </c>
      <c r="DH227">
        <v>31185.4</v>
      </c>
      <c r="DI227">
        <v>28100.7</v>
      </c>
      <c r="DJ227">
        <v>37291.9</v>
      </c>
      <c r="DK227">
        <v>39913.599999999999</v>
      </c>
      <c r="DL227">
        <v>44382.3</v>
      </c>
      <c r="DM227">
        <v>42589.1</v>
      </c>
      <c r="DN227">
        <v>1.4782200000000001</v>
      </c>
      <c r="DO227">
        <v>2.0312999999999999</v>
      </c>
      <c r="DP227">
        <v>0.15658900000000001</v>
      </c>
      <c r="DQ227">
        <v>0.14304</v>
      </c>
      <c r="DR227">
        <v>24.426200000000001</v>
      </c>
      <c r="DS227">
        <v>24.372800000000002</v>
      </c>
      <c r="DT227">
        <v>21.2</v>
      </c>
      <c r="DU227">
        <v>29.3</v>
      </c>
      <c r="DV227">
        <v>8.7917000000000005</v>
      </c>
      <c r="DW227">
        <v>61.023000000000003</v>
      </c>
      <c r="DX227">
        <v>37.580100000000002</v>
      </c>
      <c r="DY227">
        <v>1</v>
      </c>
      <c r="DZ227">
        <v>-0.111016</v>
      </c>
      <c r="EA227">
        <v>0.46612700000000001</v>
      </c>
      <c r="EB227">
        <v>20.188400000000001</v>
      </c>
      <c r="EC227">
        <v>5.24125</v>
      </c>
      <c r="ED227">
        <v>12.039899999999999</v>
      </c>
      <c r="EE227">
        <v>5.0173500000000004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1.8689199999999999</v>
      </c>
      <c r="EL227">
        <v>1.8646199999999999</v>
      </c>
      <c r="EM227">
        <v>1.8692</v>
      </c>
      <c r="EN227">
        <v>1.8672299999999999</v>
      </c>
      <c r="EO227">
        <v>1.8633999999999999</v>
      </c>
      <c r="EP227">
        <v>1.8644700000000001</v>
      </c>
      <c r="EQ227">
        <v>1.8702000000000001</v>
      </c>
      <c r="ER227">
        <v>1.8694200000000001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3.7999999999999999E-2</v>
      </c>
      <c r="FG227">
        <v>0.17530000000000001</v>
      </c>
      <c r="FH227">
        <v>0.28746640474027818</v>
      </c>
      <c r="FI227">
        <v>-6.1462078757559423E-4</v>
      </c>
      <c r="FJ227">
        <v>-1.8861989874597051E-7</v>
      </c>
      <c r="FK227">
        <v>1.1980462299894961E-10</v>
      </c>
      <c r="FL227">
        <v>0.17524818673008091</v>
      </c>
      <c r="FM227">
        <v>0</v>
      </c>
      <c r="FN227">
        <v>0</v>
      </c>
      <c r="FO227">
        <v>0</v>
      </c>
      <c r="FP227">
        <v>3</v>
      </c>
      <c r="FQ227">
        <v>2158</v>
      </c>
      <c r="FR227">
        <v>1</v>
      </c>
      <c r="FS227">
        <v>19</v>
      </c>
      <c r="FT227">
        <v>44.4</v>
      </c>
      <c r="FU227">
        <v>44.5</v>
      </c>
      <c r="FV227">
        <v>1.7639199999999999</v>
      </c>
      <c r="FW227">
        <v>2.5769000000000002</v>
      </c>
      <c r="FX227">
        <v>1.5490699999999999</v>
      </c>
      <c r="FY227">
        <v>2.3339799999999999</v>
      </c>
      <c r="FZ227">
        <v>1.50146</v>
      </c>
      <c r="GA227">
        <v>2.3828100000000001</v>
      </c>
      <c r="GB227">
        <v>33.580399999999997</v>
      </c>
      <c r="GC227">
        <v>23.982399999999998</v>
      </c>
      <c r="GD227">
        <v>19</v>
      </c>
      <c r="GE227">
        <v>282.774</v>
      </c>
      <c r="GF227">
        <v>576.53200000000004</v>
      </c>
      <c r="GG227">
        <v>23.203900000000001</v>
      </c>
      <c r="GH227">
        <v>25.986599999999999</v>
      </c>
      <c r="GI227">
        <v>29.9999</v>
      </c>
      <c r="GJ227">
        <v>26.132300000000001</v>
      </c>
      <c r="GK227">
        <v>26.119900000000001</v>
      </c>
      <c r="GL227">
        <v>35.2714</v>
      </c>
      <c r="GM227">
        <v>100</v>
      </c>
      <c r="GN227">
        <v>0</v>
      </c>
      <c r="GO227">
        <v>23.2973</v>
      </c>
      <c r="GP227">
        <v>800</v>
      </c>
      <c r="GQ227">
        <v>0</v>
      </c>
      <c r="GR227">
        <v>99.7834</v>
      </c>
      <c r="GS227">
        <v>99.632400000000004</v>
      </c>
    </row>
    <row r="228" spans="1:201" x14ac:dyDescent="0.25">
      <c r="A228">
        <v>212</v>
      </c>
      <c r="B228">
        <v>1690384636</v>
      </c>
      <c r="C228">
        <v>2160.900000095367</v>
      </c>
      <c r="D228" t="s">
        <v>755</v>
      </c>
      <c r="E228" t="s">
        <v>756</v>
      </c>
      <c r="F228" t="s">
        <v>330</v>
      </c>
      <c r="H228">
        <v>1690384636</v>
      </c>
      <c r="I228">
        <f t="shared" si="90"/>
        <v>2.4063743867026319E-3</v>
      </c>
      <c r="J228">
        <f t="shared" si="91"/>
        <v>2.4063743867026317</v>
      </c>
      <c r="K228">
        <f t="shared" si="92"/>
        <v>38.291783008347402</v>
      </c>
      <c r="L228">
        <f t="shared" si="93"/>
        <v>373.06099999999998</v>
      </c>
      <c r="M228">
        <f t="shared" si="94"/>
        <v>106.19162199926187</v>
      </c>
      <c r="N228">
        <f t="shared" si="95"/>
        <v>10.488507851116688</v>
      </c>
      <c r="O228">
        <f t="shared" si="96"/>
        <v>36.847099175796004</v>
      </c>
      <c r="P228">
        <f t="shared" si="97"/>
        <v>0.24590180596544109</v>
      </c>
      <c r="Q228">
        <f t="shared" si="98"/>
        <v>2.1092697705972769</v>
      </c>
      <c r="R228">
        <f t="shared" si="99"/>
        <v>0.23101335602817563</v>
      </c>
      <c r="S228">
        <f t="shared" si="100"/>
        <v>0.14564583586435104</v>
      </c>
      <c r="T228">
        <f t="shared" si="101"/>
        <v>276.11556281999998</v>
      </c>
      <c r="U228">
        <f t="shared" si="102"/>
        <v>26.789128183488558</v>
      </c>
      <c r="V228">
        <f t="shared" si="103"/>
        <v>26.789128183488558</v>
      </c>
      <c r="W228">
        <f t="shared" si="104"/>
        <v>3.5350706064377175</v>
      </c>
      <c r="X228">
        <f t="shared" si="105"/>
        <v>77.793339792650258</v>
      </c>
      <c r="Y228">
        <f t="shared" si="106"/>
        <v>2.5378561661292003</v>
      </c>
      <c r="Z228">
        <f t="shared" si="107"/>
        <v>3.2623051959121203</v>
      </c>
      <c r="AA228">
        <f t="shared" si="108"/>
        <v>0.99721444030851725</v>
      </c>
      <c r="AB228">
        <f t="shared" si="109"/>
        <v>-106.12111045358607</v>
      </c>
      <c r="AC228">
        <f t="shared" si="110"/>
        <v>-154.43948102200611</v>
      </c>
      <c r="AD228">
        <f t="shared" si="111"/>
        <v>-15.661477429367482</v>
      </c>
      <c r="AE228">
        <f t="shared" si="112"/>
        <v>-0.10650608495970459</v>
      </c>
      <c r="AF228">
        <v>0</v>
      </c>
      <c r="AG228">
        <v>0</v>
      </c>
      <c r="AH228">
        <f t="shared" si="113"/>
        <v>1</v>
      </c>
      <c r="AI228">
        <f t="shared" si="114"/>
        <v>0</v>
      </c>
      <c r="AJ228">
        <f t="shared" si="115"/>
        <v>52425.961846170845</v>
      </c>
      <c r="AK228">
        <f t="shared" si="116"/>
        <v>1800</v>
      </c>
      <c r="AL228">
        <f t="shared" si="117"/>
        <v>1499.1109649999999</v>
      </c>
      <c r="AM228">
        <f t="shared" si="118"/>
        <v>0.83283942499999997</v>
      </c>
      <c r="AN228">
        <f t="shared" si="119"/>
        <v>0.15339753489999999</v>
      </c>
      <c r="AO228">
        <v>32.700000000000003</v>
      </c>
      <c r="AP228">
        <v>0.5</v>
      </c>
      <c r="AQ228" t="s">
        <v>331</v>
      </c>
      <c r="AR228">
        <v>2</v>
      </c>
      <c r="AS228">
        <v>1690384636</v>
      </c>
      <c r="AT228">
        <v>373.06099999999998</v>
      </c>
      <c r="AU228">
        <v>800.01599999999996</v>
      </c>
      <c r="AV228">
        <v>25.694700000000001</v>
      </c>
      <c r="AW228">
        <v>0.151779</v>
      </c>
      <c r="AX228">
        <v>373.02300000000002</v>
      </c>
      <c r="AY228">
        <v>25.519500000000001</v>
      </c>
      <c r="AZ228">
        <v>300.14800000000002</v>
      </c>
      <c r="BA228">
        <v>98.669600000000003</v>
      </c>
      <c r="BB228">
        <v>0.100036</v>
      </c>
      <c r="BC228">
        <v>25.431000000000001</v>
      </c>
      <c r="BD228">
        <v>27.008400000000002</v>
      </c>
      <c r="BE228">
        <v>26.7163</v>
      </c>
      <c r="BF228">
        <v>0</v>
      </c>
      <c r="BG228">
        <v>0</v>
      </c>
      <c r="BH228">
        <v>9995.6200000000008</v>
      </c>
      <c r="BI228">
        <v>1061.0899999999999</v>
      </c>
      <c r="BJ228">
        <v>2.0604300000000002</v>
      </c>
      <c r="BK228">
        <v>-426.95499999999998</v>
      </c>
      <c r="BL228">
        <v>382.9</v>
      </c>
      <c r="BM228">
        <v>800.13800000000003</v>
      </c>
      <c r="BN228">
        <v>25.542899999999999</v>
      </c>
      <c r="BO228">
        <v>800.01599999999996</v>
      </c>
      <c r="BP228">
        <v>0.151779</v>
      </c>
      <c r="BQ228">
        <v>2.5352899999999998</v>
      </c>
      <c r="BR228">
        <v>1.49759E-2</v>
      </c>
      <c r="BS228">
        <v>21.254799999999999</v>
      </c>
      <c r="BT228">
        <v>-42.1738</v>
      </c>
      <c r="BU228">
        <v>1800</v>
      </c>
      <c r="BV228">
        <v>0.90998999999999997</v>
      </c>
      <c r="BW228">
        <v>3.3995600000000001E-2</v>
      </c>
      <c r="BX228">
        <v>2.20015E-2</v>
      </c>
      <c r="BY228">
        <v>3.4012800000000003E-2</v>
      </c>
      <c r="BZ228">
        <v>26</v>
      </c>
      <c r="CA228">
        <v>33528.300000000003</v>
      </c>
      <c r="CB228">
        <v>1690381960.0999999</v>
      </c>
      <c r="CC228" t="s">
        <v>332</v>
      </c>
      <c r="CD228">
        <v>1690381960.0999999</v>
      </c>
      <c r="CE228">
        <v>1690381958.0999999</v>
      </c>
      <c r="CF228">
        <v>4</v>
      </c>
      <c r="CG228">
        <v>9.9000000000000005E-2</v>
      </c>
      <c r="CH228">
        <v>1.2E-2</v>
      </c>
      <c r="CI228">
        <v>-0.26300000000000001</v>
      </c>
      <c r="CJ228">
        <v>0.127</v>
      </c>
      <c r="CK228">
        <v>798</v>
      </c>
      <c r="CL228">
        <v>18</v>
      </c>
      <c r="CM228">
        <v>0.02</v>
      </c>
      <c r="CN228">
        <v>0.12</v>
      </c>
      <c r="CO228">
        <v>-426.78899999999999</v>
      </c>
      <c r="CP228">
        <v>-0.80674671669685782</v>
      </c>
      <c r="CQ228">
        <v>0.1191282921895544</v>
      </c>
      <c r="CR228">
        <v>-1</v>
      </c>
      <c r="CS228">
        <v>25.519835</v>
      </c>
      <c r="CT228">
        <v>-2.5064915572253179E-2</v>
      </c>
      <c r="CU228">
        <v>7.4070085054627824E-3</v>
      </c>
      <c r="CV228">
        <v>-1</v>
      </c>
      <c r="CW228">
        <v>0</v>
      </c>
      <c r="CX228">
        <v>0</v>
      </c>
      <c r="CY228" t="s">
        <v>333</v>
      </c>
      <c r="CZ228">
        <v>2.3648400000000001</v>
      </c>
      <c r="DA228">
        <v>2.7138200000000001</v>
      </c>
      <c r="DB228">
        <v>8.4492399999999995E-2</v>
      </c>
      <c r="DC228">
        <v>0.145457</v>
      </c>
      <c r="DD228">
        <v>0.11912399999999999</v>
      </c>
      <c r="DE228">
        <v>1.274E-3</v>
      </c>
      <c r="DF228">
        <v>33444.300000000003</v>
      </c>
      <c r="DG228">
        <v>27558.799999999999</v>
      </c>
      <c r="DH228">
        <v>31185.599999999999</v>
      </c>
      <c r="DI228">
        <v>28101</v>
      </c>
      <c r="DJ228">
        <v>37287.800000000003</v>
      </c>
      <c r="DK228">
        <v>39914</v>
      </c>
      <c r="DL228">
        <v>44382.400000000001</v>
      </c>
      <c r="DM228">
        <v>42589.3</v>
      </c>
      <c r="DN228">
        <v>1.4782500000000001</v>
      </c>
      <c r="DO228">
        <v>2.0312800000000002</v>
      </c>
      <c r="DP228">
        <v>0.15756100000000001</v>
      </c>
      <c r="DQ228">
        <v>0.143066</v>
      </c>
      <c r="DR228">
        <v>24.426200000000001</v>
      </c>
      <c r="DS228">
        <v>24.370999999999999</v>
      </c>
      <c r="DT228">
        <v>21.2</v>
      </c>
      <c r="DU228">
        <v>29.3</v>
      </c>
      <c r="DV228">
        <v>8.7920599999999993</v>
      </c>
      <c r="DW228">
        <v>61.162999999999997</v>
      </c>
      <c r="DX228">
        <v>36.887</v>
      </c>
      <c r="DY228">
        <v>1</v>
      </c>
      <c r="DZ228">
        <v>-0.111026</v>
      </c>
      <c r="EA228">
        <v>0.38726899999999997</v>
      </c>
      <c r="EB228">
        <v>20.1891</v>
      </c>
      <c r="EC228">
        <v>5.2416999999999998</v>
      </c>
      <c r="ED228">
        <v>12.039899999999999</v>
      </c>
      <c r="EE228">
        <v>5.0171000000000001</v>
      </c>
      <c r="EF228">
        <v>3.2879999999999998</v>
      </c>
      <c r="EG228">
        <v>9999</v>
      </c>
      <c r="EH228">
        <v>9999</v>
      </c>
      <c r="EI228">
        <v>9999</v>
      </c>
      <c r="EJ228">
        <v>999.9</v>
      </c>
      <c r="EK228">
        <v>1.8689199999999999</v>
      </c>
      <c r="EL228">
        <v>1.8646199999999999</v>
      </c>
      <c r="EM228">
        <v>1.8692</v>
      </c>
      <c r="EN228">
        <v>1.8672299999999999</v>
      </c>
      <c r="EO228">
        <v>1.8633999999999999</v>
      </c>
      <c r="EP228">
        <v>1.8644700000000001</v>
      </c>
      <c r="EQ228">
        <v>1.8702000000000001</v>
      </c>
      <c r="ER228">
        <v>1.8694200000000001</v>
      </c>
      <c r="ES228">
        <v>0</v>
      </c>
      <c r="ET228">
        <v>0</v>
      </c>
      <c r="EU228">
        <v>0</v>
      </c>
      <c r="EV228">
        <v>0</v>
      </c>
      <c r="EW228" t="s">
        <v>334</v>
      </c>
      <c r="EX228" t="s">
        <v>335</v>
      </c>
      <c r="EY228" t="s">
        <v>336</v>
      </c>
      <c r="EZ228" t="s">
        <v>336</v>
      </c>
      <c r="FA228" t="s">
        <v>336</v>
      </c>
      <c r="FB228" t="s">
        <v>336</v>
      </c>
      <c r="FC228">
        <v>0</v>
      </c>
      <c r="FD228">
        <v>100</v>
      </c>
      <c r="FE228">
        <v>100</v>
      </c>
      <c r="FF228">
        <v>3.7999999999999999E-2</v>
      </c>
      <c r="FG228">
        <v>0.17519999999999999</v>
      </c>
      <c r="FH228">
        <v>0.28746640474027818</v>
      </c>
      <c r="FI228">
        <v>-6.1462078757559423E-4</v>
      </c>
      <c r="FJ228">
        <v>-1.8861989874597051E-7</v>
      </c>
      <c r="FK228">
        <v>1.1980462299894961E-10</v>
      </c>
      <c r="FL228">
        <v>0.17524818673008091</v>
      </c>
      <c r="FM228">
        <v>0</v>
      </c>
      <c r="FN228">
        <v>0</v>
      </c>
      <c r="FO228">
        <v>0</v>
      </c>
      <c r="FP228">
        <v>3</v>
      </c>
      <c r="FQ228">
        <v>2158</v>
      </c>
      <c r="FR228">
        <v>1</v>
      </c>
      <c r="FS228">
        <v>19</v>
      </c>
      <c r="FT228">
        <v>44.6</v>
      </c>
      <c r="FU228">
        <v>44.6</v>
      </c>
      <c r="FV228">
        <v>1.7639199999999999</v>
      </c>
      <c r="FW228">
        <v>2.5830099999999998</v>
      </c>
      <c r="FX228">
        <v>1.5490699999999999</v>
      </c>
      <c r="FY228">
        <v>2.3339799999999999</v>
      </c>
      <c r="FZ228">
        <v>1.50146</v>
      </c>
      <c r="GA228">
        <v>2.34985</v>
      </c>
      <c r="GB228">
        <v>33.580399999999997</v>
      </c>
      <c r="GC228">
        <v>23.973700000000001</v>
      </c>
      <c r="GD228">
        <v>19</v>
      </c>
      <c r="GE228">
        <v>282.78399999999999</v>
      </c>
      <c r="GF228">
        <v>576.48800000000006</v>
      </c>
      <c r="GG228">
        <v>23.305599999999998</v>
      </c>
      <c r="GH228">
        <v>25.986599999999999</v>
      </c>
      <c r="GI228">
        <v>30.000399999999999</v>
      </c>
      <c r="GJ228">
        <v>26.132300000000001</v>
      </c>
      <c r="GK228">
        <v>26.117799999999999</v>
      </c>
      <c r="GL228">
        <v>35.2712</v>
      </c>
      <c r="GM228">
        <v>100</v>
      </c>
      <c r="GN228">
        <v>0</v>
      </c>
      <c r="GO228">
        <v>23.299900000000001</v>
      </c>
      <c r="GP228">
        <v>800</v>
      </c>
      <c r="GQ228">
        <v>0</v>
      </c>
      <c r="GR228">
        <v>99.783699999999996</v>
      </c>
      <c r="GS228">
        <v>99.633099999999999</v>
      </c>
    </row>
    <row r="229" spans="1:201" x14ac:dyDescent="0.25">
      <c r="A229">
        <v>213</v>
      </c>
      <c r="B229">
        <v>1690384646</v>
      </c>
      <c r="C229">
        <v>2170.900000095367</v>
      </c>
      <c r="D229" t="s">
        <v>757</v>
      </c>
      <c r="E229" t="s">
        <v>758</v>
      </c>
      <c r="F229" t="s">
        <v>330</v>
      </c>
      <c r="H229">
        <v>1690384646</v>
      </c>
      <c r="I229">
        <f t="shared" si="90"/>
        <v>2.4090362368067589E-3</v>
      </c>
      <c r="J229">
        <f t="shared" si="91"/>
        <v>2.409036236806759</v>
      </c>
      <c r="K229">
        <f t="shared" si="92"/>
        <v>38.302948895357289</v>
      </c>
      <c r="L229">
        <f t="shared" si="93"/>
        <v>372.81</v>
      </c>
      <c r="M229">
        <f t="shared" si="94"/>
        <v>107.05493076033591</v>
      </c>
      <c r="N229">
        <f t="shared" si="95"/>
        <v>10.574151952729277</v>
      </c>
      <c r="O229">
        <f t="shared" si="96"/>
        <v>36.823615329987</v>
      </c>
      <c r="P229">
        <f t="shared" si="97"/>
        <v>0.24705414430610145</v>
      </c>
      <c r="Q229">
        <f t="shared" si="98"/>
        <v>2.1123285580940885</v>
      </c>
      <c r="R229">
        <f t="shared" si="99"/>
        <v>0.23205073936039022</v>
      </c>
      <c r="S229">
        <f t="shared" si="100"/>
        <v>0.14630371872146963</v>
      </c>
      <c r="T229">
        <f t="shared" si="101"/>
        <v>276.11606311200001</v>
      </c>
      <c r="U229">
        <f t="shared" si="102"/>
        <v>26.788605892046341</v>
      </c>
      <c r="V229">
        <f t="shared" si="103"/>
        <v>26.788605892046341</v>
      </c>
      <c r="W229">
        <f t="shared" si="104"/>
        <v>3.5349619970752286</v>
      </c>
      <c r="X229">
        <f t="shared" si="105"/>
        <v>77.882200193954958</v>
      </c>
      <c r="Y229">
        <f t="shared" si="106"/>
        <v>2.5410872556715498</v>
      </c>
      <c r="Z229">
        <f t="shared" si="107"/>
        <v>3.2627317273309173</v>
      </c>
      <c r="AA229">
        <f t="shared" si="108"/>
        <v>0.99387474140367882</v>
      </c>
      <c r="AB229">
        <f t="shared" si="109"/>
        <v>-106.23849804317807</v>
      </c>
      <c r="AC229">
        <f t="shared" si="110"/>
        <v>-154.35342946676309</v>
      </c>
      <c r="AD229">
        <f t="shared" si="111"/>
        <v>-15.630216061070591</v>
      </c>
      <c r="AE229">
        <f t="shared" si="112"/>
        <v>-0.10608045901176411</v>
      </c>
      <c r="AF229">
        <v>0</v>
      </c>
      <c r="AG229">
        <v>0</v>
      </c>
      <c r="AH229">
        <f t="shared" si="113"/>
        <v>1</v>
      </c>
      <c r="AI229">
        <f t="shared" si="114"/>
        <v>0</v>
      </c>
      <c r="AJ229">
        <f t="shared" si="115"/>
        <v>52559.657904331732</v>
      </c>
      <c r="AK229">
        <f t="shared" si="116"/>
        <v>1800</v>
      </c>
      <c r="AL229">
        <f t="shared" si="117"/>
        <v>1499.1117821999999</v>
      </c>
      <c r="AM229">
        <f t="shared" si="118"/>
        <v>0.83283987899999989</v>
      </c>
      <c r="AN229">
        <f t="shared" si="119"/>
        <v>0.15339781284000001</v>
      </c>
      <c r="AO229">
        <v>32.700000000000003</v>
      </c>
      <c r="AP229">
        <v>0.5</v>
      </c>
      <c r="AQ229" t="s">
        <v>331</v>
      </c>
      <c r="AR229">
        <v>2</v>
      </c>
      <c r="AS229">
        <v>1690384646</v>
      </c>
      <c r="AT229">
        <v>372.81</v>
      </c>
      <c r="AU229">
        <v>799.97199999999998</v>
      </c>
      <c r="AV229">
        <v>25.726500000000001</v>
      </c>
      <c r="AW229">
        <v>0.15130199999999999</v>
      </c>
      <c r="AX229">
        <v>372.77100000000002</v>
      </c>
      <c r="AY229">
        <v>25.551200000000001</v>
      </c>
      <c r="AZ229">
        <v>300.09100000000001</v>
      </c>
      <c r="BA229">
        <v>98.673199999999994</v>
      </c>
      <c r="BB229">
        <v>9.9942699999999995E-2</v>
      </c>
      <c r="BC229">
        <v>25.433199999999999</v>
      </c>
      <c r="BD229">
        <v>26.9834</v>
      </c>
      <c r="BE229">
        <v>26.724900000000002</v>
      </c>
      <c r="BF229">
        <v>0</v>
      </c>
      <c r="BG229">
        <v>0</v>
      </c>
      <c r="BH229">
        <v>10021.9</v>
      </c>
      <c r="BI229">
        <v>1060.8900000000001</v>
      </c>
      <c r="BJ229">
        <v>2.2566600000000001</v>
      </c>
      <c r="BK229">
        <v>-427.16199999999998</v>
      </c>
      <c r="BL229">
        <v>382.654</v>
      </c>
      <c r="BM229">
        <v>800.09299999999996</v>
      </c>
      <c r="BN229">
        <v>25.575199999999999</v>
      </c>
      <c r="BO229">
        <v>799.97199999999998</v>
      </c>
      <c r="BP229">
        <v>0.15130199999999999</v>
      </c>
      <c r="BQ229">
        <v>2.53851</v>
      </c>
      <c r="BR229">
        <v>1.49295E-2</v>
      </c>
      <c r="BS229">
        <v>21.275500000000001</v>
      </c>
      <c r="BT229">
        <v>-42.2029</v>
      </c>
      <c r="BU229">
        <v>1800</v>
      </c>
      <c r="BV229">
        <v>0.90998800000000002</v>
      </c>
      <c r="BW229">
        <v>3.39951E-2</v>
      </c>
      <c r="BX229">
        <v>2.2004699999999999E-2</v>
      </c>
      <c r="BY229">
        <v>3.4012399999999998E-2</v>
      </c>
      <c r="BZ229">
        <v>26</v>
      </c>
      <c r="CA229">
        <v>33528.199999999997</v>
      </c>
      <c r="CB229">
        <v>1690381960.0999999</v>
      </c>
      <c r="CC229" t="s">
        <v>332</v>
      </c>
      <c r="CD229">
        <v>1690381960.0999999</v>
      </c>
      <c r="CE229">
        <v>1690381958.0999999</v>
      </c>
      <c r="CF229">
        <v>4</v>
      </c>
      <c r="CG229">
        <v>9.9000000000000005E-2</v>
      </c>
      <c r="CH229">
        <v>1.2E-2</v>
      </c>
      <c r="CI229">
        <v>-0.26300000000000001</v>
      </c>
      <c r="CJ229">
        <v>0.127</v>
      </c>
      <c r="CK229">
        <v>798</v>
      </c>
      <c r="CL229">
        <v>18</v>
      </c>
      <c r="CM229">
        <v>0.02</v>
      </c>
      <c r="CN229">
        <v>0.12</v>
      </c>
      <c r="CO229">
        <v>-426.92399999999998</v>
      </c>
      <c r="CP229">
        <v>-1.2699930313587611</v>
      </c>
      <c r="CQ229">
        <v>0.14656605935924169</v>
      </c>
      <c r="CR229">
        <v>-1</v>
      </c>
      <c r="CS229">
        <v>25.537658536585369</v>
      </c>
      <c r="CT229">
        <v>0.2241721254355302</v>
      </c>
      <c r="CU229">
        <v>2.2556238395205541E-2</v>
      </c>
      <c r="CV229">
        <v>-1</v>
      </c>
      <c r="CW229">
        <v>0</v>
      </c>
      <c r="CX229">
        <v>0</v>
      </c>
      <c r="CY229" t="s">
        <v>333</v>
      </c>
      <c r="CZ229">
        <v>2.3646699999999998</v>
      </c>
      <c r="DA229">
        <v>2.7137500000000001</v>
      </c>
      <c r="DB229">
        <v>8.4451100000000001E-2</v>
      </c>
      <c r="DC229">
        <v>0.145456</v>
      </c>
      <c r="DD229">
        <v>0.119231</v>
      </c>
      <c r="DE229">
        <v>1.27008E-3</v>
      </c>
      <c r="DF229">
        <v>33445.599999999999</v>
      </c>
      <c r="DG229">
        <v>27558.6</v>
      </c>
      <c r="DH229">
        <v>31185.4</v>
      </c>
      <c r="DI229">
        <v>28100.7</v>
      </c>
      <c r="DJ229">
        <v>37283.1</v>
      </c>
      <c r="DK229">
        <v>39913.9</v>
      </c>
      <c r="DL229">
        <v>44382.400000000001</v>
      </c>
      <c r="DM229">
        <v>42589.1</v>
      </c>
      <c r="DN229">
        <v>1.4781200000000001</v>
      </c>
      <c r="DO229">
        <v>2.0310999999999999</v>
      </c>
      <c r="DP229">
        <v>0.15614600000000001</v>
      </c>
      <c r="DQ229">
        <v>0.14360600000000001</v>
      </c>
      <c r="DR229">
        <v>24.424399999999999</v>
      </c>
      <c r="DS229">
        <v>24.370799999999999</v>
      </c>
      <c r="DT229">
        <v>21.2</v>
      </c>
      <c r="DU229">
        <v>29.3</v>
      </c>
      <c r="DV229">
        <v>8.7909400000000009</v>
      </c>
      <c r="DW229">
        <v>60.972999999999999</v>
      </c>
      <c r="DX229">
        <v>36.915100000000002</v>
      </c>
      <c r="DY229">
        <v>1</v>
      </c>
      <c r="DZ229">
        <v>-0.110818</v>
      </c>
      <c r="EA229">
        <v>0.51100199999999996</v>
      </c>
      <c r="EB229">
        <v>20.188800000000001</v>
      </c>
      <c r="EC229">
        <v>5.2408000000000001</v>
      </c>
      <c r="ED229">
        <v>12.039899999999999</v>
      </c>
      <c r="EE229">
        <v>5.0174000000000003</v>
      </c>
      <c r="EF229">
        <v>3.2879999999999998</v>
      </c>
      <c r="EG229">
        <v>9999</v>
      </c>
      <c r="EH229">
        <v>9999</v>
      </c>
      <c r="EI229">
        <v>9999</v>
      </c>
      <c r="EJ229">
        <v>999.9</v>
      </c>
      <c r="EK229">
        <v>1.8689100000000001</v>
      </c>
      <c r="EL229">
        <v>1.8646199999999999</v>
      </c>
      <c r="EM229">
        <v>1.86921</v>
      </c>
      <c r="EN229">
        <v>1.8672299999999999</v>
      </c>
      <c r="EO229">
        <v>1.8633999999999999</v>
      </c>
      <c r="EP229">
        <v>1.8644700000000001</v>
      </c>
      <c r="EQ229">
        <v>1.87018</v>
      </c>
      <c r="ER229">
        <v>1.86938</v>
      </c>
      <c r="ES229">
        <v>0</v>
      </c>
      <c r="ET229">
        <v>0</v>
      </c>
      <c r="EU229">
        <v>0</v>
      </c>
      <c r="EV229">
        <v>0</v>
      </c>
      <c r="EW229" t="s">
        <v>334</v>
      </c>
      <c r="EX229" t="s">
        <v>335</v>
      </c>
      <c r="EY229" t="s">
        <v>336</v>
      </c>
      <c r="EZ229" t="s">
        <v>336</v>
      </c>
      <c r="FA229" t="s">
        <v>336</v>
      </c>
      <c r="FB229" t="s">
        <v>336</v>
      </c>
      <c r="FC229">
        <v>0</v>
      </c>
      <c r="FD229">
        <v>100</v>
      </c>
      <c r="FE229">
        <v>100</v>
      </c>
      <c r="FF229">
        <v>3.9E-2</v>
      </c>
      <c r="FG229">
        <v>0.17530000000000001</v>
      </c>
      <c r="FH229">
        <v>0.28746640474027818</v>
      </c>
      <c r="FI229">
        <v>-6.1462078757559423E-4</v>
      </c>
      <c r="FJ229">
        <v>-1.8861989874597051E-7</v>
      </c>
      <c r="FK229">
        <v>1.1980462299894961E-10</v>
      </c>
      <c r="FL229">
        <v>0.17524818673008091</v>
      </c>
      <c r="FM229">
        <v>0</v>
      </c>
      <c r="FN229">
        <v>0</v>
      </c>
      <c r="FO229">
        <v>0</v>
      </c>
      <c r="FP229">
        <v>3</v>
      </c>
      <c r="FQ229">
        <v>2158</v>
      </c>
      <c r="FR229">
        <v>1</v>
      </c>
      <c r="FS229">
        <v>19</v>
      </c>
      <c r="FT229">
        <v>44.8</v>
      </c>
      <c r="FU229">
        <v>44.8</v>
      </c>
      <c r="FV229">
        <v>1.7639199999999999</v>
      </c>
      <c r="FW229">
        <v>2.5830099999999998</v>
      </c>
      <c r="FX229">
        <v>1.5490699999999999</v>
      </c>
      <c r="FY229">
        <v>2.3339799999999999</v>
      </c>
      <c r="FZ229">
        <v>1.50146</v>
      </c>
      <c r="GA229">
        <v>2.32422</v>
      </c>
      <c r="GB229">
        <v>33.580399999999997</v>
      </c>
      <c r="GC229">
        <v>23.973700000000001</v>
      </c>
      <c r="GD229">
        <v>19</v>
      </c>
      <c r="GE229">
        <v>282.72300000000001</v>
      </c>
      <c r="GF229">
        <v>576.34500000000003</v>
      </c>
      <c r="GG229">
        <v>23.3005</v>
      </c>
      <c r="GH229">
        <v>25.985700000000001</v>
      </c>
      <c r="GI229">
        <v>30.0001</v>
      </c>
      <c r="GJ229">
        <v>26.130299999999998</v>
      </c>
      <c r="GK229">
        <v>26.117799999999999</v>
      </c>
      <c r="GL229">
        <v>35.273200000000003</v>
      </c>
      <c r="GM229">
        <v>100</v>
      </c>
      <c r="GN229">
        <v>0</v>
      </c>
      <c r="GO229">
        <v>23.286999999999999</v>
      </c>
      <c r="GP229">
        <v>800</v>
      </c>
      <c r="GQ229">
        <v>0</v>
      </c>
      <c r="GR229">
        <v>99.7834</v>
      </c>
      <c r="GS229">
        <v>99.632499999999993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2023-07-26T15:17:36Z</dcterms:created>
  <dcterms:modified xsi:type="dcterms:W3CDTF">2023-07-26T17:10:12Z</dcterms:modified>
</cp:coreProperties>
</file>