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 07 25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34" i="1" l="1"/>
  <c r="AM234" i="1"/>
  <c r="AK234" i="1"/>
  <c r="AL234" i="1" s="1"/>
  <c r="AJ234" i="1"/>
  <c r="AH234" i="1"/>
  <c r="L234" i="1" s="1"/>
  <c r="Z234" i="1"/>
  <c r="Y234" i="1"/>
  <c r="X234" i="1"/>
  <c r="Q234" i="1"/>
  <c r="O234" i="1"/>
  <c r="AN233" i="1"/>
  <c r="AM233" i="1"/>
  <c r="AK233" i="1"/>
  <c r="AL233" i="1" s="1"/>
  <c r="AJ233" i="1"/>
  <c r="AH233" i="1"/>
  <c r="L233" i="1" s="1"/>
  <c r="Z233" i="1"/>
  <c r="Y233" i="1"/>
  <c r="X233" i="1"/>
  <c r="Q233" i="1"/>
  <c r="O233" i="1"/>
  <c r="AN232" i="1"/>
  <c r="AM232" i="1"/>
  <c r="AK232" i="1"/>
  <c r="AJ232" i="1"/>
  <c r="AH232" i="1"/>
  <c r="J232" i="1" s="1"/>
  <c r="I232" i="1" s="1"/>
  <c r="Z232" i="1"/>
  <c r="Y232" i="1"/>
  <c r="X232" i="1"/>
  <c r="Q232" i="1"/>
  <c r="O232" i="1"/>
  <c r="L232" i="1"/>
  <c r="K232" i="1"/>
  <c r="AN231" i="1"/>
  <c r="AM231" i="1"/>
  <c r="AK231" i="1"/>
  <c r="AL231" i="1" s="1"/>
  <c r="AJ231" i="1"/>
  <c r="AH231" i="1" s="1"/>
  <c r="AI231" i="1" s="1"/>
  <c r="Z231" i="1"/>
  <c r="Y231" i="1"/>
  <c r="X231" i="1" s="1"/>
  <c r="Q231" i="1"/>
  <c r="AN230" i="1"/>
  <c r="AM230" i="1"/>
  <c r="AK230" i="1"/>
  <c r="AL230" i="1" s="1"/>
  <c r="AJ230" i="1"/>
  <c r="AI230" i="1"/>
  <c r="AH230" i="1"/>
  <c r="L230" i="1" s="1"/>
  <c r="Z230" i="1"/>
  <c r="Y230" i="1"/>
  <c r="X230" i="1" s="1"/>
  <c r="Q230" i="1"/>
  <c r="O230" i="1"/>
  <c r="K230" i="1"/>
  <c r="AN229" i="1"/>
  <c r="AM229" i="1"/>
  <c r="AK229" i="1"/>
  <c r="AL229" i="1" s="1"/>
  <c r="AJ229" i="1"/>
  <c r="AI229" i="1"/>
  <c r="AH229" i="1"/>
  <c r="L229" i="1" s="1"/>
  <c r="Z229" i="1"/>
  <c r="Y229" i="1"/>
  <c r="X229" i="1" s="1"/>
  <c r="Q229" i="1"/>
  <c r="O229" i="1"/>
  <c r="K229" i="1"/>
  <c r="AN228" i="1"/>
  <c r="AM228" i="1"/>
  <c r="AK228" i="1"/>
  <c r="AJ228" i="1"/>
  <c r="AI228" i="1"/>
  <c r="AH228" i="1"/>
  <c r="J228" i="1" s="1"/>
  <c r="I228" i="1" s="1"/>
  <c r="Z228" i="1"/>
  <c r="Y228" i="1"/>
  <c r="X228" i="1" s="1"/>
  <c r="Q228" i="1"/>
  <c r="O228" i="1"/>
  <c r="L228" i="1"/>
  <c r="K228" i="1"/>
  <c r="AN227" i="1"/>
  <c r="AM227" i="1"/>
  <c r="AK227" i="1"/>
  <c r="AL227" i="1" s="1"/>
  <c r="AJ227" i="1"/>
  <c r="AH227" i="1" s="1"/>
  <c r="AI227" i="1"/>
  <c r="Z227" i="1"/>
  <c r="Y227" i="1"/>
  <c r="X227" i="1" s="1"/>
  <c r="Q227" i="1"/>
  <c r="AN226" i="1"/>
  <c r="AM226" i="1"/>
  <c r="AK226" i="1"/>
  <c r="AL226" i="1" s="1"/>
  <c r="AJ226" i="1"/>
  <c r="AI226" i="1"/>
  <c r="AH226" i="1"/>
  <c r="L226" i="1" s="1"/>
  <c r="Z226" i="1"/>
  <c r="Y226" i="1"/>
  <c r="X226" i="1" s="1"/>
  <c r="Q226" i="1"/>
  <c r="O226" i="1"/>
  <c r="K226" i="1"/>
  <c r="AN225" i="1"/>
  <c r="AM225" i="1"/>
  <c r="AK225" i="1"/>
  <c r="AJ225" i="1"/>
  <c r="AI225" i="1"/>
  <c r="AH225" i="1"/>
  <c r="L225" i="1" s="1"/>
  <c r="Z225" i="1"/>
  <c r="Y225" i="1"/>
  <c r="X225" i="1" s="1"/>
  <c r="Q225" i="1"/>
  <c r="O225" i="1"/>
  <c r="K225" i="1"/>
  <c r="AN224" i="1"/>
  <c r="AM224" i="1"/>
  <c r="AK224" i="1"/>
  <c r="AJ224" i="1"/>
  <c r="AI224" i="1"/>
  <c r="AH224" i="1"/>
  <c r="J224" i="1" s="1"/>
  <c r="I224" i="1" s="1"/>
  <c r="Z224" i="1"/>
  <c r="Y224" i="1"/>
  <c r="X224" i="1" s="1"/>
  <c r="Q224" i="1"/>
  <c r="O224" i="1"/>
  <c r="L224" i="1"/>
  <c r="K224" i="1"/>
  <c r="AN223" i="1"/>
  <c r="AM223" i="1"/>
  <c r="AK223" i="1"/>
  <c r="AL223" i="1" s="1"/>
  <c r="AJ223" i="1"/>
  <c r="AH223" i="1" s="1"/>
  <c r="AI223" i="1"/>
  <c r="Z223" i="1"/>
  <c r="Y223" i="1"/>
  <c r="X223" i="1" s="1"/>
  <c r="Q223" i="1"/>
  <c r="AN222" i="1"/>
  <c r="AM222" i="1"/>
  <c r="AK222" i="1"/>
  <c r="AL222" i="1" s="1"/>
  <c r="AJ222" i="1"/>
  <c r="AI222" i="1"/>
  <c r="AH222" i="1"/>
  <c r="L222" i="1" s="1"/>
  <c r="Z222" i="1"/>
  <c r="Y222" i="1"/>
  <c r="X222" i="1" s="1"/>
  <c r="Q222" i="1"/>
  <c r="O222" i="1"/>
  <c r="K222" i="1"/>
  <c r="AN221" i="1"/>
  <c r="AM221" i="1"/>
  <c r="AK221" i="1"/>
  <c r="AJ221" i="1"/>
  <c r="AI221" i="1"/>
  <c r="AH221" i="1"/>
  <c r="L221" i="1" s="1"/>
  <c r="Z221" i="1"/>
  <c r="Y221" i="1"/>
  <c r="X221" i="1" s="1"/>
  <c r="Q221" i="1"/>
  <c r="O221" i="1"/>
  <c r="K221" i="1"/>
  <c r="AN220" i="1"/>
  <c r="AM220" i="1"/>
  <c r="AK220" i="1"/>
  <c r="AJ220" i="1"/>
  <c r="AI220" i="1"/>
  <c r="AH220" i="1"/>
  <c r="J220" i="1" s="1"/>
  <c r="Z220" i="1"/>
  <c r="Y220" i="1"/>
  <c r="X220" i="1" s="1"/>
  <c r="Q220" i="1"/>
  <c r="O220" i="1"/>
  <c r="L220" i="1"/>
  <c r="K220" i="1"/>
  <c r="I220" i="1"/>
  <c r="AN219" i="1"/>
  <c r="AM219" i="1"/>
  <c r="AK219" i="1"/>
  <c r="AJ219" i="1"/>
  <c r="AH219" i="1" s="1"/>
  <c r="AI219" i="1"/>
  <c r="Z219" i="1"/>
  <c r="Y219" i="1"/>
  <c r="X219" i="1" s="1"/>
  <c r="Q219" i="1"/>
  <c r="O219" i="1"/>
  <c r="K219" i="1"/>
  <c r="AN218" i="1"/>
  <c r="AM218" i="1"/>
  <c r="AK218" i="1"/>
  <c r="AL218" i="1" s="1"/>
  <c r="AJ218" i="1"/>
  <c r="AI218" i="1"/>
  <c r="AH218" i="1"/>
  <c r="L218" i="1" s="1"/>
  <c r="Z218" i="1"/>
  <c r="Y218" i="1"/>
  <c r="X218" i="1" s="1"/>
  <c r="Q218" i="1"/>
  <c r="O218" i="1"/>
  <c r="K218" i="1"/>
  <c r="J218" i="1"/>
  <c r="I218" i="1"/>
  <c r="AN217" i="1"/>
  <c r="AM217" i="1"/>
  <c r="AK217" i="1"/>
  <c r="AJ217" i="1"/>
  <c r="AI217" i="1"/>
  <c r="AH217" i="1"/>
  <c r="L217" i="1" s="1"/>
  <c r="Z217" i="1"/>
  <c r="Y217" i="1"/>
  <c r="X217" i="1" s="1"/>
  <c r="Q217" i="1"/>
  <c r="O217" i="1"/>
  <c r="K217" i="1"/>
  <c r="AN216" i="1"/>
  <c r="AM216" i="1"/>
  <c r="AK216" i="1"/>
  <c r="AJ216" i="1"/>
  <c r="AI216" i="1"/>
  <c r="AH216" i="1"/>
  <c r="J216" i="1" s="1"/>
  <c r="I216" i="1" s="1"/>
  <c r="Z216" i="1"/>
  <c r="Y216" i="1"/>
  <c r="X216" i="1" s="1"/>
  <c r="Q216" i="1"/>
  <c r="O216" i="1"/>
  <c r="L216" i="1"/>
  <c r="K216" i="1"/>
  <c r="AN215" i="1"/>
  <c r="AM215" i="1"/>
  <c r="AK215" i="1"/>
  <c r="AJ215" i="1"/>
  <c r="AH215" i="1" s="1"/>
  <c r="AI215" i="1" s="1"/>
  <c r="Z215" i="1"/>
  <c r="Y215" i="1"/>
  <c r="X215" i="1" s="1"/>
  <c r="Q215" i="1"/>
  <c r="O215" i="1"/>
  <c r="AN214" i="1"/>
  <c r="AM214" i="1"/>
  <c r="AK214" i="1"/>
  <c r="AJ214" i="1"/>
  <c r="AH214" i="1" s="1"/>
  <c r="AI214" i="1"/>
  <c r="Z214" i="1"/>
  <c r="Y214" i="1"/>
  <c r="X214" i="1" s="1"/>
  <c r="Q214" i="1"/>
  <c r="AN213" i="1"/>
  <c r="AM213" i="1"/>
  <c r="AK213" i="1"/>
  <c r="AJ213" i="1"/>
  <c r="AI213" i="1"/>
  <c r="AH213" i="1"/>
  <c r="L213" i="1" s="1"/>
  <c r="Z213" i="1"/>
  <c r="Y213" i="1"/>
  <c r="X213" i="1" s="1"/>
  <c r="Q213" i="1"/>
  <c r="O213" i="1"/>
  <c r="K213" i="1"/>
  <c r="AN212" i="1"/>
  <c r="AM212" i="1"/>
  <c r="AK212" i="1"/>
  <c r="AJ212" i="1"/>
  <c r="AI212" i="1"/>
  <c r="AH212" i="1"/>
  <c r="J212" i="1" s="1"/>
  <c r="I212" i="1" s="1"/>
  <c r="Z212" i="1"/>
  <c r="Y212" i="1"/>
  <c r="X212" i="1" s="1"/>
  <c r="Q212" i="1"/>
  <c r="O212" i="1"/>
  <c r="L212" i="1"/>
  <c r="K212" i="1"/>
  <c r="AN211" i="1"/>
  <c r="AM211" i="1"/>
  <c r="AK211" i="1"/>
  <c r="AJ211" i="1"/>
  <c r="AH211" i="1" s="1"/>
  <c r="Z211" i="1"/>
  <c r="Y211" i="1"/>
  <c r="X211" i="1" s="1"/>
  <c r="Q211" i="1"/>
  <c r="AN210" i="1"/>
  <c r="AM210" i="1"/>
  <c r="AK210" i="1"/>
  <c r="AJ210" i="1"/>
  <c r="AH210" i="1" s="1"/>
  <c r="AI210" i="1"/>
  <c r="Z210" i="1"/>
  <c r="Y210" i="1"/>
  <c r="X210" i="1" s="1"/>
  <c r="Q210" i="1"/>
  <c r="O210" i="1"/>
  <c r="K210" i="1"/>
  <c r="AN209" i="1"/>
  <c r="AM209" i="1"/>
  <c r="AK209" i="1"/>
  <c r="AJ209" i="1"/>
  <c r="AI209" i="1"/>
  <c r="AH209" i="1"/>
  <c r="L209" i="1" s="1"/>
  <c r="Z209" i="1"/>
  <c r="Y209" i="1"/>
  <c r="X209" i="1" s="1"/>
  <c r="Q209" i="1"/>
  <c r="O209" i="1"/>
  <c r="K209" i="1"/>
  <c r="AN208" i="1"/>
  <c r="AM208" i="1"/>
  <c r="AK208" i="1"/>
  <c r="AJ208" i="1"/>
  <c r="AI208" i="1"/>
  <c r="AH208" i="1"/>
  <c r="J208" i="1" s="1"/>
  <c r="Z208" i="1"/>
  <c r="Y208" i="1"/>
  <c r="X208" i="1" s="1"/>
  <c r="Q208" i="1"/>
  <c r="O208" i="1"/>
  <c r="L208" i="1"/>
  <c r="K208" i="1"/>
  <c r="I208" i="1"/>
  <c r="AN207" i="1"/>
  <c r="AM207" i="1"/>
  <c r="AL207" i="1"/>
  <c r="AK207" i="1"/>
  <c r="AJ207" i="1"/>
  <c r="AH207" i="1" s="1"/>
  <c r="K207" i="1" s="1"/>
  <c r="AI207" i="1"/>
  <c r="Z207" i="1"/>
  <c r="Y207" i="1"/>
  <c r="T207" i="1"/>
  <c r="Q207" i="1"/>
  <c r="L207" i="1"/>
  <c r="AN206" i="1"/>
  <c r="AM206" i="1"/>
  <c r="AK206" i="1"/>
  <c r="T206" i="1" s="1"/>
  <c r="AJ206" i="1"/>
  <c r="AH206" i="1" s="1"/>
  <c r="Z206" i="1"/>
  <c r="Y206" i="1"/>
  <c r="X206" i="1" s="1"/>
  <c r="Q206" i="1"/>
  <c r="AN205" i="1"/>
  <c r="AM205" i="1"/>
  <c r="AL205" i="1"/>
  <c r="AK205" i="1"/>
  <c r="AJ205" i="1"/>
  <c r="AH205" i="1"/>
  <c r="L205" i="1" s="1"/>
  <c r="Z205" i="1"/>
  <c r="Y205" i="1"/>
  <c r="X205" i="1"/>
  <c r="T205" i="1"/>
  <c r="Q205" i="1"/>
  <c r="O205" i="1"/>
  <c r="AN204" i="1"/>
  <c r="T204" i="1" s="1"/>
  <c r="AM204" i="1"/>
  <c r="AK204" i="1"/>
  <c r="AL204" i="1" s="1"/>
  <c r="AJ204" i="1"/>
  <c r="AH204" i="1"/>
  <c r="L204" i="1" s="1"/>
  <c r="Z204" i="1"/>
  <c r="Y204" i="1"/>
  <c r="X204" i="1"/>
  <c r="Q204" i="1"/>
  <c r="AN203" i="1"/>
  <c r="AM203" i="1"/>
  <c r="AK203" i="1"/>
  <c r="AJ203" i="1"/>
  <c r="AH203" i="1"/>
  <c r="J203" i="1" s="1"/>
  <c r="I203" i="1" s="1"/>
  <c r="Z203" i="1"/>
  <c r="Y203" i="1"/>
  <c r="X203" i="1"/>
  <c r="Q203" i="1"/>
  <c r="L203" i="1"/>
  <c r="K203" i="1"/>
  <c r="AN202" i="1"/>
  <c r="AM202" i="1"/>
  <c r="AL202" i="1"/>
  <c r="AK202" i="1"/>
  <c r="AJ202" i="1"/>
  <c r="AH202" i="1" s="1"/>
  <c r="AI202" i="1" s="1"/>
  <c r="Z202" i="1"/>
  <c r="Y202" i="1"/>
  <c r="X202" i="1" s="1"/>
  <c r="T202" i="1"/>
  <c r="Q202" i="1"/>
  <c r="AN201" i="1"/>
  <c r="AM201" i="1"/>
  <c r="AL201" i="1"/>
  <c r="AK201" i="1"/>
  <c r="AJ201" i="1"/>
  <c r="AH201" i="1"/>
  <c r="L201" i="1" s="1"/>
  <c r="Z201" i="1"/>
  <c r="Y201" i="1"/>
  <c r="X201" i="1"/>
  <c r="T201" i="1"/>
  <c r="Q201" i="1"/>
  <c r="O201" i="1"/>
  <c r="J201" i="1"/>
  <c r="I201" i="1" s="1"/>
  <c r="AN200" i="1"/>
  <c r="T200" i="1" s="1"/>
  <c r="AM200" i="1"/>
  <c r="AL200" i="1" s="1"/>
  <c r="AK200" i="1"/>
  <c r="AJ200" i="1"/>
  <c r="AH200" i="1"/>
  <c r="L200" i="1" s="1"/>
  <c r="Z200" i="1"/>
  <c r="Y200" i="1"/>
  <c r="X200" i="1"/>
  <c r="Q200" i="1"/>
  <c r="AN199" i="1"/>
  <c r="AM199" i="1"/>
  <c r="AK199" i="1"/>
  <c r="AJ199" i="1"/>
  <c r="AH199" i="1"/>
  <c r="J199" i="1" s="1"/>
  <c r="I199" i="1" s="1"/>
  <c r="Z199" i="1"/>
  <c r="Y199" i="1"/>
  <c r="X199" i="1"/>
  <c r="Q199" i="1"/>
  <c r="O199" i="1"/>
  <c r="L199" i="1"/>
  <c r="K199" i="1"/>
  <c r="AN198" i="1"/>
  <c r="AM198" i="1"/>
  <c r="AL198" i="1"/>
  <c r="AK198" i="1"/>
  <c r="AJ198" i="1"/>
  <c r="AH198" i="1" s="1"/>
  <c r="AI198" i="1"/>
  <c r="Z198" i="1"/>
  <c r="Y198" i="1"/>
  <c r="X198" i="1" s="1"/>
  <c r="T198" i="1"/>
  <c r="Q198" i="1"/>
  <c r="AN197" i="1"/>
  <c r="AM197" i="1"/>
  <c r="AK197" i="1"/>
  <c r="AL197" i="1" s="1"/>
  <c r="AJ197" i="1"/>
  <c r="AH197" i="1" s="1"/>
  <c r="Z197" i="1"/>
  <c r="X197" i="1" s="1"/>
  <c r="Y197" i="1"/>
  <c r="Q197" i="1"/>
  <c r="AN196" i="1"/>
  <c r="T196" i="1" s="1"/>
  <c r="AM196" i="1"/>
  <c r="AL196" i="1" s="1"/>
  <c r="AK196" i="1"/>
  <c r="AJ196" i="1"/>
  <c r="AH196" i="1"/>
  <c r="L196" i="1" s="1"/>
  <c r="Z196" i="1"/>
  <c r="Y196" i="1"/>
  <c r="X196" i="1"/>
  <c r="Q196" i="1"/>
  <c r="AN195" i="1"/>
  <c r="AM195" i="1"/>
  <c r="AK195" i="1"/>
  <c r="AJ195" i="1"/>
  <c r="AH195" i="1"/>
  <c r="J195" i="1" s="1"/>
  <c r="I195" i="1" s="1"/>
  <c r="Z195" i="1"/>
  <c r="Y195" i="1"/>
  <c r="X195" i="1"/>
  <c r="Q195" i="1"/>
  <c r="O195" i="1"/>
  <c r="L195" i="1"/>
  <c r="K195" i="1"/>
  <c r="AN194" i="1"/>
  <c r="AM194" i="1"/>
  <c r="AL194" i="1"/>
  <c r="AK194" i="1"/>
  <c r="AJ194" i="1"/>
  <c r="AH194" i="1" s="1"/>
  <c r="AI194" i="1" s="1"/>
  <c r="Z194" i="1"/>
  <c r="Y194" i="1"/>
  <c r="X194" i="1" s="1"/>
  <c r="T194" i="1"/>
  <c r="Q194" i="1"/>
  <c r="AN193" i="1"/>
  <c r="AM193" i="1"/>
  <c r="AK193" i="1"/>
  <c r="AL193" i="1" s="1"/>
  <c r="AJ193" i="1"/>
  <c r="AH193" i="1" s="1"/>
  <c r="Z193" i="1"/>
  <c r="X193" i="1" s="1"/>
  <c r="Y193" i="1"/>
  <c r="Q193" i="1"/>
  <c r="AN192" i="1"/>
  <c r="T192" i="1" s="1"/>
  <c r="AM192" i="1"/>
  <c r="AL192" i="1" s="1"/>
  <c r="AK192" i="1"/>
  <c r="AJ192" i="1"/>
  <c r="AH192" i="1"/>
  <c r="L192" i="1" s="1"/>
  <c r="Z192" i="1"/>
  <c r="Y192" i="1"/>
  <c r="X192" i="1"/>
  <c r="Q192" i="1"/>
  <c r="AN191" i="1"/>
  <c r="AM191" i="1"/>
  <c r="AK191" i="1"/>
  <c r="AJ191" i="1"/>
  <c r="AH191" i="1"/>
  <c r="J191" i="1" s="1"/>
  <c r="I191" i="1" s="1"/>
  <c r="Z191" i="1"/>
  <c r="Y191" i="1"/>
  <c r="X191" i="1"/>
  <c r="Q191" i="1"/>
  <c r="O191" i="1"/>
  <c r="L191" i="1"/>
  <c r="K191" i="1"/>
  <c r="AN190" i="1"/>
  <c r="AM190" i="1"/>
  <c r="AL190" i="1"/>
  <c r="AK190" i="1"/>
  <c r="AJ190" i="1"/>
  <c r="AH190" i="1" s="1"/>
  <c r="AI190" i="1"/>
  <c r="Z190" i="1"/>
  <c r="Y190" i="1"/>
  <c r="X190" i="1" s="1"/>
  <c r="T190" i="1"/>
  <c r="Q190" i="1"/>
  <c r="J190" i="1"/>
  <c r="I190" i="1"/>
  <c r="AN189" i="1"/>
  <c r="AM189" i="1"/>
  <c r="AK189" i="1"/>
  <c r="AL189" i="1" s="1"/>
  <c r="AJ189" i="1"/>
  <c r="AH189" i="1"/>
  <c r="O189" i="1" s="1"/>
  <c r="Z189" i="1"/>
  <c r="X189" i="1" s="1"/>
  <c r="Y189" i="1"/>
  <c r="Q189" i="1"/>
  <c r="J189" i="1"/>
  <c r="I189" i="1" s="1"/>
  <c r="AB189" i="1" s="1"/>
  <c r="AN188" i="1"/>
  <c r="T188" i="1" s="1"/>
  <c r="AM188" i="1"/>
  <c r="AL188" i="1" s="1"/>
  <c r="AK188" i="1"/>
  <c r="AJ188" i="1"/>
  <c r="AH188" i="1"/>
  <c r="Z188" i="1"/>
  <c r="Y188" i="1"/>
  <c r="X188" i="1"/>
  <c r="Q188" i="1"/>
  <c r="AN187" i="1"/>
  <c r="AM187" i="1"/>
  <c r="AL187" i="1"/>
  <c r="AK187" i="1"/>
  <c r="AJ187" i="1"/>
  <c r="AH187" i="1"/>
  <c r="AI187" i="1" s="1"/>
  <c r="Z187" i="1"/>
  <c r="Y187" i="1"/>
  <c r="X187" i="1"/>
  <c r="T187" i="1"/>
  <c r="Q187" i="1"/>
  <c r="O187" i="1"/>
  <c r="L187" i="1"/>
  <c r="K187" i="1"/>
  <c r="J187" i="1"/>
  <c r="I187" i="1" s="1"/>
  <c r="AN186" i="1"/>
  <c r="AM186" i="1"/>
  <c r="AL186" i="1"/>
  <c r="AK186" i="1"/>
  <c r="AJ186" i="1"/>
  <c r="AH186" i="1" s="1"/>
  <c r="AI186" i="1"/>
  <c r="Z186" i="1"/>
  <c r="Y186" i="1"/>
  <c r="T186" i="1"/>
  <c r="Q186" i="1"/>
  <c r="L186" i="1"/>
  <c r="J186" i="1"/>
  <c r="I186" i="1" s="1"/>
  <c r="AN185" i="1"/>
  <c r="AM185" i="1"/>
  <c r="AK185" i="1"/>
  <c r="AJ185" i="1"/>
  <c r="AH185" i="1" s="1"/>
  <c r="Z185" i="1"/>
  <c r="Y185" i="1"/>
  <c r="X185" i="1"/>
  <c r="Q185" i="1"/>
  <c r="AN184" i="1"/>
  <c r="AM184" i="1"/>
  <c r="AL184" i="1"/>
  <c r="AK184" i="1"/>
  <c r="AJ184" i="1"/>
  <c r="AH184" i="1" s="1"/>
  <c r="Z184" i="1"/>
  <c r="Y184" i="1"/>
  <c r="X184" i="1" s="1"/>
  <c r="T184" i="1"/>
  <c r="Q184" i="1"/>
  <c r="AN183" i="1"/>
  <c r="AM183" i="1"/>
  <c r="AK183" i="1"/>
  <c r="AL183" i="1" s="1"/>
  <c r="AJ183" i="1"/>
  <c r="AH183" i="1"/>
  <c r="Z183" i="1"/>
  <c r="Y183" i="1"/>
  <c r="X183" i="1"/>
  <c r="Q183" i="1"/>
  <c r="AN182" i="1"/>
  <c r="T182" i="1" s="1"/>
  <c r="AM182" i="1"/>
  <c r="AL182" i="1"/>
  <c r="AK182" i="1"/>
  <c r="AJ182" i="1"/>
  <c r="AI182" i="1"/>
  <c r="AH182" i="1"/>
  <c r="K182" i="1" s="1"/>
  <c r="Z182" i="1"/>
  <c r="Y182" i="1"/>
  <c r="X182" i="1" s="1"/>
  <c r="Q182" i="1"/>
  <c r="O182" i="1"/>
  <c r="L182" i="1"/>
  <c r="AN181" i="1"/>
  <c r="AM181" i="1"/>
  <c r="AL181" i="1"/>
  <c r="AK181" i="1"/>
  <c r="AJ181" i="1"/>
  <c r="AH181" i="1" s="1"/>
  <c r="Z181" i="1"/>
  <c r="Y181" i="1"/>
  <c r="X181" i="1" s="1"/>
  <c r="T181" i="1"/>
  <c r="Q181" i="1"/>
  <c r="AN180" i="1"/>
  <c r="AM180" i="1"/>
  <c r="AK180" i="1"/>
  <c r="AL180" i="1" s="1"/>
  <c r="AJ180" i="1"/>
  <c r="AH180" i="1" s="1"/>
  <c r="Z180" i="1"/>
  <c r="X180" i="1" s="1"/>
  <c r="Y180" i="1"/>
  <c r="Q180" i="1"/>
  <c r="AN179" i="1"/>
  <c r="AM179" i="1"/>
  <c r="AK179" i="1"/>
  <c r="AL179" i="1" s="1"/>
  <c r="AJ179" i="1"/>
  <c r="AH179" i="1"/>
  <c r="Z179" i="1"/>
  <c r="Y179" i="1"/>
  <c r="X179" i="1"/>
  <c r="Q179" i="1"/>
  <c r="AN178" i="1"/>
  <c r="T178" i="1" s="1"/>
  <c r="AM178" i="1"/>
  <c r="AL178" i="1" s="1"/>
  <c r="AK178" i="1"/>
  <c r="AJ178" i="1"/>
  <c r="AI178" i="1"/>
  <c r="AH178" i="1"/>
  <c r="K178" i="1" s="1"/>
  <c r="Z178" i="1"/>
  <c r="Y178" i="1"/>
  <c r="X178" i="1" s="1"/>
  <c r="Q178" i="1"/>
  <c r="O178" i="1"/>
  <c r="L178" i="1"/>
  <c r="AN177" i="1"/>
  <c r="AM177" i="1"/>
  <c r="AL177" i="1"/>
  <c r="AK177" i="1"/>
  <c r="AJ177" i="1"/>
  <c r="AH177" i="1" s="1"/>
  <c r="Z177" i="1"/>
  <c r="Y177" i="1"/>
  <c r="X177" i="1" s="1"/>
  <c r="T177" i="1"/>
  <c r="Q177" i="1"/>
  <c r="L177" i="1"/>
  <c r="AN176" i="1"/>
  <c r="AM176" i="1"/>
  <c r="AK176" i="1"/>
  <c r="AL176" i="1" s="1"/>
  <c r="AJ176" i="1"/>
  <c r="AH176" i="1" s="1"/>
  <c r="Z176" i="1"/>
  <c r="X176" i="1" s="1"/>
  <c r="Y176" i="1"/>
  <c r="Q176" i="1"/>
  <c r="J176" i="1"/>
  <c r="I176" i="1" s="1"/>
  <c r="AN175" i="1"/>
  <c r="AM175" i="1"/>
  <c r="AK175" i="1"/>
  <c r="AL175" i="1" s="1"/>
  <c r="AJ175" i="1"/>
  <c r="AH175" i="1"/>
  <c r="Z175" i="1"/>
  <c r="Y175" i="1"/>
  <c r="X175" i="1"/>
  <c r="Q175" i="1"/>
  <c r="AN174" i="1"/>
  <c r="T174" i="1" s="1"/>
  <c r="AM174" i="1"/>
  <c r="AL174" i="1" s="1"/>
  <c r="AK174" i="1"/>
  <c r="AJ174" i="1"/>
  <c r="AI174" i="1"/>
  <c r="AH174" i="1"/>
  <c r="J174" i="1" s="1"/>
  <c r="I174" i="1" s="1"/>
  <c r="Z174" i="1"/>
  <c r="Y174" i="1"/>
  <c r="X174" i="1" s="1"/>
  <c r="Q174" i="1"/>
  <c r="O174" i="1"/>
  <c r="L174" i="1"/>
  <c r="K174" i="1"/>
  <c r="AN173" i="1"/>
  <c r="AM173" i="1"/>
  <c r="AL173" i="1"/>
  <c r="AK173" i="1"/>
  <c r="AJ173" i="1"/>
  <c r="AH173" i="1" s="1"/>
  <c r="Z173" i="1"/>
  <c r="Y173" i="1"/>
  <c r="X173" i="1" s="1"/>
  <c r="T173" i="1"/>
  <c r="Q173" i="1"/>
  <c r="L173" i="1"/>
  <c r="AN172" i="1"/>
  <c r="AM172" i="1"/>
  <c r="AK172" i="1"/>
  <c r="AJ172" i="1"/>
  <c r="AH172" i="1" s="1"/>
  <c r="K172" i="1" s="1"/>
  <c r="Z172" i="1"/>
  <c r="Y172" i="1"/>
  <c r="X172" i="1" s="1"/>
  <c r="Q172" i="1"/>
  <c r="AN171" i="1"/>
  <c r="AM171" i="1"/>
  <c r="AK171" i="1"/>
  <c r="AJ171" i="1"/>
  <c r="AH171" i="1"/>
  <c r="Z171" i="1"/>
  <c r="Y171" i="1"/>
  <c r="X171" i="1"/>
  <c r="Q171" i="1"/>
  <c r="K171" i="1"/>
  <c r="AN170" i="1"/>
  <c r="T170" i="1" s="1"/>
  <c r="AM170" i="1"/>
  <c r="AL170" i="1" s="1"/>
  <c r="AK170" i="1"/>
  <c r="AJ170" i="1"/>
  <c r="AI170" i="1"/>
  <c r="AH170" i="1"/>
  <c r="J170" i="1" s="1"/>
  <c r="Z170" i="1"/>
  <c r="Y170" i="1"/>
  <c r="X170" i="1" s="1"/>
  <c r="Q170" i="1"/>
  <c r="O170" i="1"/>
  <c r="L170" i="1"/>
  <c r="K170" i="1"/>
  <c r="I170" i="1"/>
  <c r="AN169" i="1"/>
  <c r="AM169" i="1"/>
  <c r="AL169" i="1"/>
  <c r="AK169" i="1"/>
  <c r="AJ169" i="1"/>
  <c r="AH169" i="1" s="1"/>
  <c r="O169" i="1" s="1"/>
  <c r="Z169" i="1"/>
  <c r="Y169" i="1"/>
  <c r="X169" i="1" s="1"/>
  <c r="T169" i="1"/>
  <c r="Q169" i="1"/>
  <c r="L169" i="1"/>
  <c r="AN168" i="1"/>
  <c r="AM168" i="1"/>
  <c r="AK168" i="1"/>
  <c r="AJ168" i="1"/>
  <c r="AH168" i="1" s="1"/>
  <c r="K168" i="1" s="1"/>
  <c r="Z168" i="1"/>
  <c r="Y168" i="1"/>
  <c r="X168" i="1" s="1"/>
  <c r="Q168" i="1"/>
  <c r="J168" i="1"/>
  <c r="I168" i="1"/>
  <c r="AN167" i="1"/>
  <c r="AM167" i="1"/>
  <c r="AK167" i="1"/>
  <c r="AJ167" i="1"/>
  <c r="AH167" i="1"/>
  <c r="Z167" i="1"/>
  <c r="Y167" i="1"/>
  <c r="X167" i="1" s="1"/>
  <c r="Q167" i="1"/>
  <c r="O167" i="1"/>
  <c r="AN166" i="1"/>
  <c r="AM166" i="1"/>
  <c r="AK166" i="1"/>
  <c r="AJ166" i="1"/>
  <c r="AI166" i="1"/>
  <c r="AH166" i="1"/>
  <c r="J166" i="1" s="1"/>
  <c r="I166" i="1" s="1"/>
  <c r="Z166" i="1"/>
  <c r="Y166" i="1"/>
  <c r="X166" i="1" s="1"/>
  <c r="Q166" i="1"/>
  <c r="O166" i="1"/>
  <c r="L166" i="1"/>
  <c r="K166" i="1"/>
  <c r="AN165" i="1"/>
  <c r="AM165" i="1"/>
  <c r="AL165" i="1"/>
  <c r="AK165" i="1"/>
  <c r="AJ165" i="1"/>
  <c r="AH165" i="1" s="1"/>
  <c r="O165" i="1" s="1"/>
  <c r="Z165" i="1"/>
  <c r="Y165" i="1"/>
  <c r="T165" i="1"/>
  <c r="Q165" i="1"/>
  <c r="L165" i="1"/>
  <c r="AN164" i="1"/>
  <c r="AM164" i="1"/>
  <c r="AK164" i="1"/>
  <c r="AJ164" i="1"/>
  <c r="AH164" i="1" s="1"/>
  <c r="Z164" i="1"/>
  <c r="Y164" i="1"/>
  <c r="X164" i="1" s="1"/>
  <c r="Q164" i="1"/>
  <c r="AN163" i="1"/>
  <c r="AM163" i="1"/>
  <c r="AK163" i="1"/>
  <c r="AJ163" i="1"/>
  <c r="AH163" i="1"/>
  <c r="L163" i="1" s="1"/>
  <c r="Z163" i="1"/>
  <c r="Y163" i="1"/>
  <c r="X163" i="1" s="1"/>
  <c r="Q163" i="1"/>
  <c r="J163" i="1"/>
  <c r="I163" i="1"/>
  <c r="AB163" i="1" s="1"/>
  <c r="AN162" i="1"/>
  <c r="AM162" i="1"/>
  <c r="AK162" i="1"/>
  <c r="AL162" i="1" s="1"/>
  <c r="AJ162" i="1"/>
  <c r="AH162" i="1"/>
  <c r="L162" i="1" s="1"/>
  <c r="Z162" i="1"/>
  <c r="Y162" i="1"/>
  <c r="X162" i="1"/>
  <c r="Q162" i="1"/>
  <c r="O162" i="1"/>
  <c r="AN161" i="1"/>
  <c r="AM161" i="1"/>
  <c r="AK161" i="1"/>
  <c r="AJ161" i="1"/>
  <c r="AH161" i="1" s="1"/>
  <c r="Z161" i="1"/>
  <c r="Y161" i="1"/>
  <c r="X161" i="1" s="1"/>
  <c r="Q161" i="1"/>
  <c r="AN160" i="1"/>
  <c r="AM160" i="1"/>
  <c r="AK160" i="1"/>
  <c r="AJ160" i="1"/>
  <c r="AH160" i="1" s="1"/>
  <c r="Z160" i="1"/>
  <c r="Y160" i="1"/>
  <c r="X160" i="1" s="1"/>
  <c r="Q160" i="1"/>
  <c r="AN159" i="1"/>
  <c r="AM159" i="1"/>
  <c r="AK159" i="1"/>
  <c r="AL159" i="1" s="1"/>
  <c r="AJ159" i="1"/>
  <c r="AH159" i="1" s="1"/>
  <c r="AI159" i="1" s="1"/>
  <c r="Z159" i="1"/>
  <c r="Y159" i="1"/>
  <c r="X159" i="1" s="1"/>
  <c r="Q159" i="1"/>
  <c r="AN158" i="1"/>
  <c r="AM158" i="1"/>
  <c r="AK158" i="1"/>
  <c r="AL158" i="1" s="1"/>
  <c r="AJ158" i="1"/>
  <c r="AH158" i="1"/>
  <c r="L158" i="1" s="1"/>
  <c r="Z158" i="1"/>
  <c r="Y158" i="1"/>
  <c r="X158" i="1"/>
  <c r="Q158" i="1"/>
  <c r="O158" i="1"/>
  <c r="AN157" i="1"/>
  <c r="AM157" i="1"/>
  <c r="AK157" i="1"/>
  <c r="AL157" i="1" s="1"/>
  <c r="AJ157" i="1"/>
  <c r="AH157" i="1" s="1"/>
  <c r="Z157" i="1"/>
  <c r="Y157" i="1"/>
  <c r="X157" i="1" s="1"/>
  <c r="Q157" i="1"/>
  <c r="AN156" i="1"/>
  <c r="AM156" i="1"/>
  <c r="AK156" i="1"/>
  <c r="AJ156" i="1"/>
  <c r="AH156" i="1" s="1"/>
  <c r="Z156" i="1"/>
  <c r="Y156" i="1"/>
  <c r="X156" i="1" s="1"/>
  <c r="Q156" i="1"/>
  <c r="K156" i="1"/>
  <c r="AN155" i="1"/>
  <c r="AM155" i="1"/>
  <c r="AK155" i="1"/>
  <c r="AL155" i="1" s="1"/>
  <c r="AJ155" i="1"/>
  <c r="AH155" i="1" s="1"/>
  <c r="AI155" i="1"/>
  <c r="Z155" i="1"/>
  <c r="Y155" i="1"/>
  <c r="X155" i="1" s="1"/>
  <c r="Q155" i="1"/>
  <c r="AN154" i="1"/>
  <c r="AM154" i="1"/>
  <c r="AK154" i="1"/>
  <c r="AL154" i="1" s="1"/>
  <c r="AJ154" i="1"/>
  <c r="AH154" i="1"/>
  <c r="L154" i="1" s="1"/>
  <c r="Z154" i="1"/>
  <c r="Y154" i="1"/>
  <c r="X154" i="1"/>
  <c r="Q154" i="1"/>
  <c r="O154" i="1"/>
  <c r="AN153" i="1"/>
  <c r="AM153" i="1"/>
  <c r="AK153" i="1"/>
  <c r="AL153" i="1" s="1"/>
  <c r="AJ153" i="1"/>
  <c r="AH153" i="1" s="1"/>
  <c r="Z153" i="1"/>
  <c r="Y153" i="1"/>
  <c r="X153" i="1" s="1"/>
  <c r="Q153" i="1"/>
  <c r="AN152" i="1"/>
  <c r="AM152" i="1"/>
  <c r="AK152" i="1"/>
  <c r="AL152" i="1" s="1"/>
  <c r="AJ152" i="1"/>
  <c r="AH152" i="1" s="1"/>
  <c r="Z152" i="1"/>
  <c r="Y152" i="1"/>
  <c r="X152" i="1" s="1"/>
  <c r="T152" i="1"/>
  <c r="Q152" i="1"/>
  <c r="O152" i="1"/>
  <c r="L152" i="1"/>
  <c r="AN151" i="1"/>
  <c r="AM151" i="1"/>
  <c r="AK151" i="1"/>
  <c r="AL151" i="1" s="1"/>
  <c r="AJ151" i="1"/>
  <c r="AH151" i="1" s="1"/>
  <c r="AI151" i="1"/>
  <c r="Z151" i="1"/>
  <c r="Y151" i="1"/>
  <c r="X151" i="1" s="1"/>
  <c r="Q151" i="1"/>
  <c r="O151" i="1"/>
  <c r="AN150" i="1"/>
  <c r="AM150" i="1"/>
  <c r="AK150" i="1"/>
  <c r="AJ150" i="1"/>
  <c r="AH150" i="1"/>
  <c r="Z150" i="1"/>
  <c r="Y150" i="1"/>
  <c r="X150" i="1"/>
  <c r="Q150" i="1"/>
  <c r="AN149" i="1"/>
  <c r="AM149" i="1"/>
  <c r="AK149" i="1"/>
  <c r="AJ149" i="1"/>
  <c r="AH149" i="1" s="1"/>
  <c r="AI149" i="1"/>
  <c r="Z149" i="1"/>
  <c r="Y149" i="1"/>
  <c r="X149" i="1" s="1"/>
  <c r="Q149" i="1"/>
  <c r="K149" i="1"/>
  <c r="AN148" i="1"/>
  <c r="AM148" i="1"/>
  <c r="AL148" i="1"/>
  <c r="AK148" i="1"/>
  <c r="AJ148" i="1"/>
  <c r="AH148" i="1" s="1"/>
  <c r="J148" i="1" s="1"/>
  <c r="I148" i="1" s="1"/>
  <c r="Z148" i="1"/>
  <c r="Y148" i="1"/>
  <c r="X148" i="1" s="1"/>
  <c r="T148" i="1"/>
  <c r="Q148" i="1"/>
  <c r="O148" i="1"/>
  <c r="L148" i="1"/>
  <c r="AN147" i="1"/>
  <c r="AM147" i="1"/>
  <c r="AK147" i="1"/>
  <c r="AJ147" i="1"/>
  <c r="AH147" i="1" s="1"/>
  <c r="AI147" i="1"/>
  <c r="Z147" i="1"/>
  <c r="Y147" i="1"/>
  <c r="Q147" i="1"/>
  <c r="O147" i="1"/>
  <c r="AN146" i="1"/>
  <c r="AM146" i="1"/>
  <c r="AK146" i="1"/>
  <c r="AJ146" i="1"/>
  <c r="AH146" i="1"/>
  <c r="Z146" i="1"/>
  <c r="Y146" i="1"/>
  <c r="X146" i="1"/>
  <c r="Q146" i="1"/>
  <c r="AN145" i="1"/>
  <c r="AM145" i="1"/>
  <c r="AK145" i="1"/>
  <c r="T145" i="1" s="1"/>
  <c r="AJ145" i="1"/>
  <c r="AH145" i="1" s="1"/>
  <c r="J145" i="1" s="1"/>
  <c r="I145" i="1" s="1"/>
  <c r="AI145" i="1"/>
  <c r="Z145" i="1"/>
  <c r="Y145" i="1"/>
  <c r="X145" i="1" s="1"/>
  <c r="Q145" i="1"/>
  <c r="O145" i="1"/>
  <c r="L145" i="1"/>
  <c r="K145" i="1"/>
  <c r="AN144" i="1"/>
  <c r="AM144" i="1"/>
  <c r="AL144" i="1"/>
  <c r="AK144" i="1"/>
  <c r="AJ144" i="1"/>
  <c r="AH144" i="1" s="1"/>
  <c r="O144" i="1" s="1"/>
  <c r="AI144" i="1"/>
  <c r="Z144" i="1"/>
  <c r="Y144" i="1"/>
  <c r="T144" i="1"/>
  <c r="Q144" i="1"/>
  <c r="L144" i="1"/>
  <c r="K144" i="1"/>
  <c r="J144" i="1"/>
  <c r="I144" i="1" s="1"/>
  <c r="AN143" i="1"/>
  <c r="AM143" i="1"/>
  <c r="AK143" i="1"/>
  <c r="AJ143" i="1"/>
  <c r="AH143" i="1"/>
  <c r="L143" i="1" s="1"/>
  <c r="Z143" i="1"/>
  <c r="Y143" i="1"/>
  <c r="X143" i="1"/>
  <c r="Q143" i="1"/>
  <c r="O143" i="1"/>
  <c r="AN142" i="1"/>
  <c r="AM142" i="1"/>
  <c r="AL142" i="1"/>
  <c r="AK142" i="1"/>
  <c r="AJ142" i="1"/>
  <c r="AH142" i="1"/>
  <c r="K142" i="1" s="1"/>
  <c r="Z142" i="1"/>
  <c r="Y142" i="1"/>
  <c r="X142" i="1"/>
  <c r="T142" i="1"/>
  <c r="Q142" i="1"/>
  <c r="L142" i="1"/>
  <c r="AN141" i="1"/>
  <c r="AM141" i="1"/>
  <c r="AK141" i="1"/>
  <c r="AL141" i="1" s="1"/>
  <c r="AJ141" i="1"/>
  <c r="AH141" i="1" s="1"/>
  <c r="Z141" i="1"/>
  <c r="X141" i="1" s="1"/>
  <c r="Y141" i="1"/>
  <c r="Q141" i="1"/>
  <c r="AN140" i="1"/>
  <c r="AM140" i="1"/>
  <c r="AL140" i="1" s="1"/>
  <c r="AK140" i="1"/>
  <c r="AJ140" i="1"/>
  <c r="AH140" i="1"/>
  <c r="Z140" i="1"/>
  <c r="Y140" i="1"/>
  <c r="X140" i="1"/>
  <c r="T140" i="1"/>
  <c r="Q140" i="1"/>
  <c r="AN139" i="1"/>
  <c r="AM139" i="1"/>
  <c r="AK139" i="1"/>
  <c r="AL139" i="1" s="1"/>
  <c r="AJ139" i="1"/>
  <c r="AH139" i="1"/>
  <c r="L139" i="1" s="1"/>
  <c r="Z139" i="1"/>
  <c r="Y139" i="1"/>
  <c r="X139" i="1"/>
  <c r="Q139" i="1"/>
  <c r="O139" i="1"/>
  <c r="AN138" i="1"/>
  <c r="AM138" i="1"/>
  <c r="AL138" i="1"/>
  <c r="AK138" i="1"/>
  <c r="AJ138" i="1"/>
  <c r="AI138" i="1"/>
  <c r="AH138" i="1"/>
  <c r="K138" i="1" s="1"/>
  <c r="Z138" i="1"/>
  <c r="Y138" i="1"/>
  <c r="X138" i="1" s="1"/>
  <c r="T138" i="1"/>
  <c r="Q138" i="1"/>
  <c r="L138" i="1"/>
  <c r="AN137" i="1"/>
  <c r="AM137" i="1"/>
  <c r="AK137" i="1"/>
  <c r="AL137" i="1" s="1"/>
  <c r="AJ137" i="1"/>
  <c r="AH137" i="1" s="1"/>
  <c r="Z137" i="1"/>
  <c r="X137" i="1" s="1"/>
  <c r="Y137" i="1"/>
  <c r="Q137" i="1"/>
  <c r="AN136" i="1"/>
  <c r="AM136" i="1"/>
  <c r="AL136" i="1" s="1"/>
  <c r="AK136" i="1"/>
  <c r="AJ136" i="1"/>
  <c r="AH136" i="1"/>
  <c r="Z136" i="1"/>
  <c r="Y136" i="1"/>
  <c r="X136" i="1"/>
  <c r="T136" i="1"/>
  <c r="Q136" i="1"/>
  <c r="AN135" i="1"/>
  <c r="AM135" i="1"/>
  <c r="AK135" i="1"/>
  <c r="AL135" i="1" s="1"/>
  <c r="AJ135" i="1"/>
  <c r="AH135" i="1"/>
  <c r="L135" i="1" s="1"/>
  <c r="Z135" i="1"/>
  <c r="Y135" i="1"/>
  <c r="X135" i="1"/>
  <c r="Q135" i="1"/>
  <c r="O135" i="1"/>
  <c r="K135" i="1"/>
  <c r="AN134" i="1"/>
  <c r="AM134" i="1"/>
  <c r="AL134" i="1"/>
  <c r="AK134" i="1"/>
  <c r="AJ134" i="1"/>
  <c r="AI134" i="1"/>
  <c r="AH134" i="1"/>
  <c r="K134" i="1" s="1"/>
  <c r="Z134" i="1"/>
  <c r="Y134" i="1"/>
  <c r="X134" i="1" s="1"/>
  <c r="T134" i="1"/>
  <c r="Q134" i="1"/>
  <c r="L134" i="1"/>
  <c r="AN133" i="1"/>
  <c r="AM133" i="1"/>
  <c r="AK133" i="1"/>
  <c r="AL133" i="1" s="1"/>
  <c r="AJ133" i="1"/>
  <c r="AH133" i="1" s="1"/>
  <c r="Z133" i="1"/>
  <c r="X133" i="1" s="1"/>
  <c r="Y133" i="1"/>
  <c r="Q133" i="1"/>
  <c r="J133" i="1"/>
  <c r="I133" i="1" s="1"/>
  <c r="AN132" i="1"/>
  <c r="AM132" i="1"/>
  <c r="AL132" i="1" s="1"/>
  <c r="AK132" i="1"/>
  <c r="AJ132" i="1"/>
  <c r="AH132" i="1"/>
  <c r="Z132" i="1"/>
  <c r="Y132" i="1"/>
  <c r="X132" i="1"/>
  <c r="T132" i="1"/>
  <c r="Q132" i="1"/>
  <c r="AN131" i="1"/>
  <c r="AM131" i="1"/>
  <c r="AK131" i="1"/>
  <c r="AL131" i="1" s="1"/>
  <c r="AJ131" i="1"/>
  <c r="AH131" i="1"/>
  <c r="L131" i="1" s="1"/>
  <c r="Z131" i="1"/>
  <c r="Y131" i="1"/>
  <c r="X131" i="1"/>
  <c r="Q131" i="1"/>
  <c r="O131" i="1"/>
  <c r="K131" i="1"/>
  <c r="AN130" i="1"/>
  <c r="AM130" i="1"/>
  <c r="AL130" i="1"/>
  <c r="AK130" i="1"/>
  <c r="AJ130" i="1"/>
  <c r="AI130" i="1"/>
  <c r="AH130" i="1"/>
  <c r="K130" i="1" s="1"/>
  <c r="Z130" i="1"/>
  <c r="Y130" i="1"/>
  <c r="X130" i="1" s="1"/>
  <c r="T130" i="1"/>
  <c r="Q130" i="1"/>
  <c r="L130" i="1"/>
  <c r="AN129" i="1"/>
  <c r="AM129" i="1"/>
  <c r="AK129" i="1"/>
  <c r="AL129" i="1" s="1"/>
  <c r="AJ129" i="1"/>
  <c r="AH129" i="1" s="1"/>
  <c r="Z129" i="1"/>
  <c r="X129" i="1" s="1"/>
  <c r="Y129" i="1"/>
  <c r="Q129" i="1"/>
  <c r="J129" i="1"/>
  <c r="I129" i="1" s="1"/>
  <c r="AB129" i="1" s="1"/>
  <c r="AN128" i="1"/>
  <c r="AM128" i="1"/>
  <c r="AL128" i="1" s="1"/>
  <c r="AK128" i="1"/>
  <c r="AJ128" i="1"/>
  <c r="AH128" i="1"/>
  <c r="Z128" i="1"/>
  <c r="Y128" i="1"/>
  <c r="X128" i="1"/>
  <c r="T128" i="1"/>
  <c r="Q128" i="1"/>
  <c r="AN127" i="1"/>
  <c r="AM127" i="1"/>
  <c r="AK127" i="1"/>
  <c r="AL127" i="1" s="1"/>
  <c r="AJ127" i="1"/>
  <c r="AH127" i="1"/>
  <c r="L127" i="1" s="1"/>
  <c r="Z127" i="1"/>
  <c r="Y127" i="1"/>
  <c r="X127" i="1"/>
  <c r="Q127" i="1"/>
  <c r="O127" i="1"/>
  <c r="K127" i="1"/>
  <c r="AN126" i="1"/>
  <c r="AM126" i="1"/>
  <c r="AL126" i="1"/>
  <c r="AK126" i="1"/>
  <c r="AJ126" i="1"/>
  <c r="AI126" i="1"/>
  <c r="AH126" i="1"/>
  <c r="K126" i="1" s="1"/>
  <c r="Z126" i="1"/>
  <c r="Y126" i="1"/>
  <c r="X126" i="1" s="1"/>
  <c r="T126" i="1"/>
  <c r="Q126" i="1"/>
  <c r="L126" i="1"/>
  <c r="AN125" i="1"/>
  <c r="AM125" i="1"/>
  <c r="AK125" i="1"/>
  <c r="AJ125" i="1"/>
  <c r="AH125" i="1" s="1"/>
  <c r="Z125" i="1"/>
  <c r="X125" i="1" s="1"/>
  <c r="Y125" i="1"/>
  <c r="Q125" i="1"/>
  <c r="K125" i="1"/>
  <c r="J125" i="1"/>
  <c r="I125" i="1" s="1"/>
  <c r="AB125" i="1" s="1"/>
  <c r="AN124" i="1"/>
  <c r="AM124" i="1"/>
  <c r="AL124" i="1" s="1"/>
  <c r="AK124" i="1"/>
  <c r="AJ124" i="1"/>
  <c r="AI124" i="1"/>
  <c r="AH124" i="1"/>
  <c r="Z124" i="1"/>
  <c r="Y124" i="1"/>
  <c r="X124" i="1"/>
  <c r="T124" i="1"/>
  <c r="Q124" i="1"/>
  <c r="AN123" i="1"/>
  <c r="AM123" i="1"/>
  <c r="AK123" i="1"/>
  <c r="AL123" i="1" s="1"/>
  <c r="AJ123" i="1"/>
  <c r="AH123" i="1"/>
  <c r="L123" i="1" s="1"/>
  <c r="Z123" i="1"/>
  <c r="Y123" i="1"/>
  <c r="X123" i="1"/>
  <c r="Q123" i="1"/>
  <c r="O123" i="1"/>
  <c r="K123" i="1"/>
  <c r="AN122" i="1"/>
  <c r="AM122" i="1"/>
  <c r="AL122" i="1" s="1"/>
  <c r="AK122" i="1"/>
  <c r="AJ122" i="1"/>
  <c r="AI122" i="1"/>
  <c r="AH122" i="1"/>
  <c r="K122" i="1" s="1"/>
  <c r="Z122" i="1"/>
  <c r="Y122" i="1"/>
  <c r="X122" i="1" s="1"/>
  <c r="T122" i="1"/>
  <c r="Q122" i="1"/>
  <c r="L122" i="1"/>
  <c r="AN121" i="1"/>
  <c r="AM121" i="1"/>
  <c r="AK121" i="1"/>
  <c r="AJ121" i="1"/>
  <c r="AH121" i="1" s="1"/>
  <c r="O121" i="1" s="1"/>
  <c r="Z121" i="1"/>
  <c r="X121" i="1" s="1"/>
  <c r="Y121" i="1"/>
  <c r="Q121" i="1"/>
  <c r="K121" i="1"/>
  <c r="J121" i="1"/>
  <c r="I121" i="1" s="1"/>
  <c r="AN120" i="1"/>
  <c r="AM120" i="1"/>
  <c r="AL120" i="1" s="1"/>
  <c r="AK120" i="1"/>
  <c r="AJ120" i="1"/>
  <c r="AI120" i="1"/>
  <c r="AH120" i="1"/>
  <c r="Z120" i="1"/>
  <c r="Y120" i="1"/>
  <c r="X120" i="1"/>
  <c r="T120" i="1"/>
  <c r="Q120" i="1"/>
  <c r="AN119" i="1"/>
  <c r="AM119" i="1"/>
  <c r="AK119" i="1"/>
  <c r="AJ119" i="1"/>
  <c r="AH119" i="1"/>
  <c r="L119" i="1" s="1"/>
  <c r="Z119" i="1"/>
  <c r="Y119" i="1"/>
  <c r="X119" i="1"/>
  <c r="Q119" i="1"/>
  <c r="O119" i="1"/>
  <c r="K119" i="1"/>
  <c r="AN118" i="1"/>
  <c r="AM118" i="1"/>
  <c r="AL118" i="1"/>
  <c r="AK118" i="1"/>
  <c r="AJ118" i="1"/>
  <c r="AI118" i="1"/>
  <c r="AH118" i="1"/>
  <c r="K118" i="1" s="1"/>
  <c r="Z118" i="1"/>
  <c r="Y118" i="1"/>
  <c r="X118" i="1" s="1"/>
  <c r="T118" i="1"/>
  <c r="Q118" i="1"/>
  <c r="L118" i="1"/>
  <c r="AN117" i="1"/>
  <c r="AM117" i="1"/>
  <c r="AK117" i="1"/>
  <c r="AJ117" i="1"/>
  <c r="AH117" i="1" s="1"/>
  <c r="AI117" i="1" s="1"/>
  <c r="Z117" i="1"/>
  <c r="X117" i="1" s="1"/>
  <c r="Y117" i="1"/>
  <c r="Q117" i="1"/>
  <c r="O117" i="1"/>
  <c r="AN116" i="1"/>
  <c r="AM116" i="1"/>
  <c r="AL116" i="1" s="1"/>
  <c r="AK116" i="1"/>
  <c r="AJ116" i="1"/>
  <c r="AH116" i="1" s="1"/>
  <c r="Z116" i="1"/>
  <c r="Y116" i="1"/>
  <c r="X116" i="1"/>
  <c r="T116" i="1"/>
  <c r="Q116" i="1"/>
  <c r="AN115" i="1"/>
  <c r="AM115" i="1"/>
  <c r="AK115" i="1"/>
  <c r="AJ115" i="1"/>
  <c r="AH115" i="1"/>
  <c r="Z115" i="1"/>
  <c r="Y115" i="1"/>
  <c r="X115" i="1"/>
  <c r="Q115" i="1"/>
  <c r="O115" i="1"/>
  <c r="K115" i="1"/>
  <c r="J115" i="1"/>
  <c r="I115" i="1" s="1"/>
  <c r="AB115" i="1" s="1"/>
  <c r="AN114" i="1"/>
  <c r="AM114" i="1"/>
  <c r="AL114" i="1"/>
  <c r="AK114" i="1"/>
  <c r="AJ114" i="1"/>
  <c r="AI114" i="1"/>
  <c r="AH114" i="1"/>
  <c r="Z114" i="1"/>
  <c r="Y114" i="1"/>
  <c r="X114" i="1"/>
  <c r="T114" i="1"/>
  <c r="Q114" i="1"/>
  <c r="L114" i="1"/>
  <c r="AN113" i="1"/>
  <c r="AM113" i="1"/>
  <c r="AK113" i="1"/>
  <c r="AL113" i="1" s="1"/>
  <c r="AJ113" i="1"/>
  <c r="AH113" i="1" s="1"/>
  <c r="AI113" i="1" s="1"/>
  <c r="Z113" i="1"/>
  <c r="X113" i="1" s="1"/>
  <c r="Y113" i="1"/>
  <c r="T113" i="1"/>
  <c r="Q113" i="1"/>
  <c r="O113" i="1"/>
  <c r="L113" i="1"/>
  <c r="AN112" i="1"/>
  <c r="AM112" i="1"/>
  <c r="AK112" i="1"/>
  <c r="AL112" i="1" s="1"/>
  <c r="AJ112" i="1"/>
  <c r="AH112" i="1" s="1"/>
  <c r="J112" i="1" s="1"/>
  <c r="I112" i="1" s="1"/>
  <c r="Z112" i="1"/>
  <c r="Y112" i="1"/>
  <c r="Q112" i="1"/>
  <c r="AN111" i="1"/>
  <c r="AM111" i="1"/>
  <c r="AK111" i="1"/>
  <c r="AL111" i="1" s="1"/>
  <c r="AJ111" i="1"/>
  <c r="AH111" i="1"/>
  <c r="Z111" i="1"/>
  <c r="Y111" i="1"/>
  <c r="X111" i="1"/>
  <c r="Q111" i="1"/>
  <c r="AN110" i="1"/>
  <c r="T110" i="1" s="1"/>
  <c r="AM110" i="1"/>
  <c r="AL110" i="1" s="1"/>
  <c r="AK110" i="1"/>
  <c r="AJ110" i="1"/>
  <c r="AH110" i="1" s="1"/>
  <c r="Z110" i="1"/>
  <c r="Y110" i="1"/>
  <c r="X110" i="1" s="1"/>
  <c r="Q110" i="1"/>
  <c r="AN109" i="1"/>
  <c r="AM109" i="1"/>
  <c r="AL109" i="1"/>
  <c r="AK109" i="1"/>
  <c r="AJ109" i="1"/>
  <c r="AH109" i="1"/>
  <c r="J109" i="1" s="1"/>
  <c r="I109" i="1" s="1"/>
  <c r="AB109" i="1"/>
  <c r="Z109" i="1"/>
  <c r="Y109" i="1"/>
  <c r="X109" i="1"/>
  <c r="T109" i="1"/>
  <c r="Q109" i="1"/>
  <c r="O109" i="1"/>
  <c r="L109" i="1"/>
  <c r="K109" i="1"/>
  <c r="AN108" i="1"/>
  <c r="AM108" i="1"/>
  <c r="AK108" i="1"/>
  <c r="AL108" i="1" s="1"/>
  <c r="AJ108" i="1"/>
  <c r="AH108" i="1" s="1"/>
  <c r="Z108" i="1"/>
  <c r="Y108" i="1"/>
  <c r="X108" i="1" s="1"/>
  <c r="Q108" i="1"/>
  <c r="AN107" i="1"/>
  <c r="AM107" i="1"/>
  <c r="AK107" i="1"/>
  <c r="AL107" i="1" s="1"/>
  <c r="AJ107" i="1"/>
  <c r="AH107" i="1"/>
  <c r="Z107" i="1"/>
  <c r="Y107" i="1"/>
  <c r="X107" i="1"/>
  <c r="Q107" i="1"/>
  <c r="AN106" i="1"/>
  <c r="T106" i="1" s="1"/>
  <c r="AM106" i="1"/>
  <c r="AL106" i="1" s="1"/>
  <c r="AK106" i="1"/>
  <c r="AJ106" i="1"/>
  <c r="AH106" i="1" s="1"/>
  <c r="Z106" i="1"/>
  <c r="Y106" i="1"/>
  <c r="X106" i="1" s="1"/>
  <c r="Q106" i="1"/>
  <c r="AN105" i="1"/>
  <c r="AM105" i="1"/>
  <c r="AL105" i="1"/>
  <c r="AK105" i="1"/>
  <c r="AJ105" i="1"/>
  <c r="AH105" i="1"/>
  <c r="J105" i="1" s="1"/>
  <c r="I105" i="1" s="1"/>
  <c r="AB105" i="1"/>
  <c r="Z105" i="1"/>
  <c r="Y105" i="1"/>
  <c r="X105" i="1"/>
  <c r="T105" i="1"/>
  <c r="Q105" i="1"/>
  <c r="O105" i="1"/>
  <c r="L105" i="1"/>
  <c r="K105" i="1"/>
  <c r="AN104" i="1"/>
  <c r="AM104" i="1"/>
  <c r="AK104" i="1"/>
  <c r="AL104" i="1" s="1"/>
  <c r="AJ104" i="1"/>
  <c r="AH104" i="1" s="1"/>
  <c r="J104" i="1" s="1"/>
  <c r="I104" i="1" s="1"/>
  <c r="Z104" i="1"/>
  <c r="Y104" i="1"/>
  <c r="Q104" i="1"/>
  <c r="AN103" i="1"/>
  <c r="AM103" i="1"/>
  <c r="AK103" i="1"/>
  <c r="AL103" i="1" s="1"/>
  <c r="AJ103" i="1"/>
  <c r="AH103" i="1"/>
  <c r="Z103" i="1"/>
  <c r="Y103" i="1"/>
  <c r="X103" i="1"/>
  <c r="Q103" i="1"/>
  <c r="AN102" i="1"/>
  <c r="T102" i="1" s="1"/>
  <c r="AM102" i="1"/>
  <c r="AL102" i="1" s="1"/>
  <c r="AK102" i="1"/>
  <c r="AJ102" i="1"/>
  <c r="AH102" i="1" s="1"/>
  <c r="Z102" i="1"/>
  <c r="Y102" i="1"/>
  <c r="X102" i="1" s="1"/>
  <c r="Q102" i="1"/>
  <c r="AN101" i="1"/>
  <c r="AM101" i="1"/>
  <c r="AL101" i="1"/>
  <c r="AK101" i="1"/>
  <c r="AJ101" i="1"/>
  <c r="AH101" i="1"/>
  <c r="J101" i="1" s="1"/>
  <c r="I101" i="1" s="1"/>
  <c r="AB101" i="1" s="1"/>
  <c r="Z101" i="1"/>
  <c r="Y101" i="1"/>
  <c r="X101" i="1"/>
  <c r="T101" i="1"/>
  <c r="Q101" i="1"/>
  <c r="O101" i="1"/>
  <c r="L101" i="1"/>
  <c r="K101" i="1"/>
  <c r="AN100" i="1"/>
  <c r="AM100" i="1"/>
  <c r="AK100" i="1"/>
  <c r="AJ100" i="1"/>
  <c r="AH100" i="1" s="1"/>
  <c r="AI100" i="1" s="1"/>
  <c r="Z100" i="1"/>
  <c r="Y100" i="1"/>
  <c r="X100" i="1" s="1"/>
  <c r="Q100" i="1"/>
  <c r="AN99" i="1"/>
  <c r="AM99" i="1"/>
  <c r="AK99" i="1"/>
  <c r="AJ99" i="1"/>
  <c r="AH99" i="1"/>
  <c r="Z99" i="1"/>
  <c r="Y99" i="1"/>
  <c r="X99" i="1"/>
  <c r="Q99" i="1"/>
  <c r="O99" i="1"/>
  <c r="K99" i="1"/>
  <c r="AN98" i="1"/>
  <c r="T98" i="1" s="1"/>
  <c r="AM98" i="1"/>
  <c r="AL98" i="1" s="1"/>
  <c r="AK98" i="1"/>
  <c r="AJ98" i="1"/>
  <c r="AH98" i="1" s="1"/>
  <c r="AI98" i="1" s="1"/>
  <c r="Z98" i="1"/>
  <c r="Y98" i="1"/>
  <c r="X98" i="1" s="1"/>
  <c r="Q98" i="1"/>
  <c r="O98" i="1"/>
  <c r="AN97" i="1"/>
  <c r="AM97" i="1"/>
  <c r="AK97" i="1"/>
  <c r="T97" i="1" s="1"/>
  <c r="AJ97" i="1"/>
  <c r="AH97" i="1"/>
  <c r="J97" i="1" s="1"/>
  <c r="I97" i="1" s="1"/>
  <c r="AB97" i="1" s="1"/>
  <c r="Z97" i="1"/>
  <c r="Y97" i="1"/>
  <c r="X97" i="1"/>
  <c r="Q97" i="1"/>
  <c r="O97" i="1"/>
  <c r="L97" i="1"/>
  <c r="K97" i="1"/>
  <c r="AN96" i="1"/>
  <c r="AM96" i="1"/>
  <c r="AK96" i="1"/>
  <c r="AJ96" i="1"/>
  <c r="AH96" i="1" s="1"/>
  <c r="AI96" i="1" s="1"/>
  <c r="Z96" i="1"/>
  <c r="Y96" i="1"/>
  <c r="X96" i="1" s="1"/>
  <c r="Q96" i="1"/>
  <c r="K96" i="1"/>
  <c r="AN95" i="1"/>
  <c r="AM95" i="1"/>
  <c r="AK95" i="1"/>
  <c r="AJ95" i="1"/>
  <c r="AH95" i="1"/>
  <c r="Z95" i="1"/>
  <c r="Y95" i="1"/>
  <c r="X95" i="1"/>
  <c r="Q95" i="1"/>
  <c r="AN94" i="1"/>
  <c r="T94" i="1" s="1"/>
  <c r="AM94" i="1"/>
  <c r="AL94" i="1" s="1"/>
  <c r="AK94" i="1"/>
  <c r="AJ94" i="1"/>
  <c r="AH94" i="1" s="1"/>
  <c r="Z94" i="1"/>
  <c r="Y94" i="1"/>
  <c r="X94" i="1" s="1"/>
  <c r="Q94" i="1"/>
  <c r="AN93" i="1"/>
  <c r="AM93" i="1"/>
  <c r="AK93" i="1"/>
  <c r="AL93" i="1" s="1"/>
  <c r="AJ93" i="1"/>
  <c r="AH93" i="1"/>
  <c r="J93" i="1" s="1"/>
  <c r="I93" i="1" s="1"/>
  <c r="AB93" i="1"/>
  <c r="Z93" i="1"/>
  <c r="Y93" i="1"/>
  <c r="X93" i="1"/>
  <c r="Q93" i="1"/>
  <c r="O93" i="1"/>
  <c r="L93" i="1"/>
  <c r="K93" i="1"/>
  <c r="AN92" i="1"/>
  <c r="AM92" i="1"/>
  <c r="AK92" i="1"/>
  <c r="AJ92" i="1"/>
  <c r="AH92" i="1" s="1"/>
  <c r="AI92" i="1"/>
  <c r="Z92" i="1"/>
  <c r="Y92" i="1"/>
  <c r="X92" i="1" s="1"/>
  <c r="Q92" i="1"/>
  <c r="K92" i="1"/>
  <c r="J92" i="1"/>
  <c r="I92" i="1" s="1"/>
  <c r="AN91" i="1"/>
  <c r="AM91" i="1"/>
  <c r="AK91" i="1"/>
  <c r="AL91" i="1" s="1"/>
  <c r="AJ91" i="1"/>
  <c r="AH91" i="1"/>
  <c r="Z91" i="1"/>
  <c r="Y91" i="1"/>
  <c r="X91" i="1" s="1"/>
  <c r="T91" i="1"/>
  <c r="Q91" i="1"/>
  <c r="AN90" i="1"/>
  <c r="AM90" i="1"/>
  <c r="AK90" i="1"/>
  <c r="AL90" i="1" s="1"/>
  <c r="AJ90" i="1"/>
  <c r="AH90" i="1" s="1"/>
  <c r="L90" i="1" s="1"/>
  <c r="Z90" i="1"/>
  <c r="Y90" i="1"/>
  <c r="Q90" i="1"/>
  <c r="O90" i="1"/>
  <c r="K90" i="1"/>
  <c r="AN89" i="1"/>
  <c r="AM89" i="1"/>
  <c r="AL89" i="1"/>
  <c r="AK89" i="1"/>
  <c r="AJ89" i="1"/>
  <c r="AH89" i="1" s="1"/>
  <c r="Z89" i="1"/>
  <c r="Y89" i="1"/>
  <c r="X89" i="1" s="1"/>
  <c r="T89" i="1"/>
  <c r="Q89" i="1"/>
  <c r="AN88" i="1"/>
  <c r="AM88" i="1"/>
  <c r="AK88" i="1"/>
  <c r="AJ88" i="1"/>
  <c r="AI88" i="1"/>
  <c r="AH88" i="1"/>
  <c r="L88" i="1" s="1"/>
  <c r="Z88" i="1"/>
  <c r="Y88" i="1"/>
  <c r="X88" i="1"/>
  <c r="Q88" i="1"/>
  <c r="O88" i="1"/>
  <c r="K88" i="1"/>
  <c r="AN87" i="1"/>
  <c r="AM87" i="1"/>
  <c r="AL87" i="1"/>
  <c r="AK87" i="1"/>
  <c r="AJ87" i="1"/>
  <c r="AI87" i="1"/>
  <c r="AH87" i="1"/>
  <c r="Z87" i="1"/>
  <c r="Y87" i="1"/>
  <c r="X87" i="1" s="1"/>
  <c r="T87" i="1"/>
  <c r="Q87" i="1"/>
  <c r="O87" i="1"/>
  <c r="L87" i="1"/>
  <c r="K87" i="1"/>
  <c r="J87" i="1"/>
  <c r="I87" i="1"/>
  <c r="AN86" i="1"/>
  <c r="AM86" i="1"/>
  <c r="AL86" i="1" s="1"/>
  <c r="AK86" i="1"/>
  <c r="AJ86" i="1"/>
  <c r="AH86" i="1" s="1"/>
  <c r="Z86" i="1"/>
  <c r="X86" i="1" s="1"/>
  <c r="Y86" i="1"/>
  <c r="T86" i="1"/>
  <c r="Q86" i="1"/>
  <c r="O86" i="1"/>
  <c r="AN85" i="1"/>
  <c r="AM85" i="1"/>
  <c r="AK85" i="1"/>
  <c r="AL85" i="1" s="1"/>
  <c r="AJ85" i="1"/>
  <c r="AH85" i="1"/>
  <c r="L85" i="1" s="1"/>
  <c r="Z85" i="1"/>
  <c r="Y85" i="1"/>
  <c r="X85" i="1"/>
  <c r="Q85" i="1"/>
  <c r="K85" i="1"/>
  <c r="AN84" i="1"/>
  <c r="AM84" i="1"/>
  <c r="AK84" i="1"/>
  <c r="AJ84" i="1"/>
  <c r="AI84" i="1"/>
  <c r="AH84" i="1"/>
  <c r="J84" i="1" s="1"/>
  <c r="I84" i="1" s="1"/>
  <c r="Z84" i="1"/>
  <c r="Y84" i="1"/>
  <c r="X84" i="1" s="1"/>
  <c r="Q84" i="1"/>
  <c r="L84" i="1"/>
  <c r="K84" i="1"/>
  <c r="AN83" i="1"/>
  <c r="AM83" i="1"/>
  <c r="AL83" i="1"/>
  <c r="AK83" i="1"/>
  <c r="AJ83" i="1"/>
  <c r="AH83" i="1" s="1"/>
  <c r="AI83" i="1"/>
  <c r="Z83" i="1"/>
  <c r="Y83" i="1"/>
  <c r="X83" i="1" s="1"/>
  <c r="T83" i="1"/>
  <c r="Q83" i="1"/>
  <c r="AN82" i="1"/>
  <c r="AM82" i="1"/>
  <c r="AL82" i="1" s="1"/>
  <c r="AK82" i="1"/>
  <c r="AJ82" i="1"/>
  <c r="AH82" i="1" s="1"/>
  <c r="Z82" i="1"/>
  <c r="X82" i="1" s="1"/>
  <c r="Y82" i="1"/>
  <c r="T82" i="1"/>
  <c r="Q82" i="1"/>
  <c r="O82" i="1"/>
  <c r="AN81" i="1"/>
  <c r="AM81" i="1"/>
  <c r="AK81" i="1"/>
  <c r="AL81" i="1" s="1"/>
  <c r="AJ81" i="1"/>
  <c r="AH81" i="1"/>
  <c r="L81" i="1" s="1"/>
  <c r="Z81" i="1"/>
  <c r="Y81" i="1"/>
  <c r="X81" i="1"/>
  <c r="Q81" i="1"/>
  <c r="K81" i="1"/>
  <c r="AN80" i="1"/>
  <c r="AM80" i="1"/>
  <c r="AK80" i="1"/>
  <c r="AJ80" i="1"/>
  <c r="AI80" i="1"/>
  <c r="AH80" i="1"/>
  <c r="J80" i="1" s="1"/>
  <c r="I80" i="1" s="1"/>
  <c r="Z80" i="1"/>
  <c r="Y80" i="1"/>
  <c r="X80" i="1" s="1"/>
  <c r="Q80" i="1"/>
  <c r="L80" i="1"/>
  <c r="K80" i="1"/>
  <c r="AN79" i="1"/>
  <c r="AM79" i="1"/>
  <c r="AL79" i="1"/>
  <c r="AK79" i="1"/>
  <c r="AJ79" i="1"/>
  <c r="AH79" i="1" s="1"/>
  <c r="AI79" i="1"/>
  <c r="Z79" i="1"/>
  <c r="Y79" i="1"/>
  <c r="X79" i="1" s="1"/>
  <c r="T79" i="1"/>
  <c r="Q79" i="1"/>
  <c r="AN78" i="1"/>
  <c r="AM78" i="1"/>
  <c r="AL78" i="1" s="1"/>
  <c r="AK78" i="1"/>
  <c r="AJ78" i="1"/>
  <c r="AH78" i="1" s="1"/>
  <c r="Z78" i="1"/>
  <c r="X78" i="1" s="1"/>
  <c r="Y78" i="1"/>
  <c r="T78" i="1"/>
  <c r="Q78" i="1"/>
  <c r="O78" i="1"/>
  <c r="AN77" i="1"/>
  <c r="AM77" i="1"/>
  <c r="AK77" i="1"/>
  <c r="AL77" i="1" s="1"/>
  <c r="AJ77" i="1"/>
  <c r="AH77" i="1"/>
  <c r="L77" i="1" s="1"/>
  <c r="Z77" i="1"/>
  <c r="Y77" i="1"/>
  <c r="X77" i="1"/>
  <c r="Q77" i="1"/>
  <c r="K77" i="1"/>
  <c r="AN76" i="1"/>
  <c r="AM76" i="1"/>
  <c r="AK76" i="1"/>
  <c r="AJ76" i="1"/>
  <c r="AI76" i="1"/>
  <c r="AH76" i="1"/>
  <c r="J76" i="1" s="1"/>
  <c r="Z76" i="1"/>
  <c r="Y76" i="1"/>
  <c r="X76" i="1" s="1"/>
  <c r="Q76" i="1"/>
  <c r="L76" i="1"/>
  <c r="K76" i="1"/>
  <c r="I76" i="1"/>
  <c r="AN75" i="1"/>
  <c r="AM75" i="1"/>
  <c r="AL75" i="1"/>
  <c r="AK75" i="1"/>
  <c r="AJ75" i="1"/>
  <c r="AH75" i="1" s="1"/>
  <c r="AI75" i="1"/>
  <c r="Z75" i="1"/>
  <c r="Y75" i="1"/>
  <c r="X75" i="1" s="1"/>
  <c r="T75" i="1"/>
  <c r="Q75" i="1"/>
  <c r="O75" i="1"/>
  <c r="AN74" i="1"/>
  <c r="AM74" i="1"/>
  <c r="AL74" i="1" s="1"/>
  <c r="AK74" i="1"/>
  <c r="AJ74" i="1"/>
  <c r="AH74" i="1" s="1"/>
  <c r="Z74" i="1"/>
  <c r="X74" i="1" s="1"/>
  <c r="Y74" i="1"/>
  <c r="T74" i="1"/>
  <c r="Q74" i="1"/>
  <c r="O74" i="1"/>
  <c r="AN73" i="1"/>
  <c r="AM73" i="1"/>
  <c r="AK73" i="1"/>
  <c r="AJ73" i="1"/>
  <c r="AH73" i="1"/>
  <c r="L73" i="1" s="1"/>
  <c r="Z73" i="1"/>
  <c r="Y73" i="1"/>
  <c r="X73" i="1"/>
  <c r="Q73" i="1"/>
  <c r="K73" i="1"/>
  <c r="AN72" i="1"/>
  <c r="AM72" i="1"/>
  <c r="AK72" i="1"/>
  <c r="AJ72" i="1"/>
  <c r="AI72" i="1"/>
  <c r="AH72" i="1"/>
  <c r="J72" i="1" s="1"/>
  <c r="Z72" i="1"/>
  <c r="Y72" i="1"/>
  <c r="X72" i="1" s="1"/>
  <c r="Q72" i="1"/>
  <c r="L72" i="1"/>
  <c r="K72" i="1"/>
  <c r="I72" i="1"/>
  <c r="AN71" i="1"/>
  <c r="AM71" i="1"/>
  <c r="AL71" i="1"/>
  <c r="AK71" i="1"/>
  <c r="AJ71" i="1"/>
  <c r="AH71" i="1" s="1"/>
  <c r="O71" i="1" s="1"/>
  <c r="Z71" i="1"/>
  <c r="Y71" i="1"/>
  <c r="X71" i="1" s="1"/>
  <c r="T71" i="1"/>
  <c r="Q71" i="1"/>
  <c r="AN70" i="1"/>
  <c r="AM70" i="1"/>
  <c r="AL70" i="1" s="1"/>
  <c r="AK70" i="1"/>
  <c r="AJ70" i="1"/>
  <c r="AH70" i="1" s="1"/>
  <c r="O70" i="1" s="1"/>
  <c r="Z70" i="1"/>
  <c r="X70" i="1" s="1"/>
  <c r="Y70" i="1"/>
  <c r="T70" i="1"/>
  <c r="Q70" i="1"/>
  <c r="AN69" i="1"/>
  <c r="AM69" i="1"/>
  <c r="AK69" i="1"/>
  <c r="AJ69" i="1"/>
  <c r="AH69" i="1"/>
  <c r="L69" i="1" s="1"/>
  <c r="Z69" i="1"/>
  <c r="Y69" i="1"/>
  <c r="X69" i="1"/>
  <c r="Q69" i="1"/>
  <c r="K69" i="1"/>
  <c r="AN68" i="1"/>
  <c r="AM68" i="1"/>
  <c r="AK68" i="1"/>
  <c r="AJ68" i="1"/>
  <c r="AI68" i="1"/>
  <c r="AH68" i="1"/>
  <c r="J68" i="1" s="1"/>
  <c r="Z68" i="1"/>
  <c r="Y68" i="1"/>
  <c r="X68" i="1" s="1"/>
  <c r="Q68" i="1"/>
  <c r="L68" i="1"/>
  <c r="K68" i="1"/>
  <c r="I68" i="1"/>
  <c r="AN67" i="1"/>
  <c r="AM67" i="1"/>
  <c r="AL67" i="1"/>
  <c r="AK67" i="1"/>
  <c r="AJ67" i="1"/>
  <c r="AH67" i="1" s="1"/>
  <c r="L67" i="1" s="1"/>
  <c r="AI67" i="1"/>
  <c r="Z67" i="1"/>
  <c r="Y67" i="1"/>
  <c r="X67" i="1" s="1"/>
  <c r="T67" i="1"/>
  <c r="Q67" i="1"/>
  <c r="O67" i="1"/>
  <c r="AN66" i="1"/>
  <c r="AM66" i="1"/>
  <c r="AL66" i="1" s="1"/>
  <c r="AK66" i="1"/>
  <c r="AJ66" i="1"/>
  <c r="AH66" i="1" s="1"/>
  <c r="O66" i="1" s="1"/>
  <c r="Z66" i="1"/>
  <c r="X66" i="1" s="1"/>
  <c r="Y66" i="1"/>
  <c r="T66" i="1"/>
  <c r="Q66" i="1"/>
  <c r="J66" i="1"/>
  <c r="I66" i="1" s="1"/>
  <c r="AN65" i="1"/>
  <c r="AM65" i="1"/>
  <c r="AK65" i="1"/>
  <c r="AJ65" i="1"/>
  <c r="AH65" i="1"/>
  <c r="Z65" i="1"/>
  <c r="Y65" i="1"/>
  <c r="X65" i="1"/>
  <c r="Q65" i="1"/>
  <c r="O65" i="1"/>
  <c r="K65" i="1"/>
  <c r="AN64" i="1"/>
  <c r="T64" i="1" s="1"/>
  <c r="AM64" i="1"/>
  <c r="AK64" i="1"/>
  <c r="AL64" i="1" s="1"/>
  <c r="AJ64" i="1"/>
  <c r="AI64" i="1"/>
  <c r="AH64" i="1"/>
  <c r="J64" i="1" s="1"/>
  <c r="Z64" i="1"/>
  <c r="Y64" i="1"/>
  <c r="X64" i="1" s="1"/>
  <c r="Q64" i="1"/>
  <c r="L64" i="1"/>
  <c r="K64" i="1"/>
  <c r="I64" i="1"/>
  <c r="AN63" i="1"/>
  <c r="T63" i="1" s="1"/>
  <c r="AM63" i="1"/>
  <c r="AK63" i="1"/>
  <c r="AL63" i="1" s="1"/>
  <c r="AJ63" i="1"/>
  <c r="AH63" i="1" s="1"/>
  <c r="O63" i="1" s="1"/>
  <c r="Z63" i="1"/>
  <c r="Y63" i="1"/>
  <c r="X63" i="1" s="1"/>
  <c r="Q63" i="1"/>
  <c r="L63" i="1"/>
  <c r="AN62" i="1"/>
  <c r="AM62" i="1"/>
  <c r="AL62" i="1" s="1"/>
  <c r="AK62" i="1"/>
  <c r="AJ62" i="1"/>
  <c r="AH62" i="1" s="1"/>
  <c r="Z62" i="1"/>
  <c r="Y62" i="1"/>
  <c r="X62" i="1"/>
  <c r="T62" i="1"/>
  <c r="Q62" i="1"/>
  <c r="AN61" i="1"/>
  <c r="AM61" i="1"/>
  <c r="AK61" i="1"/>
  <c r="AJ61" i="1"/>
  <c r="AH61" i="1"/>
  <c r="L61" i="1" s="1"/>
  <c r="Z61" i="1"/>
  <c r="Y61" i="1"/>
  <c r="X61" i="1" s="1"/>
  <c r="Q61" i="1"/>
  <c r="AN60" i="1"/>
  <c r="AM60" i="1"/>
  <c r="AK60" i="1"/>
  <c r="AL60" i="1" s="1"/>
  <c r="AJ60" i="1"/>
  <c r="AI60" i="1"/>
  <c r="AH60" i="1"/>
  <c r="O60" i="1" s="1"/>
  <c r="Z60" i="1"/>
  <c r="Y60" i="1"/>
  <c r="X60" i="1" s="1"/>
  <c r="Q60" i="1"/>
  <c r="K60" i="1"/>
  <c r="J60" i="1"/>
  <c r="I60" i="1" s="1"/>
  <c r="AN59" i="1"/>
  <c r="AM59" i="1"/>
  <c r="AL59" i="1"/>
  <c r="AK59" i="1"/>
  <c r="AJ59" i="1"/>
  <c r="AH59" i="1"/>
  <c r="O59" i="1" s="1"/>
  <c r="Z59" i="1"/>
  <c r="Y59" i="1"/>
  <c r="X59" i="1"/>
  <c r="T59" i="1"/>
  <c r="Q59" i="1"/>
  <c r="AN58" i="1"/>
  <c r="T58" i="1" s="1"/>
  <c r="AM58" i="1"/>
  <c r="AL58" i="1" s="1"/>
  <c r="AK58" i="1"/>
  <c r="AJ58" i="1"/>
  <c r="AH58" i="1" s="1"/>
  <c r="Z58" i="1"/>
  <c r="Y58" i="1"/>
  <c r="X58" i="1" s="1"/>
  <c r="Q58" i="1"/>
  <c r="AN57" i="1"/>
  <c r="AM57" i="1"/>
  <c r="AL57" i="1"/>
  <c r="AK57" i="1"/>
  <c r="AJ57" i="1"/>
  <c r="AH57" i="1"/>
  <c r="K57" i="1" s="1"/>
  <c r="Z57" i="1"/>
  <c r="Y57" i="1"/>
  <c r="X57" i="1"/>
  <c r="T57" i="1"/>
  <c r="Q57" i="1"/>
  <c r="L57" i="1"/>
  <c r="AN56" i="1"/>
  <c r="AM56" i="1"/>
  <c r="AK56" i="1"/>
  <c r="AL56" i="1" s="1"/>
  <c r="AJ56" i="1"/>
  <c r="AH56" i="1" s="1"/>
  <c r="Z56" i="1"/>
  <c r="Y56" i="1"/>
  <c r="X56" i="1" s="1"/>
  <c r="Q56" i="1"/>
  <c r="AN55" i="1"/>
  <c r="AM55" i="1"/>
  <c r="AL55" i="1"/>
  <c r="AK55" i="1"/>
  <c r="AJ55" i="1"/>
  <c r="AH55" i="1"/>
  <c r="O55" i="1" s="1"/>
  <c r="Z55" i="1"/>
  <c r="Y55" i="1"/>
  <c r="X55" i="1"/>
  <c r="T55" i="1"/>
  <c r="Q55" i="1"/>
  <c r="AN54" i="1"/>
  <c r="T54" i="1" s="1"/>
  <c r="AM54" i="1"/>
  <c r="AL54" i="1" s="1"/>
  <c r="AK54" i="1"/>
  <c r="AJ54" i="1"/>
  <c r="AH54" i="1" s="1"/>
  <c r="Z54" i="1"/>
  <c r="Y54" i="1"/>
  <c r="X54" i="1" s="1"/>
  <c r="Q54" i="1"/>
  <c r="AN53" i="1"/>
  <c r="AM53" i="1"/>
  <c r="AL53" i="1"/>
  <c r="AK53" i="1"/>
  <c r="AJ53" i="1"/>
  <c r="AH53" i="1"/>
  <c r="K53" i="1" s="1"/>
  <c r="Z53" i="1"/>
  <c r="Y53" i="1"/>
  <c r="X53" i="1"/>
  <c r="T53" i="1"/>
  <c r="Q53" i="1"/>
  <c r="L53" i="1"/>
  <c r="AN52" i="1"/>
  <c r="AM52" i="1"/>
  <c r="AK52" i="1"/>
  <c r="AL52" i="1" s="1"/>
  <c r="AJ52" i="1"/>
  <c r="AH52" i="1" s="1"/>
  <c r="Z52" i="1"/>
  <c r="Y52" i="1"/>
  <c r="X52" i="1" s="1"/>
  <c r="Q52" i="1"/>
  <c r="AN51" i="1"/>
  <c r="AM51" i="1"/>
  <c r="AL51" i="1"/>
  <c r="AK51" i="1"/>
  <c r="AJ51" i="1"/>
  <c r="AH51" i="1"/>
  <c r="O51" i="1" s="1"/>
  <c r="Z51" i="1"/>
  <c r="Y51" i="1"/>
  <c r="X51" i="1"/>
  <c r="T51" i="1"/>
  <c r="Q51" i="1"/>
  <c r="AN50" i="1"/>
  <c r="T50" i="1" s="1"/>
  <c r="AM50" i="1"/>
  <c r="AL50" i="1" s="1"/>
  <c r="AK50" i="1"/>
  <c r="AJ50" i="1"/>
  <c r="AH50" i="1" s="1"/>
  <c r="Z50" i="1"/>
  <c r="Y50" i="1"/>
  <c r="X50" i="1" s="1"/>
  <c r="Q50" i="1"/>
  <c r="AN49" i="1"/>
  <c r="AM49" i="1"/>
  <c r="AL49" i="1"/>
  <c r="AK49" i="1"/>
  <c r="AJ49" i="1"/>
  <c r="AH49" i="1"/>
  <c r="K49" i="1" s="1"/>
  <c r="Z49" i="1"/>
  <c r="Y49" i="1"/>
  <c r="X49" i="1"/>
  <c r="T49" i="1"/>
  <c r="Q49" i="1"/>
  <c r="L49" i="1"/>
  <c r="AN48" i="1"/>
  <c r="AM48" i="1"/>
  <c r="AK48" i="1"/>
  <c r="AL48" i="1" s="1"/>
  <c r="AJ48" i="1"/>
  <c r="AH48" i="1" s="1"/>
  <c r="Z48" i="1"/>
  <c r="Y48" i="1"/>
  <c r="X48" i="1" s="1"/>
  <c r="Q48" i="1"/>
  <c r="AN47" i="1"/>
  <c r="AM47" i="1"/>
  <c r="AL47" i="1"/>
  <c r="AK47" i="1"/>
  <c r="AJ47" i="1"/>
  <c r="AH47" i="1"/>
  <c r="O47" i="1" s="1"/>
  <c r="Z47" i="1"/>
  <c r="Y47" i="1"/>
  <c r="X47" i="1"/>
  <c r="T47" i="1"/>
  <c r="Q47" i="1"/>
  <c r="AN46" i="1"/>
  <c r="T46" i="1" s="1"/>
  <c r="AM46" i="1"/>
  <c r="AL46" i="1" s="1"/>
  <c r="AK46" i="1"/>
  <c r="AJ46" i="1"/>
  <c r="AH46" i="1" s="1"/>
  <c r="Z46" i="1"/>
  <c r="Y46" i="1"/>
  <c r="X46" i="1" s="1"/>
  <c r="Q46" i="1"/>
  <c r="AN45" i="1"/>
  <c r="AM45" i="1"/>
  <c r="AL45" i="1"/>
  <c r="AK45" i="1"/>
  <c r="AJ45" i="1"/>
  <c r="AH45" i="1"/>
  <c r="K45" i="1" s="1"/>
  <c r="Z45" i="1"/>
  <c r="Y45" i="1"/>
  <c r="X45" i="1"/>
  <c r="T45" i="1"/>
  <c r="Q45" i="1"/>
  <c r="L45" i="1"/>
  <c r="AN44" i="1"/>
  <c r="AM44" i="1"/>
  <c r="AK44" i="1"/>
  <c r="AL44" i="1" s="1"/>
  <c r="AJ44" i="1"/>
  <c r="AH44" i="1" s="1"/>
  <c r="Z44" i="1"/>
  <c r="Y44" i="1"/>
  <c r="X44" i="1" s="1"/>
  <c r="Q44" i="1"/>
  <c r="AN43" i="1"/>
  <c r="AM43" i="1"/>
  <c r="AL43" i="1"/>
  <c r="AK43" i="1"/>
  <c r="AJ43" i="1"/>
  <c r="AH43" i="1"/>
  <c r="O43" i="1" s="1"/>
  <c r="Z43" i="1"/>
  <c r="Y43" i="1"/>
  <c r="X43" i="1"/>
  <c r="T43" i="1"/>
  <c r="Q43" i="1"/>
  <c r="AN42" i="1"/>
  <c r="T42" i="1" s="1"/>
  <c r="AM42" i="1"/>
  <c r="AL42" i="1" s="1"/>
  <c r="AK42" i="1"/>
  <c r="AJ42" i="1"/>
  <c r="AH42" i="1" s="1"/>
  <c r="Z42" i="1"/>
  <c r="Y42" i="1"/>
  <c r="X42" i="1" s="1"/>
  <c r="Q42" i="1"/>
  <c r="AN41" i="1"/>
  <c r="AM41" i="1"/>
  <c r="AL41" i="1"/>
  <c r="AK41" i="1"/>
  <c r="AJ41" i="1"/>
  <c r="AH41" i="1"/>
  <c r="K41" i="1" s="1"/>
  <c r="Z41" i="1"/>
  <c r="Y41" i="1"/>
  <c r="X41" i="1"/>
  <c r="T41" i="1"/>
  <c r="Q41" i="1"/>
  <c r="L41" i="1"/>
  <c r="AN40" i="1"/>
  <c r="AM40" i="1"/>
  <c r="AK40" i="1"/>
  <c r="AL40" i="1" s="1"/>
  <c r="AJ40" i="1"/>
  <c r="AH40" i="1" s="1"/>
  <c r="Z40" i="1"/>
  <c r="Y40" i="1"/>
  <c r="X40" i="1" s="1"/>
  <c r="Q40" i="1"/>
  <c r="AN39" i="1"/>
  <c r="AM39" i="1"/>
  <c r="AL39" i="1"/>
  <c r="AK39" i="1"/>
  <c r="AJ39" i="1"/>
  <c r="AH39" i="1"/>
  <c r="O39" i="1" s="1"/>
  <c r="Z39" i="1"/>
  <c r="Y39" i="1"/>
  <c r="X39" i="1"/>
  <c r="T39" i="1"/>
  <c r="Q39" i="1"/>
  <c r="AN38" i="1"/>
  <c r="T38" i="1" s="1"/>
  <c r="AM38" i="1"/>
  <c r="AL38" i="1" s="1"/>
  <c r="AK38" i="1"/>
  <c r="AJ38" i="1"/>
  <c r="AH38" i="1" s="1"/>
  <c r="Z38" i="1"/>
  <c r="Y38" i="1"/>
  <c r="X38" i="1" s="1"/>
  <c r="Q38" i="1"/>
  <c r="AN37" i="1"/>
  <c r="AM37" i="1"/>
  <c r="AL37" i="1"/>
  <c r="AK37" i="1"/>
  <c r="AJ37" i="1"/>
  <c r="AH37" i="1"/>
  <c r="K37" i="1" s="1"/>
  <c r="Z37" i="1"/>
  <c r="Y37" i="1"/>
  <c r="X37" i="1"/>
  <c r="T37" i="1"/>
  <c r="Q37" i="1"/>
  <c r="L37" i="1"/>
  <c r="AN36" i="1"/>
  <c r="AM36" i="1"/>
  <c r="AK36" i="1"/>
  <c r="AL36" i="1" s="1"/>
  <c r="AJ36" i="1"/>
  <c r="AH36" i="1" s="1"/>
  <c r="Z36" i="1"/>
  <c r="Y36" i="1"/>
  <c r="X36" i="1" s="1"/>
  <c r="Q36" i="1"/>
  <c r="AN35" i="1"/>
  <c r="AM35" i="1"/>
  <c r="AL35" i="1"/>
  <c r="AK35" i="1"/>
  <c r="AJ35" i="1"/>
  <c r="AH35" i="1"/>
  <c r="Z35" i="1"/>
  <c r="Y35" i="1"/>
  <c r="X35" i="1"/>
  <c r="T35" i="1"/>
  <c r="Q35" i="1"/>
  <c r="AN34" i="1"/>
  <c r="T34" i="1" s="1"/>
  <c r="AM34" i="1"/>
  <c r="AK34" i="1"/>
  <c r="AL34" i="1" s="1"/>
  <c r="AJ34" i="1"/>
  <c r="AH34" i="1" s="1"/>
  <c r="Z34" i="1"/>
  <c r="Y34" i="1"/>
  <c r="X34" i="1" s="1"/>
  <c r="Q34" i="1"/>
  <c r="AN33" i="1"/>
  <c r="AM33" i="1"/>
  <c r="AL33" i="1"/>
  <c r="AK33" i="1"/>
  <c r="AJ33" i="1"/>
  <c r="AH33" i="1"/>
  <c r="K33" i="1" s="1"/>
  <c r="Z33" i="1"/>
  <c r="Y33" i="1"/>
  <c r="X33" i="1"/>
  <c r="T33" i="1"/>
  <c r="Q33" i="1"/>
  <c r="L33" i="1"/>
  <c r="AN32" i="1"/>
  <c r="AM32" i="1"/>
  <c r="AK32" i="1"/>
  <c r="AL32" i="1" s="1"/>
  <c r="AJ32" i="1"/>
  <c r="AH32" i="1" s="1"/>
  <c r="Z32" i="1"/>
  <c r="Y32" i="1"/>
  <c r="Q32" i="1"/>
  <c r="J32" i="1"/>
  <c r="I32" i="1" s="1"/>
  <c r="AB32" i="1" s="1"/>
  <c r="AN31" i="1"/>
  <c r="AM31" i="1"/>
  <c r="AL31" i="1"/>
  <c r="AK31" i="1"/>
  <c r="AJ31" i="1"/>
  <c r="AH31" i="1"/>
  <c r="Z31" i="1"/>
  <c r="Y31" i="1"/>
  <c r="X31" i="1"/>
  <c r="T31" i="1"/>
  <c r="Q31" i="1"/>
  <c r="AN30" i="1"/>
  <c r="AM30" i="1"/>
  <c r="AK30" i="1"/>
  <c r="AL30" i="1" s="1"/>
  <c r="AJ30" i="1"/>
  <c r="AH30" i="1" s="1"/>
  <c r="Z30" i="1"/>
  <c r="Y30" i="1"/>
  <c r="X30" i="1" s="1"/>
  <c r="Q30" i="1"/>
  <c r="AN29" i="1"/>
  <c r="AM29" i="1"/>
  <c r="AL29" i="1"/>
  <c r="AK29" i="1"/>
  <c r="AJ29" i="1"/>
  <c r="AH29" i="1"/>
  <c r="K29" i="1" s="1"/>
  <c r="Z29" i="1"/>
  <c r="Y29" i="1"/>
  <c r="X29" i="1"/>
  <c r="T29" i="1"/>
  <c r="Q29" i="1"/>
  <c r="L29" i="1"/>
  <c r="AN28" i="1"/>
  <c r="AM28" i="1"/>
  <c r="AK28" i="1"/>
  <c r="AL28" i="1" s="1"/>
  <c r="AJ28" i="1"/>
  <c r="AH28" i="1" s="1"/>
  <c r="Z28" i="1"/>
  <c r="Y28" i="1"/>
  <c r="X28" i="1" s="1"/>
  <c r="Q28" i="1"/>
  <c r="J28" i="1"/>
  <c r="I28" i="1" s="1"/>
  <c r="AB28" i="1" s="1"/>
  <c r="AN27" i="1"/>
  <c r="AM27" i="1"/>
  <c r="AL27" i="1"/>
  <c r="AK27" i="1"/>
  <c r="AJ27" i="1"/>
  <c r="AH27" i="1"/>
  <c r="Z27" i="1"/>
  <c r="Y27" i="1"/>
  <c r="X27" i="1"/>
  <c r="T27" i="1"/>
  <c r="Q27" i="1"/>
  <c r="AN26" i="1"/>
  <c r="AM26" i="1"/>
  <c r="AK26" i="1"/>
  <c r="AL26" i="1" s="1"/>
  <c r="AJ26" i="1"/>
  <c r="AH26" i="1" s="1"/>
  <c r="Z26" i="1"/>
  <c r="Y26" i="1"/>
  <c r="X26" i="1" s="1"/>
  <c r="Q26" i="1"/>
  <c r="AN25" i="1"/>
  <c r="AM25" i="1"/>
  <c r="AL25" i="1"/>
  <c r="AK25" i="1"/>
  <c r="AJ25" i="1"/>
  <c r="AH25" i="1"/>
  <c r="K25" i="1" s="1"/>
  <c r="Z25" i="1"/>
  <c r="Y25" i="1"/>
  <c r="X25" i="1"/>
  <c r="T25" i="1"/>
  <c r="Q25" i="1"/>
  <c r="L25" i="1"/>
  <c r="AN24" i="1"/>
  <c r="AM24" i="1"/>
  <c r="AK24" i="1"/>
  <c r="AL24" i="1" s="1"/>
  <c r="AJ24" i="1"/>
  <c r="AH24" i="1" s="1"/>
  <c r="Z24" i="1"/>
  <c r="Y24" i="1"/>
  <c r="Q24" i="1"/>
  <c r="J24" i="1"/>
  <c r="I24" i="1" s="1"/>
  <c r="AB24" i="1" s="1"/>
  <c r="AN23" i="1"/>
  <c r="AM23" i="1"/>
  <c r="AL23" i="1"/>
  <c r="AK23" i="1"/>
  <c r="AJ23" i="1"/>
  <c r="AH23" i="1"/>
  <c r="Z23" i="1"/>
  <c r="Y23" i="1"/>
  <c r="X23" i="1"/>
  <c r="T23" i="1"/>
  <c r="Q23" i="1"/>
  <c r="AN22" i="1"/>
  <c r="AM22" i="1"/>
  <c r="AK22" i="1"/>
  <c r="AL22" i="1" s="1"/>
  <c r="AJ22" i="1"/>
  <c r="AH22" i="1" s="1"/>
  <c r="Z22" i="1"/>
  <c r="Y22" i="1"/>
  <c r="X22" i="1" s="1"/>
  <c r="Q22" i="1"/>
  <c r="AN21" i="1"/>
  <c r="AM21" i="1"/>
  <c r="AL21" i="1"/>
  <c r="AK21" i="1"/>
  <c r="AJ21" i="1"/>
  <c r="AH21" i="1"/>
  <c r="J21" i="1" s="1"/>
  <c r="I21" i="1" s="1"/>
  <c r="AB21" i="1" s="1"/>
  <c r="Z21" i="1"/>
  <c r="Y21" i="1"/>
  <c r="X21" i="1"/>
  <c r="T21" i="1"/>
  <c r="Q21" i="1"/>
  <c r="O21" i="1"/>
  <c r="L21" i="1"/>
  <c r="K21" i="1"/>
  <c r="AN20" i="1"/>
  <c r="AM20" i="1"/>
  <c r="AK20" i="1"/>
  <c r="AL20" i="1" s="1"/>
  <c r="AJ20" i="1"/>
  <c r="AH20" i="1" s="1"/>
  <c r="Z20" i="1"/>
  <c r="Y20" i="1"/>
  <c r="Q20" i="1"/>
  <c r="AN19" i="1"/>
  <c r="AM19" i="1"/>
  <c r="AL19" i="1"/>
  <c r="AK19" i="1"/>
  <c r="AJ19" i="1"/>
  <c r="AH19" i="1"/>
  <c r="Z19" i="1"/>
  <c r="Y19" i="1"/>
  <c r="X19" i="1"/>
  <c r="T19" i="1"/>
  <c r="Q19" i="1"/>
  <c r="AN18" i="1"/>
  <c r="AM18" i="1"/>
  <c r="AK18" i="1"/>
  <c r="AL18" i="1" s="1"/>
  <c r="AJ18" i="1"/>
  <c r="AH18" i="1" s="1"/>
  <c r="Z18" i="1"/>
  <c r="Y18" i="1"/>
  <c r="X18" i="1" s="1"/>
  <c r="Q18" i="1"/>
  <c r="AN17" i="1"/>
  <c r="AM17" i="1"/>
  <c r="AL17" i="1"/>
  <c r="AK17" i="1"/>
  <c r="AJ17" i="1"/>
  <c r="AH17" i="1"/>
  <c r="J17" i="1" s="1"/>
  <c r="I17" i="1" s="1"/>
  <c r="Z17" i="1"/>
  <c r="Y17" i="1"/>
  <c r="X17" i="1"/>
  <c r="T17" i="1"/>
  <c r="Q17" i="1"/>
  <c r="O17" i="1"/>
  <c r="L17" i="1"/>
  <c r="K17" i="1"/>
  <c r="O35" i="1" l="1"/>
  <c r="L35" i="1"/>
  <c r="K35" i="1"/>
  <c r="J35" i="1"/>
  <c r="I35" i="1" s="1"/>
  <c r="AI35" i="1"/>
  <c r="AI20" i="1"/>
  <c r="O20" i="1"/>
  <c r="L20" i="1"/>
  <c r="K20" i="1"/>
  <c r="U21" i="1"/>
  <c r="V21" i="1" s="1"/>
  <c r="U29" i="1"/>
  <c r="V29" i="1" s="1"/>
  <c r="AI52" i="1"/>
  <c r="O52" i="1"/>
  <c r="J52" i="1"/>
  <c r="I52" i="1" s="1"/>
  <c r="L52" i="1"/>
  <c r="K52" i="1"/>
  <c r="L58" i="1"/>
  <c r="K58" i="1"/>
  <c r="J58" i="1"/>
  <c r="I58" i="1" s="1"/>
  <c r="U58" i="1" s="1"/>
  <c r="V58" i="1" s="1"/>
  <c r="AI58" i="1"/>
  <c r="O58" i="1"/>
  <c r="L38" i="1"/>
  <c r="K38" i="1"/>
  <c r="J38" i="1"/>
  <c r="I38" i="1" s="1"/>
  <c r="AI38" i="1"/>
  <c r="O38" i="1"/>
  <c r="U19" i="1"/>
  <c r="V19" i="1" s="1"/>
  <c r="AC19" i="1" s="1"/>
  <c r="L22" i="1"/>
  <c r="K22" i="1"/>
  <c r="J22" i="1"/>
  <c r="I22" i="1" s="1"/>
  <c r="AI22" i="1"/>
  <c r="O22" i="1"/>
  <c r="L30" i="1"/>
  <c r="K30" i="1"/>
  <c r="J30" i="1"/>
  <c r="I30" i="1" s="1"/>
  <c r="AI30" i="1"/>
  <c r="O30" i="1"/>
  <c r="AI40" i="1"/>
  <c r="J40" i="1"/>
  <c r="I40" i="1" s="1"/>
  <c r="O40" i="1"/>
  <c r="L40" i="1"/>
  <c r="K40" i="1"/>
  <c r="L46" i="1"/>
  <c r="K46" i="1"/>
  <c r="J46" i="1"/>
  <c r="I46" i="1" s="1"/>
  <c r="AI46" i="1"/>
  <c r="O46" i="1"/>
  <c r="U50" i="1"/>
  <c r="V50" i="1" s="1"/>
  <c r="AC50" i="1" s="1"/>
  <c r="AB60" i="1"/>
  <c r="U17" i="1"/>
  <c r="V17" i="1" s="1"/>
  <c r="AI28" i="1"/>
  <c r="O28" i="1"/>
  <c r="L28" i="1"/>
  <c r="K28" i="1"/>
  <c r="AC35" i="1"/>
  <c r="AI36" i="1"/>
  <c r="O36" i="1"/>
  <c r="L36" i="1"/>
  <c r="K36" i="1"/>
  <c r="U38" i="1"/>
  <c r="V38" i="1" s="1"/>
  <c r="AB66" i="1"/>
  <c r="U66" i="1"/>
  <c r="V66" i="1" s="1"/>
  <c r="R66" i="1" s="1"/>
  <c r="P66" i="1" s="1"/>
  <c r="S66" i="1" s="1"/>
  <c r="M66" i="1" s="1"/>
  <c r="N66" i="1" s="1"/>
  <c r="U42" i="1"/>
  <c r="V42" i="1" s="1"/>
  <c r="AC42" i="1" s="1"/>
  <c r="L18" i="1"/>
  <c r="K18" i="1"/>
  <c r="J18" i="1"/>
  <c r="I18" i="1" s="1"/>
  <c r="AI18" i="1"/>
  <c r="O18" i="1"/>
  <c r="J20" i="1"/>
  <c r="I20" i="1" s="1"/>
  <c r="O23" i="1"/>
  <c r="L23" i="1"/>
  <c r="K23" i="1"/>
  <c r="J23" i="1"/>
  <c r="I23" i="1" s="1"/>
  <c r="AI23" i="1"/>
  <c r="O31" i="1"/>
  <c r="L31" i="1"/>
  <c r="K31" i="1"/>
  <c r="J31" i="1"/>
  <c r="I31" i="1" s="1"/>
  <c r="AI31" i="1"/>
  <c r="AC38" i="1"/>
  <c r="AI48" i="1"/>
  <c r="O48" i="1"/>
  <c r="J48" i="1"/>
  <c r="I48" i="1" s="1"/>
  <c r="L48" i="1"/>
  <c r="K48" i="1"/>
  <c r="L54" i="1"/>
  <c r="K54" i="1"/>
  <c r="J54" i="1"/>
  <c r="I54" i="1" s="1"/>
  <c r="AI54" i="1"/>
  <c r="O54" i="1"/>
  <c r="U62" i="1"/>
  <c r="V62" i="1" s="1"/>
  <c r="J62" i="1"/>
  <c r="I62" i="1" s="1"/>
  <c r="O62" i="1"/>
  <c r="AI62" i="1"/>
  <c r="L62" i="1"/>
  <c r="K62" i="1"/>
  <c r="X24" i="1"/>
  <c r="X32" i="1"/>
  <c r="L42" i="1"/>
  <c r="K42" i="1"/>
  <c r="J42" i="1"/>
  <c r="I42" i="1" s="1"/>
  <c r="AI42" i="1"/>
  <c r="O42" i="1"/>
  <c r="U46" i="1"/>
  <c r="V46" i="1" s="1"/>
  <c r="O27" i="1"/>
  <c r="L27" i="1"/>
  <c r="K27" i="1"/>
  <c r="J27" i="1"/>
  <c r="I27" i="1" s="1"/>
  <c r="AI27" i="1"/>
  <c r="O19" i="1"/>
  <c r="L19" i="1"/>
  <c r="K19" i="1"/>
  <c r="J19" i="1"/>
  <c r="I19" i="1" s="1"/>
  <c r="AI19" i="1"/>
  <c r="R21" i="1"/>
  <c r="P21" i="1" s="1"/>
  <c r="S21" i="1" s="1"/>
  <c r="M21" i="1" s="1"/>
  <c r="N21" i="1" s="1"/>
  <c r="L26" i="1"/>
  <c r="K26" i="1"/>
  <c r="J26" i="1"/>
  <c r="I26" i="1" s="1"/>
  <c r="AI26" i="1"/>
  <c r="O26" i="1"/>
  <c r="L34" i="1"/>
  <c r="K34" i="1"/>
  <c r="J34" i="1"/>
  <c r="I34" i="1" s="1"/>
  <c r="AI34" i="1"/>
  <c r="O34" i="1"/>
  <c r="J36" i="1"/>
  <c r="I36" i="1" s="1"/>
  <c r="AI56" i="1"/>
  <c r="J56" i="1"/>
  <c r="I56" i="1" s="1"/>
  <c r="O56" i="1"/>
  <c r="L56" i="1"/>
  <c r="K56" i="1"/>
  <c r="AB17" i="1"/>
  <c r="X20" i="1"/>
  <c r="AI24" i="1"/>
  <c r="O24" i="1"/>
  <c r="L24" i="1"/>
  <c r="K24" i="1"/>
  <c r="AI32" i="1"/>
  <c r="O32" i="1"/>
  <c r="L32" i="1"/>
  <c r="K32" i="1"/>
  <c r="AI44" i="1"/>
  <c r="O44" i="1"/>
  <c r="L44" i="1"/>
  <c r="K44" i="1"/>
  <c r="J44" i="1"/>
  <c r="I44" i="1" s="1"/>
  <c r="L50" i="1"/>
  <c r="K50" i="1"/>
  <c r="J50" i="1"/>
  <c r="I50" i="1" s="1"/>
  <c r="AI50" i="1"/>
  <c r="O50" i="1"/>
  <c r="U54" i="1"/>
  <c r="V54" i="1" s="1"/>
  <c r="U64" i="1"/>
  <c r="V64" i="1" s="1"/>
  <c r="R64" i="1" s="1"/>
  <c r="P64" i="1" s="1"/>
  <c r="S64" i="1" s="1"/>
  <c r="M64" i="1" s="1"/>
  <c r="N64" i="1" s="1"/>
  <c r="AB80" i="1"/>
  <c r="AI39" i="1"/>
  <c r="AI43" i="1"/>
  <c r="AI47" i="1"/>
  <c r="U49" i="1"/>
  <c r="V49" i="1" s="1"/>
  <c r="AI51" i="1"/>
  <c r="AI55" i="1"/>
  <c r="AI59" i="1"/>
  <c r="AB68" i="1"/>
  <c r="L75" i="1"/>
  <c r="K75" i="1"/>
  <c r="J75" i="1"/>
  <c r="I75" i="1" s="1"/>
  <c r="AL76" i="1"/>
  <c r="T76" i="1"/>
  <c r="T20" i="1"/>
  <c r="T24" i="1"/>
  <c r="T28" i="1"/>
  <c r="T32" i="1"/>
  <c r="T36" i="1"/>
  <c r="J39" i="1"/>
  <c r="I39" i="1" s="1"/>
  <c r="U39" i="1" s="1"/>
  <c r="V39" i="1" s="1"/>
  <c r="T40" i="1"/>
  <c r="J43" i="1"/>
  <c r="I43" i="1" s="1"/>
  <c r="T44" i="1"/>
  <c r="J47" i="1"/>
  <c r="I47" i="1" s="1"/>
  <c r="T48" i="1"/>
  <c r="J51" i="1"/>
  <c r="I51" i="1" s="1"/>
  <c r="T52" i="1"/>
  <c r="J55" i="1"/>
  <c r="I55" i="1" s="1"/>
  <c r="U55" i="1" s="1"/>
  <c r="V55" i="1" s="1"/>
  <c r="T56" i="1"/>
  <c r="J59" i="1"/>
  <c r="I59" i="1" s="1"/>
  <c r="L60" i="1"/>
  <c r="T60" i="1"/>
  <c r="O61" i="1"/>
  <c r="AI61" i="1"/>
  <c r="J63" i="1"/>
  <c r="I63" i="1" s="1"/>
  <c r="L65" i="1"/>
  <c r="J65" i="1"/>
  <c r="I65" i="1" s="1"/>
  <c r="AI65" i="1"/>
  <c r="L78" i="1"/>
  <c r="K78" i="1"/>
  <c r="J78" i="1"/>
  <c r="I78" i="1" s="1"/>
  <c r="AI78" i="1"/>
  <c r="L82" i="1"/>
  <c r="K82" i="1"/>
  <c r="J82" i="1"/>
  <c r="I82" i="1" s="1"/>
  <c r="AI82" i="1"/>
  <c r="L86" i="1"/>
  <c r="K86" i="1"/>
  <c r="J86" i="1"/>
  <c r="I86" i="1" s="1"/>
  <c r="AI86" i="1"/>
  <c r="AB92" i="1"/>
  <c r="AL92" i="1"/>
  <c r="T92" i="1"/>
  <c r="U94" i="1"/>
  <c r="V94" i="1" s="1"/>
  <c r="O116" i="1"/>
  <c r="L116" i="1"/>
  <c r="K116" i="1"/>
  <c r="J116" i="1"/>
  <c r="I116" i="1" s="1"/>
  <c r="AI116" i="1"/>
  <c r="O25" i="1"/>
  <c r="O29" i="1"/>
  <c r="O33" i="1"/>
  <c r="O37" i="1"/>
  <c r="K39" i="1"/>
  <c r="O41" i="1"/>
  <c r="K43" i="1"/>
  <c r="O45" i="1"/>
  <c r="K47" i="1"/>
  <c r="O49" i="1"/>
  <c r="K51" i="1"/>
  <c r="O53" i="1"/>
  <c r="K55" i="1"/>
  <c r="O57" i="1"/>
  <c r="K59" i="1"/>
  <c r="K63" i="1"/>
  <c r="AI63" i="1"/>
  <c r="L70" i="1"/>
  <c r="K70" i="1"/>
  <c r="J70" i="1"/>
  <c r="I70" i="1" s="1"/>
  <c r="AI70" i="1"/>
  <c r="U75" i="1"/>
  <c r="V75" i="1" s="1"/>
  <c r="AL80" i="1"/>
  <c r="T80" i="1"/>
  <c r="AL84" i="1"/>
  <c r="T84" i="1"/>
  <c r="AI89" i="1"/>
  <c r="O89" i="1"/>
  <c r="L89" i="1"/>
  <c r="K89" i="1"/>
  <c r="J89" i="1"/>
  <c r="I89" i="1" s="1"/>
  <c r="AB112" i="1"/>
  <c r="L39" i="1"/>
  <c r="L43" i="1"/>
  <c r="L47" i="1"/>
  <c r="L51" i="1"/>
  <c r="L55" i="1"/>
  <c r="L59" i="1"/>
  <c r="AL61" i="1"/>
  <c r="T61" i="1"/>
  <c r="AL65" i="1"/>
  <c r="T65" i="1"/>
  <c r="AC67" i="1"/>
  <c r="K67" i="1"/>
  <c r="J67" i="1"/>
  <c r="I67" i="1" s="1"/>
  <c r="L74" i="1"/>
  <c r="K74" i="1"/>
  <c r="J74" i="1"/>
  <c r="I74" i="1" s="1"/>
  <c r="AI74" i="1"/>
  <c r="O79" i="1"/>
  <c r="L79" i="1"/>
  <c r="K79" i="1"/>
  <c r="J79" i="1"/>
  <c r="I79" i="1" s="1"/>
  <c r="O83" i="1"/>
  <c r="L83" i="1"/>
  <c r="K83" i="1"/>
  <c r="J83" i="1"/>
  <c r="I83" i="1" s="1"/>
  <c r="U87" i="1"/>
  <c r="V87" i="1" s="1"/>
  <c r="L71" i="1"/>
  <c r="K71" i="1"/>
  <c r="J71" i="1"/>
  <c r="I71" i="1" s="1"/>
  <c r="AB84" i="1"/>
  <c r="O140" i="1"/>
  <c r="L140" i="1"/>
  <c r="K140" i="1"/>
  <c r="J140" i="1"/>
  <c r="I140" i="1" s="1"/>
  <c r="AI140" i="1"/>
  <c r="AI17" i="1"/>
  <c r="AI21" i="1"/>
  <c r="U23" i="1"/>
  <c r="V23" i="1" s="1"/>
  <c r="AI25" i="1"/>
  <c r="U27" i="1"/>
  <c r="V27" i="1" s="1"/>
  <c r="AI29" i="1"/>
  <c r="U31" i="1"/>
  <c r="V31" i="1" s="1"/>
  <c r="AI33" i="1"/>
  <c r="U35" i="1"/>
  <c r="V35" i="1" s="1"/>
  <c r="AI37" i="1"/>
  <c r="AI41" i="1"/>
  <c r="U43" i="1"/>
  <c r="V43" i="1" s="1"/>
  <c r="AC43" i="1" s="1"/>
  <c r="AI45" i="1"/>
  <c r="AI49" i="1"/>
  <c r="U51" i="1"/>
  <c r="V51" i="1" s="1"/>
  <c r="AC51" i="1" s="1"/>
  <c r="AI53" i="1"/>
  <c r="AI57" i="1"/>
  <c r="U59" i="1"/>
  <c r="V59" i="1" s="1"/>
  <c r="AC59" i="1" s="1"/>
  <c r="L66" i="1"/>
  <c r="K66" i="1"/>
  <c r="AI66" i="1"/>
  <c r="U67" i="1"/>
  <c r="V67" i="1" s="1"/>
  <c r="AB72" i="1"/>
  <c r="J91" i="1"/>
  <c r="I91" i="1" s="1"/>
  <c r="O91" i="1"/>
  <c r="L91" i="1"/>
  <c r="K91" i="1"/>
  <c r="AI91" i="1"/>
  <c r="O107" i="1"/>
  <c r="L107" i="1"/>
  <c r="K107" i="1"/>
  <c r="J107" i="1"/>
  <c r="I107" i="1" s="1"/>
  <c r="AI107" i="1"/>
  <c r="AL72" i="1"/>
  <c r="T72" i="1"/>
  <c r="T18" i="1"/>
  <c r="T22" i="1"/>
  <c r="J25" i="1"/>
  <c r="I25" i="1" s="1"/>
  <c r="T26" i="1"/>
  <c r="J29" i="1"/>
  <c r="I29" i="1" s="1"/>
  <c r="T30" i="1"/>
  <c r="J33" i="1"/>
  <c r="I33" i="1" s="1"/>
  <c r="U33" i="1" s="1"/>
  <c r="V33" i="1" s="1"/>
  <c r="J37" i="1"/>
  <c r="I37" i="1" s="1"/>
  <c r="J41" i="1"/>
  <c r="I41" i="1" s="1"/>
  <c r="J45" i="1"/>
  <c r="I45" i="1" s="1"/>
  <c r="J49" i="1"/>
  <c r="I49" i="1" s="1"/>
  <c r="J53" i="1"/>
  <c r="I53" i="1" s="1"/>
  <c r="J57" i="1"/>
  <c r="I57" i="1" s="1"/>
  <c r="U57" i="1" s="1"/>
  <c r="V57" i="1" s="1"/>
  <c r="J61" i="1"/>
  <c r="I61" i="1" s="1"/>
  <c r="AL69" i="1"/>
  <c r="T69" i="1"/>
  <c r="AB76" i="1"/>
  <c r="AB87" i="1"/>
  <c r="R87" i="1"/>
  <c r="P87" i="1" s="1"/>
  <c r="S87" i="1" s="1"/>
  <c r="M87" i="1" s="1"/>
  <c r="N87" i="1" s="1"/>
  <c r="U97" i="1"/>
  <c r="V97" i="1" s="1"/>
  <c r="U79" i="1"/>
  <c r="V79" i="1" s="1"/>
  <c r="AC79" i="1" s="1"/>
  <c r="K61" i="1"/>
  <c r="AB64" i="1"/>
  <c r="AL68" i="1"/>
  <c r="T68" i="1"/>
  <c r="AI71" i="1"/>
  <c r="AL73" i="1"/>
  <c r="T73" i="1"/>
  <c r="L94" i="1"/>
  <c r="K94" i="1"/>
  <c r="J94" i="1"/>
  <c r="I94" i="1" s="1"/>
  <c r="AI94" i="1"/>
  <c r="O94" i="1"/>
  <c r="L95" i="1"/>
  <c r="J95" i="1"/>
  <c r="I95" i="1" s="1"/>
  <c r="O95" i="1"/>
  <c r="K95" i="1"/>
  <c r="AI95" i="1"/>
  <c r="AB104" i="1"/>
  <c r="AB121" i="1"/>
  <c r="O69" i="1"/>
  <c r="O73" i="1"/>
  <c r="O77" i="1"/>
  <c r="O81" i="1"/>
  <c r="O85" i="1"/>
  <c r="T93" i="1"/>
  <c r="AL97" i="1"/>
  <c r="J100" i="1"/>
  <c r="I100" i="1" s="1"/>
  <c r="AI108" i="1"/>
  <c r="O108" i="1"/>
  <c r="L108" i="1"/>
  <c r="K108" i="1"/>
  <c r="U109" i="1"/>
  <c r="V109" i="1" s="1"/>
  <c r="AB144" i="1"/>
  <c r="AL95" i="1"/>
  <c r="T95" i="1"/>
  <c r="O96" i="1"/>
  <c r="L96" i="1"/>
  <c r="L98" i="1"/>
  <c r="K98" i="1"/>
  <c r="J98" i="1"/>
  <c r="I98" i="1" s="1"/>
  <c r="L99" i="1"/>
  <c r="J99" i="1"/>
  <c r="I99" i="1" s="1"/>
  <c r="K100" i="1"/>
  <c r="L102" i="1"/>
  <c r="K102" i="1"/>
  <c r="J102" i="1"/>
  <c r="I102" i="1" s="1"/>
  <c r="AI102" i="1"/>
  <c r="O102" i="1"/>
  <c r="R105" i="1"/>
  <c r="P105" i="1" s="1"/>
  <c r="S105" i="1" s="1"/>
  <c r="M105" i="1" s="1"/>
  <c r="N105" i="1" s="1"/>
  <c r="L110" i="1"/>
  <c r="K110" i="1"/>
  <c r="J110" i="1"/>
  <c r="I110" i="1" s="1"/>
  <c r="U110" i="1" s="1"/>
  <c r="V110" i="1" s="1"/>
  <c r="AI110" i="1"/>
  <c r="O110" i="1"/>
  <c r="O64" i="1"/>
  <c r="O68" i="1"/>
  <c r="AI69" i="1"/>
  <c r="O72" i="1"/>
  <c r="AI73" i="1"/>
  <c r="O76" i="1"/>
  <c r="AI77" i="1"/>
  <c r="O80" i="1"/>
  <c r="AI81" i="1"/>
  <c r="O84" i="1"/>
  <c r="AI85" i="1"/>
  <c r="J90" i="1"/>
  <c r="I90" i="1" s="1"/>
  <c r="AI90" i="1"/>
  <c r="AL96" i="1"/>
  <c r="T96" i="1"/>
  <c r="AI99" i="1"/>
  <c r="O103" i="1"/>
  <c r="L103" i="1"/>
  <c r="K103" i="1"/>
  <c r="J103" i="1"/>
  <c r="I103" i="1" s="1"/>
  <c r="AI103" i="1"/>
  <c r="X104" i="1"/>
  <c r="O111" i="1"/>
  <c r="L111" i="1"/>
  <c r="K111" i="1"/>
  <c r="J111" i="1"/>
  <c r="I111" i="1" s="1"/>
  <c r="AI111" i="1"/>
  <c r="X112" i="1"/>
  <c r="AB133" i="1"/>
  <c r="J69" i="1"/>
  <c r="I69" i="1" s="1"/>
  <c r="J73" i="1"/>
  <c r="I73" i="1" s="1"/>
  <c r="J77" i="1"/>
  <c r="I77" i="1" s="1"/>
  <c r="J81" i="1"/>
  <c r="I81" i="1" s="1"/>
  <c r="J85" i="1"/>
  <c r="I85" i="1" s="1"/>
  <c r="AL88" i="1"/>
  <c r="T88" i="1"/>
  <c r="J108" i="1"/>
  <c r="I108" i="1" s="1"/>
  <c r="AL99" i="1"/>
  <c r="T99" i="1"/>
  <c r="O100" i="1"/>
  <c r="L100" i="1"/>
  <c r="U102" i="1"/>
  <c r="V102" i="1" s="1"/>
  <c r="AI104" i="1"/>
  <c r="O104" i="1"/>
  <c r="L104" i="1"/>
  <c r="K104" i="1"/>
  <c r="U105" i="1"/>
  <c r="V105" i="1" s="1"/>
  <c r="AI112" i="1"/>
  <c r="O112" i="1"/>
  <c r="L112" i="1"/>
  <c r="K112" i="1"/>
  <c r="AL115" i="1"/>
  <c r="T115" i="1"/>
  <c r="T77" i="1"/>
  <c r="T81" i="1"/>
  <c r="T85" i="1"/>
  <c r="J88" i="1"/>
  <c r="I88" i="1" s="1"/>
  <c r="X90" i="1"/>
  <c r="O92" i="1"/>
  <c r="L92" i="1"/>
  <c r="J96" i="1"/>
  <c r="I96" i="1" s="1"/>
  <c r="R97" i="1"/>
  <c r="P97" i="1" s="1"/>
  <c r="S97" i="1" s="1"/>
  <c r="M97" i="1" s="1"/>
  <c r="N97" i="1" s="1"/>
  <c r="AL100" i="1"/>
  <c r="T100" i="1"/>
  <c r="U101" i="1"/>
  <c r="V101" i="1" s="1"/>
  <c r="L106" i="1"/>
  <c r="K106" i="1"/>
  <c r="J106" i="1"/>
  <c r="I106" i="1" s="1"/>
  <c r="AI106" i="1"/>
  <c r="O106" i="1"/>
  <c r="R109" i="1"/>
  <c r="P109" i="1" s="1"/>
  <c r="S109" i="1" s="1"/>
  <c r="M109" i="1" s="1"/>
  <c r="N109" i="1" s="1"/>
  <c r="U145" i="1"/>
  <c r="V145" i="1" s="1"/>
  <c r="L146" i="1"/>
  <c r="J146" i="1"/>
  <c r="I146" i="1" s="1"/>
  <c r="AI146" i="1"/>
  <c r="O146" i="1"/>
  <c r="K146" i="1"/>
  <c r="T104" i="1"/>
  <c r="T108" i="1"/>
  <c r="T112" i="1"/>
  <c r="AL117" i="1"/>
  <c r="T117" i="1"/>
  <c r="O120" i="1"/>
  <c r="L120" i="1"/>
  <c r="K120" i="1"/>
  <c r="J120" i="1"/>
  <c r="I120" i="1" s="1"/>
  <c r="O136" i="1"/>
  <c r="L136" i="1"/>
  <c r="K136" i="1"/>
  <c r="J136" i="1"/>
  <c r="I136" i="1" s="1"/>
  <c r="AI136" i="1"/>
  <c r="AI141" i="1"/>
  <c r="O141" i="1"/>
  <c r="L141" i="1"/>
  <c r="K141" i="1"/>
  <c r="AI121" i="1"/>
  <c r="L121" i="1"/>
  <c r="O132" i="1"/>
  <c r="L132" i="1"/>
  <c r="K132" i="1"/>
  <c r="J132" i="1"/>
  <c r="I132" i="1" s="1"/>
  <c r="AI132" i="1"/>
  <c r="U134" i="1"/>
  <c r="V134" i="1" s="1"/>
  <c r="AL149" i="1"/>
  <c r="T149" i="1"/>
  <c r="L153" i="1"/>
  <c r="K153" i="1"/>
  <c r="J153" i="1"/>
  <c r="I153" i="1" s="1"/>
  <c r="AI153" i="1"/>
  <c r="O153" i="1"/>
  <c r="T103" i="1"/>
  <c r="T107" i="1"/>
  <c r="T111" i="1"/>
  <c r="AL121" i="1"/>
  <c r="T121" i="1"/>
  <c r="O128" i="1"/>
  <c r="L128" i="1"/>
  <c r="K128" i="1"/>
  <c r="J128" i="1"/>
  <c r="I128" i="1" s="1"/>
  <c r="AI128" i="1"/>
  <c r="U130" i="1"/>
  <c r="V130" i="1" s="1"/>
  <c r="AI137" i="1"/>
  <c r="O137" i="1"/>
  <c r="L137" i="1"/>
  <c r="K137" i="1"/>
  <c r="U144" i="1"/>
  <c r="V144" i="1" s="1"/>
  <c r="AI93" i="1"/>
  <c r="AI97" i="1"/>
  <c r="AI101" i="1"/>
  <c r="AI105" i="1"/>
  <c r="AI109" i="1"/>
  <c r="J117" i="1"/>
  <c r="I117" i="1" s="1"/>
  <c r="AL119" i="1"/>
  <c r="T119" i="1"/>
  <c r="AI125" i="1"/>
  <c r="O125" i="1"/>
  <c r="L125" i="1"/>
  <c r="AI133" i="1"/>
  <c r="O133" i="1"/>
  <c r="L133" i="1"/>
  <c r="K133" i="1"/>
  <c r="J141" i="1"/>
  <c r="I141" i="1" s="1"/>
  <c r="T90" i="1"/>
  <c r="J113" i="1"/>
  <c r="I113" i="1" s="1"/>
  <c r="U113" i="1" s="1"/>
  <c r="V113" i="1" s="1"/>
  <c r="L115" i="1"/>
  <c r="AI115" i="1"/>
  <c r="K117" i="1"/>
  <c r="AL125" i="1"/>
  <c r="T125" i="1"/>
  <c r="AI129" i="1"/>
  <c r="O129" i="1"/>
  <c r="L129" i="1"/>
  <c r="K129" i="1"/>
  <c r="J160" i="1"/>
  <c r="I160" i="1" s="1"/>
  <c r="AI160" i="1"/>
  <c r="O160" i="1"/>
  <c r="L160" i="1"/>
  <c r="K160" i="1"/>
  <c r="K113" i="1"/>
  <c r="K114" i="1"/>
  <c r="J114" i="1"/>
  <c r="I114" i="1" s="1"/>
  <c r="O114" i="1"/>
  <c r="L117" i="1"/>
  <c r="O124" i="1"/>
  <c r="L124" i="1"/>
  <c r="K124" i="1"/>
  <c r="J124" i="1"/>
  <c r="I124" i="1" s="1"/>
  <c r="J137" i="1"/>
  <c r="I137" i="1" s="1"/>
  <c r="AB145" i="1"/>
  <c r="R148" i="1"/>
  <c r="P148" i="1" s="1"/>
  <c r="S148" i="1" s="1"/>
  <c r="AB148" i="1"/>
  <c r="AL156" i="1"/>
  <c r="T156" i="1"/>
  <c r="L150" i="1"/>
  <c r="J150" i="1"/>
  <c r="I150" i="1" s="1"/>
  <c r="AI150" i="1"/>
  <c r="L157" i="1"/>
  <c r="K157" i="1"/>
  <c r="J157" i="1"/>
  <c r="I157" i="1" s="1"/>
  <c r="AI157" i="1"/>
  <c r="O157" i="1"/>
  <c r="AL160" i="1"/>
  <c r="T160" i="1"/>
  <c r="U165" i="1"/>
  <c r="V165" i="1" s="1"/>
  <c r="AB166" i="1"/>
  <c r="AB168" i="1"/>
  <c r="T129" i="1"/>
  <c r="T133" i="1"/>
  <c r="T137" i="1"/>
  <c r="T141" i="1"/>
  <c r="AI143" i="1"/>
  <c r="AL146" i="1"/>
  <c r="T146" i="1"/>
  <c r="L147" i="1"/>
  <c r="K147" i="1"/>
  <c r="AC148" i="1"/>
  <c r="L161" i="1"/>
  <c r="K161" i="1"/>
  <c r="J161" i="1"/>
  <c r="I161" i="1" s="1"/>
  <c r="AI161" i="1"/>
  <c r="O161" i="1"/>
  <c r="L164" i="1"/>
  <c r="O164" i="1"/>
  <c r="AI164" i="1"/>
  <c r="K164" i="1"/>
  <c r="J164" i="1"/>
  <c r="I164" i="1" s="1"/>
  <c r="U187" i="1"/>
  <c r="V187" i="1" s="1"/>
  <c r="O118" i="1"/>
  <c r="AI119" i="1"/>
  <c r="O122" i="1"/>
  <c r="AI123" i="1"/>
  <c r="O126" i="1"/>
  <c r="AI127" i="1"/>
  <c r="O130" i="1"/>
  <c r="AI131" i="1"/>
  <c r="O134" i="1"/>
  <c r="AI135" i="1"/>
  <c r="O138" i="1"/>
  <c r="AI139" i="1"/>
  <c r="O142" i="1"/>
  <c r="X144" i="1"/>
  <c r="AL147" i="1"/>
  <c r="AI148" i="1"/>
  <c r="K150" i="1"/>
  <c r="AL150" i="1"/>
  <c r="T150" i="1"/>
  <c r="L151" i="1"/>
  <c r="K151" i="1"/>
  <c r="J152" i="1"/>
  <c r="I152" i="1" s="1"/>
  <c r="AI152" i="1"/>
  <c r="AL161" i="1"/>
  <c r="J119" i="1"/>
  <c r="I119" i="1" s="1"/>
  <c r="J123" i="1"/>
  <c r="I123" i="1" s="1"/>
  <c r="J127" i="1"/>
  <c r="I127" i="1" s="1"/>
  <c r="J131" i="1"/>
  <c r="I131" i="1" s="1"/>
  <c r="J135" i="1"/>
  <c r="I135" i="1" s="1"/>
  <c r="J139" i="1"/>
  <c r="I139" i="1" s="1"/>
  <c r="J143" i="1"/>
  <c r="I143" i="1" s="1"/>
  <c r="AL143" i="1"/>
  <c r="U148" i="1"/>
  <c r="V148" i="1" s="1"/>
  <c r="U152" i="1"/>
  <c r="V152" i="1" s="1"/>
  <c r="U169" i="1"/>
  <c r="V169" i="1" s="1"/>
  <c r="AB176" i="1"/>
  <c r="AI184" i="1"/>
  <c r="O184" i="1"/>
  <c r="L184" i="1"/>
  <c r="K184" i="1"/>
  <c r="J184" i="1"/>
  <c r="I184" i="1" s="1"/>
  <c r="K139" i="1"/>
  <c r="AI142" i="1"/>
  <c r="K143" i="1"/>
  <c r="AL145" i="1"/>
  <c r="X147" i="1"/>
  <c r="O150" i="1"/>
  <c r="O155" i="1"/>
  <c r="L155" i="1"/>
  <c r="K155" i="1"/>
  <c r="J155" i="1"/>
  <c r="I155" i="1" s="1"/>
  <c r="AB174" i="1"/>
  <c r="J118" i="1"/>
  <c r="I118" i="1" s="1"/>
  <c r="U118" i="1" s="1"/>
  <c r="V118" i="1" s="1"/>
  <c r="J122" i="1"/>
  <c r="I122" i="1" s="1"/>
  <c r="T123" i="1"/>
  <c r="J126" i="1"/>
  <c r="I126" i="1" s="1"/>
  <c r="T127" i="1"/>
  <c r="J130" i="1"/>
  <c r="I130" i="1" s="1"/>
  <c r="T131" i="1"/>
  <c r="J134" i="1"/>
  <c r="I134" i="1" s="1"/>
  <c r="T135" i="1"/>
  <c r="J138" i="1"/>
  <c r="I138" i="1" s="1"/>
  <c r="T139" i="1"/>
  <c r="J142" i="1"/>
  <c r="I142" i="1" s="1"/>
  <c r="T143" i="1"/>
  <c r="J147" i="1"/>
  <c r="I147" i="1" s="1"/>
  <c r="O159" i="1"/>
  <c r="L159" i="1"/>
  <c r="K159" i="1"/>
  <c r="J159" i="1"/>
  <c r="I159" i="1" s="1"/>
  <c r="K148" i="1"/>
  <c r="L149" i="1"/>
  <c r="J149" i="1"/>
  <c r="I149" i="1" s="1"/>
  <c r="O149" i="1"/>
  <c r="J151" i="1"/>
  <c r="I151" i="1" s="1"/>
  <c r="K152" i="1"/>
  <c r="J156" i="1"/>
  <c r="I156" i="1" s="1"/>
  <c r="AI156" i="1"/>
  <c r="O156" i="1"/>
  <c r="L156" i="1"/>
  <c r="AB170" i="1"/>
  <c r="AI180" i="1"/>
  <c r="O180" i="1"/>
  <c r="L180" i="1"/>
  <c r="K180" i="1"/>
  <c r="AB199" i="1"/>
  <c r="AI154" i="1"/>
  <c r="AI158" i="1"/>
  <c r="AI162" i="1"/>
  <c r="K163" i="1"/>
  <c r="J165" i="1"/>
  <c r="I165" i="1" s="1"/>
  <c r="L167" i="1"/>
  <c r="J167" i="1"/>
  <c r="I167" i="1" s="1"/>
  <c r="U170" i="1"/>
  <c r="V170" i="1" s="1"/>
  <c r="J172" i="1"/>
  <c r="I172" i="1" s="1"/>
  <c r="K173" i="1"/>
  <c r="J173" i="1"/>
  <c r="I173" i="1" s="1"/>
  <c r="AI173" i="1"/>
  <c r="O173" i="1"/>
  <c r="T147" i="1"/>
  <c r="T151" i="1"/>
  <c r="J154" i="1"/>
  <c r="I154" i="1" s="1"/>
  <c r="T155" i="1"/>
  <c r="J158" i="1"/>
  <c r="I158" i="1" s="1"/>
  <c r="T159" i="1"/>
  <c r="J162" i="1"/>
  <c r="I162" i="1" s="1"/>
  <c r="K165" i="1"/>
  <c r="AI165" i="1"/>
  <c r="AL166" i="1"/>
  <c r="AI167" i="1"/>
  <c r="AC174" i="1"/>
  <c r="O175" i="1"/>
  <c r="L175" i="1"/>
  <c r="K175" i="1"/>
  <c r="J175" i="1"/>
  <c r="I175" i="1" s="1"/>
  <c r="AI175" i="1"/>
  <c r="U177" i="1"/>
  <c r="V177" i="1" s="1"/>
  <c r="K181" i="1"/>
  <c r="J181" i="1"/>
  <c r="I181" i="1" s="1"/>
  <c r="AI181" i="1"/>
  <c r="O181" i="1"/>
  <c r="L185" i="1"/>
  <c r="AI185" i="1"/>
  <c r="O185" i="1"/>
  <c r="K185" i="1"/>
  <c r="J185" i="1"/>
  <c r="I185" i="1" s="1"/>
  <c r="K154" i="1"/>
  <c r="K158" i="1"/>
  <c r="K162" i="1"/>
  <c r="AI168" i="1"/>
  <c r="O168" i="1"/>
  <c r="L168" i="1"/>
  <c r="K169" i="1"/>
  <c r="J169" i="1"/>
  <c r="I169" i="1" s="1"/>
  <c r="AI169" i="1"/>
  <c r="O171" i="1"/>
  <c r="L171" i="1"/>
  <c r="J171" i="1"/>
  <c r="I171" i="1" s="1"/>
  <c r="J180" i="1"/>
  <c r="I180" i="1" s="1"/>
  <c r="O183" i="1"/>
  <c r="L183" i="1"/>
  <c r="K183" i="1"/>
  <c r="J183" i="1"/>
  <c r="I183" i="1" s="1"/>
  <c r="AI183" i="1"/>
  <c r="U188" i="1"/>
  <c r="V188" i="1" s="1"/>
  <c r="L197" i="1"/>
  <c r="K197" i="1"/>
  <c r="J197" i="1"/>
  <c r="I197" i="1" s="1"/>
  <c r="AI197" i="1"/>
  <c r="O197" i="1"/>
  <c r="T154" i="1"/>
  <c r="T158" i="1"/>
  <c r="T162" i="1"/>
  <c r="O163" i="1"/>
  <c r="AI163" i="1"/>
  <c r="X165" i="1"/>
  <c r="AL167" i="1"/>
  <c r="T167" i="1"/>
  <c r="AL168" i="1"/>
  <c r="T168" i="1"/>
  <c r="AI171" i="1"/>
  <c r="AI172" i="1"/>
  <c r="O172" i="1"/>
  <c r="L172" i="1"/>
  <c r="U173" i="1"/>
  <c r="V173" i="1" s="1"/>
  <c r="U174" i="1"/>
  <c r="V174" i="1" s="1"/>
  <c r="AI176" i="1"/>
  <c r="O176" i="1"/>
  <c r="L176" i="1"/>
  <c r="K176" i="1"/>
  <c r="L181" i="1"/>
  <c r="AL164" i="1"/>
  <c r="T164" i="1"/>
  <c r="AC170" i="1"/>
  <c r="AL172" i="1"/>
  <c r="T172" i="1"/>
  <c r="AB190" i="1"/>
  <c r="U200" i="1"/>
  <c r="V200" i="1" s="1"/>
  <c r="T153" i="1"/>
  <c r="T157" i="1"/>
  <c r="T161" i="1"/>
  <c r="AL163" i="1"/>
  <c r="T163" i="1"/>
  <c r="K167" i="1"/>
  <c r="AL171" i="1"/>
  <c r="T171" i="1"/>
  <c r="K177" i="1"/>
  <c r="J177" i="1"/>
  <c r="I177" i="1" s="1"/>
  <c r="AI177" i="1"/>
  <c r="O177" i="1"/>
  <c r="O179" i="1"/>
  <c r="L179" i="1"/>
  <c r="K179" i="1"/>
  <c r="J179" i="1"/>
  <c r="I179" i="1" s="1"/>
  <c r="AI179" i="1"/>
  <c r="U181" i="1"/>
  <c r="V181" i="1" s="1"/>
  <c r="U186" i="1"/>
  <c r="V186" i="1" s="1"/>
  <c r="R186" i="1"/>
  <c r="P186" i="1" s="1"/>
  <c r="S186" i="1" s="1"/>
  <c r="AB186" i="1"/>
  <c r="R187" i="1"/>
  <c r="P187" i="1" s="1"/>
  <c r="S187" i="1" s="1"/>
  <c r="M187" i="1" s="1"/>
  <c r="N187" i="1" s="1"/>
  <c r="O190" i="1"/>
  <c r="K190" i="1"/>
  <c r="L193" i="1"/>
  <c r="K193" i="1"/>
  <c r="J193" i="1"/>
  <c r="I193" i="1" s="1"/>
  <c r="AI193" i="1"/>
  <c r="AB195" i="1"/>
  <c r="AB201" i="1"/>
  <c r="R201" i="1"/>
  <c r="P201" i="1" s="1"/>
  <c r="S201" i="1" s="1"/>
  <c r="AL213" i="1"/>
  <c r="T213" i="1"/>
  <c r="T176" i="1"/>
  <c r="T180" i="1"/>
  <c r="L190" i="1"/>
  <c r="AB191" i="1"/>
  <c r="O198" i="1"/>
  <c r="L198" i="1"/>
  <c r="K198" i="1"/>
  <c r="J198" i="1"/>
  <c r="I198" i="1" s="1"/>
  <c r="AL199" i="1"/>
  <c r="T199" i="1"/>
  <c r="AB212" i="1"/>
  <c r="L189" i="1"/>
  <c r="K189" i="1"/>
  <c r="AI189" i="1"/>
  <c r="O193" i="1"/>
  <c r="O194" i="1"/>
  <c r="L194" i="1"/>
  <c r="K194" i="1"/>
  <c r="J194" i="1"/>
  <c r="I194" i="1" s="1"/>
  <c r="AL195" i="1"/>
  <c r="T195" i="1"/>
  <c r="AC201" i="1"/>
  <c r="AB203" i="1"/>
  <c r="T175" i="1"/>
  <c r="J178" i="1"/>
  <c r="I178" i="1" s="1"/>
  <c r="U178" i="1" s="1"/>
  <c r="V178" i="1" s="1"/>
  <c r="T179" i="1"/>
  <c r="J182" i="1"/>
  <c r="I182" i="1" s="1"/>
  <c r="U182" i="1" s="1"/>
  <c r="V182" i="1" s="1"/>
  <c r="T183" i="1"/>
  <c r="AL185" i="1"/>
  <c r="T185" i="1"/>
  <c r="O186" i="1"/>
  <c r="K186" i="1"/>
  <c r="L188" i="1"/>
  <c r="K188" i="1"/>
  <c r="J188" i="1"/>
  <c r="I188" i="1" s="1"/>
  <c r="AI188" i="1"/>
  <c r="O188" i="1"/>
  <c r="U190" i="1"/>
  <c r="V190" i="1" s="1"/>
  <c r="AL191" i="1"/>
  <c r="T191" i="1"/>
  <c r="U201" i="1"/>
  <c r="V201" i="1" s="1"/>
  <c r="AB216" i="1"/>
  <c r="AL203" i="1"/>
  <c r="T203" i="1"/>
  <c r="AL224" i="1"/>
  <c r="T224" i="1"/>
  <c r="T166" i="1"/>
  <c r="AC187" i="1"/>
  <c r="O202" i="1"/>
  <c r="L202" i="1"/>
  <c r="K202" i="1"/>
  <c r="J202" i="1"/>
  <c r="I202" i="1" s="1"/>
  <c r="U205" i="1"/>
  <c r="V205" i="1" s="1"/>
  <c r="AI206" i="1"/>
  <c r="O206" i="1"/>
  <c r="L206" i="1"/>
  <c r="K206" i="1"/>
  <c r="J206" i="1"/>
  <c r="I206" i="1" s="1"/>
  <c r="X186" i="1"/>
  <c r="AB187" i="1"/>
  <c r="L211" i="1"/>
  <c r="J211" i="1"/>
  <c r="I211" i="1" s="1"/>
  <c r="AI211" i="1"/>
  <c r="O211" i="1"/>
  <c r="K211" i="1"/>
  <c r="AL216" i="1"/>
  <c r="T216" i="1"/>
  <c r="AL211" i="1"/>
  <c r="T211" i="1"/>
  <c r="L214" i="1"/>
  <c r="J214" i="1"/>
  <c r="I214" i="1" s="1"/>
  <c r="O223" i="1"/>
  <c r="L223" i="1"/>
  <c r="K223" i="1"/>
  <c r="J223" i="1"/>
  <c r="I223" i="1" s="1"/>
  <c r="O192" i="1"/>
  <c r="O196" i="1"/>
  <c r="O200" i="1"/>
  <c r="AI201" i="1"/>
  <c r="O204" i="1"/>
  <c r="AI205" i="1"/>
  <c r="AL206" i="1"/>
  <c r="X207" i="1"/>
  <c r="AL208" i="1"/>
  <c r="T208" i="1"/>
  <c r="AL214" i="1"/>
  <c r="T214" i="1"/>
  <c r="AL228" i="1"/>
  <c r="T228" i="1"/>
  <c r="AB232" i="1"/>
  <c r="J205" i="1"/>
  <c r="I205" i="1" s="1"/>
  <c r="O207" i="1"/>
  <c r="L215" i="1"/>
  <c r="J215" i="1"/>
  <c r="I215" i="1" s="1"/>
  <c r="AL217" i="1"/>
  <c r="T217" i="1"/>
  <c r="L219" i="1"/>
  <c r="J219" i="1"/>
  <c r="I219" i="1" s="1"/>
  <c r="O227" i="1"/>
  <c r="L227" i="1"/>
  <c r="K227" i="1"/>
  <c r="J227" i="1"/>
  <c r="I227" i="1" s="1"/>
  <c r="AI192" i="1"/>
  <c r="U194" i="1"/>
  <c r="V194" i="1" s="1"/>
  <c r="AI196" i="1"/>
  <c r="U198" i="1"/>
  <c r="V198" i="1" s="1"/>
  <c r="AI200" i="1"/>
  <c r="K201" i="1"/>
  <c r="U202" i="1"/>
  <c r="V202" i="1" s="1"/>
  <c r="AC202" i="1" s="1"/>
  <c r="O203" i="1"/>
  <c r="AI204" i="1"/>
  <c r="K205" i="1"/>
  <c r="K214" i="1"/>
  <c r="AL215" i="1"/>
  <c r="T215" i="1"/>
  <c r="AL219" i="1"/>
  <c r="T219" i="1"/>
  <c r="AL221" i="1"/>
  <c r="AL232" i="1"/>
  <c r="T232" i="1"/>
  <c r="T189" i="1"/>
  <c r="J192" i="1"/>
  <c r="I192" i="1" s="1"/>
  <c r="T193" i="1"/>
  <c r="J196" i="1"/>
  <c r="I196" i="1" s="1"/>
  <c r="T197" i="1"/>
  <c r="J200" i="1"/>
  <c r="I200" i="1" s="1"/>
  <c r="J204" i="1"/>
  <c r="I204" i="1" s="1"/>
  <c r="AL209" i="1"/>
  <c r="T209" i="1"/>
  <c r="AL212" i="1"/>
  <c r="T212" i="1"/>
  <c r="AB224" i="1"/>
  <c r="O231" i="1"/>
  <c r="L231" i="1"/>
  <c r="K231" i="1"/>
  <c r="J231" i="1"/>
  <c r="I231" i="1" s="1"/>
  <c r="AI191" i="1"/>
  <c r="K192" i="1"/>
  <c r="AI195" i="1"/>
  <c r="K196" i="1"/>
  <c r="AI199" i="1"/>
  <c r="K200" i="1"/>
  <c r="AI203" i="1"/>
  <c r="K204" i="1"/>
  <c r="J207" i="1"/>
  <c r="I207" i="1" s="1"/>
  <c r="AB208" i="1"/>
  <c r="L210" i="1"/>
  <c r="J210" i="1"/>
  <c r="I210" i="1" s="1"/>
  <c r="O214" i="1"/>
  <c r="K215" i="1"/>
  <c r="AB218" i="1"/>
  <c r="AL220" i="1"/>
  <c r="T220" i="1"/>
  <c r="AL225" i="1"/>
  <c r="AL210" i="1"/>
  <c r="T210" i="1"/>
  <c r="AB220" i="1"/>
  <c r="AB228" i="1"/>
  <c r="AI234" i="1"/>
  <c r="J222" i="1"/>
  <c r="I222" i="1" s="1"/>
  <c r="T223" i="1"/>
  <c r="J226" i="1"/>
  <c r="I226" i="1" s="1"/>
  <c r="T227" i="1"/>
  <c r="J230" i="1"/>
  <c r="I230" i="1" s="1"/>
  <c r="T231" i="1"/>
  <c r="J234" i="1"/>
  <c r="I234" i="1" s="1"/>
  <c r="AI233" i="1"/>
  <c r="K234" i="1"/>
  <c r="J209" i="1"/>
  <c r="I209" i="1" s="1"/>
  <c r="J213" i="1"/>
  <c r="I213" i="1" s="1"/>
  <c r="J217" i="1"/>
  <c r="I217" i="1" s="1"/>
  <c r="T218" i="1"/>
  <c r="J221" i="1"/>
  <c r="I221" i="1" s="1"/>
  <c r="T222" i="1"/>
  <c r="J225" i="1"/>
  <c r="I225" i="1" s="1"/>
  <c r="T226" i="1"/>
  <c r="J229" i="1"/>
  <c r="I229" i="1" s="1"/>
  <c r="T230" i="1"/>
  <c r="J233" i="1"/>
  <c r="I233" i="1" s="1"/>
  <c r="T234" i="1"/>
  <c r="AI232" i="1"/>
  <c r="K233" i="1"/>
  <c r="T221" i="1"/>
  <c r="T225" i="1"/>
  <c r="T229" i="1"/>
  <c r="T233" i="1"/>
  <c r="W57" i="1" l="1"/>
  <c r="AA57" i="1" s="1"/>
  <c r="AD57" i="1"/>
  <c r="AC57" i="1"/>
  <c r="W178" i="1"/>
  <c r="AA178" i="1" s="1"/>
  <c r="AD178" i="1"/>
  <c r="AC178" i="1"/>
  <c r="W113" i="1"/>
  <c r="AA113" i="1" s="1"/>
  <c r="AD113" i="1"/>
  <c r="AC113" i="1"/>
  <c r="W55" i="1"/>
  <c r="AA55" i="1" s="1"/>
  <c r="AD55" i="1"/>
  <c r="AC55" i="1"/>
  <c r="W39" i="1"/>
  <c r="AA39" i="1" s="1"/>
  <c r="AD39" i="1"/>
  <c r="AC39" i="1"/>
  <c r="W110" i="1"/>
  <c r="AA110" i="1" s="1"/>
  <c r="AD110" i="1"/>
  <c r="AC110" i="1"/>
  <c r="AC58" i="1"/>
  <c r="AD58" i="1"/>
  <c r="W58" i="1"/>
  <c r="AA58" i="1" s="1"/>
  <c r="W182" i="1"/>
  <c r="AA182" i="1" s="1"/>
  <c r="AD182" i="1"/>
  <c r="AE182" i="1" s="1"/>
  <c r="AC182" i="1"/>
  <c r="W118" i="1"/>
  <c r="AA118" i="1" s="1"/>
  <c r="AD118" i="1"/>
  <c r="AC118" i="1"/>
  <c r="W33" i="1"/>
  <c r="AA33" i="1" s="1"/>
  <c r="AD33" i="1"/>
  <c r="AC33" i="1"/>
  <c r="AD205" i="1"/>
  <c r="AE205" i="1" s="1"/>
  <c r="W205" i="1"/>
  <c r="AA205" i="1" s="1"/>
  <c r="AB155" i="1"/>
  <c r="AB30" i="1"/>
  <c r="U233" i="1"/>
  <c r="V233" i="1" s="1"/>
  <c r="U230" i="1"/>
  <c r="V230" i="1" s="1"/>
  <c r="AB213" i="1"/>
  <c r="AB226" i="1"/>
  <c r="AB231" i="1"/>
  <c r="U212" i="1"/>
  <c r="V212" i="1" s="1"/>
  <c r="U193" i="1"/>
  <c r="V193" i="1" s="1"/>
  <c r="U215" i="1"/>
  <c r="V215" i="1" s="1"/>
  <c r="W190" i="1"/>
  <c r="AA190" i="1" s="1"/>
  <c r="AD190" i="1"/>
  <c r="AE190" i="1" s="1"/>
  <c r="U175" i="1"/>
  <c r="V175" i="1" s="1"/>
  <c r="U195" i="1"/>
  <c r="V195" i="1" s="1"/>
  <c r="AC190" i="1"/>
  <c r="U199" i="1"/>
  <c r="V199" i="1" s="1"/>
  <c r="AB193" i="1"/>
  <c r="R193" i="1"/>
  <c r="P193" i="1" s="1"/>
  <c r="S193" i="1" s="1"/>
  <c r="M193" i="1" s="1"/>
  <c r="N193" i="1" s="1"/>
  <c r="M186" i="1"/>
  <c r="N186" i="1" s="1"/>
  <c r="U154" i="1"/>
  <c r="V154" i="1" s="1"/>
  <c r="AB171" i="1"/>
  <c r="AB154" i="1"/>
  <c r="R154" i="1"/>
  <c r="P154" i="1" s="1"/>
  <c r="S154" i="1" s="1"/>
  <c r="M154" i="1" s="1"/>
  <c r="N154" i="1" s="1"/>
  <c r="AD170" i="1"/>
  <c r="AE170" i="1" s="1"/>
  <c r="W170" i="1"/>
  <c r="AA170" i="1" s="1"/>
  <c r="U139" i="1"/>
  <c r="V139" i="1" s="1"/>
  <c r="U123" i="1"/>
  <c r="V123" i="1" s="1"/>
  <c r="AB184" i="1"/>
  <c r="AD152" i="1"/>
  <c r="AE152" i="1" s="1"/>
  <c r="W152" i="1"/>
  <c r="AA152" i="1" s="1"/>
  <c r="AB123" i="1"/>
  <c r="U150" i="1"/>
  <c r="V150" i="1" s="1"/>
  <c r="U141" i="1"/>
  <c r="V141" i="1" s="1"/>
  <c r="AD165" i="1"/>
  <c r="AE165" i="1" s="1"/>
  <c r="W165" i="1"/>
  <c r="AA165" i="1" s="1"/>
  <c r="AC165" i="1"/>
  <c r="M148" i="1"/>
  <c r="N148" i="1" s="1"/>
  <c r="R114" i="1"/>
  <c r="P114" i="1" s="1"/>
  <c r="S114" i="1" s="1"/>
  <c r="M114" i="1" s="1"/>
  <c r="N114" i="1" s="1"/>
  <c r="U114" i="1"/>
  <c r="V114" i="1" s="1"/>
  <c r="AB114" i="1"/>
  <c r="U119" i="1"/>
  <c r="V119" i="1" s="1"/>
  <c r="AD144" i="1"/>
  <c r="W144" i="1"/>
  <c r="AA144" i="1" s="1"/>
  <c r="AB106" i="1"/>
  <c r="AB85" i="1"/>
  <c r="AB103" i="1"/>
  <c r="R103" i="1"/>
  <c r="P103" i="1" s="1"/>
  <c r="S103" i="1" s="1"/>
  <c r="M103" i="1" s="1"/>
  <c r="N103" i="1" s="1"/>
  <c r="U93" i="1"/>
  <c r="V93" i="1" s="1"/>
  <c r="AB45" i="1"/>
  <c r="U22" i="1"/>
  <c r="V22" i="1" s="1"/>
  <c r="W23" i="1"/>
  <c r="AA23" i="1" s="1"/>
  <c r="AD23" i="1"/>
  <c r="AE23" i="1" s="1"/>
  <c r="AB83" i="1"/>
  <c r="AB51" i="1"/>
  <c r="R51" i="1"/>
  <c r="P51" i="1" s="1"/>
  <c r="S51" i="1" s="1"/>
  <c r="M51" i="1" s="1"/>
  <c r="N51" i="1" s="1"/>
  <c r="U32" i="1"/>
  <c r="V32" i="1" s="1"/>
  <c r="U45" i="1"/>
  <c r="V45" i="1" s="1"/>
  <c r="AD46" i="1"/>
  <c r="AE46" i="1" s="1"/>
  <c r="W46" i="1"/>
  <c r="AA46" i="1" s="1"/>
  <c r="U162" i="1"/>
  <c r="V162" i="1" s="1"/>
  <c r="AB158" i="1"/>
  <c r="U143" i="1"/>
  <c r="V143" i="1" s="1"/>
  <c r="AB100" i="1"/>
  <c r="W19" i="1"/>
  <c r="AA19" i="1" s="1"/>
  <c r="AD19" i="1"/>
  <c r="U227" i="1"/>
  <c r="V227" i="1" s="1"/>
  <c r="W200" i="1"/>
  <c r="AA200" i="1" s="1"/>
  <c r="AD200" i="1"/>
  <c r="AC200" i="1"/>
  <c r="AB126" i="1"/>
  <c r="AB96" i="1"/>
  <c r="U229" i="1"/>
  <c r="V229" i="1" s="1"/>
  <c r="AB229" i="1"/>
  <c r="R229" i="1"/>
  <c r="P229" i="1" s="1"/>
  <c r="S229" i="1" s="1"/>
  <c r="M229" i="1" s="1"/>
  <c r="N229" i="1" s="1"/>
  <c r="AB209" i="1"/>
  <c r="U223" i="1"/>
  <c r="V223" i="1" s="1"/>
  <c r="U210" i="1"/>
  <c r="V210" i="1" s="1"/>
  <c r="AB192" i="1"/>
  <c r="R192" i="1"/>
  <c r="P192" i="1" s="1"/>
  <c r="S192" i="1" s="1"/>
  <c r="M192" i="1" s="1"/>
  <c r="N192" i="1" s="1"/>
  <c r="U192" i="1"/>
  <c r="V192" i="1" s="1"/>
  <c r="W198" i="1"/>
  <c r="AA198" i="1" s="1"/>
  <c r="AD198" i="1"/>
  <c r="U208" i="1"/>
  <c r="V208" i="1" s="1"/>
  <c r="AB214" i="1"/>
  <c r="AB206" i="1"/>
  <c r="AC205" i="1"/>
  <c r="W186" i="1"/>
  <c r="AA186" i="1" s="1"/>
  <c r="AD186" i="1"/>
  <c r="U164" i="1"/>
  <c r="V164" i="1" s="1"/>
  <c r="W174" i="1"/>
  <c r="AA174" i="1" s="1"/>
  <c r="AD174" i="1"/>
  <c r="AE174" i="1" s="1"/>
  <c r="U167" i="1"/>
  <c r="V167" i="1" s="1"/>
  <c r="U151" i="1"/>
  <c r="V151" i="1" s="1"/>
  <c r="AB167" i="1"/>
  <c r="AB156" i="1"/>
  <c r="AB159" i="1"/>
  <c r="AB138" i="1"/>
  <c r="AB122" i="1"/>
  <c r="U122" i="1"/>
  <c r="V122" i="1" s="1"/>
  <c r="AD148" i="1"/>
  <c r="AE148" i="1" s="1"/>
  <c r="W148" i="1"/>
  <c r="AA148" i="1" s="1"/>
  <c r="AB119" i="1"/>
  <c r="AC152" i="1"/>
  <c r="U137" i="1"/>
  <c r="V137" i="1" s="1"/>
  <c r="U160" i="1"/>
  <c r="V160" i="1" s="1"/>
  <c r="U128" i="1"/>
  <c r="V128" i="1" s="1"/>
  <c r="AB128" i="1"/>
  <c r="U132" i="1"/>
  <c r="V132" i="1" s="1"/>
  <c r="R132" i="1" s="1"/>
  <c r="P132" i="1" s="1"/>
  <c r="S132" i="1" s="1"/>
  <c r="M132" i="1" s="1"/>
  <c r="N132" i="1" s="1"/>
  <c r="AB132" i="1"/>
  <c r="U117" i="1"/>
  <c r="V117" i="1" s="1"/>
  <c r="AB146" i="1"/>
  <c r="AB81" i="1"/>
  <c r="AB111" i="1"/>
  <c r="AB90" i="1"/>
  <c r="R90" i="1"/>
  <c r="P90" i="1" s="1"/>
  <c r="S90" i="1" s="1"/>
  <c r="M90" i="1" s="1"/>
  <c r="N90" i="1" s="1"/>
  <c r="AB99" i="1"/>
  <c r="U95" i="1"/>
  <c r="V95" i="1" s="1"/>
  <c r="R95" i="1" s="1"/>
  <c r="P95" i="1" s="1"/>
  <c r="S95" i="1" s="1"/>
  <c r="M95" i="1" s="1"/>
  <c r="N95" i="1" s="1"/>
  <c r="AB95" i="1"/>
  <c r="AB41" i="1"/>
  <c r="U18" i="1"/>
  <c r="V18" i="1" s="1"/>
  <c r="AB74" i="1"/>
  <c r="R74" i="1"/>
  <c r="P74" i="1" s="1"/>
  <c r="S74" i="1" s="1"/>
  <c r="M74" i="1" s="1"/>
  <c r="N74" i="1" s="1"/>
  <c r="U74" i="1"/>
  <c r="V74" i="1" s="1"/>
  <c r="U61" i="1"/>
  <c r="V61" i="1" s="1"/>
  <c r="AB116" i="1"/>
  <c r="U116" i="1"/>
  <c r="V116" i="1" s="1"/>
  <c r="U48" i="1"/>
  <c r="V48" i="1" s="1"/>
  <c r="U28" i="1"/>
  <c r="V28" i="1" s="1"/>
  <c r="AB75" i="1"/>
  <c r="R75" i="1"/>
  <c r="P75" i="1" s="1"/>
  <c r="S75" i="1" s="1"/>
  <c r="M75" i="1" s="1"/>
  <c r="N75" i="1" s="1"/>
  <c r="AC54" i="1"/>
  <c r="AD54" i="1"/>
  <c r="W54" i="1"/>
  <c r="AA54" i="1" s="1"/>
  <c r="AC46" i="1"/>
  <c r="AB38" i="1"/>
  <c r="R38" i="1"/>
  <c r="P38" i="1" s="1"/>
  <c r="S38" i="1" s="1"/>
  <c r="M38" i="1" s="1"/>
  <c r="N38" i="1" s="1"/>
  <c r="AB207" i="1"/>
  <c r="R207" i="1"/>
  <c r="P207" i="1" s="1"/>
  <c r="S207" i="1" s="1"/>
  <c r="M207" i="1" s="1"/>
  <c r="N207" i="1" s="1"/>
  <c r="U207" i="1"/>
  <c r="V207" i="1" s="1"/>
  <c r="U191" i="1"/>
  <c r="V191" i="1" s="1"/>
  <c r="U153" i="1"/>
  <c r="V153" i="1" s="1"/>
  <c r="U127" i="1"/>
  <c r="V127" i="1" s="1"/>
  <c r="AB137" i="1"/>
  <c r="R137" i="1"/>
  <c r="P137" i="1" s="1"/>
  <c r="S137" i="1" s="1"/>
  <c r="M137" i="1" s="1"/>
  <c r="N137" i="1" s="1"/>
  <c r="U125" i="1"/>
  <c r="V125" i="1" s="1"/>
  <c r="W130" i="1"/>
  <c r="AA130" i="1" s="1"/>
  <c r="AD130" i="1"/>
  <c r="AC130" i="1"/>
  <c r="U121" i="1"/>
  <c r="V121" i="1" s="1"/>
  <c r="U88" i="1"/>
  <c r="V88" i="1" s="1"/>
  <c r="U26" i="1"/>
  <c r="V26" i="1" s="1"/>
  <c r="W27" i="1"/>
  <c r="AA27" i="1" s="1"/>
  <c r="AD27" i="1"/>
  <c r="AD94" i="1"/>
  <c r="W94" i="1"/>
  <c r="AA94" i="1" s="1"/>
  <c r="AB39" i="1"/>
  <c r="R39" i="1"/>
  <c r="P39" i="1" s="1"/>
  <c r="S39" i="1" s="1"/>
  <c r="M39" i="1" s="1"/>
  <c r="N39" i="1" s="1"/>
  <c r="U76" i="1"/>
  <c r="V76" i="1" s="1"/>
  <c r="AD50" i="1"/>
  <c r="W50" i="1"/>
  <c r="AA50" i="1" s="1"/>
  <c r="U158" i="1"/>
  <c r="V158" i="1" s="1"/>
  <c r="AB172" i="1"/>
  <c r="AB110" i="1"/>
  <c r="R110" i="1"/>
  <c r="P110" i="1" s="1"/>
  <c r="S110" i="1" s="1"/>
  <c r="M110" i="1" s="1"/>
  <c r="N110" i="1" s="1"/>
  <c r="W87" i="1"/>
  <c r="AA87" i="1" s="1"/>
  <c r="AD87" i="1"/>
  <c r="AB63" i="1"/>
  <c r="W17" i="1"/>
  <c r="AA17" i="1" s="1"/>
  <c r="AD17" i="1"/>
  <c r="AE17" i="1" s="1"/>
  <c r="AC17" i="1"/>
  <c r="AB58" i="1"/>
  <c r="R58" i="1"/>
  <c r="P58" i="1" s="1"/>
  <c r="S58" i="1" s="1"/>
  <c r="M58" i="1" s="1"/>
  <c r="N58" i="1" s="1"/>
  <c r="U225" i="1"/>
  <c r="V225" i="1" s="1"/>
  <c r="U226" i="1"/>
  <c r="V226" i="1" s="1"/>
  <c r="AB222" i="1"/>
  <c r="AB210" i="1"/>
  <c r="R210" i="1"/>
  <c r="P210" i="1" s="1"/>
  <c r="S210" i="1" s="1"/>
  <c r="M210" i="1" s="1"/>
  <c r="N210" i="1" s="1"/>
  <c r="U209" i="1"/>
  <c r="V209" i="1" s="1"/>
  <c r="U189" i="1"/>
  <c r="V189" i="1" s="1"/>
  <c r="AB219" i="1"/>
  <c r="AB205" i="1"/>
  <c r="R205" i="1"/>
  <c r="P205" i="1" s="1"/>
  <c r="S205" i="1" s="1"/>
  <c r="M205" i="1" s="1"/>
  <c r="N205" i="1" s="1"/>
  <c r="AB211" i="1"/>
  <c r="U203" i="1"/>
  <c r="V203" i="1" s="1"/>
  <c r="U185" i="1"/>
  <c r="V185" i="1" s="1"/>
  <c r="M201" i="1"/>
  <c r="N201" i="1" s="1"/>
  <c r="W181" i="1"/>
  <c r="AA181" i="1" s="1"/>
  <c r="AD181" i="1"/>
  <c r="AC181" i="1"/>
  <c r="U163" i="1"/>
  <c r="V163" i="1" s="1"/>
  <c r="R190" i="1"/>
  <c r="P190" i="1" s="1"/>
  <c r="S190" i="1" s="1"/>
  <c r="M190" i="1" s="1"/>
  <c r="N190" i="1" s="1"/>
  <c r="W173" i="1"/>
  <c r="AA173" i="1" s="1"/>
  <c r="AD173" i="1"/>
  <c r="AC173" i="1"/>
  <c r="AB183" i="1"/>
  <c r="AB175" i="1"/>
  <c r="R175" i="1"/>
  <c r="P175" i="1" s="1"/>
  <c r="S175" i="1" s="1"/>
  <c r="M175" i="1" s="1"/>
  <c r="N175" i="1" s="1"/>
  <c r="U147" i="1"/>
  <c r="V147" i="1" s="1"/>
  <c r="U135" i="1"/>
  <c r="V135" i="1" s="1"/>
  <c r="R118" i="1"/>
  <c r="P118" i="1" s="1"/>
  <c r="S118" i="1" s="1"/>
  <c r="M118" i="1" s="1"/>
  <c r="N118" i="1" s="1"/>
  <c r="AB118" i="1"/>
  <c r="U133" i="1"/>
  <c r="V133" i="1" s="1"/>
  <c r="AB150" i="1"/>
  <c r="R150" i="1"/>
  <c r="P150" i="1" s="1"/>
  <c r="S150" i="1" s="1"/>
  <c r="M150" i="1" s="1"/>
  <c r="N150" i="1" s="1"/>
  <c r="U124" i="1"/>
  <c r="V124" i="1" s="1"/>
  <c r="R124" i="1" s="1"/>
  <c r="P124" i="1" s="1"/>
  <c r="S124" i="1" s="1"/>
  <c r="M124" i="1" s="1"/>
  <c r="N124" i="1" s="1"/>
  <c r="AB124" i="1"/>
  <c r="AB117" i="1"/>
  <c r="R117" i="1"/>
  <c r="P117" i="1" s="1"/>
  <c r="S117" i="1" s="1"/>
  <c r="M117" i="1" s="1"/>
  <c r="N117" i="1" s="1"/>
  <c r="U111" i="1"/>
  <c r="V111" i="1" s="1"/>
  <c r="R111" i="1" s="1"/>
  <c r="P111" i="1" s="1"/>
  <c r="S111" i="1" s="1"/>
  <c r="M111" i="1" s="1"/>
  <c r="N111" i="1" s="1"/>
  <c r="U149" i="1"/>
  <c r="V149" i="1" s="1"/>
  <c r="U138" i="1"/>
  <c r="V138" i="1" s="1"/>
  <c r="W145" i="1"/>
  <c r="AA145" i="1" s="1"/>
  <c r="AD145" i="1"/>
  <c r="U115" i="1"/>
  <c r="V115" i="1" s="1"/>
  <c r="W102" i="1"/>
  <c r="AA102" i="1" s="1"/>
  <c r="AD102" i="1"/>
  <c r="AB77" i="1"/>
  <c r="U73" i="1"/>
  <c r="V73" i="1" s="1"/>
  <c r="W79" i="1"/>
  <c r="AA79" i="1" s="1"/>
  <c r="AD79" i="1"/>
  <c r="U69" i="1"/>
  <c r="V69" i="1" s="1"/>
  <c r="R37" i="1"/>
  <c r="P37" i="1" s="1"/>
  <c r="S37" i="1" s="1"/>
  <c r="M37" i="1" s="1"/>
  <c r="N37" i="1" s="1"/>
  <c r="AB37" i="1"/>
  <c r="U72" i="1"/>
  <c r="V72" i="1" s="1"/>
  <c r="AD67" i="1"/>
  <c r="AE67" i="1" s="1"/>
  <c r="W67" i="1"/>
  <c r="AA67" i="1" s="1"/>
  <c r="W51" i="1"/>
  <c r="AA51" i="1" s="1"/>
  <c r="AD51" i="1"/>
  <c r="AE51" i="1" s="1"/>
  <c r="W35" i="1"/>
  <c r="AA35" i="1" s="1"/>
  <c r="AD35" i="1"/>
  <c r="AD75" i="1"/>
  <c r="W75" i="1"/>
  <c r="AA75" i="1" s="1"/>
  <c r="AC75" i="1"/>
  <c r="U60" i="1"/>
  <c r="V60" i="1" s="1"/>
  <c r="AB47" i="1"/>
  <c r="U24" i="1"/>
  <c r="V24" i="1" s="1"/>
  <c r="U41" i="1"/>
  <c r="V41" i="1" s="1"/>
  <c r="R44" i="1"/>
  <c r="P44" i="1" s="1"/>
  <c r="S44" i="1" s="1"/>
  <c r="M44" i="1" s="1"/>
  <c r="N44" i="1" s="1"/>
  <c r="AB44" i="1"/>
  <c r="AB34" i="1"/>
  <c r="AB27" i="1"/>
  <c r="R27" i="1"/>
  <c r="P27" i="1" s="1"/>
  <c r="S27" i="1" s="1"/>
  <c r="M27" i="1" s="1"/>
  <c r="N27" i="1" s="1"/>
  <c r="AB18" i="1"/>
  <c r="R18" i="1"/>
  <c r="P18" i="1" s="1"/>
  <c r="S18" i="1" s="1"/>
  <c r="M18" i="1" s="1"/>
  <c r="N18" i="1" s="1"/>
  <c r="AD66" i="1"/>
  <c r="AE66" i="1" s="1"/>
  <c r="W66" i="1"/>
  <c r="AA66" i="1" s="1"/>
  <c r="AC66" i="1"/>
  <c r="AD38" i="1"/>
  <c r="AE38" i="1" s="1"/>
  <c r="W38" i="1"/>
  <c r="AA38" i="1" s="1"/>
  <c r="AB46" i="1"/>
  <c r="R46" i="1"/>
  <c r="P46" i="1" s="1"/>
  <c r="S46" i="1" s="1"/>
  <c r="M46" i="1" s="1"/>
  <c r="N46" i="1" s="1"/>
  <c r="AB40" i="1"/>
  <c r="U37" i="1"/>
  <c r="V37" i="1" s="1"/>
  <c r="W21" i="1"/>
  <c r="AA21" i="1" s="1"/>
  <c r="AD21" i="1"/>
  <c r="AC21" i="1"/>
  <c r="AB35" i="1"/>
  <c r="R35" i="1"/>
  <c r="P35" i="1" s="1"/>
  <c r="S35" i="1" s="1"/>
  <c r="M35" i="1" s="1"/>
  <c r="N35" i="1" s="1"/>
  <c r="U234" i="1"/>
  <c r="V234" i="1" s="1"/>
  <c r="W202" i="1"/>
  <c r="AA202" i="1" s="1"/>
  <c r="AD202" i="1"/>
  <c r="U166" i="1"/>
  <c r="V166" i="1" s="1"/>
  <c r="U179" i="1"/>
  <c r="V179" i="1" s="1"/>
  <c r="AB53" i="1"/>
  <c r="W59" i="1"/>
  <c r="AA59" i="1" s="1"/>
  <c r="AD59" i="1"/>
  <c r="U89" i="1"/>
  <c r="V89" i="1" s="1"/>
  <c r="AB89" i="1"/>
  <c r="R89" i="1"/>
  <c r="P89" i="1" s="1"/>
  <c r="S89" i="1" s="1"/>
  <c r="M89" i="1" s="1"/>
  <c r="N89" i="1" s="1"/>
  <c r="AB55" i="1"/>
  <c r="R55" i="1"/>
  <c r="P55" i="1" s="1"/>
  <c r="S55" i="1" s="1"/>
  <c r="M55" i="1" s="1"/>
  <c r="N55" i="1" s="1"/>
  <c r="AD62" i="1"/>
  <c r="AE62" i="1" s="1"/>
  <c r="AC62" i="1"/>
  <c r="W62" i="1"/>
  <c r="AA62" i="1" s="1"/>
  <c r="AB217" i="1"/>
  <c r="AB215" i="1"/>
  <c r="R215" i="1"/>
  <c r="P215" i="1" s="1"/>
  <c r="S215" i="1" s="1"/>
  <c r="M215" i="1" s="1"/>
  <c r="N215" i="1" s="1"/>
  <c r="AB202" i="1"/>
  <c r="R202" i="1"/>
  <c r="P202" i="1" s="1"/>
  <c r="S202" i="1" s="1"/>
  <c r="M202" i="1" s="1"/>
  <c r="N202" i="1" s="1"/>
  <c r="AB178" i="1"/>
  <c r="R178" i="1"/>
  <c r="P178" i="1" s="1"/>
  <c r="S178" i="1" s="1"/>
  <c r="M178" i="1" s="1"/>
  <c r="N178" i="1" s="1"/>
  <c r="U171" i="1"/>
  <c r="V171" i="1" s="1"/>
  <c r="R171" i="1" s="1"/>
  <c r="P171" i="1" s="1"/>
  <c r="S171" i="1" s="1"/>
  <c r="M171" i="1" s="1"/>
  <c r="N171" i="1" s="1"/>
  <c r="AD169" i="1"/>
  <c r="W169" i="1"/>
  <c r="AA169" i="1" s="1"/>
  <c r="AC169" i="1"/>
  <c r="R160" i="1"/>
  <c r="P160" i="1" s="1"/>
  <c r="S160" i="1" s="1"/>
  <c r="M160" i="1" s="1"/>
  <c r="N160" i="1" s="1"/>
  <c r="AB160" i="1"/>
  <c r="AB153" i="1"/>
  <c r="R153" i="1"/>
  <c r="P153" i="1" s="1"/>
  <c r="S153" i="1" s="1"/>
  <c r="M153" i="1" s="1"/>
  <c r="N153" i="1" s="1"/>
  <c r="U65" i="1"/>
  <c r="V65" i="1" s="1"/>
  <c r="U80" i="1"/>
  <c r="V80" i="1" s="1"/>
  <c r="U86" i="1"/>
  <c r="V86" i="1" s="1"/>
  <c r="AB86" i="1"/>
  <c r="AB20" i="1"/>
  <c r="R20" i="1"/>
  <c r="P20" i="1" s="1"/>
  <c r="S20" i="1" s="1"/>
  <c r="M20" i="1" s="1"/>
  <c r="N20" i="1" s="1"/>
  <c r="U221" i="1"/>
  <c r="V221" i="1" s="1"/>
  <c r="AB225" i="1"/>
  <c r="R225" i="1"/>
  <c r="P225" i="1" s="1"/>
  <c r="S225" i="1" s="1"/>
  <c r="M225" i="1" s="1"/>
  <c r="N225" i="1" s="1"/>
  <c r="U232" i="1"/>
  <c r="V232" i="1" s="1"/>
  <c r="W194" i="1"/>
  <c r="AA194" i="1" s="1"/>
  <c r="AD194" i="1"/>
  <c r="U211" i="1"/>
  <c r="V211" i="1" s="1"/>
  <c r="R211" i="1" s="1"/>
  <c r="P211" i="1" s="1"/>
  <c r="S211" i="1" s="1"/>
  <c r="M211" i="1" s="1"/>
  <c r="N211" i="1" s="1"/>
  <c r="AB194" i="1"/>
  <c r="R194" i="1"/>
  <c r="P194" i="1" s="1"/>
  <c r="S194" i="1" s="1"/>
  <c r="M194" i="1" s="1"/>
  <c r="N194" i="1" s="1"/>
  <c r="AB198" i="1"/>
  <c r="R198" i="1"/>
  <c r="P198" i="1" s="1"/>
  <c r="S198" i="1" s="1"/>
  <c r="M198" i="1" s="1"/>
  <c r="N198" i="1" s="1"/>
  <c r="AB197" i="1"/>
  <c r="R170" i="1"/>
  <c r="P170" i="1" s="1"/>
  <c r="S170" i="1" s="1"/>
  <c r="M170" i="1" s="1"/>
  <c r="N170" i="1" s="1"/>
  <c r="AB151" i="1"/>
  <c r="R151" i="1"/>
  <c r="P151" i="1" s="1"/>
  <c r="S151" i="1" s="1"/>
  <c r="M151" i="1" s="1"/>
  <c r="N151" i="1" s="1"/>
  <c r="R134" i="1"/>
  <c r="P134" i="1" s="1"/>
  <c r="S134" i="1" s="1"/>
  <c r="M134" i="1" s="1"/>
  <c r="N134" i="1" s="1"/>
  <c r="AB134" i="1"/>
  <c r="R174" i="1"/>
  <c r="P174" i="1" s="1"/>
  <c r="S174" i="1" s="1"/>
  <c r="M174" i="1" s="1"/>
  <c r="N174" i="1" s="1"/>
  <c r="AB143" i="1"/>
  <c r="R143" i="1"/>
  <c r="P143" i="1" s="1"/>
  <c r="S143" i="1" s="1"/>
  <c r="M143" i="1" s="1"/>
  <c r="N143" i="1" s="1"/>
  <c r="U129" i="1"/>
  <c r="V129" i="1" s="1"/>
  <c r="R145" i="1"/>
  <c r="P145" i="1" s="1"/>
  <c r="S145" i="1" s="1"/>
  <c r="M145" i="1" s="1"/>
  <c r="N145" i="1" s="1"/>
  <c r="U107" i="1"/>
  <c r="V107" i="1" s="1"/>
  <c r="U112" i="1"/>
  <c r="V112" i="1" s="1"/>
  <c r="AC145" i="1"/>
  <c r="AD101" i="1"/>
  <c r="AC101" i="1"/>
  <c r="W101" i="1"/>
  <c r="AA101" i="1" s="1"/>
  <c r="AB88" i="1"/>
  <c r="R88" i="1"/>
  <c r="P88" i="1" s="1"/>
  <c r="S88" i="1" s="1"/>
  <c r="M88" i="1" s="1"/>
  <c r="N88" i="1" s="1"/>
  <c r="W105" i="1"/>
  <c r="AA105" i="1" s="1"/>
  <c r="AD105" i="1"/>
  <c r="AC105" i="1"/>
  <c r="AC102" i="1"/>
  <c r="AB73" i="1"/>
  <c r="R73" i="1"/>
  <c r="P73" i="1" s="1"/>
  <c r="S73" i="1" s="1"/>
  <c r="M73" i="1" s="1"/>
  <c r="N73" i="1" s="1"/>
  <c r="R144" i="1"/>
  <c r="P144" i="1" s="1"/>
  <c r="S144" i="1" s="1"/>
  <c r="M144" i="1" s="1"/>
  <c r="N144" i="1" s="1"/>
  <c r="R33" i="1"/>
  <c r="P33" i="1" s="1"/>
  <c r="S33" i="1" s="1"/>
  <c r="M33" i="1" s="1"/>
  <c r="N33" i="1" s="1"/>
  <c r="AB33" i="1"/>
  <c r="AB71" i="1"/>
  <c r="R71" i="1"/>
  <c r="P71" i="1" s="1"/>
  <c r="S71" i="1" s="1"/>
  <c r="M71" i="1" s="1"/>
  <c r="N71" i="1" s="1"/>
  <c r="AC87" i="1"/>
  <c r="U82" i="1"/>
  <c r="V82" i="1" s="1"/>
  <c r="AB82" i="1"/>
  <c r="R82" i="1"/>
  <c r="P82" i="1" s="1"/>
  <c r="S82" i="1" s="1"/>
  <c r="M82" i="1" s="1"/>
  <c r="N82" i="1" s="1"/>
  <c r="U71" i="1"/>
  <c r="V71" i="1" s="1"/>
  <c r="U44" i="1"/>
  <c r="V44" i="1" s="1"/>
  <c r="U20" i="1"/>
  <c r="V20" i="1" s="1"/>
  <c r="AC23" i="1"/>
  <c r="AB56" i="1"/>
  <c r="R56" i="1"/>
  <c r="P56" i="1" s="1"/>
  <c r="S56" i="1" s="1"/>
  <c r="M56" i="1" s="1"/>
  <c r="N56" i="1" s="1"/>
  <c r="AB48" i="1"/>
  <c r="R48" i="1"/>
  <c r="P48" i="1" s="1"/>
  <c r="S48" i="1" s="1"/>
  <c r="M48" i="1" s="1"/>
  <c r="N48" i="1" s="1"/>
  <c r="AB23" i="1"/>
  <c r="R23" i="1"/>
  <c r="P23" i="1" s="1"/>
  <c r="S23" i="1" s="1"/>
  <c r="M23" i="1" s="1"/>
  <c r="N23" i="1" s="1"/>
  <c r="AB22" i="1"/>
  <c r="R22" i="1"/>
  <c r="P22" i="1" s="1"/>
  <c r="S22" i="1" s="1"/>
  <c r="M22" i="1" s="1"/>
  <c r="N22" i="1" s="1"/>
  <c r="U218" i="1"/>
  <c r="V218" i="1" s="1"/>
  <c r="U219" i="1"/>
  <c r="V219" i="1" s="1"/>
  <c r="U176" i="1"/>
  <c r="V176" i="1" s="1"/>
  <c r="AB180" i="1"/>
  <c r="AB91" i="1"/>
  <c r="W64" i="1"/>
  <c r="AA64" i="1" s="1"/>
  <c r="AC64" i="1"/>
  <c r="AD64" i="1"/>
  <c r="AB233" i="1"/>
  <c r="R233" i="1"/>
  <c r="P233" i="1" s="1"/>
  <c r="S233" i="1" s="1"/>
  <c r="M233" i="1" s="1"/>
  <c r="N233" i="1" s="1"/>
  <c r="AB196" i="1"/>
  <c r="U196" i="1"/>
  <c r="V196" i="1" s="1"/>
  <c r="R196" i="1" s="1"/>
  <c r="P196" i="1" s="1"/>
  <c r="S196" i="1" s="1"/>
  <c r="M196" i="1" s="1"/>
  <c r="N196" i="1" s="1"/>
  <c r="U224" i="1"/>
  <c r="V224" i="1" s="1"/>
  <c r="U213" i="1"/>
  <c r="V213" i="1" s="1"/>
  <c r="U168" i="1"/>
  <c r="V168" i="1" s="1"/>
  <c r="U155" i="1"/>
  <c r="V155" i="1" s="1"/>
  <c r="R142" i="1"/>
  <c r="P142" i="1" s="1"/>
  <c r="S142" i="1" s="1"/>
  <c r="M142" i="1" s="1"/>
  <c r="N142" i="1" s="1"/>
  <c r="AB142" i="1"/>
  <c r="U142" i="1"/>
  <c r="V142" i="1" s="1"/>
  <c r="R25" i="1"/>
  <c r="P25" i="1" s="1"/>
  <c r="S25" i="1" s="1"/>
  <c r="M25" i="1" s="1"/>
  <c r="N25" i="1" s="1"/>
  <c r="AB25" i="1"/>
  <c r="U78" i="1"/>
  <c r="V78" i="1" s="1"/>
  <c r="AB78" i="1"/>
  <c r="R78" i="1"/>
  <c r="P78" i="1" s="1"/>
  <c r="S78" i="1" s="1"/>
  <c r="M78" i="1" s="1"/>
  <c r="N78" i="1" s="1"/>
  <c r="U36" i="1"/>
  <c r="V36" i="1" s="1"/>
  <c r="AB26" i="1"/>
  <c r="R26" i="1"/>
  <c r="P26" i="1" s="1"/>
  <c r="S26" i="1" s="1"/>
  <c r="M26" i="1" s="1"/>
  <c r="N26" i="1" s="1"/>
  <c r="W29" i="1"/>
  <c r="AA29" i="1" s="1"/>
  <c r="AD29" i="1"/>
  <c r="AC29" i="1"/>
  <c r="U222" i="1"/>
  <c r="V222" i="1" s="1"/>
  <c r="AB234" i="1"/>
  <c r="R234" i="1"/>
  <c r="P234" i="1" s="1"/>
  <c r="S234" i="1" s="1"/>
  <c r="M234" i="1" s="1"/>
  <c r="N234" i="1" s="1"/>
  <c r="U220" i="1"/>
  <c r="V220" i="1" s="1"/>
  <c r="AB204" i="1"/>
  <c r="U204" i="1"/>
  <c r="V204" i="1" s="1"/>
  <c r="AB223" i="1"/>
  <c r="R223" i="1"/>
  <c r="P223" i="1" s="1"/>
  <c r="S223" i="1" s="1"/>
  <c r="M223" i="1" s="1"/>
  <c r="N223" i="1" s="1"/>
  <c r="U206" i="1"/>
  <c r="V206" i="1" s="1"/>
  <c r="R206" i="1" s="1"/>
  <c r="P206" i="1" s="1"/>
  <c r="S206" i="1" s="1"/>
  <c r="M206" i="1" s="1"/>
  <c r="N206" i="1" s="1"/>
  <c r="AC194" i="1"/>
  <c r="AD201" i="1"/>
  <c r="AE201" i="1" s="1"/>
  <c r="W201" i="1"/>
  <c r="AA201" i="1" s="1"/>
  <c r="U183" i="1"/>
  <c r="V183" i="1" s="1"/>
  <c r="R183" i="1" s="1"/>
  <c r="P183" i="1" s="1"/>
  <c r="S183" i="1" s="1"/>
  <c r="M183" i="1" s="1"/>
  <c r="N183" i="1" s="1"/>
  <c r="U184" i="1"/>
  <c r="V184" i="1" s="1"/>
  <c r="R177" i="1"/>
  <c r="P177" i="1" s="1"/>
  <c r="S177" i="1" s="1"/>
  <c r="M177" i="1" s="1"/>
  <c r="N177" i="1" s="1"/>
  <c r="AB177" i="1"/>
  <c r="U161" i="1"/>
  <c r="V161" i="1" s="1"/>
  <c r="R169" i="1"/>
  <c r="P169" i="1" s="1"/>
  <c r="S169" i="1" s="1"/>
  <c r="M169" i="1" s="1"/>
  <c r="N169" i="1" s="1"/>
  <c r="AB169" i="1"/>
  <c r="AB185" i="1"/>
  <c r="R185" i="1"/>
  <c r="P185" i="1" s="1"/>
  <c r="S185" i="1" s="1"/>
  <c r="M185" i="1" s="1"/>
  <c r="N185" i="1" s="1"/>
  <c r="R181" i="1"/>
  <c r="P181" i="1" s="1"/>
  <c r="S181" i="1" s="1"/>
  <c r="M181" i="1" s="1"/>
  <c r="N181" i="1" s="1"/>
  <c r="AB181" i="1"/>
  <c r="AB162" i="1"/>
  <c r="R162" i="1"/>
  <c r="P162" i="1" s="1"/>
  <c r="S162" i="1" s="1"/>
  <c r="M162" i="1" s="1"/>
  <c r="N162" i="1" s="1"/>
  <c r="AC186" i="1"/>
  <c r="U131" i="1"/>
  <c r="V131" i="1" s="1"/>
  <c r="AB139" i="1"/>
  <c r="R139" i="1"/>
  <c r="P139" i="1" s="1"/>
  <c r="S139" i="1" s="1"/>
  <c r="M139" i="1" s="1"/>
  <c r="N139" i="1" s="1"/>
  <c r="W187" i="1"/>
  <c r="AA187" i="1" s="1"/>
  <c r="AD187" i="1"/>
  <c r="AE187" i="1" s="1"/>
  <c r="AB161" i="1"/>
  <c r="R161" i="1"/>
  <c r="P161" i="1" s="1"/>
  <c r="S161" i="1" s="1"/>
  <c r="M161" i="1" s="1"/>
  <c r="N161" i="1" s="1"/>
  <c r="U156" i="1"/>
  <c r="V156" i="1" s="1"/>
  <c r="R156" i="1" s="1"/>
  <c r="P156" i="1" s="1"/>
  <c r="S156" i="1" s="1"/>
  <c r="M156" i="1" s="1"/>
  <c r="N156" i="1" s="1"/>
  <c r="AB113" i="1"/>
  <c r="R113" i="1"/>
  <c r="P113" i="1" s="1"/>
  <c r="S113" i="1" s="1"/>
  <c r="M113" i="1" s="1"/>
  <c r="N113" i="1" s="1"/>
  <c r="U126" i="1"/>
  <c r="V126" i="1" s="1"/>
  <c r="R126" i="1" s="1"/>
  <c r="P126" i="1" s="1"/>
  <c r="S126" i="1" s="1"/>
  <c r="M126" i="1" s="1"/>
  <c r="N126" i="1" s="1"/>
  <c r="U103" i="1"/>
  <c r="V103" i="1" s="1"/>
  <c r="AC144" i="1"/>
  <c r="AB120" i="1"/>
  <c r="R120" i="1"/>
  <c r="P120" i="1" s="1"/>
  <c r="S120" i="1" s="1"/>
  <c r="M120" i="1" s="1"/>
  <c r="N120" i="1" s="1"/>
  <c r="U120" i="1"/>
  <c r="V120" i="1" s="1"/>
  <c r="U108" i="1"/>
  <c r="V108" i="1" s="1"/>
  <c r="U100" i="1"/>
  <c r="V100" i="1" s="1"/>
  <c r="R100" i="1" s="1"/>
  <c r="P100" i="1" s="1"/>
  <c r="S100" i="1" s="1"/>
  <c r="M100" i="1" s="1"/>
  <c r="N100" i="1" s="1"/>
  <c r="U85" i="1"/>
  <c r="V85" i="1" s="1"/>
  <c r="R101" i="1"/>
  <c r="P101" i="1" s="1"/>
  <c r="S101" i="1" s="1"/>
  <c r="M101" i="1" s="1"/>
  <c r="N101" i="1" s="1"/>
  <c r="AB69" i="1"/>
  <c r="R69" i="1"/>
  <c r="P69" i="1" s="1"/>
  <c r="S69" i="1" s="1"/>
  <c r="M69" i="1" s="1"/>
  <c r="N69" i="1" s="1"/>
  <c r="AB98" i="1"/>
  <c r="R98" i="1"/>
  <c r="P98" i="1" s="1"/>
  <c r="S98" i="1" s="1"/>
  <c r="M98" i="1" s="1"/>
  <c r="N98" i="1" s="1"/>
  <c r="U106" i="1"/>
  <c r="V106" i="1" s="1"/>
  <c r="AD97" i="1"/>
  <c r="W97" i="1"/>
  <c r="AA97" i="1" s="1"/>
  <c r="AC97" i="1"/>
  <c r="AB61" i="1"/>
  <c r="R61" i="1"/>
  <c r="P61" i="1" s="1"/>
  <c r="S61" i="1" s="1"/>
  <c r="M61" i="1" s="1"/>
  <c r="N61" i="1" s="1"/>
  <c r="U30" i="1"/>
  <c r="V30" i="1" s="1"/>
  <c r="R30" i="1" s="1"/>
  <c r="P30" i="1" s="1"/>
  <c r="S30" i="1" s="1"/>
  <c r="M30" i="1" s="1"/>
  <c r="N30" i="1" s="1"/>
  <c r="U47" i="1"/>
  <c r="V47" i="1" s="1"/>
  <c r="W31" i="1"/>
  <c r="AA31" i="1" s="1"/>
  <c r="AD31" i="1"/>
  <c r="U140" i="1"/>
  <c r="V140" i="1" s="1"/>
  <c r="AB140" i="1"/>
  <c r="AB79" i="1"/>
  <c r="R79" i="1"/>
  <c r="P79" i="1" s="1"/>
  <c r="S79" i="1" s="1"/>
  <c r="M79" i="1" s="1"/>
  <c r="N79" i="1" s="1"/>
  <c r="R67" i="1"/>
  <c r="P67" i="1" s="1"/>
  <c r="S67" i="1" s="1"/>
  <c r="M67" i="1" s="1"/>
  <c r="N67" i="1" s="1"/>
  <c r="AB67" i="1"/>
  <c r="U84" i="1"/>
  <c r="V84" i="1" s="1"/>
  <c r="AB70" i="1"/>
  <c r="R70" i="1"/>
  <c r="P70" i="1" s="1"/>
  <c r="S70" i="1" s="1"/>
  <c r="M70" i="1" s="1"/>
  <c r="N70" i="1" s="1"/>
  <c r="U70" i="1"/>
  <c r="V70" i="1" s="1"/>
  <c r="U91" i="1"/>
  <c r="V91" i="1" s="1"/>
  <c r="R91" i="1" s="1"/>
  <c r="P91" i="1" s="1"/>
  <c r="S91" i="1" s="1"/>
  <c r="M91" i="1" s="1"/>
  <c r="N91" i="1" s="1"/>
  <c r="AB59" i="1"/>
  <c r="R59" i="1"/>
  <c r="P59" i="1" s="1"/>
  <c r="S59" i="1" s="1"/>
  <c r="M59" i="1" s="1"/>
  <c r="N59" i="1" s="1"/>
  <c r="AB43" i="1"/>
  <c r="R43" i="1"/>
  <c r="P43" i="1" s="1"/>
  <c r="S43" i="1" s="1"/>
  <c r="M43" i="1" s="1"/>
  <c r="N43" i="1" s="1"/>
  <c r="U83" i="1"/>
  <c r="V83" i="1" s="1"/>
  <c r="U53" i="1"/>
  <c r="V53" i="1" s="1"/>
  <c r="R53" i="1" s="1"/>
  <c r="P53" i="1" s="1"/>
  <c r="S53" i="1" s="1"/>
  <c r="M53" i="1" s="1"/>
  <c r="N53" i="1" s="1"/>
  <c r="AB19" i="1"/>
  <c r="R19" i="1"/>
  <c r="P19" i="1" s="1"/>
  <c r="S19" i="1" s="1"/>
  <c r="M19" i="1" s="1"/>
  <c r="N19" i="1" s="1"/>
  <c r="AB42" i="1"/>
  <c r="R42" i="1"/>
  <c r="P42" i="1" s="1"/>
  <c r="S42" i="1" s="1"/>
  <c r="M42" i="1" s="1"/>
  <c r="N42" i="1" s="1"/>
  <c r="U25" i="1"/>
  <c r="V25" i="1" s="1"/>
  <c r="AB54" i="1"/>
  <c r="R54" i="1"/>
  <c r="P54" i="1" s="1"/>
  <c r="S54" i="1" s="1"/>
  <c r="M54" i="1" s="1"/>
  <c r="N54" i="1" s="1"/>
  <c r="AB31" i="1"/>
  <c r="R31" i="1"/>
  <c r="P31" i="1" s="1"/>
  <c r="S31" i="1" s="1"/>
  <c r="M31" i="1" s="1"/>
  <c r="N31" i="1" s="1"/>
  <c r="R17" i="1"/>
  <c r="P17" i="1" s="1"/>
  <c r="S17" i="1" s="1"/>
  <c r="M17" i="1" s="1"/>
  <c r="N17" i="1" s="1"/>
  <c r="AB230" i="1"/>
  <c r="U197" i="1"/>
  <c r="V197" i="1" s="1"/>
  <c r="W188" i="1"/>
  <c r="AA188" i="1" s="1"/>
  <c r="AD188" i="1"/>
  <c r="AC188" i="1"/>
  <c r="AB131" i="1"/>
  <c r="R131" i="1"/>
  <c r="P131" i="1" s="1"/>
  <c r="S131" i="1" s="1"/>
  <c r="M131" i="1" s="1"/>
  <c r="N131" i="1" s="1"/>
  <c r="AB141" i="1"/>
  <c r="R141" i="1"/>
  <c r="P141" i="1" s="1"/>
  <c r="S141" i="1" s="1"/>
  <c r="M141" i="1" s="1"/>
  <c r="N141" i="1" s="1"/>
  <c r="W134" i="1"/>
  <c r="AA134" i="1" s="1"/>
  <c r="AD134" i="1"/>
  <c r="AC134" i="1"/>
  <c r="U77" i="1"/>
  <c r="V77" i="1" s="1"/>
  <c r="R77" i="1" s="1"/>
  <c r="P77" i="1" s="1"/>
  <c r="S77" i="1" s="1"/>
  <c r="M77" i="1" s="1"/>
  <c r="N77" i="1" s="1"/>
  <c r="W43" i="1"/>
  <c r="AA43" i="1" s="1"/>
  <c r="AD43" i="1"/>
  <c r="AE43" i="1" s="1"/>
  <c r="W49" i="1"/>
  <c r="AA49" i="1" s="1"/>
  <c r="AD49" i="1"/>
  <c r="AE49" i="1" s="1"/>
  <c r="AC49" i="1"/>
  <c r="AD42" i="1"/>
  <c r="AE42" i="1" s="1"/>
  <c r="W42" i="1"/>
  <c r="AA42" i="1" s="1"/>
  <c r="U214" i="1"/>
  <c r="V214" i="1" s="1"/>
  <c r="R214" i="1" s="1"/>
  <c r="P214" i="1" s="1"/>
  <c r="S214" i="1" s="1"/>
  <c r="M214" i="1" s="1"/>
  <c r="N214" i="1" s="1"/>
  <c r="W177" i="1"/>
  <c r="AA177" i="1" s="1"/>
  <c r="AD177" i="1"/>
  <c r="AC177" i="1"/>
  <c r="AB127" i="1"/>
  <c r="R127" i="1"/>
  <c r="P127" i="1" s="1"/>
  <c r="S127" i="1" s="1"/>
  <c r="M127" i="1" s="1"/>
  <c r="N127" i="1" s="1"/>
  <c r="U99" i="1"/>
  <c r="V99" i="1" s="1"/>
  <c r="R49" i="1"/>
  <c r="P49" i="1" s="1"/>
  <c r="S49" i="1" s="1"/>
  <c r="M49" i="1" s="1"/>
  <c r="N49" i="1" s="1"/>
  <c r="AB49" i="1"/>
  <c r="U92" i="1"/>
  <c r="V92" i="1" s="1"/>
  <c r="U52" i="1"/>
  <c r="V52" i="1" s="1"/>
  <c r="AB36" i="1"/>
  <c r="R36" i="1"/>
  <c r="P36" i="1" s="1"/>
  <c r="S36" i="1" s="1"/>
  <c r="M36" i="1" s="1"/>
  <c r="N36" i="1" s="1"/>
  <c r="AB221" i="1"/>
  <c r="R221" i="1"/>
  <c r="P221" i="1" s="1"/>
  <c r="S221" i="1" s="1"/>
  <c r="M221" i="1" s="1"/>
  <c r="N221" i="1" s="1"/>
  <c r="U231" i="1"/>
  <c r="V231" i="1" s="1"/>
  <c r="R231" i="1" s="1"/>
  <c r="P231" i="1" s="1"/>
  <c r="S231" i="1" s="1"/>
  <c r="M231" i="1" s="1"/>
  <c r="N231" i="1" s="1"/>
  <c r="AB200" i="1"/>
  <c r="R200" i="1"/>
  <c r="P200" i="1" s="1"/>
  <c r="S200" i="1" s="1"/>
  <c r="M200" i="1" s="1"/>
  <c r="N200" i="1" s="1"/>
  <c r="AB227" i="1"/>
  <c r="R227" i="1"/>
  <c r="P227" i="1" s="1"/>
  <c r="S227" i="1" s="1"/>
  <c r="M227" i="1" s="1"/>
  <c r="N227" i="1" s="1"/>
  <c r="U217" i="1"/>
  <c r="V217" i="1" s="1"/>
  <c r="U228" i="1"/>
  <c r="V228" i="1" s="1"/>
  <c r="U216" i="1"/>
  <c r="V216" i="1" s="1"/>
  <c r="AC198" i="1"/>
  <c r="AB188" i="1"/>
  <c r="R188" i="1"/>
  <c r="P188" i="1" s="1"/>
  <c r="S188" i="1" s="1"/>
  <c r="M188" i="1" s="1"/>
  <c r="N188" i="1" s="1"/>
  <c r="AB182" i="1"/>
  <c r="R182" i="1"/>
  <c r="P182" i="1" s="1"/>
  <c r="S182" i="1" s="1"/>
  <c r="M182" i="1" s="1"/>
  <c r="N182" i="1" s="1"/>
  <c r="U180" i="1"/>
  <c r="V180" i="1" s="1"/>
  <c r="AB179" i="1"/>
  <c r="R179" i="1"/>
  <c r="P179" i="1" s="1"/>
  <c r="S179" i="1" s="1"/>
  <c r="M179" i="1" s="1"/>
  <c r="N179" i="1" s="1"/>
  <c r="U157" i="1"/>
  <c r="V157" i="1" s="1"/>
  <c r="U172" i="1"/>
  <c r="V172" i="1" s="1"/>
  <c r="U159" i="1"/>
  <c r="V159" i="1" s="1"/>
  <c r="R173" i="1"/>
  <c r="P173" i="1" s="1"/>
  <c r="S173" i="1" s="1"/>
  <c r="M173" i="1" s="1"/>
  <c r="N173" i="1" s="1"/>
  <c r="AB173" i="1"/>
  <c r="AB165" i="1"/>
  <c r="R165" i="1"/>
  <c r="P165" i="1" s="1"/>
  <c r="S165" i="1" s="1"/>
  <c r="M165" i="1" s="1"/>
  <c r="N165" i="1" s="1"/>
  <c r="AB149" i="1"/>
  <c r="R149" i="1"/>
  <c r="P149" i="1" s="1"/>
  <c r="S149" i="1" s="1"/>
  <c r="M149" i="1" s="1"/>
  <c r="N149" i="1" s="1"/>
  <c r="AB147" i="1"/>
  <c r="R147" i="1"/>
  <c r="P147" i="1" s="1"/>
  <c r="S147" i="1" s="1"/>
  <c r="M147" i="1" s="1"/>
  <c r="N147" i="1" s="1"/>
  <c r="R130" i="1"/>
  <c r="P130" i="1" s="1"/>
  <c r="S130" i="1" s="1"/>
  <c r="M130" i="1" s="1"/>
  <c r="N130" i="1" s="1"/>
  <c r="AB130" i="1"/>
  <c r="AB135" i="1"/>
  <c r="R135" i="1"/>
  <c r="P135" i="1" s="1"/>
  <c r="S135" i="1" s="1"/>
  <c r="M135" i="1" s="1"/>
  <c r="N135" i="1" s="1"/>
  <c r="R152" i="1"/>
  <c r="P152" i="1" s="1"/>
  <c r="S152" i="1" s="1"/>
  <c r="M152" i="1" s="1"/>
  <c r="N152" i="1" s="1"/>
  <c r="AB152" i="1"/>
  <c r="AB164" i="1"/>
  <c r="R164" i="1"/>
  <c r="P164" i="1" s="1"/>
  <c r="S164" i="1" s="1"/>
  <c r="M164" i="1" s="1"/>
  <c r="N164" i="1" s="1"/>
  <c r="U146" i="1"/>
  <c r="V146" i="1" s="1"/>
  <c r="AB157" i="1"/>
  <c r="R157" i="1"/>
  <c r="P157" i="1" s="1"/>
  <c r="S157" i="1" s="1"/>
  <c r="M157" i="1" s="1"/>
  <c r="N157" i="1" s="1"/>
  <c r="U90" i="1"/>
  <c r="V90" i="1" s="1"/>
  <c r="U136" i="1"/>
  <c r="V136" i="1" s="1"/>
  <c r="AB136" i="1"/>
  <c r="U104" i="1"/>
  <c r="V104" i="1" s="1"/>
  <c r="U81" i="1"/>
  <c r="V81" i="1" s="1"/>
  <c r="AB108" i="1"/>
  <c r="R108" i="1"/>
  <c r="P108" i="1" s="1"/>
  <c r="S108" i="1" s="1"/>
  <c r="M108" i="1" s="1"/>
  <c r="N108" i="1" s="1"/>
  <c r="U96" i="1"/>
  <c r="V96" i="1" s="1"/>
  <c r="R96" i="1" s="1"/>
  <c r="P96" i="1" s="1"/>
  <c r="S96" i="1" s="1"/>
  <c r="M96" i="1" s="1"/>
  <c r="N96" i="1" s="1"/>
  <c r="AB102" i="1"/>
  <c r="R102" i="1"/>
  <c r="P102" i="1" s="1"/>
  <c r="S102" i="1" s="1"/>
  <c r="M102" i="1" s="1"/>
  <c r="N102" i="1" s="1"/>
  <c r="W109" i="1"/>
  <c r="AA109" i="1" s="1"/>
  <c r="AD109" i="1"/>
  <c r="AE109" i="1" s="1"/>
  <c r="AC109" i="1"/>
  <c r="AB94" i="1"/>
  <c r="R94" i="1"/>
  <c r="P94" i="1" s="1"/>
  <c r="S94" i="1" s="1"/>
  <c r="M94" i="1" s="1"/>
  <c r="N94" i="1" s="1"/>
  <c r="U68" i="1"/>
  <c r="V68" i="1" s="1"/>
  <c r="R57" i="1"/>
  <c r="P57" i="1" s="1"/>
  <c r="S57" i="1" s="1"/>
  <c r="M57" i="1" s="1"/>
  <c r="N57" i="1" s="1"/>
  <c r="AB57" i="1"/>
  <c r="R29" i="1"/>
  <c r="P29" i="1" s="1"/>
  <c r="S29" i="1" s="1"/>
  <c r="M29" i="1" s="1"/>
  <c r="N29" i="1" s="1"/>
  <c r="AB29" i="1"/>
  <c r="AB107" i="1"/>
  <c r="R107" i="1"/>
  <c r="P107" i="1" s="1"/>
  <c r="S107" i="1" s="1"/>
  <c r="M107" i="1" s="1"/>
  <c r="N107" i="1" s="1"/>
  <c r="AC94" i="1"/>
  <c r="AB65" i="1"/>
  <c r="R65" i="1"/>
  <c r="P65" i="1" s="1"/>
  <c r="S65" i="1" s="1"/>
  <c r="M65" i="1" s="1"/>
  <c r="N65" i="1" s="1"/>
  <c r="U56" i="1"/>
  <c r="V56" i="1" s="1"/>
  <c r="U40" i="1"/>
  <c r="V40" i="1" s="1"/>
  <c r="R40" i="1" s="1"/>
  <c r="P40" i="1" s="1"/>
  <c r="S40" i="1" s="1"/>
  <c r="M40" i="1" s="1"/>
  <c r="N40" i="1" s="1"/>
  <c r="U98" i="1"/>
  <c r="V98" i="1" s="1"/>
  <c r="AB50" i="1"/>
  <c r="R50" i="1"/>
  <c r="P50" i="1" s="1"/>
  <c r="S50" i="1" s="1"/>
  <c r="M50" i="1" s="1"/>
  <c r="N50" i="1" s="1"/>
  <c r="AC31" i="1"/>
  <c r="AB62" i="1"/>
  <c r="R62" i="1"/>
  <c r="P62" i="1" s="1"/>
  <c r="S62" i="1" s="1"/>
  <c r="M62" i="1" s="1"/>
  <c r="N62" i="1" s="1"/>
  <c r="U63" i="1"/>
  <c r="V63" i="1" s="1"/>
  <c r="AC27" i="1"/>
  <c r="AB52" i="1"/>
  <c r="R52" i="1"/>
  <c r="P52" i="1" s="1"/>
  <c r="S52" i="1" s="1"/>
  <c r="M52" i="1" s="1"/>
  <c r="N52" i="1" s="1"/>
  <c r="U34" i="1"/>
  <c r="V34" i="1" s="1"/>
  <c r="W98" i="1" l="1"/>
  <c r="AA98" i="1" s="1"/>
  <c r="AD98" i="1"/>
  <c r="AE98" i="1" s="1"/>
  <c r="AC98" i="1"/>
  <c r="W159" i="1"/>
  <c r="AA159" i="1" s="1"/>
  <c r="AD159" i="1"/>
  <c r="AC159" i="1"/>
  <c r="W180" i="1"/>
  <c r="AA180" i="1" s="1"/>
  <c r="AD180" i="1"/>
  <c r="AE180" i="1" s="1"/>
  <c r="AC180" i="1"/>
  <c r="AD216" i="1"/>
  <c r="AE216" i="1" s="1"/>
  <c r="W216" i="1"/>
  <c r="AA216" i="1" s="1"/>
  <c r="AC216" i="1"/>
  <c r="R216" i="1"/>
  <c r="P216" i="1" s="1"/>
  <c r="S216" i="1" s="1"/>
  <c r="M216" i="1" s="1"/>
  <c r="N216" i="1" s="1"/>
  <c r="AE134" i="1"/>
  <c r="W83" i="1"/>
  <c r="AA83" i="1" s="1"/>
  <c r="AD83" i="1"/>
  <c r="AE83" i="1" s="1"/>
  <c r="AC83" i="1"/>
  <c r="W120" i="1"/>
  <c r="AA120" i="1" s="1"/>
  <c r="AD120" i="1"/>
  <c r="AE120" i="1" s="1"/>
  <c r="AC120" i="1"/>
  <c r="W184" i="1"/>
  <c r="AA184" i="1" s="1"/>
  <c r="AD184" i="1"/>
  <c r="AC184" i="1"/>
  <c r="AD219" i="1"/>
  <c r="AE219" i="1" s="1"/>
  <c r="W219" i="1"/>
  <c r="AA219" i="1" s="1"/>
  <c r="AC219" i="1"/>
  <c r="AD71" i="1"/>
  <c r="W71" i="1"/>
  <c r="AA71" i="1" s="1"/>
  <c r="AC71" i="1"/>
  <c r="W107" i="1"/>
  <c r="AA107" i="1" s="1"/>
  <c r="AD107" i="1"/>
  <c r="AE107" i="1" s="1"/>
  <c r="AC107" i="1"/>
  <c r="W37" i="1"/>
  <c r="AA37" i="1" s="1"/>
  <c r="AD37" i="1"/>
  <c r="AE37" i="1" s="1"/>
  <c r="AC37" i="1"/>
  <c r="AE79" i="1"/>
  <c r="W133" i="1"/>
  <c r="AA133" i="1" s="1"/>
  <c r="AD133" i="1"/>
  <c r="R133" i="1"/>
  <c r="P133" i="1" s="1"/>
  <c r="S133" i="1" s="1"/>
  <c r="M133" i="1" s="1"/>
  <c r="N133" i="1" s="1"/>
  <c r="AC133" i="1"/>
  <c r="W163" i="1"/>
  <c r="AA163" i="1" s="1"/>
  <c r="AD163" i="1"/>
  <c r="AE163" i="1" s="1"/>
  <c r="AC163" i="1"/>
  <c r="R163" i="1"/>
  <c r="P163" i="1" s="1"/>
  <c r="S163" i="1" s="1"/>
  <c r="M163" i="1" s="1"/>
  <c r="N163" i="1" s="1"/>
  <c r="W203" i="1"/>
  <c r="AA203" i="1" s="1"/>
  <c r="AD203" i="1"/>
  <c r="R203" i="1"/>
  <c r="P203" i="1" s="1"/>
  <c r="S203" i="1" s="1"/>
  <c r="M203" i="1" s="1"/>
  <c r="N203" i="1" s="1"/>
  <c r="AC203" i="1"/>
  <c r="AD207" i="1"/>
  <c r="W207" i="1"/>
  <c r="AA207" i="1" s="1"/>
  <c r="AC207" i="1"/>
  <c r="W116" i="1"/>
  <c r="AA116" i="1" s="1"/>
  <c r="AD116" i="1"/>
  <c r="AE116" i="1" s="1"/>
  <c r="AC116" i="1"/>
  <c r="W18" i="1"/>
  <c r="AA18" i="1" s="1"/>
  <c r="AD18" i="1"/>
  <c r="AE18" i="1" s="1"/>
  <c r="AC18" i="1"/>
  <c r="W128" i="1"/>
  <c r="AA128" i="1" s="1"/>
  <c r="AD128" i="1"/>
  <c r="AC128" i="1"/>
  <c r="AD167" i="1"/>
  <c r="W167" i="1"/>
  <c r="AA167" i="1" s="1"/>
  <c r="AC167" i="1"/>
  <c r="W192" i="1"/>
  <c r="AA192" i="1" s="1"/>
  <c r="AD192" i="1"/>
  <c r="AC192" i="1"/>
  <c r="AE144" i="1"/>
  <c r="W175" i="1"/>
  <c r="AA175" i="1" s="1"/>
  <c r="AD175" i="1"/>
  <c r="AE175" i="1" s="1"/>
  <c r="AC175" i="1"/>
  <c r="AE113" i="1"/>
  <c r="W92" i="1"/>
  <c r="AA92" i="1" s="1"/>
  <c r="AD92" i="1"/>
  <c r="AC92" i="1"/>
  <c r="R92" i="1"/>
  <c r="P92" i="1" s="1"/>
  <c r="S92" i="1" s="1"/>
  <c r="M92" i="1" s="1"/>
  <c r="N92" i="1" s="1"/>
  <c r="W204" i="1"/>
  <c r="AA204" i="1" s="1"/>
  <c r="AD204" i="1"/>
  <c r="AE204" i="1" s="1"/>
  <c r="AC204" i="1"/>
  <c r="AD86" i="1"/>
  <c r="AE86" i="1" s="1"/>
  <c r="AC86" i="1"/>
  <c r="W86" i="1"/>
  <c r="AA86" i="1" s="1"/>
  <c r="AD230" i="1"/>
  <c r="W230" i="1"/>
  <c r="AA230" i="1" s="1"/>
  <c r="AC230" i="1"/>
  <c r="W63" i="1"/>
  <c r="AA63" i="1" s="1"/>
  <c r="AD63" i="1"/>
  <c r="AC63" i="1"/>
  <c r="W172" i="1"/>
  <c r="AA172" i="1" s="1"/>
  <c r="AD172" i="1"/>
  <c r="AC172" i="1"/>
  <c r="AE177" i="1"/>
  <c r="AD197" i="1"/>
  <c r="AE197" i="1" s="1"/>
  <c r="W197" i="1"/>
  <c r="AA197" i="1" s="1"/>
  <c r="AC197" i="1"/>
  <c r="W25" i="1"/>
  <c r="AA25" i="1" s="1"/>
  <c r="AD25" i="1"/>
  <c r="AE25" i="1" s="1"/>
  <c r="AC25" i="1"/>
  <c r="AE31" i="1"/>
  <c r="W85" i="1"/>
  <c r="AA85" i="1" s="1"/>
  <c r="AD85" i="1"/>
  <c r="AC85" i="1"/>
  <c r="W131" i="1"/>
  <c r="AA131" i="1" s="1"/>
  <c r="AD131" i="1"/>
  <c r="AE131" i="1" s="1"/>
  <c r="AC131" i="1"/>
  <c r="R204" i="1"/>
  <c r="P204" i="1" s="1"/>
  <c r="S204" i="1" s="1"/>
  <c r="M204" i="1" s="1"/>
  <c r="N204" i="1" s="1"/>
  <c r="AD218" i="1"/>
  <c r="W218" i="1"/>
  <c r="AA218" i="1" s="1"/>
  <c r="AC218" i="1"/>
  <c r="R218" i="1"/>
  <c r="P218" i="1" s="1"/>
  <c r="S218" i="1" s="1"/>
  <c r="M218" i="1" s="1"/>
  <c r="N218" i="1" s="1"/>
  <c r="W80" i="1"/>
  <c r="AA80" i="1" s="1"/>
  <c r="AD80" i="1"/>
  <c r="AE80" i="1" s="1"/>
  <c r="R80" i="1"/>
  <c r="P80" i="1" s="1"/>
  <c r="S80" i="1" s="1"/>
  <c r="M80" i="1" s="1"/>
  <c r="N80" i="1" s="1"/>
  <c r="AC80" i="1"/>
  <c r="AD234" i="1"/>
  <c r="W234" i="1"/>
  <c r="AA234" i="1" s="1"/>
  <c r="AC234" i="1"/>
  <c r="W41" i="1"/>
  <c r="AA41" i="1" s="1"/>
  <c r="AD41" i="1"/>
  <c r="AC41" i="1"/>
  <c r="W72" i="1"/>
  <c r="AA72" i="1" s="1"/>
  <c r="AD72" i="1"/>
  <c r="AE72" i="1" s="1"/>
  <c r="AC72" i="1"/>
  <c r="R72" i="1"/>
  <c r="P72" i="1" s="1"/>
  <c r="S72" i="1" s="1"/>
  <c r="M72" i="1" s="1"/>
  <c r="N72" i="1" s="1"/>
  <c r="W73" i="1"/>
  <c r="AA73" i="1" s="1"/>
  <c r="AD73" i="1"/>
  <c r="AE73" i="1" s="1"/>
  <c r="AC73" i="1"/>
  <c r="AE145" i="1"/>
  <c r="W225" i="1"/>
  <c r="AA225" i="1" s="1"/>
  <c r="AD225" i="1"/>
  <c r="AE225" i="1" s="1"/>
  <c r="AC225" i="1"/>
  <c r="R63" i="1"/>
  <c r="P63" i="1" s="1"/>
  <c r="S63" i="1" s="1"/>
  <c r="M63" i="1" s="1"/>
  <c r="N63" i="1" s="1"/>
  <c r="AD158" i="1"/>
  <c r="AC158" i="1"/>
  <c r="W158" i="1"/>
  <c r="AA158" i="1" s="1"/>
  <c r="AE94" i="1"/>
  <c r="AD121" i="1"/>
  <c r="AE121" i="1" s="1"/>
  <c r="W121" i="1"/>
  <c r="AA121" i="1" s="1"/>
  <c r="AC121" i="1"/>
  <c r="R121" i="1"/>
  <c r="P121" i="1" s="1"/>
  <c r="S121" i="1" s="1"/>
  <c r="M121" i="1" s="1"/>
  <c r="N121" i="1" s="1"/>
  <c r="R41" i="1"/>
  <c r="P41" i="1" s="1"/>
  <c r="S41" i="1" s="1"/>
  <c r="M41" i="1" s="1"/>
  <c r="N41" i="1" s="1"/>
  <c r="AD117" i="1"/>
  <c r="W117" i="1"/>
  <c r="AA117" i="1" s="1"/>
  <c r="AC117" i="1"/>
  <c r="W122" i="1"/>
  <c r="AA122" i="1" s="1"/>
  <c r="AD122" i="1"/>
  <c r="AE122" i="1" s="1"/>
  <c r="AC122" i="1"/>
  <c r="AE200" i="1"/>
  <c r="W45" i="1"/>
  <c r="AA45" i="1" s="1"/>
  <c r="AD45" i="1"/>
  <c r="AE45" i="1" s="1"/>
  <c r="AC45" i="1"/>
  <c r="W119" i="1"/>
  <c r="AA119" i="1" s="1"/>
  <c r="AD119" i="1"/>
  <c r="AE119" i="1" s="1"/>
  <c r="AC119" i="1"/>
  <c r="W141" i="1"/>
  <c r="AA141" i="1" s="1"/>
  <c r="AD141" i="1"/>
  <c r="AE141" i="1" s="1"/>
  <c r="AC141" i="1"/>
  <c r="R184" i="1"/>
  <c r="P184" i="1" s="1"/>
  <c r="S184" i="1" s="1"/>
  <c r="M184" i="1" s="1"/>
  <c r="N184" i="1" s="1"/>
  <c r="W233" i="1"/>
  <c r="AA233" i="1" s="1"/>
  <c r="AD233" i="1"/>
  <c r="AE233" i="1" s="1"/>
  <c r="AC233" i="1"/>
  <c r="AE39" i="1"/>
  <c r="W84" i="1"/>
  <c r="AA84" i="1" s="1"/>
  <c r="AD84" i="1"/>
  <c r="AE84" i="1" s="1"/>
  <c r="AC84" i="1"/>
  <c r="R84" i="1"/>
  <c r="P84" i="1" s="1"/>
  <c r="S84" i="1" s="1"/>
  <c r="M84" i="1" s="1"/>
  <c r="N84" i="1" s="1"/>
  <c r="W140" i="1"/>
  <c r="AA140" i="1" s="1"/>
  <c r="AD140" i="1"/>
  <c r="AE140" i="1" s="1"/>
  <c r="AC140" i="1"/>
  <c r="W156" i="1"/>
  <c r="AA156" i="1" s="1"/>
  <c r="AD156" i="1"/>
  <c r="AC156" i="1"/>
  <c r="W183" i="1"/>
  <c r="AA183" i="1" s="1"/>
  <c r="AD183" i="1"/>
  <c r="AE183" i="1" s="1"/>
  <c r="AC183" i="1"/>
  <c r="AD222" i="1"/>
  <c r="AE222" i="1" s="1"/>
  <c r="W222" i="1"/>
  <c r="AA222" i="1" s="1"/>
  <c r="AC222" i="1"/>
  <c r="W155" i="1"/>
  <c r="AA155" i="1" s="1"/>
  <c r="AD155" i="1"/>
  <c r="AE155" i="1" s="1"/>
  <c r="AC155" i="1"/>
  <c r="W115" i="1"/>
  <c r="AA115" i="1" s="1"/>
  <c r="AD115" i="1"/>
  <c r="AC115" i="1"/>
  <c r="R115" i="1"/>
  <c r="P115" i="1" s="1"/>
  <c r="S115" i="1" s="1"/>
  <c r="M115" i="1" s="1"/>
  <c r="N115" i="1" s="1"/>
  <c r="AD189" i="1"/>
  <c r="W189" i="1"/>
  <c r="AA189" i="1" s="1"/>
  <c r="R189" i="1"/>
  <c r="P189" i="1" s="1"/>
  <c r="S189" i="1" s="1"/>
  <c r="M189" i="1" s="1"/>
  <c r="N189" i="1" s="1"/>
  <c r="AC189" i="1"/>
  <c r="W160" i="1"/>
  <c r="AA160" i="1" s="1"/>
  <c r="AD160" i="1"/>
  <c r="AC160" i="1"/>
  <c r="W56" i="1"/>
  <c r="AA56" i="1" s="1"/>
  <c r="AD56" i="1"/>
  <c r="AE56" i="1" s="1"/>
  <c r="AC56" i="1"/>
  <c r="W81" i="1"/>
  <c r="AA81" i="1" s="1"/>
  <c r="AD81" i="1"/>
  <c r="AC81" i="1"/>
  <c r="W90" i="1"/>
  <c r="AA90" i="1" s="1"/>
  <c r="AD90" i="1"/>
  <c r="AE90" i="1" s="1"/>
  <c r="AC90" i="1"/>
  <c r="AD217" i="1"/>
  <c r="AE217" i="1" s="1"/>
  <c r="AC217" i="1"/>
  <c r="W217" i="1"/>
  <c r="AA217" i="1" s="1"/>
  <c r="R230" i="1"/>
  <c r="P230" i="1" s="1"/>
  <c r="S230" i="1" s="1"/>
  <c r="M230" i="1" s="1"/>
  <c r="N230" i="1" s="1"/>
  <c r="AE97" i="1"/>
  <c r="AE29" i="1"/>
  <c r="AD78" i="1"/>
  <c r="AE78" i="1" s="1"/>
  <c r="AC78" i="1"/>
  <c r="W78" i="1"/>
  <c r="AA78" i="1" s="1"/>
  <c r="W168" i="1"/>
  <c r="AA168" i="1" s="1"/>
  <c r="AD168" i="1"/>
  <c r="AE168" i="1" s="1"/>
  <c r="AC168" i="1"/>
  <c r="R168" i="1"/>
  <c r="P168" i="1" s="1"/>
  <c r="S168" i="1" s="1"/>
  <c r="M168" i="1" s="1"/>
  <c r="N168" i="1" s="1"/>
  <c r="R180" i="1"/>
  <c r="P180" i="1" s="1"/>
  <c r="S180" i="1" s="1"/>
  <c r="M180" i="1" s="1"/>
  <c r="N180" i="1" s="1"/>
  <c r="AD82" i="1"/>
  <c r="AE82" i="1" s="1"/>
  <c r="AC82" i="1"/>
  <c r="W82" i="1"/>
  <c r="AA82" i="1" s="1"/>
  <c r="W129" i="1"/>
  <c r="AA129" i="1" s="1"/>
  <c r="AD129" i="1"/>
  <c r="AE129" i="1" s="1"/>
  <c r="R129" i="1"/>
  <c r="P129" i="1" s="1"/>
  <c r="S129" i="1" s="1"/>
  <c r="M129" i="1" s="1"/>
  <c r="N129" i="1" s="1"/>
  <c r="AC129" i="1"/>
  <c r="AD211" i="1"/>
  <c r="AC211" i="1"/>
  <c r="W211" i="1"/>
  <c r="AA211" i="1" s="1"/>
  <c r="W221" i="1"/>
  <c r="AA221" i="1" s="1"/>
  <c r="AD221" i="1"/>
  <c r="AC221" i="1"/>
  <c r="W179" i="1"/>
  <c r="AA179" i="1" s="1"/>
  <c r="AD179" i="1"/>
  <c r="AE179" i="1" s="1"/>
  <c r="AC179" i="1"/>
  <c r="W24" i="1"/>
  <c r="AA24" i="1" s="1"/>
  <c r="AD24" i="1"/>
  <c r="AE24" i="1" s="1"/>
  <c r="AC24" i="1"/>
  <c r="R24" i="1"/>
  <c r="P24" i="1" s="1"/>
  <c r="S24" i="1" s="1"/>
  <c r="M24" i="1" s="1"/>
  <c r="N24" i="1" s="1"/>
  <c r="AE75" i="1"/>
  <c r="AE181" i="1"/>
  <c r="AD209" i="1"/>
  <c r="W209" i="1"/>
  <c r="AA209" i="1" s="1"/>
  <c r="AC209" i="1"/>
  <c r="AE87" i="1"/>
  <c r="AE27" i="1"/>
  <c r="W127" i="1"/>
  <c r="AA127" i="1" s="1"/>
  <c r="AD127" i="1"/>
  <c r="AE127" i="1" s="1"/>
  <c r="AC127" i="1"/>
  <c r="W28" i="1"/>
  <c r="AA28" i="1" s="1"/>
  <c r="AD28" i="1"/>
  <c r="R28" i="1"/>
  <c r="P28" i="1" s="1"/>
  <c r="S28" i="1" s="1"/>
  <c r="M28" i="1" s="1"/>
  <c r="N28" i="1" s="1"/>
  <c r="AC28" i="1"/>
  <c r="AD61" i="1"/>
  <c r="W61" i="1"/>
  <c r="AA61" i="1" s="1"/>
  <c r="AC61" i="1"/>
  <c r="W137" i="1"/>
  <c r="AA137" i="1" s="1"/>
  <c r="AD137" i="1"/>
  <c r="AE137" i="1" s="1"/>
  <c r="AC137" i="1"/>
  <c r="R167" i="1"/>
  <c r="P167" i="1" s="1"/>
  <c r="S167" i="1" s="1"/>
  <c r="M167" i="1" s="1"/>
  <c r="N167" i="1" s="1"/>
  <c r="W229" i="1"/>
  <c r="AA229" i="1" s="1"/>
  <c r="AD229" i="1"/>
  <c r="AE229" i="1" s="1"/>
  <c r="AC229" i="1"/>
  <c r="AD143" i="1"/>
  <c r="AE143" i="1" s="1"/>
  <c r="AC143" i="1"/>
  <c r="W143" i="1"/>
  <c r="AA143" i="1" s="1"/>
  <c r="W32" i="1"/>
  <c r="AA32" i="1" s="1"/>
  <c r="AD32" i="1"/>
  <c r="AE32" i="1" s="1"/>
  <c r="R32" i="1"/>
  <c r="P32" i="1" s="1"/>
  <c r="S32" i="1" s="1"/>
  <c r="M32" i="1" s="1"/>
  <c r="N32" i="1" s="1"/>
  <c r="AC32" i="1"/>
  <c r="R85" i="1"/>
  <c r="P85" i="1" s="1"/>
  <c r="S85" i="1" s="1"/>
  <c r="M85" i="1" s="1"/>
  <c r="N85" i="1" s="1"/>
  <c r="W199" i="1"/>
  <c r="AA199" i="1" s="1"/>
  <c r="AD199" i="1"/>
  <c r="AE199" i="1" s="1"/>
  <c r="R199" i="1"/>
  <c r="P199" i="1" s="1"/>
  <c r="S199" i="1" s="1"/>
  <c r="M199" i="1" s="1"/>
  <c r="N199" i="1" s="1"/>
  <c r="AC199" i="1"/>
  <c r="AE33" i="1"/>
  <c r="AE178" i="1"/>
  <c r="W40" i="1"/>
  <c r="AA40" i="1" s="1"/>
  <c r="AD40" i="1"/>
  <c r="AC40" i="1"/>
  <c r="W228" i="1"/>
  <c r="AA228" i="1" s="1"/>
  <c r="AD228" i="1"/>
  <c r="AE228" i="1" s="1"/>
  <c r="AC228" i="1"/>
  <c r="R228" i="1"/>
  <c r="P228" i="1" s="1"/>
  <c r="S228" i="1" s="1"/>
  <c r="M228" i="1" s="1"/>
  <c r="N228" i="1" s="1"/>
  <c r="W231" i="1"/>
  <c r="AA231" i="1" s="1"/>
  <c r="AD231" i="1"/>
  <c r="AC231" i="1"/>
  <c r="W196" i="1"/>
  <c r="AA196" i="1" s="1"/>
  <c r="AD196" i="1"/>
  <c r="AC196" i="1"/>
  <c r="AD226" i="1"/>
  <c r="W226" i="1"/>
  <c r="AA226" i="1" s="1"/>
  <c r="AC226" i="1"/>
  <c r="AD212" i="1"/>
  <c r="W212" i="1"/>
  <c r="AA212" i="1" s="1"/>
  <c r="AC212" i="1"/>
  <c r="R212" i="1"/>
  <c r="P212" i="1" s="1"/>
  <c r="S212" i="1" s="1"/>
  <c r="M212" i="1" s="1"/>
  <c r="N212" i="1" s="1"/>
  <c r="W157" i="1"/>
  <c r="AA157" i="1" s="1"/>
  <c r="AD157" i="1"/>
  <c r="AC157" i="1"/>
  <c r="AD214" i="1"/>
  <c r="AE214" i="1" s="1"/>
  <c r="W214" i="1"/>
  <c r="AA214" i="1" s="1"/>
  <c r="AC214" i="1"/>
  <c r="W47" i="1"/>
  <c r="AA47" i="1" s="1"/>
  <c r="AD47" i="1"/>
  <c r="AC47" i="1"/>
  <c r="W106" i="1"/>
  <c r="AA106" i="1" s="1"/>
  <c r="AD106" i="1"/>
  <c r="AE106" i="1" s="1"/>
  <c r="AC106" i="1"/>
  <c r="W100" i="1"/>
  <c r="AA100" i="1" s="1"/>
  <c r="AD100" i="1"/>
  <c r="AC100" i="1"/>
  <c r="W103" i="1"/>
  <c r="AA103" i="1" s="1"/>
  <c r="AD103" i="1"/>
  <c r="AE103" i="1" s="1"/>
  <c r="AC103" i="1"/>
  <c r="W161" i="1"/>
  <c r="AA161" i="1" s="1"/>
  <c r="AD161" i="1"/>
  <c r="AE161" i="1" s="1"/>
  <c r="AC161" i="1"/>
  <c r="W220" i="1"/>
  <c r="AA220" i="1" s="1"/>
  <c r="AD220" i="1"/>
  <c r="AE220" i="1" s="1"/>
  <c r="AC220" i="1"/>
  <c r="R220" i="1"/>
  <c r="P220" i="1" s="1"/>
  <c r="S220" i="1" s="1"/>
  <c r="M220" i="1" s="1"/>
  <c r="N220" i="1" s="1"/>
  <c r="W20" i="1"/>
  <c r="AA20" i="1" s="1"/>
  <c r="AD20" i="1"/>
  <c r="AE20" i="1" s="1"/>
  <c r="AC20" i="1"/>
  <c r="AE101" i="1"/>
  <c r="AE169" i="1"/>
  <c r="AE35" i="1"/>
  <c r="W138" i="1"/>
  <c r="AA138" i="1" s="1"/>
  <c r="AD138" i="1"/>
  <c r="AE138" i="1" s="1"/>
  <c r="AC138" i="1"/>
  <c r="AE50" i="1"/>
  <c r="AE130" i="1"/>
  <c r="W153" i="1"/>
  <c r="AA153" i="1" s="1"/>
  <c r="AD153" i="1"/>
  <c r="AC153" i="1"/>
  <c r="AD74" i="1"/>
  <c r="AE74" i="1" s="1"/>
  <c r="W74" i="1"/>
  <c r="AA74" i="1" s="1"/>
  <c r="AC74" i="1"/>
  <c r="R122" i="1"/>
  <c r="P122" i="1" s="1"/>
  <c r="S122" i="1" s="1"/>
  <c r="M122" i="1" s="1"/>
  <c r="N122" i="1" s="1"/>
  <c r="AD164" i="1"/>
  <c r="AE164" i="1" s="1"/>
  <c r="W164" i="1"/>
  <c r="AA164" i="1" s="1"/>
  <c r="AC164" i="1"/>
  <c r="AD208" i="1"/>
  <c r="AE208" i="1" s="1"/>
  <c r="W208" i="1"/>
  <c r="AA208" i="1" s="1"/>
  <c r="R208" i="1"/>
  <c r="P208" i="1" s="1"/>
  <c r="S208" i="1" s="1"/>
  <c r="M208" i="1" s="1"/>
  <c r="N208" i="1" s="1"/>
  <c r="AC208" i="1"/>
  <c r="AD210" i="1"/>
  <c r="AE210" i="1" s="1"/>
  <c r="W210" i="1"/>
  <c r="AA210" i="1" s="1"/>
  <c r="AC210" i="1"/>
  <c r="W227" i="1"/>
  <c r="AA227" i="1" s="1"/>
  <c r="AD227" i="1"/>
  <c r="AE227" i="1" s="1"/>
  <c r="AC227" i="1"/>
  <c r="R158" i="1"/>
  <c r="P158" i="1" s="1"/>
  <c r="S158" i="1" s="1"/>
  <c r="M158" i="1" s="1"/>
  <c r="N158" i="1" s="1"/>
  <c r="W22" i="1"/>
  <c r="AA22" i="1" s="1"/>
  <c r="AD22" i="1"/>
  <c r="AE22" i="1" s="1"/>
  <c r="AC22" i="1"/>
  <c r="W114" i="1"/>
  <c r="AA114" i="1" s="1"/>
  <c r="AD114" i="1"/>
  <c r="AC114" i="1"/>
  <c r="R226" i="1"/>
  <c r="P226" i="1" s="1"/>
  <c r="S226" i="1" s="1"/>
  <c r="M226" i="1" s="1"/>
  <c r="N226" i="1" s="1"/>
  <c r="AE58" i="1"/>
  <c r="W77" i="1"/>
  <c r="AA77" i="1" s="1"/>
  <c r="AD77" i="1"/>
  <c r="AE77" i="1" s="1"/>
  <c r="AC77" i="1"/>
  <c r="AD91" i="1"/>
  <c r="W91" i="1"/>
  <c r="AA91" i="1" s="1"/>
  <c r="AC91" i="1"/>
  <c r="W176" i="1"/>
  <c r="AA176" i="1" s="1"/>
  <c r="AD176" i="1"/>
  <c r="AE176" i="1" s="1"/>
  <c r="AC176" i="1"/>
  <c r="R176" i="1"/>
  <c r="P176" i="1" s="1"/>
  <c r="S176" i="1" s="1"/>
  <c r="M176" i="1" s="1"/>
  <c r="N176" i="1" s="1"/>
  <c r="R197" i="1"/>
  <c r="P197" i="1" s="1"/>
  <c r="S197" i="1" s="1"/>
  <c r="M197" i="1" s="1"/>
  <c r="N197" i="1" s="1"/>
  <c r="AE194" i="1"/>
  <c r="AC65" i="1"/>
  <c r="AD65" i="1"/>
  <c r="AE65" i="1" s="1"/>
  <c r="W65" i="1"/>
  <c r="AA65" i="1" s="1"/>
  <c r="W171" i="1"/>
  <c r="AA171" i="1" s="1"/>
  <c r="AD171" i="1"/>
  <c r="AC171" i="1"/>
  <c r="R217" i="1"/>
  <c r="P217" i="1" s="1"/>
  <c r="S217" i="1" s="1"/>
  <c r="M217" i="1" s="1"/>
  <c r="N217" i="1" s="1"/>
  <c r="AD166" i="1"/>
  <c r="AE166" i="1" s="1"/>
  <c r="AC166" i="1"/>
  <c r="W166" i="1"/>
  <c r="AA166" i="1" s="1"/>
  <c r="R166" i="1"/>
  <c r="P166" i="1" s="1"/>
  <c r="S166" i="1" s="1"/>
  <c r="M166" i="1" s="1"/>
  <c r="N166" i="1" s="1"/>
  <c r="R47" i="1"/>
  <c r="P47" i="1" s="1"/>
  <c r="S47" i="1" s="1"/>
  <c r="M47" i="1" s="1"/>
  <c r="N47" i="1" s="1"/>
  <c r="W149" i="1"/>
  <c r="AA149" i="1" s="1"/>
  <c r="AD149" i="1"/>
  <c r="AE149" i="1" s="1"/>
  <c r="AC149" i="1"/>
  <c r="W124" i="1"/>
  <c r="AA124" i="1" s="1"/>
  <c r="AD124" i="1"/>
  <c r="AC124" i="1"/>
  <c r="W135" i="1"/>
  <c r="AA135" i="1" s="1"/>
  <c r="AD135" i="1"/>
  <c r="AE135" i="1" s="1"/>
  <c r="AC135" i="1"/>
  <c r="AE173" i="1"/>
  <c r="W76" i="1"/>
  <c r="AA76" i="1" s="1"/>
  <c r="AD76" i="1"/>
  <c r="R76" i="1"/>
  <c r="P76" i="1" s="1"/>
  <c r="S76" i="1" s="1"/>
  <c r="M76" i="1" s="1"/>
  <c r="N76" i="1" s="1"/>
  <c r="AC76" i="1"/>
  <c r="W48" i="1"/>
  <c r="AA48" i="1" s="1"/>
  <c r="AD48" i="1"/>
  <c r="AE48" i="1" s="1"/>
  <c r="AC48" i="1"/>
  <c r="R81" i="1"/>
  <c r="P81" i="1" s="1"/>
  <c r="S81" i="1" s="1"/>
  <c r="M81" i="1" s="1"/>
  <c r="N81" i="1" s="1"/>
  <c r="W132" i="1"/>
  <c r="AA132" i="1" s="1"/>
  <c r="AD132" i="1"/>
  <c r="AC132" i="1"/>
  <c r="AE186" i="1"/>
  <c r="W223" i="1"/>
  <c r="AA223" i="1" s="1"/>
  <c r="AD223" i="1"/>
  <c r="AE223" i="1" s="1"/>
  <c r="AC223" i="1"/>
  <c r="R45" i="1"/>
  <c r="P45" i="1" s="1"/>
  <c r="S45" i="1" s="1"/>
  <c r="M45" i="1" s="1"/>
  <c r="N45" i="1" s="1"/>
  <c r="R106" i="1"/>
  <c r="P106" i="1" s="1"/>
  <c r="S106" i="1" s="1"/>
  <c r="M106" i="1" s="1"/>
  <c r="N106" i="1" s="1"/>
  <c r="AD150" i="1"/>
  <c r="AE150" i="1" s="1"/>
  <c r="AC150" i="1"/>
  <c r="W150" i="1"/>
  <c r="AA150" i="1" s="1"/>
  <c r="W123" i="1"/>
  <c r="AA123" i="1" s="1"/>
  <c r="AD123" i="1"/>
  <c r="AE123" i="1" s="1"/>
  <c r="AC123" i="1"/>
  <c r="AD215" i="1"/>
  <c r="AE215" i="1" s="1"/>
  <c r="W215" i="1"/>
  <c r="AA215" i="1" s="1"/>
  <c r="AC215" i="1"/>
  <c r="AE55" i="1"/>
  <c r="W136" i="1"/>
  <c r="AA136" i="1" s="1"/>
  <c r="AD136" i="1"/>
  <c r="AC136" i="1"/>
  <c r="W104" i="1"/>
  <c r="AA104" i="1" s="1"/>
  <c r="AD104" i="1"/>
  <c r="AE104" i="1" s="1"/>
  <c r="AC104" i="1"/>
  <c r="R104" i="1"/>
  <c r="P104" i="1" s="1"/>
  <c r="S104" i="1" s="1"/>
  <c r="M104" i="1" s="1"/>
  <c r="N104" i="1" s="1"/>
  <c r="W34" i="1"/>
  <c r="AA34" i="1" s="1"/>
  <c r="AD34" i="1"/>
  <c r="AE34" i="1" s="1"/>
  <c r="AC34" i="1"/>
  <c r="W68" i="1"/>
  <c r="AA68" i="1" s="1"/>
  <c r="AD68" i="1"/>
  <c r="R68" i="1"/>
  <c r="P68" i="1" s="1"/>
  <c r="S68" i="1" s="1"/>
  <c r="M68" i="1" s="1"/>
  <c r="N68" i="1" s="1"/>
  <c r="AC68" i="1"/>
  <c r="AD146" i="1"/>
  <c r="AE146" i="1" s="1"/>
  <c r="AC146" i="1"/>
  <c r="W146" i="1"/>
  <c r="AA146" i="1" s="1"/>
  <c r="AD99" i="1"/>
  <c r="AE99" i="1" s="1"/>
  <c r="W99" i="1"/>
  <c r="AA99" i="1" s="1"/>
  <c r="AC99" i="1"/>
  <c r="AD70" i="1"/>
  <c r="AE70" i="1" s="1"/>
  <c r="W70" i="1"/>
  <c r="AA70" i="1" s="1"/>
  <c r="AC70" i="1"/>
  <c r="W30" i="1"/>
  <c r="AA30" i="1" s="1"/>
  <c r="AD30" i="1"/>
  <c r="AE30" i="1" s="1"/>
  <c r="AC30" i="1"/>
  <c r="W108" i="1"/>
  <c r="AA108" i="1" s="1"/>
  <c r="AD108" i="1"/>
  <c r="AC108" i="1"/>
  <c r="W126" i="1"/>
  <c r="AA126" i="1" s="1"/>
  <c r="AD126" i="1"/>
  <c r="AE126" i="1" s="1"/>
  <c r="AC126" i="1"/>
  <c r="AD206" i="1"/>
  <c r="AE206" i="1" s="1"/>
  <c r="W206" i="1"/>
  <c r="AA206" i="1" s="1"/>
  <c r="AC206" i="1"/>
  <c r="W142" i="1"/>
  <c r="AA142" i="1" s="1"/>
  <c r="AD142" i="1"/>
  <c r="AE142" i="1" s="1"/>
  <c r="AC142" i="1"/>
  <c r="AD213" i="1"/>
  <c r="W213" i="1"/>
  <c r="AA213" i="1" s="1"/>
  <c r="AC213" i="1"/>
  <c r="AE64" i="1"/>
  <c r="W44" i="1"/>
  <c r="AA44" i="1" s="1"/>
  <c r="AD44" i="1"/>
  <c r="AC44" i="1"/>
  <c r="AE105" i="1"/>
  <c r="W112" i="1"/>
  <c r="AA112" i="1" s="1"/>
  <c r="AD112" i="1"/>
  <c r="AC112" i="1"/>
  <c r="R112" i="1"/>
  <c r="P112" i="1" s="1"/>
  <c r="S112" i="1" s="1"/>
  <c r="M112" i="1" s="1"/>
  <c r="N112" i="1" s="1"/>
  <c r="AD89" i="1"/>
  <c r="W89" i="1"/>
  <c r="AA89" i="1" s="1"/>
  <c r="AC89" i="1"/>
  <c r="AE21" i="1"/>
  <c r="R34" i="1"/>
  <c r="P34" i="1" s="1"/>
  <c r="S34" i="1" s="1"/>
  <c r="M34" i="1" s="1"/>
  <c r="N34" i="1" s="1"/>
  <c r="W69" i="1"/>
  <c r="AA69" i="1" s="1"/>
  <c r="AD69" i="1"/>
  <c r="AE69" i="1" s="1"/>
  <c r="AC69" i="1"/>
  <c r="AE102" i="1"/>
  <c r="R219" i="1"/>
  <c r="P219" i="1" s="1"/>
  <c r="S219" i="1" s="1"/>
  <c r="M219" i="1" s="1"/>
  <c r="N219" i="1" s="1"/>
  <c r="R222" i="1"/>
  <c r="P222" i="1" s="1"/>
  <c r="S222" i="1" s="1"/>
  <c r="M222" i="1" s="1"/>
  <c r="N222" i="1" s="1"/>
  <c r="W26" i="1"/>
  <c r="AA26" i="1" s="1"/>
  <c r="AD26" i="1"/>
  <c r="AE26" i="1" s="1"/>
  <c r="AC26" i="1"/>
  <c r="W125" i="1"/>
  <c r="AA125" i="1" s="1"/>
  <c r="AD125" i="1"/>
  <c r="AE125" i="1" s="1"/>
  <c r="R125" i="1"/>
  <c r="P125" i="1" s="1"/>
  <c r="S125" i="1" s="1"/>
  <c r="M125" i="1" s="1"/>
  <c r="N125" i="1" s="1"/>
  <c r="AC125" i="1"/>
  <c r="W191" i="1"/>
  <c r="AA191" i="1" s="1"/>
  <c r="AD191" i="1"/>
  <c r="AE191" i="1" s="1"/>
  <c r="AC191" i="1"/>
  <c r="R191" i="1"/>
  <c r="P191" i="1" s="1"/>
  <c r="S191" i="1" s="1"/>
  <c r="M191" i="1" s="1"/>
  <c r="N191" i="1" s="1"/>
  <c r="AD95" i="1"/>
  <c r="AE95" i="1" s="1"/>
  <c r="W95" i="1"/>
  <c r="AA95" i="1" s="1"/>
  <c r="AC95" i="1"/>
  <c r="R128" i="1"/>
  <c r="P128" i="1" s="1"/>
  <c r="S128" i="1" s="1"/>
  <c r="M128" i="1" s="1"/>
  <c r="N128" i="1" s="1"/>
  <c r="R119" i="1"/>
  <c r="P119" i="1" s="1"/>
  <c r="S119" i="1" s="1"/>
  <c r="M119" i="1" s="1"/>
  <c r="N119" i="1" s="1"/>
  <c r="R138" i="1"/>
  <c r="P138" i="1" s="1"/>
  <c r="S138" i="1" s="1"/>
  <c r="M138" i="1" s="1"/>
  <c r="N138" i="1" s="1"/>
  <c r="AD151" i="1"/>
  <c r="W151" i="1"/>
  <c r="AA151" i="1" s="1"/>
  <c r="AC151" i="1"/>
  <c r="AE198" i="1"/>
  <c r="AE19" i="1"/>
  <c r="R123" i="1"/>
  <c r="P123" i="1" s="1"/>
  <c r="S123" i="1" s="1"/>
  <c r="M123" i="1" s="1"/>
  <c r="N123" i="1" s="1"/>
  <c r="W195" i="1"/>
  <c r="AA195" i="1" s="1"/>
  <c r="AD195" i="1"/>
  <c r="AE195" i="1" s="1"/>
  <c r="AC195" i="1"/>
  <c r="R195" i="1"/>
  <c r="P195" i="1" s="1"/>
  <c r="S195" i="1" s="1"/>
  <c r="M195" i="1" s="1"/>
  <c r="N195" i="1" s="1"/>
  <c r="R213" i="1"/>
  <c r="P213" i="1" s="1"/>
  <c r="S213" i="1" s="1"/>
  <c r="M213" i="1" s="1"/>
  <c r="N213" i="1" s="1"/>
  <c r="R155" i="1"/>
  <c r="P155" i="1" s="1"/>
  <c r="S155" i="1" s="1"/>
  <c r="M155" i="1" s="1"/>
  <c r="N155" i="1" s="1"/>
  <c r="AE118" i="1"/>
  <c r="AE57" i="1"/>
  <c r="W96" i="1"/>
  <c r="AA96" i="1" s="1"/>
  <c r="AD96" i="1"/>
  <c r="AE96" i="1" s="1"/>
  <c r="AC96" i="1"/>
  <c r="R136" i="1"/>
  <c r="P136" i="1" s="1"/>
  <c r="S136" i="1" s="1"/>
  <c r="M136" i="1" s="1"/>
  <c r="N136" i="1" s="1"/>
  <c r="W52" i="1"/>
  <c r="AA52" i="1" s="1"/>
  <c r="AD52" i="1"/>
  <c r="AC52" i="1"/>
  <c r="AE188" i="1"/>
  <c r="W53" i="1"/>
  <c r="AA53" i="1" s="1"/>
  <c r="AD53" i="1"/>
  <c r="AE53" i="1" s="1"/>
  <c r="AC53" i="1"/>
  <c r="R140" i="1"/>
  <c r="P140" i="1" s="1"/>
  <c r="S140" i="1" s="1"/>
  <c r="M140" i="1" s="1"/>
  <c r="N140" i="1" s="1"/>
  <c r="W36" i="1"/>
  <c r="AA36" i="1" s="1"/>
  <c r="AD36" i="1"/>
  <c r="AC36" i="1"/>
  <c r="W224" i="1"/>
  <c r="AA224" i="1" s="1"/>
  <c r="AD224" i="1"/>
  <c r="AE224" i="1" s="1"/>
  <c r="AC224" i="1"/>
  <c r="R224" i="1"/>
  <c r="P224" i="1" s="1"/>
  <c r="S224" i="1" s="1"/>
  <c r="M224" i="1" s="1"/>
  <c r="N224" i="1" s="1"/>
  <c r="W232" i="1"/>
  <c r="AA232" i="1" s="1"/>
  <c r="AD232" i="1"/>
  <c r="AE232" i="1" s="1"/>
  <c r="AC232" i="1"/>
  <c r="R232" i="1"/>
  <c r="P232" i="1" s="1"/>
  <c r="S232" i="1" s="1"/>
  <c r="M232" i="1" s="1"/>
  <c r="N232" i="1" s="1"/>
  <c r="R86" i="1"/>
  <c r="P86" i="1" s="1"/>
  <c r="S86" i="1" s="1"/>
  <c r="M86" i="1" s="1"/>
  <c r="N86" i="1" s="1"/>
  <c r="AE59" i="1"/>
  <c r="AE202" i="1"/>
  <c r="W60" i="1"/>
  <c r="AA60" i="1" s="1"/>
  <c r="AD60" i="1"/>
  <c r="AC60" i="1"/>
  <c r="R60" i="1"/>
  <c r="P60" i="1" s="1"/>
  <c r="S60" i="1" s="1"/>
  <c r="M60" i="1" s="1"/>
  <c r="N60" i="1" s="1"/>
  <c r="W111" i="1"/>
  <c r="AA111" i="1" s="1"/>
  <c r="AD111" i="1"/>
  <c r="AC111" i="1"/>
  <c r="AD147" i="1"/>
  <c r="AE147" i="1" s="1"/>
  <c r="W147" i="1"/>
  <c r="AA147" i="1" s="1"/>
  <c r="AC147" i="1"/>
  <c r="AD185" i="1"/>
  <c r="AE185" i="1" s="1"/>
  <c r="W185" i="1"/>
  <c r="AA185" i="1" s="1"/>
  <c r="AC185" i="1"/>
  <c r="R172" i="1"/>
  <c r="P172" i="1" s="1"/>
  <c r="S172" i="1" s="1"/>
  <c r="M172" i="1" s="1"/>
  <c r="N172" i="1" s="1"/>
  <c r="W88" i="1"/>
  <c r="AA88" i="1" s="1"/>
  <c r="AD88" i="1"/>
  <c r="AE88" i="1" s="1"/>
  <c r="AC88" i="1"/>
  <c r="AE54" i="1"/>
  <c r="R116" i="1"/>
  <c r="P116" i="1" s="1"/>
  <c r="S116" i="1" s="1"/>
  <c r="M116" i="1" s="1"/>
  <c r="N116" i="1" s="1"/>
  <c r="R99" i="1"/>
  <c r="P99" i="1" s="1"/>
  <c r="S99" i="1" s="1"/>
  <c r="M99" i="1" s="1"/>
  <c r="N99" i="1" s="1"/>
  <c r="R146" i="1"/>
  <c r="P146" i="1" s="1"/>
  <c r="S146" i="1" s="1"/>
  <c r="M146" i="1" s="1"/>
  <c r="N146" i="1" s="1"/>
  <c r="R159" i="1"/>
  <c r="P159" i="1" s="1"/>
  <c r="S159" i="1" s="1"/>
  <c r="M159" i="1" s="1"/>
  <c r="N159" i="1" s="1"/>
  <c r="R209" i="1"/>
  <c r="P209" i="1" s="1"/>
  <c r="S209" i="1" s="1"/>
  <c r="M209" i="1" s="1"/>
  <c r="N209" i="1" s="1"/>
  <c r="AD162" i="1"/>
  <c r="AE162" i="1" s="1"/>
  <c r="AC162" i="1"/>
  <c r="W162" i="1"/>
  <c r="AA162" i="1" s="1"/>
  <c r="R83" i="1"/>
  <c r="P83" i="1" s="1"/>
  <c r="S83" i="1" s="1"/>
  <c r="M83" i="1" s="1"/>
  <c r="N83" i="1" s="1"/>
  <c r="AD93" i="1"/>
  <c r="AE93" i="1" s="1"/>
  <c r="W93" i="1"/>
  <c r="AA93" i="1" s="1"/>
  <c r="AC93" i="1"/>
  <c r="R93" i="1"/>
  <c r="P93" i="1" s="1"/>
  <c r="S93" i="1" s="1"/>
  <c r="M93" i="1" s="1"/>
  <c r="N93" i="1" s="1"/>
  <c r="W139" i="1"/>
  <c r="AA139" i="1" s="1"/>
  <c r="AD139" i="1"/>
  <c r="AE139" i="1" s="1"/>
  <c r="AC139" i="1"/>
  <c r="AD154" i="1"/>
  <c r="AE154" i="1" s="1"/>
  <c r="AC154" i="1"/>
  <c r="W154" i="1"/>
  <c r="AA154" i="1" s="1"/>
  <c r="AD193" i="1"/>
  <c r="W193" i="1"/>
  <c r="AA193" i="1" s="1"/>
  <c r="AC193" i="1"/>
  <c r="AE110" i="1"/>
  <c r="AE193" i="1" l="1"/>
  <c r="AE111" i="1"/>
  <c r="AE44" i="1"/>
  <c r="AE108" i="1"/>
  <c r="AE68" i="1"/>
  <c r="AE171" i="1"/>
  <c r="AE157" i="1"/>
  <c r="AE226" i="1"/>
  <c r="AE28" i="1"/>
  <c r="AE211" i="1"/>
  <c r="AE160" i="1"/>
  <c r="AE115" i="1"/>
  <c r="AE41" i="1"/>
  <c r="AE63" i="1"/>
  <c r="AE203" i="1"/>
  <c r="AE133" i="1"/>
  <c r="AE184" i="1"/>
  <c r="AE89" i="1"/>
  <c r="AE209" i="1"/>
  <c r="AE117" i="1"/>
  <c r="AE167" i="1"/>
  <c r="AE159" i="1"/>
  <c r="AE36" i="1"/>
  <c r="AE52" i="1"/>
  <c r="AE136" i="1"/>
  <c r="AE47" i="1"/>
  <c r="AE196" i="1"/>
  <c r="AE81" i="1"/>
  <c r="AE158" i="1"/>
  <c r="AE85" i="1"/>
  <c r="AE128" i="1"/>
  <c r="AE71" i="1"/>
  <c r="AE60" i="1"/>
  <c r="AE112" i="1"/>
  <c r="AE124" i="1"/>
  <c r="AE114" i="1"/>
  <c r="AE153" i="1"/>
  <c r="AE100" i="1"/>
  <c r="AE40" i="1"/>
  <c r="AE221" i="1"/>
  <c r="AE156" i="1"/>
  <c r="AE234" i="1"/>
  <c r="AE218" i="1"/>
  <c r="AE230" i="1"/>
  <c r="AE151" i="1"/>
  <c r="AE213" i="1"/>
  <c r="AE132" i="1"/>
  <c r="AE76" i="1"/>
  <c r="AE91" i="1"/>
  <c r="AE212" i="1"/>
  <c r="AE231" i="1"/>
  <c r="AE61" i="1"/>
  <c r="AE189" i="1"/>
  <c r="AE172" i="1"/>
  <c r="AE92" i="1"/>
  <c r="AE192" i="1"/>
  <c r="AE207" i="1"/>
</calcChain>
</file>

<file path=xl/sharedStrings.xml><?xml version="1.0" encoding="utf-8"?>
<sst xmlns="http://schemas.openxmlformats.org/spreadsheetml/2006/main" count="3261" uniqueCount="771">
  <si>
    <t>File opened</t>
  </si>
  <si>
    <t>2023-07-25 12:27:02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</si>
  <si>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</si>
  <si>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</si>
  <si>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</si>
  <si>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</si>
  <si>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</si>
  <si>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</si>
  <si>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</si>
  <si>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</si>
  <si>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</si>
  <si>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</si>
  <si>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</si>
  <si>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</si>
  <si>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</si>
  <si>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</si>
  <si>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</si>
  <si>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</si>
  <si>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</si>
  <si>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</si>
  <si>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</si>
  <si>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</si>
  <si>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</si>
  <si>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</si>
  <si>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</si>
  <si>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</si>
  <si>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</si>
  <si>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</si>
  <si>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</si>
  <si>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</si>
  <si>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</si>
  <si>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</si>
  <si>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</si>
  <si>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</si>
  <si>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12:27:02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</si>
  <si>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</si>
  <si>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</si>
  <si>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</si>
  <si>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</si>
  <si>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</si>
  <si>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</si>
  <si>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</si>
  <si>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</si>
  <si>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</si>
  <si>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</si>
  <si>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</si>
  <si>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</si>
  <si>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</si>
  <si>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</si>
  <si>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</si>
  <si>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</si>
  <si>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</si>
  <si>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</si>
  <si>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</si>
  <si>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</si>
  <si>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</si>
  <si>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</si>
  <si>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</si>
  <si>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</si>
  <si>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</si>
  <si>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</si>
  <si>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</si>
  <si>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</si>
  <si>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</si>
  <si>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</si>
  <si>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</si>
  <si>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</si>
  <si>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</si>
  <si>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</si>
  <si>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</si>
  <si>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</si>
  <si>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</si>
  <si>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</si>
  <si>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</si>
  <si>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</si>
  <si>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</si>
  <si>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</si>
  <si>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</si>
  <si>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</si>
  <si>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</si>
  <si>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</si>
  <si>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</si>
  <si>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</si>
  <si>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</si>
  <si>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</si>
  <si>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</si>
  <si>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</si>
  <si>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6.54938 89.3494 374.933 613.769 849.664 1063.48 1249.76 1429.91</t>
  </si>
  <si>
    <t>Fs_true</t>
  </si>
  <si>
    <t>-0.0309868 101.653 401.58 600.757 801.064 1000.98 1202.25 1400.63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</si>
  <si>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</si>
  <si>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</si>
  <si>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</si>
  <si>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</si>
  <si>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</si>
  <si>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</si>
  <si>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</si>
  <si>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</si>
  <si>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</si>
  <si>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</si>
  <si>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</si>
  <si>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</si>
  <si>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</si>
  <si>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</si>
  <si>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</si>
  <si>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</si>
  <si>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</si>
  <si>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</si>
  <si>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</si>
  <si>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</si>
  <si>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</si>
  <si>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</si>
  <si>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</si>
  <si>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</si>
  <si>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</si>
  <si>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</si>
  <si>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</si>
  <si>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</si>
  <si>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</si>
  <si>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</si>
  <si>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</si>
  <si>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</si>
  <si>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</si>
  <si>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</si>
  <si>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</si>
  <si>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</si>
  <si>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</si>
  <si>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</si>
  <si>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</si>
  <si>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</si>
  <si>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</si>
  <si>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</si>
  <si>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</si>
  <si>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</si>
  <si>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</si>
  <si>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</si>
  <si>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</si>
  <si>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</si>
  <si>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</si>
  <si>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</si>
  <si>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</si>
  <si>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</si>
  <si>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</si>
  <si>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</si>
  <si>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</si>
  <si>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</si>
  <si>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</si>
  <si>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</si>
  <si>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</si>
  <si>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</si>
  <si>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</si>
  <si>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</si>
  <si>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</si>
  <si>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</si>
  <si>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</si>
  <si>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</si>
  <si>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</si>
  <si>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</si>
  <si>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</si>
  <si>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</si>
  <si>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</si>
  <si>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</si>
  <si>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</si>
  <si>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</si>
  <si>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</si>
  <si>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</si>
  <si>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</si>
  <si>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</si>
  <si>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</si>
  <si>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</si>
  <si>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</si>
  <si>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</si>
  <si>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</si>
  <si>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</si>
  <si>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</si>
  <si>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</si>
  <si>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</si>
  <si>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</si>
  <si>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</si>
  <si>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</si>
  <si>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</si>
  <si>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</si>
  <si>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</si>
  <si>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</si>
  <si>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</si>
  <si>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</si>
  <si>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</si>
  <si>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</si>
  <si>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</si>
  <si>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</si>
  <si>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</si>
  <si>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</si>
  <si>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</si>
  <si>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</si>
  <si>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</si>
  <si>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</si>
  <si>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</si>
  <si>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</si>
  <si>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</si>
  <si>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</si>
  <si>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</si>
  <si>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</si>
  <si>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</si>
  <si>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</si>
  <si>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</si>
  <si>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</si>
  <si>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</si>
  <si>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</si>
  <si>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</si>
  <si>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</si>
  <si>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</si>
  <si>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</si>
  <si>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</si>
  <si>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</si>
  <si>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</si>
  <si>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</si>
  <si>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</si>
  <si>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</si>
  <si>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</si>
  <si>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</si>
  <si>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</si>
  <si>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</si>
  <si>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</si>
  <si>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</si>
  <si>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</si>
  <si>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</si>
  <si>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</si>
  <si>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</si>
  <si>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</si>
  <si>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</si>
  <si>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</si>
  <si>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</si>
  <si>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</si>
  <si>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</si>
  <si>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</si>
  <si>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</si>
  <si>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</si>
  <si>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</si>
  <si>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</si>
  <si>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</si>
  <si>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</si>
  <si>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</si>
  <si>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</si>
  <si>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</si>
  <si>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</si>
  <si>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</si>
  <si>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</si>
  <si>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</si>
  <si>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</si>
  <si>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</si>
  <si>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</si>
  <si>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</si>
  <si>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</si>
  <si>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</si>
  <si>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</si>
  <si>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</si>
  <si>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</si>
  <si>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</si>
  <si>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</si>
  <si>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</si>
  <si>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</si>
  <si>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</si>
  <si>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</si>
  <si>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</si>
  <si>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</si>
  <si>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</si>
  <si>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</si>
  <si>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</si>
  <si>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</si>
  <si>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</si>
  <si>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</si>
  <si>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</si>
  <si>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</si>
  <si>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</si>
  <si>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</si>
  <si>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</si>
  <si>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</si>
  <si>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</si>
  <si>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</si>
  <si>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</si>
  <si>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</si>
  <si>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</si>
  <si>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</si>
  <si>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</si>
  <si>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</si>
  <si>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</si>
  <si>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</si>
  <si>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</si>
  <si>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</si>
  <si>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</si>
  <si>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</si>
  <si>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</si>
  <si>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</si>
  <si>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</si>
  <si>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</si>
  <si>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</si>
  <si>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</si>
  <si>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</si>
  <si>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</si>
  <si>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</si>
  <si>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</si>
  <si>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</si>
  <si>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</si>
  <si>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</si>
  <si>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</si>
  <si>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</si>
  <si>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</si>
  <si>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</si>
  <si>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</si>
  <si>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</si>
  <si>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</si>
  <si>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</si>
  <si>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</si>
  <si>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</si>
  <si>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</si>
  <si>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</si>
  <si>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</si>
  <si>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</si>
  <si>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</si>
  <si>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</si>
  <si>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</si>
  <si>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</si>
  <si>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</si>
  <si>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</si>
  <si>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</si>
  <si>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</si>
  <si>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</si>
  <si>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</si>
  <si>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20230725 12:36:58</t>
  </si>
  <si>
    <t>12:36:58</t>
  </si>
  <si>
    <t>none</t>
  </si>
  <si>
    <t>0: Broadleaf</t>
  </si>
  <si>
    <t>12:30:53</t>
  </si>
  <si>
    <t>0/0</t>
  </si>
  <si>
    <t>00000000</t>
  </si>
  <si>
    <t>iiiiiiii</t>
  </si>
  <si>
    <t>off</t>
  </si>
  <si>
    <t>20230725 12:37:06</t>
  </si>
  <si>
    <t>12:37:06</t>
  </si>
  <si>
    <t>20230725 12:37:10</t>
  </si>
  <si>
    <t>12:37:10</t>
  </si>
  <si>
    <t>20230725 12:37:11</t>
  </si>
  <si>
    <t>12:37:11</t>
  </si>
  <si>
    <t>20230725 12:37:14</t>
  </si>
  <si>
    <t>12:37:14</t>
  </si>
  <si>
    <t>20230725 12:40:49</t>
  </si>
  <si>
    <t>12:40:49</t>
  </si>
  <si>
    <t>20230725 12:41:00</t>
  </si>
  <si>
    <t>12:41:00</t>
  </si>
  <si>
    <t>20230725 12:41:10</t>
  </si>
  <si>
    <t>12:41:10</t>
  </si>
  <si>
    <t>20230725 12:41:20</t>
  </si>
  <si>
    <t>12:41:20</t>
  </si>
  <si>
    <t>20230725 12:41:30</t>
  </si>
  <si>
    <t>12:41:30</t>
  </si>
  <si>
    <t>20230725 12:41:40</t>
  </si>
  <si>
    <t>12:41:40</t>
  </si>
  <si>
    <t>20230725 12:41:50</t>
  </si>
  <si>
    <t>12:41:50</t>
  </si>
  <si>
    <t>20230725 12:42:00</t>
  </si>
  <si>
    <t>12:42:00</t>
  </si>
  <si>
    <t>20230725 12:42:10</t>
  </si>
  <si>
    <t>12:42:10</t>
  </si>
  <si>
    <t>20230725 12:42:20</t>
  </si>
  <si>
    <t>12:42:20</t>
  </si>
  <si>
    <t>20230725 12:42:30</t>
  </si>
  <si>
    <t>12:42:30</t>
  </si>
  <si>
    <t>20230725 12:42:40</t>
  </si>
  <si>
    <t>12:42:40</t>
  </si>
  <si>
    <t>20230725 12:42:50</t>
  </si>
  <si>
    <t>12:42:50</t>
  </si>
  <si>
    <t>20230725 12:43:00</t>
  </si>
  <si>
    <t>12:43:00</t>
  </si>
  <si>
    <t>20230725 12:43:10</t>
  </si>
  <si>
    <t>12:43:10</t>
  </si>
  <si>
    <t>20230725 12:43:20</t>
  </si>
  <si>
    <t>12:43:20</t>
  </si>
  <si>
    <t>20230725 12:43:30</t>
  </si>
  <si>
    <t>12:43:30</t>
  </si>
  <si>
    <t>20230725 12:43:40</t>
  </si>
  <si>
    <t>12:43:40</t>
  </si>
  <si>
    <t>20230725 12:43:50</t>
  </si>
  <si>
    <t>12:43:50</t>
  </si>
  <si>
    <t>20230725 12:44:00</t>
  </si>
  <si>
    <t>12:44:00</t>
  </si>
  <si>
    <t>20230725 12:44:10</t>
  </si>
  <si>
    <t>12:44:10</t>
  </si>
  <si>
    <t>20230725 12:44:20</t>
  </si>
  <si>
    <t>12:44:20</t>
  </si>
  <si>
    <t>20230725 12:44:30</t>
  </si>
  <si>
    <t>12:44:30</t>
  </si>
  <si>
    <t>20230725 12:44:40</t>
  </si>
  <si>
    <t>12:44:40</t>
  </si>
  <si>
    <t>20230725 12:44:50</t>
  </si>
  <si>
    <t>12:44:50</t>
  </si>
  <si>
    <t>20230725 12:45:00</t>
  </si>
  <si>
    <t>12:45:00</t>
  </si>
  <si>
    <t>20230725 12:45:10</t>
  </si>
  <si>
    <t>12:45:10</t>
  </si>
  <si>
    <t>20230725 12:45:20</t>
  </si>
  <si>
    <t>12:45:20</t>
  </si>
  <si>
    <t>20230725 12:45:30</t>
  </si>
  <si>
    <t>12:45:30</t>
  </si>
  <si>
    <t>20230725 12:45:40</t>
  </si>
  <si>
    <t>12:45:40</t>
  </si>
  <si>
    <t>20230725 12:45:50</t>
  </si>
  <si>
    <t>12:45:50</t>
  </si>
  <si>
    <t>20230725 12:46:00</t>
  </si>
  <si>
    <t>12:46:00</t>
  </si>
  <si>
    <t>20230725 12:46:10</t>
  </si>
  <si>
    <t>12:46:10</t>
  </si>
  <si>
    <t>20230725 12:46:20</t>
  </si>
  <si>
    <t>12:46:20</t>
  </si>
  <si>
    <t>20230725 12:46:30</t>
  </si>
  <si>
    <t>12:46:30</t>
  </si>
  <si>
    <t>20230725 12:46:40</t>
  </si>
  <si>
    <t>12:46:40</t>
  </si>
  <si>
    <t>20230725 12:46:50</t>
  </si>
  <si>
    <t>12:46:50</t>
  </si>
  <si>
    <t>20230725 12:47:00</t>
  </si>
  <si>
    <t>12:47:00</t>
  </si>
  <si>
    <t>20230725 12:47:10</t>
  </si>
  <si>
    <t>12:47:10</t>
  </si>
  <si>
    <t>20230725 12:47:20</t>
  </si>
  <si>
    <t>12:47:20</t>
  </si>
  <si>
    <t>20230725 12:47:30</t>
  </si>
  <si>
    <t>12:47:30</t>
  </si>
  <si>
    <t>20230725 12:47:40</t>
  </si>
  <si>
    <t>12:47:40</t>
  </si>
  <si>
    <t>20230725 12:47:50</t>
  </si>
  <si>
    <t>12:47:50</t>
  </si>
  <si>
    <t>20230725 12:48:00</t>
  </si>
  <si>
    <t>12:48:00</t>
  </si>
  <si>
    <t>20230725 12:48:10</t>
  </si>
  <si>
    <t>12:48:10</t>
  </si>
  <si>
    <t>20230725 12:48:20</t>
  </si>
  <si>
    <t>12:48:20</t>
  </si>
  <si>
    <t>20230725 12:48:30</t>
  </si>
  <si>
    <t>12:48:30</t>
  </si>
  <si>
    <t>20230725 12:48:40</t>
  </si>
  <si>
    <t>12:48:40</t>
  </si>
  <si>
    <t>20230725 12:48:50</t>
  </si>
  <si>
    <t>12:48:50</t>
  </si>
  <si>
    <t>20230725 12:49:00</t>
  </si>
  <si>
    <t>12:49:00</t>
  </si>
  <si>
    <t>20230725 12:49:10</t>
  </si>
  <si>
    <t>12:49:10</t>
  </si>
  <si>
    <t>20230725 12:49:20</t>
  </si>
  <si>
    <t>12:49:20</t>
  </si>
  <si>
    <t>20230725 12:49:30</t>
  </si>
  <si>
    <t>12:49:30</t>
  </si>
  <si>
    <t>20230725 12:49:40</t>
  </si>
  <si>
    <t>12:49:40</t>
  </si>
  <si>
    <t>20230725 12:49:50</t>
  </si>
  <si>
    <t>12:49:50</t>
  </si>
  <si>
    <t>20230725 12:50:00</t>
  </si>
  <si>
    <t>12:50:00</t>
  </si>
  <si>
    <t>20230725 12:50:10</t>
  </si>
  <si>
    <t>12:50:10</t>
  </si>
  <si>
    <t>20230725 12:50:20</t>
  </si>
  <si>
    <t>12:50:20</t>
  </si>
  <si>
    <t>20230725 12:50:30</t>
  </si>
  <si>
    <t>12:50:30</t>
  </si>
  <si>
    <t>20230725 12:50:40</t>
  </si>
  <si>
    <t>12:50:40</t>
  </si>
  <si>
    <t>20230725 12:50:50</t>
  </si>
  <si>
    <t>12:50:50</t>
  </si>
  <si>
    <t>20230725 12:51:00</t>
  </si>
  <si>
    <t>12:51:00</t>
  </si>
  <si>
    <t>20230725 12:51:10</t>
  </si>
  <si>
    <t>12:51:10</t>
  </si>
  <si>
    <t>20230725 12:51:20</t>
  </si>
  <si>
    <t>12:51:20</t>
  </si>
  <si>
    <t>20230725 12:51:30</t>
  </si>
  <si>
    <t>12:51:30</t>
  </si>
  <si>
    <t>20230725 12:51:40</t>
  </si>
  <si>
    <t>12:51:40</t>
  </si>
  <si>
    <t>20230725 12:51:50</t>
  </si>
  <si>
    <t>12:51:50</t>
  </si>
  <si>
    <t>20230725 12:52:00</t>
  </si>
  <si>
    <t>12:52:00</t>
  </si>
  <si>
    <t>20230725 12:52:10</t>
  </si>
  <si>
    <t>12:52:10</t>
  </si>
  <si>
    <t>20230725 12:52:20</t>
  </si>
  <si>
    <t>12:52:20</t>
  </si>
  <si>
    <t>20230725 12:52:30</t>
  </si>
  <si>
    <t>12:52:30</t>
  </si>
  <si>
    <t>20230725 12:52:40</t>
  </si>
  <si>
    <t>12:52:40</t>
  </si>
  <si>
    <t>20230725 12:52:50</t>
  </si>
  <si>
    <t>12:52:50</t>
  </si>
  <si>
    <t>20230725 12:53:00</t>
  </si>
  <si>
    <t>12:53:00</t>
  </si>
  <si>
    <t>20230725 12:53:10</t>
  </si>
  <si>
    <t>12:53:10</t>
  </si>
  <si>
    <t>20230725 12:53:20</t>
  </si>
  <si>
    <t>12:53:20</t>
  </si>
  <si>
    <t>20230725 12:53:30</t>
  </si>
  <si>
    <t>12:53:30</t>
  </si>
  <si>
    <t>20230725 12:53:40</t>
  </si>
  <si>
    <t>12:53:40</t>
  </si>
  <si>
    <t>20230725 12:53:50</t>
  </si>
  <si>
    <t>12:53:50</t>
  </si>
  <si>
    <t>20230725 12:54:00</t>
  </si>
  <si>
    <t>12:54:00</t>
  </si>
  <si>
    <t>20230725 12:54:10</t>
  </si>
  <si>
    <t>12:54:10</t>
  </si>
  <si>
    <t>20230725 12:54:20</t>
  </si>
  <si>
    <t>12:54:20</t>
  </si>
  <si>
    <t>20230725 12:54:30</t>
  </si>
  <si>
    <t>12:54:30</t>
  </si>
  <si>
    <t>20230725 12:54:40</t>
  </si>
  <si>
    <t>12:54:40</t>
  </si>
  <si>
    <t>20230725 12:54:50</t>
  </si>
  <si>
    <t>12:54:50</t>
  </si>
  <si>
    <t>20230725 12:55:00</t>
  </si>
  <si>
    <t>12:55:00</t>
  </si>
  <si>
    <t>20230725 12:55:10</t>
  </si>
  <si>
    <t>12:55:10</t>
  </si>
  <si>
    <t>20230725 12:55:20</t>
  </si>
  <si>
    <t>12:55:20</t>
  </si>
  <si>
    <t>20230725 12:55:30</t>
  </si>
  <si>
    <t>12:55:30</t>
  </si>
  <si>
    <t>20230725 12:55:40</t>
  </si>
  <si>
    <t>12:55:40</t>
  </si>
  <si>
    <t>20230725 12:55:50</t>
  </si>
  <si>
    <t>12:55:50</t>
  </si>
  <si>
    <t>20230725 12:56:00</t>
  </si>
  <si>
    <t>12:56:00</t>
  </si>
  <si>
    <t>20230725 12:56:10</t>
  </si>
  <si>
    <t>12:56:10</t>
  </si>
  <si>
    <t>20230725 12:56:20</t>
  </si>
  <si>
    <t>12:56:20</t>
  </si>
  <si>
    <t>20230725 12:56:30</t>
  </si>
  <si>
    <t>12:56:30</t>
  </si>
  <si>
    <t>20230725 12:56:40</t>
  </si>
  <si>
    <t>12:56:40</t>
  </si>
  <si>
    <t>20230725 12:56:50</t>
  </si>
  <si>
    <t>12:56:50</t>
  </si>
  <si>
    <t>20230725 12:57:00</t>
  </si>
  <si>
    <t>12:57:00</t>
  </si>
  <si>
    <t>20230725 12:57:10</t>
  </si>
  <si>
    <t>12:57:10</t>
  </si>
  <si>
    <t>20230725 12:57:20</t>
  </si>
  <si>
    <t>12:57:20</t>
  </si>
  <si>
    <t>20230725 12:57:30</t>
  </si>
  <si>
    <t>12:57:30</t>
  </si>
  <si>
    <t>20230725 12:57:40</t>
  </si>
  <si>
    <t>12:57:40</t>
  </si>
  <si>
    <t>20230725 12:57:50</t>
  </si>
  <si>
    <t>12:57:50</t>
  </si>
  <si>
    <t>20230725 12:58:00</t>
  </si>
  <si>
    <t>12:58:00</t>
  </si>
  <si>
    <t>20230725 12:58:10</t>
  </si>
  <si>
    <t>12:58:10</t>
  </si>
  <si>
    <t>20230725 12:58:20</t>
  </si>
  <si>
    <t>12:58:20</t>
  </si>
  <si>
    <t>20230725 12:58:30</t>
  </si>
  <si>
    <t>12:58:30</t>
  </si>
  <si>
    <t>20230725 12:58:40</t>
  </si>
  <si>
    <t>12:58:40</t>
  </si>
  <si>
    <t>20230725 12:58:50</t>
  </si>
  <si>
    <t>12:58:50</t>
  </si>
  <si>
    <t>20230725 12:59:00</t>
  </si>
  <si>
    <t>12:59:00</t>
  </si>
  <si>
    <t>20230725 12:59:10</t>
  </si>
  <si>
    <t>12:59:10</t>
  </si>
  <si>
    <t>20230725 12:59:20</t>
  </si>
  <si>
    <t>12:59:20</t>
  </si>
  <si>
    <t>20230725 12:59:30</t>
  </si>
  <si>
    <t>12:59:30</t>
  </si>
  <si>
    <t>20230725 12:59:40</t>
  </si>
  <si>
    <t>12:59:40</t>
  </si>
  <si>
    <t>20230725 12:59:50</t>
  </si>
  <si>
    <t>12:59:50</t>
  </si>
  <si>
    <t>20230725 13:00:00</t>
  </si>
  <si>
    <t>13:00:00</t>
  </si>
  <si>
    <t>20230725 13:00:10</t>
  </si>
  <si>
    <t>13:00:10</t>
  </si>
  <si>
    <t>20230725 13:00:20</t>
  </si>
  <si>
    <t>13:00:20</t>
  </si>
  <si>
    <t>20230725 13:00:30</t>
  </si>
  <si>
    <t>13:00:30</t>
  </si>
  <si>
    <t>20230725 13:00:40</t>
  </si>
  <si>
    <t>13:00:40</t>
  </si>
  <si>
    <t>20230725 13:00:50</t>
  </si>
  <si>
    <t>13:00:50</t>
  </si>
  <si>
    <t>20230725 13:01:00</t>
  </si>
  <si>
    <t>13:01:00</t>
  </si>
  <si>
    <t>20230725 13:01:10</t>
  </si>
  <si>
    <t>13:01:10</t>
  </si>
  <si>
    <t>20230725 13:01:20</t>
  </si>
  <si>
    <t>13:01:20</t>
  </si>
  <si>
    <t>20230725 13:01:30</t>
  </si>
  <si>
    <t>13:01:30</t>
  </si>
  <si>
    <t>20230725 13:01:40</t>
  </si>
  <si>
    <t>13:01:40</t>
  </si>
  <si>
    <t>20230725 13:01:50</t>
  </si>
  <si>
    <t>13:01:50</t>
  </si>
  <si>
    <t>20230725 13:02:00</t>
  </si>
  <si>
    <t>13:02:00</t>
  </si>
  <si>
    <t>20230725 13:02:10</t>
  </si>
  <si>
    <t>13:02:10</t>
  </si>
  <si>
    <t>20230725 13:02:20</t>
  </si>
  <si>
    <t>13:02:20</t>
  </si>
  <si>
    <t>20230725 13:02:30</t>
  </si>
  <si>
    <t>13:02:30</t>
  </si>
  <si>
    <t>20230725 13:02:40</t>
  </si>
  <si>
    <t>13:02:40</t>
  </si>
  <si>
    <t>20230725 13:02:50</t>
  </si>
  <si>
    <t>13:02:50</t>
  </si>
  <si>
    <t>20230725 13:03:00</t>
  </si>
  <si>
    <t>13:03:00</t>
  </si>
  <si>
    <t>20230725 13:03:10</t>
  </si>
  <si>
    <t>13:03:10</t>
  </si>
  <si>
    <t>20230725 13:03:20</t>
  </si>
  <si>
    <t>13:03:20</t>
  </si>
  <si>
    <t>20230725 13:03:30</t>
  </si>
  <si>
    <t>13:03:30</t>
  </si>
  <si>
    <t>20230725 13:03:40</t>
  </si>
  <si>
    <t>13:03:40</t>
  </si>
  <si>
    <t>20230725 13:03:50</t>
  </si>
  <si>
    <t>13:03:50</t>
  </si>
  <si>
    <t>20230725 13:04:00</t>
  </si>
  <si>
    <t>13:04:00</t>
  </si>
  <si>
    <t>20230725 13:04:10</t>
  </si>
  <si>
    <t>13:04:10</t>
  </si>
  <si>
    <t>20230725 13:04:20</t>
  </si>
  <si>
    <t>13:04:20</t>
  </si>
  <si>
    <t>20230725 13:04:30</t>
  </si>
  <si>
    <t>13:04:30</t>
  </si>
  <si>
    <t>20230725 13:04:40</t>
  </si>
  <si>
    <t>13:04:40</t>
  </si>
  <si>
    <t>20230725 13:04:50</t>
  </si>
  <si>
    <t>13:04:50</t>
  </si>
  <si>
    <t>20230725 13:05:00</t>
  </si>
  <si>
    <t>13:05:00</t>
  </si>
  <si>
    <t>20230725 13:05:10</t>
  </si>
  <si>
    <t>13:05:10</t>
  </si>
  <si>
    <t>20230725 13:05:20</t>
  </si>
  <si>
    <t>13:05:20</t>
  </si>
  <si>
    <t>20230725 13:05:30</t>
  </si>
  <si>
    <t>13:05:30</t>
  </si>
  <si>
    <t>20230725 13:05:40</t>
  </si>
  <si>
    <t>13:05:40</t>
  </si>
  <si>
    <t>20230725 13:05:50</t>
  </si>
  <si>
    <t>13:05:50</t>
  </si>
  <si>
    <t>20230725 13:06:00</t>
  </si>
  <si>
    <t>13:06:00</t>
  </si>
  <si>
    <t>20230725 13:06:10</t>
  </si>
  <si>
    <t>13:06:10</t>
  </si>
  <si>
    <t>20230725 13:06:20</t>
  </si>
  <si>
    <t>13:06:20</t>
  </si>
  <si>
    <t>20230725 13:06:30</t>
  </si>
  <si>
    <t>13:06:30</t>
  </si>
  <si>
    <t>20230725 13:06:40</t>
  </si>
  <si>
    <t>13:06:40</t>
  </si>
  <si>
    <t>20230725 13:06:50</t>
  </si>
  <si>
    <t>13:06:50</t>
  </si>
  <si>
    <t>20230725 13:07:00</t>
  </si>
  <si>
    <t>13:07:00</t>
  </si>
  <si>
    <t>20230725 13:07:10</t>
  </si>
  <si>
    <t>13:07:10</t>
  </si>
  <si>
    <t>20230725 13:07:20</t>
  </si>
  <si>
    <t>13:07:20</t>
  </si>
  <si>
    <t>20230725 13:07:30</t>
  </si>
  <si>
    <t>13:07:30</t>
  </si>
  <si>
    <t>20230725 13:07:40</t>
  </si>
  <si>
    <t>13:07:40</t>
  </si>
  <si>
    <t>20230725 13:07:50</t>
  </si>
  <si>
    <t>13:07:50</t>
  </si>
  <si>
    <t>20230725 13:08:00</t>
  </si>
  <si>
    <t>13:08:00</t>
  </si>
  <si>
    <t>20230725 13:08:10</t>
  </si>
  <si>
    <t>13:08:10</t>
  </si>
  <si>
    <t>20230725 13:08:20</t>
  </si>
  <si>
    <t>13:08:20</t>
  </si>
  <si>
    <t>20230725 13:08:30</t>
  </si>
  <si>
    <t>13:08:30</t>
  </si>
  <si>
    <t>20230725 13:08:40</t>
  </si>
  <si>
    <t>13:08:40</t>
  </si>
  <si>
    <t>20230725 13:08:50</t>
  </si>
  <si>
    <t>13:08:50</t>
  </si>
  <si>
    <t>20230725 13:09:00</t>
  </si>
  <si>
    <t>13:09:00</t>
  </si>
  <si>
    <t>20230725 13:09:10</t>
  </si>
  <si>
    <t>13:09:10</t>
  </si>
  <si>
    <t>20230725 13:09:20</t>
  </si>
  <si>
    <t>13:09:20</t>
  </si>
  <si>
    <t>20230725 13:09:30</t>
  </si>
  <si>
    <t>13:09:30</t>
  </si>
  <si>
    <t>20230725 13:09:40</t>
  </si>
  <si>
    <t>13:09:40</t>
  </si>
  <si>
    <t>20230725 13:09:50</t>
  </si>
  <si>
    <t>13:09:50</t>
  </si>
  <si>
    <t>20230725 13:10:00</t>
  </si>
  <si>
    <t>13:10:00</t>
  </si>
  <si>
    <t>20230725 13:10:10</t>
  </si>
  <si>
    <t>13:10:10</t>
  </si>
  <si>
    <t>20230725 13:10:20</t>
  </si>
  <si>
    <t>13:10:20</t>
  </si>
  <si>
    <t>20230725 13:10:30</t>
  </si>
  <si>
    <t>13:10:30</t>
  </si>
  <si>
    <t>20230725 13:10:40</t>
  </si>
  <si>
    <t>13:10:40</t>
  </si>
  <si>
    <t>20230725 13:10:50</t>
  </si>
  <si>
    <t>13:10:50</t>
  </si>
  <si>
    <t>20230725 13:11:00</t>
  </si>
  <si>
    <t>13:11:00</t>
  </si>
  <si>
    <t>20230725 13:11:10</t>
  </si>
  <si>
    <t>13:11:10</t>
  </si>
  <si>
    <t>20230725 13:11:20</t>
  </si>
  <si>
    <t>13:11:20</t>
  </si>
  <si>
    <t>20230725 13:11:30</t>
  </si>
  <si>
    <t>13:11:30</t>
  </si>
  <si>
    <t>20230725 13:11:40</t>
  </si>
  <si>
    <t>13:11:40</t>
  </si>
  <si>
    <t>20230725 13:11:50</t>
  </si>
  <si>
    <t>13:11:50</t>
  </si>
  <si>
    <t>20230725 13:12:00</t>
  </si>
  <si>
    <t>13:12:00</t>
  </si>
  <si>
    <t>20230725 13:12:10</t>
  </si>
  <si>
    <t>13:12:10</t>
  </si>
  <si>
    <t>20230725 13:12:20</t>
  </si>
  <si>
    <t>13:12:20</t>
  </si>
  <si>
    <t>20230725 13:12:30</t>
  </si>
  <si>
    <t>13:12:30</t>
  </si>
  <si>
    <t>20230725 13:12:40</t>
  </si>
  <si>
    <t>13:12:40</t>
  </si>
  <si>
    <t>20230725 13:12:50</t>
  </si>
  <si>
    <t>13:12:50</t>
  </si>
  <si>
    <t>20230725 13:13:00</t>
  </si>
  <si>
    <t>13:13:00</t>
  </si>
  <si>
    <t>20230725 13:13:10</t>
  </si>
  <si>
    <t>13:13:10</t>
  </si>
  <si>
    <t>20230725 13:13:20</t>
  </si>
  <si>
    <t>13:13:20</t>
  </si>
  <si>
    <t>20230725 13:13:30</t>
  </si>
  <si>
    <t>13:13:30</t>
  </si>
  <si>
    <t>20230725 13:13:40</t>
  </si>
  <si>
    <t>13:13:40</t>
  </si>
  <si>
    <t>20230725 13:13:50</t>
  </si>
  <si>
    <t>13:13:50</t>
  </si>
  <si>
    <t>20230725 13:14:00</t>
  </si>
  <si>
    <t>13:14:00</t>
  </si>
  <si>
    <t>20230725 13:14:10</t>
  </si>
  <si>
    <t>13:14:10</t>
  </si>
  <si>
    <t>20230725 13:14:20</t>
  </si>
  <si>
    <t>13:14:20</t>
  </si>
  <si>
    <t>20230725 13:14:30</t>
  </si>
  <si>
    <t>13:14:30</t>
  </si>
  <si>
    <t>20230725 13:14:40</t>
  </si>
  <si>
    <t>13:14:40</t>
  </si>
  <si>
    <t>20230725 13:14:50</t>
  </si>
  <si>
    <t>13:14:50</t>
  </si>
  <si>
    <t>20230725 13:15:00</t>
  </si>
  <si>
    <t>13:15:00</t>
  </si>
  <si>
    <t>20230725 13:15:10</t>
  </si>
  <si>
    <t>13:15:10</t>
  </si>
  <si>
    <t>20230725 13:15:20</t>
  </si>
  <si>
    <t>13:15:20</t>
  </si>
  <si>
    <t>20230725 13:15:30</t>
  </si>
  <si>
    <t>13:15:30</t>
  </si>
  <si>
    <t>20230725 13:15:40</t>
  </si>
  <si>
    <t>13:15:40</t>
  </si>
  <si>
    <t>20230725 13:15:50</t>
  </si>
  <si>
    <t>13:15:50</t>
  </si>
  <si>
    <t>20230725 13:16:00</t>
  </si>
  <si>
    <t>13:16:00</t>
  </si>
  <si>
    <t>20230725 13:16:10</t>
  </si>
  <si>
    <t>13:16:10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</si>
</sst>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34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1690306618.5999999</v>
      </c>
      <c r="C17">
        <v>0</v>
      </c>
      <c r="D17" t="s">
        <v>328</v>
      </c>
      <c r="E17" t="s">
        <v>329</v>
      </c>
      <c r="F17" t="s">
        <v>330</v>
      </c>
      <c r="H17">
        <v>1690306618.5999999</v>
      </c>
      <c r="I17">
        <f t="shared" ref="I17:I80" si="0">(J17)/1000</f>
        <v>1.3242140930130847E-4</v>
      </c>
      <c r="J17">
        <f t="shared" ref="J17:J80" si="1">1000*AZ17*AH17*(AV17-AW17)/(100*AO17*(1000-AH17*AV17))</f>
        <v>0.13242140930130847</v>
      </c>
      <c r="K17">
        <f t="shared" ref="K17:K80" si="2">AZ17*AH17*(AU17-AT17*(1000-AH17*AW17)/(1000-AH17*AV17))/(100*AO17)</f>
        <v>-0.77135200816575566</v>
      </c>
      <c r="L17">
        <f t="shared" ref="L17:L80" si="3">AT17 - IF(AH17&gt;1, K17*AO17*100/(AJ17*BH17), 0)</f>
        <v>806.89200000000005</v>
      </c>
      <c r="M17">
        <f t="shared" ref="M17:M80" si="4">((S17-I17/2)*L17-K17)/(S17+I17/2)</f>
        <v>908.01490162462358</v>
      </c>
      <c r="N17">
        <f t="shared" ref="N17:N80" si="5">M17*(BA17+BB17)/1000</f>
        <v>90.195224048900911</v>
      </c>
      <c r="O17">
        <f t="shared" ref="O17:O80" si="6">(AT17 - IF(AH17&gt;1, K17*AO17*100/(AJ17*BH17), 0))*(BA17+BB17)/1000</f>
        <v>80.150451928763999</v>
      </c>
      <c r="P17">
        <f t="shared" ref="P17:P80" si="7">2/((1/R17-1/Q17)+SIGN(R17)*SQRT((1/R17-1/Q17)*(1/R17-1/Q17) + 4*AP17/((AP17+1)*(AP17+1))*(2*1/R17*1/Q17-1/Q17*1/Q17)))</f>
        <v>1.0431596585781289E-2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2.1918033806920061</v>
      </c>
      <c r="R17">
        <f t="shared" ref="R17:R80" si="9">I17*(1000-(1000*0.61365*EXP(17.502*V17/(240.97+V17))/(BA17+BB17)+AV17)/2)/(1000*0.61365*EXP(17.502*V17/(240.97+V17))/(BA17+BB17)-AV17)</f>
        <v>1.0404093005562755E-2</v>
      </c>
      <c r="S17">
        <f t="shared" ref="S17:S80" si="10">1/((AP17+1)/(P17/1.6)+1/(Q17/1.37)) + AP17/((AP17+1)/(P17/1.6) + AP17/(Q17/1.37))</f>
        <v>6.5050231276071475E-3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26.908907280736987</v>
      </c>
      <c r="V17">
        <f t="shared" ref="V17:V80" si="13">($C$7*BD17+$D$7*BE17+$E$7*U17)</f>
        <v>26.908907280736987</v>
      </c>
      <c r="W17">
        <f t="shared" ref="W17:W80" si="14">0.61365*EXP(17.502*V17/(240.97+V17))</f>
        <v>3.5600554834376936</v>
      </c>
      <c r="X17">
        <f t="shared" ref="X17:X80" si="15">(Y17/Z17*100)</f>
        <v>65.36739756999593</v>
      </c>
      <c r="Y17">
        <f t="shared" ref="Y17:Y80" si="16">AV17*(BA17+BB17)/1000</f>
        <v>2.3332763934031995</v>
      </c>
      <c r="Z17">
        <f t="shared" ref="Z17:Z80" si="17">0.61365*EXP(17.502*BC17/(240.97+BC17))</f>
        <v>3.5694803222121676</v>
      </c>
      <c r="AA17">
        <f t="shared" ref="AA17:AA80" si="18">(W17-AV17*(BA17+BB17)/1000)</f>
        <v>1.2267790900344941</v>
      </c>
      <c r="AB17">
        <f t="shared" ref="AB17:AB80" si="19">(-I17*44100)</f>
        <v>-5.8397841501877039</v>
      </c>
      <c r="AC17">
        <f t="shared" ref="AC17:AC80" si="20">2*29.3*Q17*0.92*(BC17-V17)</f>
        <v>5.3165423490203709</v>
      </c>
      <c r="AD17">
        <f t="shared" ref="AD17:AD80" si="21">2*0.95*0.0000000567*(((BC17+$B$7)+273)^4-(V17+273)^4)</f>
        <v>0.52312408449144809</v>
      </c>
      <c r="AE17">
        <f t="shared" ref="AE17:AE80" si="22">T17+AD17+AB17+AC17</f>
        <v>-1.1771667588522661E-4</v>
      </c>
      <c r="AF17">
        <v>18</v>
      </c>
      <c r="AG17">
        <v>6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52303.037497189747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31.2</v>
      </c>
      <c r="AP17">
        <v>0.5</v>
      </c>
      <c r="AQ17" t="s">
        <v>331</v>
      </c>
      <c r="AR17">
        <v>2</v>
      </c>
      <c r="AS17">
        <v>1690306618.5999999</v>
      </c>
      <c r="AT17">
        <v>806.89200000000005</v>
      </c>
      <c r="AU17">
        <v>799.98699999999997</v>
      </c>
      <c r="AV17">
        <v>23.489599999999999</v>
      </c>
      <c r="AW17">
        <v>22.145900000000001</v>
      </c>
      <c r="AX17">
        <v>806.94799999999998</v>
      </c>
      <c r="AY17">
        <v>23.305499999999999</v>
      </c>
      <c r="AZ17">
        <v>300.25299999999999</v>
      </c>
      <c r="BA17">
        <v>99.232299999999995</v>
      </c>
      <c r="BB17">
        <v>0.10001699999999999</v>
      </c>
      <c r="BC17">
        <v>26.953900000000001</v>
      </c>
      <c r="BD17">
        <v>27</v>
      </c>
      <c r="BE17">
        <v>26.947099999999999</v>
      </c>
      <c r="BF17">
        <v>0</v>
      </c>
      <c r="BG17">
        <v>0</v>
      </c>
      <c r="BH17">
        <v>9965</v>
      </c>
      <c r="BI17">
        <v>0.64965899999999999</v>
      </c>
      <c r="BJ17">
        <v>1.32036</v>
      </c>
      <c r="BK17">
        <v>6.90503</v>
      </c>
      <c r="BL17">
        <v>826.30200000000002</v>
      </c>
      <c r="BM17">
        <v>818.10500000000002</v>
      </c>
      <c r="BN17">
        <v>1.3436900000000001</v>
      </c>
      <c r="BO17">
        <v>799.98699999999997</v>
      </c>
      <c r="BP17">
        <v>22.145900000000001</v>
      </c>
      <c r="BQ17">
        <v>2.3309199999999999</v>
      </c>
      <c r="BR17">
        <v>2.1975899999999999</v>
      </c>
      <c r="BS17">
        <v>19.8917</v>
      </c>
      <c r="BT17">
        <v>18.944700000000001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1690306253.5999999</v>
      </c>
      <c r="CC17" t="s">
        <v>332</v>
      </c>
      <c r="CD17">
        <v>1690306253.5999999</v>
      </c>
      <c r="CE17">
        <v>1690306251.5999999</v>
      </c>
      <c r="CF17">
        <v>9</v>
      </c>
      <c r="CG17">
        <v>0.19</v>
      </c>
      <c r="CH17">
        <v>-8.7999999999999995E-2</v>
      </c>
      <c r="CI17">
        <v>-5.0999999999999997E-2</v>
      </c>
      <c r="CJ17">
        <v>5.0999999999999997E-2</v>
      </c>
      <c r="CK17">
        <v>799</v>
      </c>
      <c r="CL17">
        <v>15</v>
      </c>
      <c r="CM17">
        <v>0.28000000000000003</v>
      </c>
      <c r="CN17">
        <v>0.03</v>
      </c>
      <c r="CO17">
        <v>6.9100026829268293</v>
      </c>
      <c r="CP17">
        <v>-9.995958188151606E-2</v>
      </c>
      <c r="CQ17">
        <v>3.5858682591419173E-2</v>
      </c>
      <c r="CR17">
        <v>-1</v>
      </c>
      <c r="CS17">
        <v>1.341827073170732</v>
      </c>
      <c r="CT17">
        <v>6.267595818815158E-3</v>
      </c>
      <c r="CU17">
        <v>8.8923986147237792E-4</v>
      </c>
      <c r="CV17">
        <v>-1</v>
      </c>
      <c r="CW17">
        <v>0</v>
      </c>
      <c r="CX17">
        <v>0</v>
      </c>
      <c r="CY17" t="s">
        <v>333</v>
      </c>
      <c r="CZ17">
        <v>2.3643399999999999</v>
      </c>
      <c r="DA17">
        <v>2.7137799999999999</v>
      </c>
      <c r="DB17">
        <v>0.14772099999999999</v>
      </c>
      <c r="DC17">
        <v>0.14654500000000001</v>
      </c>
      <c r="DD17">
        <v>0.112289</v>
      </c>
      <c r="DE17">
        <v>0.106142</v>
      </c>
      <c r="DF17">
        <v>31115.3</v>
      </c>
      <c r="DG17">
        <v>27506.799999999999</v>
      </c>
      <c r="DH17">
        <v>31168.3</v>
      </c>
      <c r="DI17">
        <v>28084.6</v>
      </c>
      <c r="DJ17">
        <v>37566.699999999997</v>
      </c>
      <c r="DK17">
        <v>35700.199999999997</v>
      </c>
      <c r="DL17">
        <v>44356.6</v>
      </c>
      <c r="DM17">
        <v>42574</v>
      </c>
      <c r="DN17">
        <v>1.4218</v>
      </c>
      <c r="DO17">
        <v>2.0575299999999999</v>
      </c>
      <c r="DP17">
        <v>7.6830399999999993E-2</v>
      </c>
      <c r="DQ17">
        <v>7.0735800000000001E-2</v>
      </c>
      <c r="DR17">
        <v>25.7423</v>
      </c>
      <c r="DS17">
        <v>25.789200000000001</v>
      </c>
      <c r="DT17">
        <v>54.8</v>
      </c>
      <c r="DU17">
        <v>29.6</v>
      </c>
      <c r="DV17">
        <v>22.996700000000001</v>
      </c>
      <c r="DW17">
        <v>61.912999999999997</v>
      </c>
      <c r="DX17">
        <v>34.811700000000002</v>
      </c>
      <c r="DY17">
        <v>1</v>
      </c>
      <c r="DZ17">
        <v>-6.3678899999999997E-2</v>
      </c>
      <c r="EA17">
        <v>-1.2764500000000001</v>
      </c>
      <c r="EB17">
        <v>20.298999999999999</v>
      </c>
      <c r="EC17">
        <v>5.2404999999999999</v>
      </c>
      <c r="ED17">
        <v>12.039899999999999</v>
      </c>
      <c r="EE17">
        <v>5.0168499999999998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1.8646199999999999</v>
      </c>
      <c r="EM17">
        <v>1.8692</v>
      </c>
      <c r="EN17">
        <v>1.8672599999999999</v>
      </c>
      <c r="EO17">
        <v>1.8633900000000001</v>
      </c>
      <c r="EP17">
        <v>1.8644700000000001</v>
      </c>
      <c r="EQ17">
        <v>1.8701700000000001</v>
      </c>
      <c r="ER17">
        <v>1.8694599999999999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-5.6000000000000001E-2</v>
      </c>
      <c r="FG17">
        <v>0.18410000000000001</v>
      </c>
      <c r="FH17">
        <v>0.49996858830924029</v>
      </c>
      <c r="FI17">
        <v>-6.1462078757559423E-4</v>
      </c>
      <c r="FJ17">
        <v>-1.8861989874597051E-7</v>
      </c>
      <c r="FK17">
        <v>1.1980462299894961E-10</v>
      </c>
      <c r="FL17">
        <v>0.18404795463265899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6.1</v>
      </c>
      <c r="FU17">
        <v>6.1</v>
      </c>
      <c r="FV17">
        <v>1.79199</v>
      </c>
      <c r="FW17">
        <v>2.5891099999999998</v>
      </c>
      <c r="FX17">
        <v>1.5490699999999999</v>
      </c>
      <c r="FY17">
        <v>2.3290999999999999</v>
      </c>
      <c r="FZ17">
        <v>1.50146</v>
      </c>
      <c r="GA17">
        <v>2.4194300000000002</v>
      </c>
      <c r="GB17">
        <v>33.986499999999999</v>
      </c>
      <c r="GC17">
        <v>24.026199999999999</v>
      </c>
      <c r="GD17">
        <v>19</v>
      </c>
      <c r="GE17">
        <v>261.57299999999998</v>
      </c>
      <c r="GF17">
        <v>603.95500000000004</v>
      </c>
      <c r="GG17">
        <v>28.3812</v>
      </c>
      <c r="GH17">
        <v>26.623699999999999</v>
      </c>
      <c r="GI17">
        <v>30.0002</v>
      </c>
      <c r="GJ17">
        <v>26.6555</v>
      </c>
      <c r="GK17">
        <v>26.606300000000001</v>
      </c>
      <c r="GL17">
        <v>35.825200000000002</v>
      </c>
      <c r="GM17">
        <v>13.9603</v>
      </c>
      <c r="GN17">
        <v>100</v>
      </c>
      <c r="GO17">
        <v>28.382899999999999</v>
      </c>
      <c r="GP17">
        <v>800</v>
      </c>
      <c r="GQ17">
        <v>22.1859</v>
      </c>
      <c r="GR17">
        <v>99.726699999999994</v>
      </c>
      <c r="GS17">
        <v>99.588399999999993</v>
      </c>
    </row>
    <row r="18" spans="1:201" x14ac:dyDescent="0.25">
      <c r="A18">
        <v>2</v>
      </c>
      <c r="B18">
        <v>1690306626.0999999</v>
      </c>
      <c r="C18">
        <v>7.5</v>
      </c>
      <c r="D18" t="s">
        <v>337</v>
      </c>
      <c r="E18" t="s">
        <v>338</v>
      </c>
      <c r="F18" t="s">
        <v>330</v>
      </c>
      <c r="H18">
        <v>1690306626.0999999</v>
      </c>
      <c r="I18">
        <f t="shared" si="0"/>
        <v>1.3227250160157921E-4</v>
      </c>
      <c r="J18">
        <f t="shared" si="1"/>
        <v>0.13227250160157922</v>
      </c>
      <c r="K18">
        <f t="shared" si="2"/>
        <v>-0.7684759796769155</v>
      </c>
      <c r="L18">
        <f t="shared" si="3"/>
        <v>806.851</v>
      </c>
      <c r="M18">
        <f t="shared" si="4"/>
        <v>907.62864729821774</v>
      </c>
      <c r="N18">
        <f t="shared" si="5"/>
        <v>90.165032430562633</v>
      </c>
      <c r="O18">
        <f t="shared" si="6"/>
        <v>80.153647417575002</v>
      </c>
      <c r="P18">
        <f t="shared" si="7"/>
        <v>1.0423974772701596E-2</v>
      </c>
      <c r="Q18">
        <f t="shared" si="8"/>
        <v>2.1973035398891358</v>
      </c>
      <c r="R18">
        <f t="shared" si="9"/>
        <v>1.0396579861320129E-2</v>
      </c>
      <c r="S18">
        <f t="shared" si="10"/>
        <v>6.5003176923930529E-3</v>
      </c>
      <c r="T18">
        <f t="shared" si="11"/>
        <v>0</v>
      </c>
      <c r="U18">
        <f t="shared" si="12"/>
        <v>26.907260242623387</v>
      </c>
      <c r="V18">
        <f t="shared" si="13"/>
        <v>26.907260242623387</v>
      </c>
      <c r="W18">
        <f t="shared" si="14"/>
        <v>3.5597108831102906</v>
      </c>
      <c r="X18">
        <f t="shared" si="15"/>
        <v>65.375229336797318</v>
      </c>
      <c r="Y18">
        <f t="shared" si="16"/>
        <v>2.333309173335</v>
      </c>
      <c r="Z18">
        <f t="shared" si="17"/>
        <v>3.56910284981848</v>
      </c>
      <c r="AA18">
        <f t="shared" si="18"/>
        <v>1.2264017097752906</v>
      </c>
      <c r="AB18">
        <f t="shared" si="19"/>
        <v>-5.8332173206296432</v>
      </c>
      <c r="AC18">
        <f t="shared" si="20"/>
        <v>5.3117637739460557</v>
      </c>
      <c r="AD18">
        <f t="shared" si="21"/>
        <v>0.52133663041356348</v>
      </c>
      <c r="AE18">
        <f t="shared" si="22"/>
        <v>-1.1691627002363703E-4</v>
      </c>
      <c r="AF18">
        <v>17</v>
      </c>
      <c r="AG18">
        <v>6</v>
      </c>
      <c r="AH18">
        <f t="shared" si="23"/>
        <v>1</v>
      </c>
      <c r="AI18">
        <f t="shared" si="24"/>
        <v>0</v>
      </c>
      <c r="AJ18">
        <f t="shared" si="25"/>
        <v>52528.612182785233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31.2</v>
      </c>
      <c r="AP18">
        <v>0.5</v>
      </c>
      <c r="AQ18" t="s">
        <v>331</v>
      </c>
      <c r="AR18">
        <v>2</v>
      </c>
      <c r="AS18">
        <v>1690306626.0999999</v>
      </c>
      <c r="AT18">
        <v>806.851</v>
      </c>
      <c r="AU18">
        <v>799.97299999999996</v>
      </c>
      <c r="AV18">
        <v>23.4878</v>
      </c>
      <c r="AW18">
        <v>22.145299999999999</v>
      </c>
      <c r="AX18">
        <v>806.90700000000004</v>
      </c>
      <c r="AY18">
        <v>23.303699999999999</v>
      </c>
      <c r="AZ18">
        <v>300.18400000000003</v>
      </c>
      <c r="BA18">
        <v>99.241200000000006</v>
      </c>
      <c r="BB18">
        <v>0.10012500000000001</v>
      </c>
      <c r="BC18">
        <v>26.952100000000002</v>
      </c>
      <c r="BD18">
        <v>26.995899999999999</v>
      </c>
      <c r="BE18">
        <v>26.926200000000001</v>
      </c>
      <c r="BF18">
        <v>0</v>
      </c>
      <c r="BG18">
        <v>0</v>
      </c>
      <c r="BH18">
        <v>10008.799999999999</v>
      </c>
      <c r="BI18">
        <v>0.72360999999999998</v>
      </c>
      <c r="BJ18">
        <v>1.3077399999999999</v>
      </c>
      <c r="BK18">
        <v>6.8788499999999999</v>
      </c>
      <c r="BL18">
        <v>826.25800000000004</v>
      </c>
      <c r="BM18">
        <v>818.08900000000006</v>
      </c>
      <c r="BN18">
        <v>1.3425</v>
      </c>
      <c r="BO18">
        <v>799.97299999999996</v>
      </c>
      <c r="BP18">
        <v>22.145299999999999</v>
      </c>
      <c r="BQ18">
        <v>2.3309500000000001</v>
      </c>
      <c r="BR18">
        <v>2.1977199999999999</v>
      </c>
      <c r="BS18">
        <v>19.8919</v>
      </c>
      <c r="BT18">
        <v>18.945699999999999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1690306253.5999999</v>
      </c>
      <c r="CC18" t="s">
        <v>332</v>
      </c>
      <c r="CD18">
        <v>1690306253.5999999</v>
      </c>
      <c r="CE18">
        <v>1690306251.5999999</v>
      </c>
      <c r="CF18">
        <v>9</v>
      </c>
      <c r="CG18">
        <v>0.19</v>
      </c>
      <c r="CH18">
        <v>-8.7999999999999995E-2</v>
      </c>
      <c r="CI18">
        <v>-5.0999999999999997E-2</v>
      </c>
      <c r="CJ18">
        <v>5.0999999999999997E-2</v>
      </c>
      <c r="CK18">
        <v>799</v>
      </c>
      <c r="CL18">
        <v>15</v>
      </c>
      <c r="CM18">
        <v>0.28000000000000003</v>
      </c>
      <c r="CN18">
        <v>0.03</v>
      </c>
      <c r="CO18">
        <v>6.8866475609756099</v>
      </c>
      <c r="CP18">
        <v>-0.1291567944250859</v>
      </c>
      <c r="CQ18">
        <v>3.2155589491013492E-2</v>
      </c>
      <c r="CR18">
        <v>-1</v>
      </c>
      <c r="CS18">
        <v>1.342673658536585</v>
      </c>
      <c r="CT18">
        <v>5.4100348432065404E-3</v>
      </c>
      <c r="CU18">
        <v>7.3848148777947624E-4</v>
      </c>
      <c r="CV18">
        <v>-1</v>
      </c>
      <c r="CW18">
        <v>0</v>
      </c>
      <c r="CX18">
        <v>0</v>
      </c>
      <c r="CY18" t="s">
        <v>333</v>
      </c>
      <c r="CZ18">
        <v>2.3641299999999998</v>
      </c>
      <c r="DA18">
        <v>2.7139199999999999</v>
      </c>
      <c r="DB18">
        <v>0.147728</v>
      </c>
      <c r="DC18">
        <v>0.14655399999999999</v>
      </c>
      <c r="DD18">
        <v>0.112292</v>
      </c>
      <c r="DE18">
        <v>0.10614700000000001</v>
      </c>
      <c r="DF18">
        <v>31114.799999999999</v>
      </c>
      <c r="DG18">
        <v>27506.3</v>
      </c>
      <c r="DH18">
        <v>31168</v>
      </c>
      <c r="DI18">
        <v>28084.400000000001</v>
      </c>
      <c r="DJ18">
        <v>37566.400000000001</v>
      </c>
      <c r="DK18">
        <v>35699.9</v>
      </c>
      <c r="DL18">
        <v>44356.3</v>
      </c>
      <c r="DM18">
        <v>42573.9</v>
      </c>
      <c r="DN18">
        <v>1.4221999999999999</v>
      </c>
      <c r="DO18">
        <v>2.0573000000000001</v>
      </c>
      <c r="DP18">
        <v>7.6420600000000005E-2</v>
      </c>
      <c r="DQ18">
        <v>6.9264300000000001E-2</v>
      </c>
      <c r="DR18">
        <v>25.744800000000001</v>
      </c>
      <c r="DS18">
        <v>25.792300000000001</v>
      </c>
      <c r="DT18">
        <v>54.8</v>
      </c>
      <c r="DU18">
        <v>29.6</v>
      </c>
      <c r="DV18">
        <v>22.987400000000001</v>
      </c>
      <c r="DW18">
        <v>61.773000000000003</v>
      </c>
      <c r="DX18">
        <v>35.793300000000002</v>
      </c>
      <c r="DY18">
        <v>1</v>
      </c>
      <c r="DZ18">
        <v>-6.3798300000000002E-2</v>
      </c>
      <c r="EA18">
        <v>-1.2907200000000001</v>
      </c>
      <c r="EB18">
        <v>20.2987</v>
      </c>
      <c r="EC18">
        <v>5.2409499999999998</v>
      </c>
      <c r="ED18">
        <v>12.039899999999999</v>
      </c>
      <c r="EE18">
        <v>5.0163500000000001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1.8646199999999999</v>
      </c>
      <c r="EM18">
        <v>1.8692</v>
      </c>
      <c r="EN18">
        <v>1.8672500000000001</v>
      </c>
      <c r="EO18">
        <v>1.8633999999999999</v>
      </c>
      <c r="EP18">
        <v>1.8644700000000001</v>
      </c>
      <c r="EQ18">
        <v>1.8701700000000001</v>
      </c>
      <c r="ER18">
        <v>1.8694500000000001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-5.6000000000000001E-2</v>
      </c>
      <c r="FG18">
        <v>0.18410000000000001</v>
      </c>
      <c r="FH18">
        <v>0.49996858830924029</v>
      </c>
      <c r="FI18">
        <v>-6.1462078757559423E-4</v>
      </c>
      <c r="FJ18">
        <v>-1.8861989874597051E-7</v>
      </c>
      <c r="FK18">
        <v>1.1980462299894961E-10</v>
      </c>
      <c r="FL18">
        <v>0.18404795463265899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6.2</v>
      </c>
      <c r="FU18">
        <v>6.2</v>
      </c>
      <c r="FV18">
        <v>1.79199</v>
      </c>
      <c r="FW18">
        <v>2.5903299999999998</v>
      </c>
      <c r="FX18">
        <v>1.5490699999999999</v>
      </c>
      <c r="FY18">
        <v>2.3290999999999999</v>
      </c>
      <c r="FZ18">
        <v>1.50146</v>
      </c>
      <c r="GA18">
        <v>2.36816</v>
      </c>
      <c r="GB18">
        <v>33.986499999999999</v>
      </c>
      <c r="GC18">
        <v>24.017499999999998</v>
      </c>
      <c r="GD18">
        <v>19</v>
      </c>
      <c r="GE18">
        <v>261.73500000000001</v>
      </c>
      <c r="GF18">
        <v>603.79300000000001</v>
      </c>
      <c r="GG18">
        <v>28.379899999999999</v>
      </c>
      <c r="GH18">
        <v>26.623699999999999</v>
      </c>
      <c r="GI18">
        <v>30.0001</v>
      </c>
      <c r="GJ18">
        <v>26.6555</v>
      </c>
      <c r="GK18">
        <v>26.608899999999998</v>
      </c>
      <c r="GL18">
        <v>35.826599999999999</v>
      </c>
      <c r="GM18">
        <v>13.9603</v>
      </c>
      <c r="GN18">
        <v>100</v>
      </c>
      <c r="GO18">
        <v>28.3812</v>
      </c>
      <c r="GP18">
        <v>800</v>
      </c>
      <c r="GQ18">
        <v>22.184999999999999</v>
      </c>
      <c r="GR18">
        <v>99.726100000000002</v>
      </c>
      <c r="GS18">
        <v>99.588099999999997</v>
      </c>
    </row>
    <row r="19" spans="1:201" x14ac:dyDescent="0.25">
      <c r="A19">
        <v>3</v>
      </c>
      <c r="B19">
        <v>1690306630.0999999</v>
      </c>
      <c r="C19">
        <v>11.5</v>
      </c>
      <c r="D19" t="s">
        <v>339</v>
      </c>
      <c r="E19" t="s">
        <v>340</v>
      </c>
      <c r="F19" t="s">
        <v>330</v>
      </c>
      <c r="H19">
        <v>1690306630.0999999</v>
      </c>
      <c r="I19">
        <f t="shared" si="0"/>
        <v>1.3259445804485E-4</v>
      </c>
      <c r="J19">
        <f t="shared" si="1"/>
        <v>0.13259445804485001</v>
      </c>
      <c r="K19">
        <f t="shared" si="2"/>
        <v>-0.77117567267356313</v>
      </c>
      <c r="L19">
        <f t="shared" si="3"/>
        <v>806.88699999999994</v>
      </c>
      <c r="M19">
        <f t="shared" si="4"/>
        <v>907.70530553265542</v>
      </c>
      <c r="N19">
        <f t="shared" si="5"/>
        <v>90.167524218546731</v>
      </c>
      <c r="O19">
        <f t="shared" si="6"/>
        <v>80.152669231603483</v>
      </c>
      <c r="P19">
        <f t="shared" si="7"/>
        <v>1.0458299049837342E-2</v>
      </c>
      <c r="Q19">
        <f t="shared" si="8"/>
        <v>2.1956156738213886</v>
      </c>
      <c r="R19">
        <f t="shared" si="9"/>
        <v>1.0430702548025422E-2</v>
      </c>
      <c r="S19">
        <f t="shared" si="10"/>
        <v>6.5216624147745594E-3</v>
      </c>
      <c r="T19">
        <f t="shared" si="11"/>
        <v>0</v>
      </c>
      <c r="U19">
        <f t="shared" si="12"/>
        <v>26.902119436583984</v>
      </c>
      <c r="V19">
        <f t="shared" si="13"/>
        <v>26.902119436583984</v>
      </c>
      <c r="W19">
        <f t="shared" si="14"/>
        <v>3.558635489056472</v>
      </c>
      <c r="X19">
        <f t="shared" si="15"/>
        <v>65.395176410591887</v>
      </c>
      <c r="Y19">
        <f t="shared" si="16"/>
        <v>2.3333355335367001</v>
      </c>
      <c r="Z19">
        <f t="shared" si="17"/>
        <v>3.5680544982194986</v>
      </c>
      <c r="AA19">
        <f t="shared" si="18"/>
        <v>1.2252999555197719</v>
      </c>
      <c r="AB19">
        <f t="shared" si="19"/>
        <v>-5.8474155997778849</v>
      </c>
      <c r="AC19">
        <f t="shared" si="20"/>
        <v>5.3243507402453387</v>
      </c>
      <c r="AD19">
        <f t="shared" si="21"/>
        <v>0.52294721178702264</v>
      </c>
      <c r="AE19">
        <f t="shared" si="22"/>
        <v>-1.1764774552336377E-4</v>
      </c>
      <c r="AF19">
        <v>17</v>
      </c>
      <c r="AG19">
        <v>6</v>
      </c>
      <c r="AH19">
        <f t="shared" si="23"/>
        <v>1</v>
      </c>
      <c r="AI19">
        <f t="shared" si="24"/>
        <v>0</v>
      </c>
      <c r="AJ19">
        <f t="shared" si="25"/>
        <v>52460.236462291083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31.2</v>
      </c>
      <c r="AP19">
        <v>0.5</v>
      </c>
      <c r="AQ19" t="s">
        <v>331</v>
      </c>
      <c r="AR19">
        <v>2</v>
      </c>
      <c r="AS19">
        <v>1690306630.0999999</v>
      </c>
      <c r="AT19">
        <v>806.88699999999994</v>
      </c>
      <c r="AU19">
        <v>799.98299999999995</v>
      </c>
      <c r="AV19">
        <v>23.4894</v>
      </c>
      <c r="AW19">
        <v>22.1435</v>
      </c>
      <c r="AX19">
        <v>806.94299999999998</v>
      </c>
      <c r="AY19">
        <v>23.305399999999999</v>
      </c>
      <c r="AZ19">
        <v>300.154</v>
      </c>
      <c r="BA19">
        <v>99.235699999999994</v>
      </c>
      <c r="BB19">
        <v>9.99805E-2</v>
      </c>
      <c r="BC19">
        <v>26.947099999999999</v>
      </c>
      <c r="BD19">
        <v>27.0075</v>
      </c>
      <c r="BE19">
        <v>26.935500000000001</v>
      </c>
      <c r="BF19">
        <v>0</v>
      </c>
      <c r="BG19">
        <v>0</v>
      </c>
      <c r="BH19">
        <v>9995.6200000000008</v>
      </c>
      <c r="BI19">
        <v>0.65086500000000003</v>
      </c>
      <c r="BJ19">
        <v>1.3035399999999999</v>
      </c>
      <c r="BK19">
        <v>6.9038700000000004</v>
      </c>
      <c r="BL19">
        <v>826.29600000000005</v>
      </c>
      <c r="BM19">
        <v>818.09900000000005</v>
      </c>
      <c r="BN19">
        <v>1.3459700000000001</v>
      </c>
      <c r="BO19">
        <v>799.98299999999995</v>
      </c>
      <c r="BP19">
        <v>22.1435</v>
      </c>
      <c r="BQ19">
        <v>2.3309899999999999</v>
      </c>
      <c r="BR19">
        <v>2.1974200000000002</v>
      </c>
      <c r="BS19">
        <v>19.892199999999999</v>
      </c>
      <c r="BT19">
        <v>18.9435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1690306253.5999999</v>
      </c>
      <c r="CC19" t="s">
        <v>332</v>
      </c>
      <c r="CD19">
        <v>1690306253.5999999</v>
      </c>
      <c r="CE19">
        <v>1690306251.5999999</v>
      </c>
      <c r="CF19">
        <v>9</v>
      </c>
      <c r="CG19">
        <v>0.19</v>
      </c>
      <c r="CH19">
        <v>-8.7999999999999995E-2</v>
      </c>
      <c r="CI19">
        <v>-5.0999999999999997E-2</v>
      </c>
      <c r="CJ19">
        <v>5.0999999999999997E-2</v>
      </c>
      <c r="CK19">
        <v>799</v>
      </c>
      <c r="CL19">
        <v>15</v>
      </c>
      <c r="CM19">
        <v>0.28000000000000003</v>
      </c>
      <c r="CN19">
        <v>0.03</v>
      </c>
      <c r="CO19">
        <v>6.8828721951219514</v>
      </c>
      <c r="CP19">
        <v>-7.9743344947723949E-2</v>
      </c>
      <c r="CQ19">
        <v>3.0451235267683022E-2</v>
      </c>
      <c r="CR19">
        <v>-1</v>
      </c>
      <c r="CS19">
        <v>1.34287</v>
      </c>
      <c r="CT19">
        <v>4.5154703832757138E-3</v>
      </c>
      <c r="CU19">
        <v>7.1484264002646459E-4</v>
      </c>
      <c r="CV19">
        <v>-1</v>
      </c>
      <c r="CW19">
        <v>0</v>
      </c>
      <c r="CX19">
        <v>0</v>
      </c>
      <c r="CY19" t="s">
        <v>333</v>
      </c>
      <c r="CZ19">
        <v>2.36402</v>
      </c>
      <c r="DA19">
        <v>2.7137699999999998</v>
      </c>
      <c r="DB19">
        <v>0.147725</v>
      </c>
      <c r="DC19">
        <v>0.14654900000000001</v>
      </c>
      <c r="DD19">
        <v>0.112292</v>
      </c>
      <c r="DE19">
        <v>0.10613599999999999</v>
      </c>
      <c r="DF19">
        <v>31115</v>
      </c>
      <c r="DG19">
        <v>27506.6</v>
      </c>
      <c r="DH19">
        <v>31168.1</v>
      </c>
      <c r="DI19">
        <v>28084.5</v>
      </c>
      <c r="DJ19">
        <v>37566.400000000001</v>
      </c>
      <c r="DK19">
        <v>35700.300000000003</v>
      </c>
      <c r="DL19">
        <v>44356.4</v>
      </c>
      <c r="DM19">
        <v>42573.9</v>
      </c>
      <c r="DN19">
        <v>1.4220999999999999</v>
      </c>
      <c r="DO19">
        <v>2.0577000000000001</v>
      </c>
      <c r="DP19">
        <v>7.7020400000000003E-2</v>
      </c>
      <c r="DQ19">
        <v>6.9744899999999999E-2</v>
      </c>
      <c r="DR19">
        <v>25.746600000000001</v>
      </c>
      <c r="DS19">
        <v>25.793800000000001</v>
      </c>
      <c r="DT19">
        <v>54.9</v>
      </c>
      <c r="DU19">
        <v>29.6</v>
      </c>
      <c r="DV19">
        <v>23.031199999999998</v>
      </c>
      <c r="DW19">
        <v>61.972999999999999</v>
      </c>
      <c r="DX19">
        <v>35.597000000000001</v>
      </c>
      <c r="DY19">
        <v>1</v>
      </c>
      <c r="DZ19">
        <v>-6.3714400000000004E-2</v>
      </c>
      <c r="EA19">
        <v>-1.32941</v>
      </c>
      <c r="EB19">
        <v>20.298200000000001</v>
      </c>
      <c r="EC19">
        <v>5.2400500000000001</v>
      </c>
      <c r="ED19">
        <v>12.039899999999999</v>
      </c>
      <c r="EE19">
        <v>5.0163000000000002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1.86463</v>
      </c>
      <c r="EM19">
        <v>1.8692</v>
      </c>
      <c r="EN19">
        <v>1.8672500000000001</v>
      </c>
      <c r="EO19">
        <v>1.8633999999999999</v>
      </c>
      <c r="EP19">
        <v>1.8644700000000001</v>
      </c>
      <c r="EQ19">
        <v>1.87016</v>
      </c>
      <c r="ER19">
        <v>1.8694299999999999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-5.6000000000000001E-2</v>
      </c>
      <c r="FG19">
        <v>0.184</v>
      </c>
      <c r="FH19">
        <v>0.49996858830924029</v>
      </c>
      <c r="FI19">
        <v>-6.1462078757559423E-4</v>
      </c>
      <c r="FJ19">
        <v>-1.8861989874597051E-7</v>
      </c>
      <c r="FK19">
        <v>1.1980462299894961E-10</v>
      </c>
      <c r="FL19">
        <v>0.18404795463265899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6.3</v>
      </c>
      <c r="FU19">
        <v>6.3</v>
      </c>
      <c r="FV19">
        <v>1.79199</v>
      </c>
      <c r="FW19">
        <v>2.5976599999999999</v>
      </c>
      <c r="FX19">
        <v>1.5490699999999999</v>
      </c>
      <c r="FY19">
        <v>2.3290999999999999</v>
      </c>
      <c r="FZ19">
        <v>1.50146</v>
      </c>
      <c r="GA19">
        <v>2.2802699999999998</v>
      </c>
      <c r="GB19">
        <v>33.986499999999999</v>
      </c>
      <c r="GC19">
        <v>24.017499999999998</v>
      </c>
      <c r="GD19">
        <v>19</v>
      </c>
      <c r="GE19">
        <v>261.702</v>
      </c>
      <c r="GF19">
        <v>604.13699999999994</v>
      </c>
      <c r="GG19">
        <v>28.380299999999998</v>
      </c>
      <c r="GH19">
        <v>26.622599999999998</v>
      </c>
      <c r="GI19">
        <v>30.0001</v>
      </c>
      <c r="GJ19">
        <v>26.657599999999999</v>
      </c>
      <c r="GK19">
        <v>26.609100000000002</v>
      </c>
      <c r="GL19">
        <v>35.826300000000003</v>
      </c>
      <c r="GM19">
        <v>13.9603</v>
      </c>
      <c r="GN19">
        <v>100</v>
      </c>
      <c r="GO19">
        <v>28.3948</v>
      </c>
      <c r="GP19">
        <v>800</v>
      </c>
      <c r="GQ19">
        <v>22.1816</v>
      </c>
      <c r="GR19">
        <v>99.726200000000006</v>
      </c>
      <c r="GS19">
        <v>99.588099999999997</v>
      </c>
    </row>
    <row r="20" spans="1:201" x14ac:dyDescent="0.25">
      <c r="A20">
        <v>4</v>
      </c>
      <c r="B20">
        <v>1690306631.0999999</v>
      </c>
      <c r="C20">
        <v>12.5</v>
      </c>
      <c r="D20" t="s">
        <v>341</v>
      </c>
      <c r="E20" t="s">
        <v>342</v>
      </c>
      <c r="F20" t="s">
        <v>330</v>
      </c>
      <c r="H20">
        <v>1690306631.0999999</v>
      </c>
      <c r="I20">
        <f t="shared" si="0"/>
        <v>1.3269381876291963E-4</v>
      </c>
      <c r="J20">
        <f t="shared" si="1"/>
        <v>0.13269381876291964</v>
      </c>
      <c r="K20">
        <f t="shared" si="2"/>
        <v>-0.76875684808520495</v>
      </c>
      <c r="L20">
        <f t="shared" si="3"/>
        <v>806.87099999999998</v>
      </c>
      <c r="M20">
        <f t="shared" si="4"/>
        <v>907.24239943100315</v>
      </c>
      <c r="N20">
        <f t="shared" si="5"/>
        <v>90.121927157572458</v>
      </c>
      <c r="O20">
        <f t="shared" si="6"/>
        <v>80.151423184325992</v>
      </c>
      <c r="P20">
        <f t="shared" si="7"/>
        <v>1.0465384701535217E-2</v>
      </c>
      <c r="Q20">
        <f t="shared" si="8"/>
        <v>2.1953906661785916</v>
      </c>
      <c r="R20">
        <f t="shared" si="9"/>
        <v>1.0437748022178455E-2</v>
      </c>
      <c r="S20">
        <f t="shared" si="10"/>
        <v>6.5260694322976749E-3</v>
      </c>
      <c r="T20">
        <f t="shared" si="11"/>
        <v>0</v>
      </c>
      <c r="U20">
        <f t="shared" si="12"/>
        <v>26.902481545328293</v>
      </c>
      <c r="V20">
        <f t="shared" si="13"/>
        <v>26.902481545328293</v>
      </c>
      <c r="W20">
        <f t="shared" si="14"/>
        <v>3.5587112285125295</v>
      </c>
      <c r="X20">
        <f t="shared" si="15"/>
        <v>65.393084414006978</v>
      </c>
      <c r="Y20">
        <f t="shared" si="16"/>
        <v>2.3333157274445999</v>
      </c>
      <c r="Z20">
        <f t="shared" si="17"/>
        <v>3.568138356454114</v>
      </c>
      <c r="AA20">
        <f t="shared" si="18"/>
        <v>1.2253955010679296</v>
      </c>
      <c r="AB20">
        <f t="shared" si="19"/>
        <v>-5.8517974074447556</v>
      </c>
      <c r="AC20">
        <f t="shared" si="20"/>
        <v>5.3282898279940074</v>
      </c>
      <c r="AD20">
        <f t="shared" si="21"/>
        <v>0.52338973310656833</v>
      </c>
      <c r="AE20">
        <f t="shared" si="22"/>
        <v>-1.1784634417999484E-4</v>
      </c>
      <c r="AF20">
        <v>17</v>
      </c>
      <c r="AG20">
        <v>6</v>
      </c>
      <c r="AH20">
        <f t="shared" si="23"/>
        <v>1</v>
      </c>
      <c r="AI20">
        <f t="shared" si="24"/>
        <v>0</v>
      </c>
      <c r="AJ20">
        <f t="shared" si="25"/>
        <v>52450.963419003521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31.2</v>
      </c>
      <c r="AP20">
        <v>0.5</v>
      </c>
      <c r="AQ20" t="s">
        <v>331</v>
      </c>
      <c r="AR20">
        <v>2</v>
      </c>
      <c r="AS20">
        <v>1690306631.0999999</v>
      </c>
      <c r="AT20">
        <v>806.87099999999998</v>
      </c>
      <c r="AU20">
        <v>799.99300000000005</v>
      </c>
      <c r="AV20">
        <v>23.489100000000001</v>
      </c>
      <c r="AW20">
        <v>22.142199999999999</v>
      </c>
      <c r="AX20">
        <v>806.92700000000002</v>
      </c>
      <c r="AY20">
        <v>23.305</v>
      </c>
      <c r="AZ20">
        <v>300.15600000000001</v>
      </c>
      <c r="BA20">
        <v>99.236099999999993</v>
      </c>
      <c r="BB20">
        <v>0.100006</v>
      </c>
      <c r="BC20">
        <v>26.947500000000002</v>
      </c>
      <c r="BD20">
        <v>27.0078</v>
      </c>
      <c r="BE20">
        <v>26.931100000000001</v>
      </c>
      <c r="BF20">
        <v>0</v>
      </c>
      <c r="BG20">
        <v>0</v>
      </c>
      <c r="BH20">
        <v>9993.75</v>
      </c>
      <c r="BI20">
        <v>0.63995199999999997</v>
      </c>
      <c r="BJ20">
        <v>1.3035399999999999</v>
      </c>
      <c r="BK20">
        <v>6.8779300000000001</v>
      </c>
      <c r="BL20">
        <v>826.279</v>
      </c>
      <c r="BM20">
        <v>818.10699999999997</v>
      </c>
      <c r="BN20">
        <v>1.34687</v>
      </c>
      <c r="BO20">
        <v>799.99300000000005</v>
      </c>
      <c r="BP20">
        <v>22.142199999999999</v>
      </c>
      <c r="BQ20">
        <v>2.3309700000000002</v>
      </c>
      <c r="BR20">
        <v>2.1973099999999999</v>
      </c>
      <c r="BS20">
        <v>19.891999999999999</v>
      </c>
      <c r="BT20">
        <v>18.942699999999999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1690306253.5999999</v>
      </c>
      <c r="CC20" t="s">
        <v>332</v>
      </c>
      <c r="CD20">
        <v>1690306253.5999999</v>
      </c>
      <c r="CE20">
        <v>1690306251.5999999</v>
      </c>
      <c r="CF20">
        <v>9</v>
      </c>
      <c r="CG20">
        <v>0.19</v>
      </c>
      <c r="CH20">
        <v>-8.7999999999999995E-2</v>
      </c>
      <c r="CI20">
        <v>-5.0999999999999997E-2</v>
      </c>
      <c r="CJ20">
        <v>5.0999999999999997E-2</v>
      </c>
      <c r="CK20">
        <v>799</v>
      </c>
      <c r="CL20">
        <v>15</v>
      </c>
      <c r="CM20">
        <v>0.28000000000000003</v>
      </c>
      <c r="CN20">
        <v>0.03</v>
      </c>
      <c r="CO20">
        <v>6.883453499999999</v>
      </c>
      <c r="CP20">
        <v>-4.9869118198898568E-2</v>
      </c>
      <c r="CQ20">
        <v>3.0979562581644068E-2</v>
      </c>
      <c r="CR20">
        <v>-1</v>
      </c>
      <c r="CS20">
        <v>1.34317475</v>
      </c>
      <c r="CT20">
        <v>6.2383114446505922E-3</v>
      </c>
      <c r="CU20">
        <v>9.3334877591390493E-4</v>
      </c>
      <c r="CV20">
        <v>-1</v>
      </c>
      <c r="CW20">
        <v>0</v>
      </c>
      <c r="CX20">
        <v>0</v>
      </c>
      <c r="CY20" t="s">
        <v>333</v>
      </c>
      <c r="CZ20">
        <v>2.3640300000000001</v>
      </c>
      <c r="DA20">
        <v>2.7137899999999999</v>
      </c>
      <c r="DB20">
        <v>0.14772299999999999</v>
      </c>
      <c r="DC20">
        <v>0.14655000000000001</v>
      </c>
      <c r="DD20">
        <v>0.112291</v>
      </c>
      <c r="DE20">
        <v>0.106132</v>
      </c>
      <c r="DF20">
        <v>31115.1</v>
      </c>
      <c r="DG20">
        <v>27506.400000000001</v>
      </c>
      <c r="DH20">
        <v>31168.1</v>
      </c>
      <c r="DI20">
        <v>28084.400000000001</v>
      </c>
      <c r="DJ20">
        <v>37566.5</v>
      </c>
      <c r="DK20">
        <v>35700.400000000001</v>
      </c>
      <c r="DL20">
        <v>44356.5</v>
      </c>
      <c r="DM20">
        <v>42573.8</v>
      </c>
      <c r="DN20">
        <v>1.4222999999999999</v>
      </c>
      <c r="DO20">
        <v>2.0577800000000002</v>
      </c>
      <c r="DP20">
        <v>7.7038999999999996E-2</v>
      </c>
      <c r="DQ20">
        <v>6.9439399999999998E-2</v>
      </c>
      <c r="DR20">
        <v>25.746600000000001</v>
      </c>
      <c r="DS20">
        <v>25.7943</v>
      </c>
      <c r="DT20">
        <v>54.9</v>
      </c>
      <c r="DU20">
        <v>29.6</v>
      </c>
      <c r="DV20">
        <v>23.0364</v>
      </c>
      <c r="DW20">
        <v>61.993000000000002</v>
      </c>
      <c r="DX20">
        <v>35.384599999999999</v>
      </c>
      <c r="DY20">
        <v>1</v>
      </c>
      <c r="DZ20">
        <v>-6.3648399999999994E-2</v>
      </c>
      <c r="EA20">
        <v>-1.3436699999999999</v>
      </c>
      <c r="EB20">
        <v>20.298100000000002</v>
      </c>
      <c r="EC20">
        <v>5.2396000000000003</v>
      </c>
      <c r="ED20">
        <v>12.039899999999999</v>
      </c>
      <c r="EE20">
        <v>5.0162000000000004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1.8646199999999999</v>
      </c>
      <c r="EM20">
        <v>1.8692</v>
      </c>
      <c r="EN20">
        <v>1.86724</v>
      </c>
      <c r="EO20">
        <v>1.8633999999999999</v>
      </c>
      <c r="EP20">
        <v>1.8644700000000001</v>
      </c>
      <c r="EQ20">
        <v>1.87015</v>
      </c>
      <c r="ER20">
        <v>1.8694299999999999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-5.6000000000000001E-2</v>
      </c>
      <c r="FG20">
        <v>0.18410000000000001</v>
      </c>
      <c r="FH20">
        <v>0.49996858830924029</v>
      </c>
      <c r="FI20">
        <v>-6.1462078757559423E-4</v>
      </c>
      <c r="FJ20">
        <v>-1.8861989874597051E-7</v>
      </c>
      <c r="FK20">
        <v>1.1980462299894961E-10</v>
      </c>
      <c r="FL20">
        <v>0.18404795463265899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6.3</v>
      </c>
      <c r="FU20">
        <v>6.3</v>
      </c>
      <c r="FV20">
        <v>1.79199</v>
      </c>
      <c r="FW20">
        <v>2.5891099999999998</v>
      </c>
      <c r="FX20">
        <v>1.5490699999999999</v>
      </c>
      <c r="FY20">
        <v>2.3290999999999999</v>
      </c>
      <c r="FZ20">
        <v>1.50146</v>
      </c>
      <c r="GA20">
        <v>2.3840300000000001</v>
      </c>
      <c r="GB20">
        <v>33.986499999999999</v>
      </c>
      <c r="GC20">
        <v>24.017499999999998</v>
      </c>
      <c r="GD20">
        <v>19</v>
      </c>
      <c r="GE20">
        <v>261.78399999999999</v>
      </c>
      <c r="GF20">
        <v>604.20299999999997</v>
      </c>
      <c r="GG20">
        <v>28.382300000000001</v>
      </c>
      <c r="GH20">
        <v>26.622</v>
      </c>
      <c r="GI20">
        <v>30.0002</v>
      </c>
      <c r="GJ20">
        <v>26.657699999999998</v>
      </c>
      <c r="GK20">
        <v>26.609400000000001</v>
      </c>
      <c r="GL20">
        <v>35.827599999999997</v>
      </c>
      <c r="GM20">
        <v>13.9603</v>
      </c>
      <c r="GN20">
        <v>100</v>
      </c>
      <c r="GO20">
        <v>28.3948</v>
      </c>
      <c r="GP20">
        <v>800</v>
      </c>
      <c r="GQ20">
        <v>22.1831</v>
      </c>
      <c r="GR20">
        <v>99.726399999999998</v>
      </c>
      <c r="GS20">
        <v>99.587900000000005</v>
      </c>
    </row>
    <row r="21" spans="1:201" x14ac:dyDescent="0.25">
      <c r="A21">
        <v>5</v>
      </c>
      <c r="B21">
        <v>1690306634.0999999</v>
      </c>
      <c r="C21">
        <v>15.5</v>
      </c>
      <c r="D21" t="s">
        <v>343</v>
      </c>
      <c r="E21" t="s">
        <v>344</v>
      </c>
      <c r="F21" t="s">
        <v>330</v>
      </c>
      <c r="H21">
        <v>1690306634.0999999</v>
      </c>
      <c r="I21">
        <f t="shared" si="0"/>
        <v>1.3280958764367144E-4</v>
      </c>
      <c r="J21">
        <f t="shared" si="1"/>
        <v>0.13280958764367146</v>
      </c>
      <c r="K21">
        <f t="shared" si="2"/>
        <v>-0.76887870386788726</v>
      </c>
      <c r="L21">
        <f t="shared" si="3"/>
        <v>806.803</v>
      </c>
      <c r="M21">
        <f t="shared" si="4"/>
        <v>907.12882234416566</v>
      </c>
      <c r="N21">
        <f t="shared" si="5"/>
        <v>90.111027478972474</v>
      </c>
      <c r="O21">
        <f t="shared" si="6"/>
        <v>80.145008638623409</v>
      </c>
      <c r="P21">
        <f t="shared" si="7"/>
        <v>1.0470697230230076E-2</v>
      </c>
      <c r="Q21">
        <f t="shared" si="8"/>
        <v>2.1961653016142826</v>
      </c>
      <c r="R21">
        <f t="shared" si="9"/>
        <v>1.0443042255573121E-2</v>
      </c>
      <c r="S21">
        <f t="shared" si="10"/>
        <v>6.529379966936648E-3</v>
      </c>
      <c r="T21">
        <f t="shared" si="11"/>
        <v>0</v>
      </c>
      <c r="U21">
        <f t="shared" si="12"/>
        <v>26.904256812958685</v>
      </c>
      <c r="V21">
        <f t="shared" si="13"/>
        <v>26.904256812958685</v>
      </c>
      <c r="W21">
        <f t="shared" si="14"/>
        <v>3.5590825677297788</v>
      </c>
      <c r="X21">
        <f t="shared" si="15"/>
        <v>65.383941178916842</v>
      </c>
      <c r="Y21">
        <f t="shared" si="16"/>
        <v>2.3332362322719602</v>
      </c>
      <c r="Z21">
        <f t="shared" si="17"/>
        <v>3.5685157398011298</v>
      </c>
      <c r="AA21">
        <f t="shared" si="18"/>
        <v>1.2258463354578186</v>
      </c>
      <c r="AB21">
        <f t="shared" si="19"/>
        <v>-5.8569028150859106</v>
      </c>
      <c r="AC21">
        <f t="shared" si="20"/>
        <v>5.3330981994980213</v>
      </c>
      <c r="AD21">
        <f t="shared" si="21"/>
        <v>0.52368663831324136</v>
      </c>
      <c r="AE21">
        <f t="shared" si="22"/>
        <v>-1.1797727464823993E-4</v>
      </c>
      <c r="AF21">
        <v>18</v>
      </c>
      <c r="AG21">
        <v>6</v>
      </c>
      <c r="AH21">
        <f t="shared" si="23"/>
        <v>1</v>
      </c>
      <c r="AI21">
        <f t="shared" si="24"/>
        <v>0</v>
      </c>
      <c r="AJ21">
        <f t="shared" si="25"/>
        <v>52482.376601737924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31.2</v>
      </c>
      <c r="AP21">
        <v>0.5</v>
      </c>
      <c r="AQ21" t="s">
        <v>331</v>
      </c>
      <c r="AR21">
        <v>2</v>
      </c>
      <c r="AS21">
        <v>1690306634.0999999</v>
      </c>
      <c r="AT21">
        <v>806.803</v>
      </c>
      <c r="AU21">
        <v>799.92499999999995</v>
      </c>
      <c r="AV21">
        <v>23.488199999999999</v>
      </c>
      <c r="AW21">
        <v>22.1402</v>
      </c>
      <c r="AX21">
        <v>806.85900000000004</v>
      </c>
      <c r="AY21">
        <v>23.304099999999998</v>
      </c>
      <c r="AZ21">
        <v>300.173</v>
      </c>
      <c r="BA21">
        <v>99.236599999999996</v>
      </c>
      <c r="BB21">
        <v>9.9927799999999997E-2</v>
      </c>
      <c r="BC21">
        <v>26.949300000000001</v>
      </c>
      <c r="BD21">
        <v>26.993600000000001</v>
      </c>
      <c r="BE21">
        <v>26.9253</v>
      </c>
      <c r="BF21">
        <v>0</v>
      </c>
      <c r="BG21">
        <v>0</v>
      </c>
      <c r="BH21">
        <v>10000</v>
      </c>
      <c r="BI21">
        <v>0.69451300000000005</v>
      </c>
      <c r="BJ21">
        <v>1.28952</v>
      </c>
      <c r="BK21">
        <v>6.8778699999999997</v>
      </c>
      <c r="BL21">
        <v>826.20899999999995</v>
      </c>
      <c r="BM21">
        <v>818.03700000000003</v>
      </c>
      <c r="BN21">
        <v>1.3479399999999999</v>
      </c>
      <c r="BO21">
        <v>799.92499999999995</v>
      </c>
      <c r="BP21">
        <v>22.1402</v>
      </c>
      <c r="BQ21">
        <v>2.3308900000000001</v>
      </c>
      <c r="BR21">
        <v>2.19712</v>
      </c>
      <c r="BS21">
        <v>19.891500000000001</v>
      </c>
      <c r="BT21">
        <v>18.941299999999998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1690306253.5999999</v>
      </c>
      <c r="CC21" t="s">
        <v>332</v>
      </c>
      <c r="CD21">
        <v>1690306253.5999999</v>
      </c>
      <c r="CE21">
        <v>1690306251.5999999</v>
      </c>
      <c r="CF21">
        <v>9</v>
      </c>
      <c r="CG21">
        <v>0.19</v>
      </c>
      <c r="CH21">
        <v>-8.7999999999999995E-2</v>
      </c>
      <c r="CI21">
        <v>-5.0999999999999997E-2</v>
      </c>
      <c r="CJ21">
        <v>5.0999999999999997E-2</v>
      </c>
      <c r="CK21">
        <v>799</v>
      </c>
      <c r="CL21">
        <v>15</v>
      </c>
      <c r="CM21">
        <v>0.28000000000000003</v>
      </c>
      <c r="CN21">
        <v>0.03</v>
      </c>
      <c r="CO21">
        <v>6.885740975609755</v>
      </c>
      <c r="CP21">
        <v>-2.9188013937283101E-2</v>
      </c>
      <c r="CQ21">
        <v>3.0857134669696661E-2</v>
      </c>
      <c r="CR21">
        <v>-1</v>
      </c>
      <c r="CS21">
        <v>1.34375243902439</v>
      </c>
      <c r="CT21">
        <v>1.119721254355479E-2</v>
      </c>
      <c r="CU21">
        <v>1.507785940179812E-3</v>
      </c>
      <c r="CV21">
        <v>-1</v>
      </c>
      <c r="CW21">
        <v>0</v>
      </c>
      <c r="CX21">
        <v>0</v>
      </c>
      <c r="CY21" t="s">
        <v>333</v>
      </c>
      <c r="CZ21">
        <v>2.36408</v>
      </c>
      <c r="DA21">
        <v>2.7137199999999999</v>
      </c>
      <c r="DB21">
        <v>0.14771599999999999</v>
      </c>
      <c r="DC21">
        <v>0.14654300000000001</v>
      </c>
      <c r="DD21">
        <v>0.112289</v>
      </c>
      <c r="DE21">
        <v>0.106126</v>
      </c>
      <c r="DF21">
        <v>31115.200000000001</v>
      </c>
      <c r="DG21">
        <v>27506.6</v>
      </c>
      <c r="DH21">
        <v>31168</v>
      </c>
      <c r="DI21">
        <v>28084.3</v>
      </c>
      <c r="DJ21">
        <v>37566.699999999997</v>
      </c>
      <c r="DK21">
        <v>35700.5</v>
      </c>
      <c r="DL21">
        <v>44356.6</v>
      </c>
      <c r="DM21">
        <v>42573.599999999999</v>
      </c>
      <c r="DN21">
        <v>1.42167</v>
      </c>
      <c r="DO21">
        <v>2.0577000000000001</v>
      </c>
      <c r="DP21">
        <v>7.6085299999999995E-2</v>
      </c>
      <c r="DQ21">
        <v>6.9052000000000002E-2</v>
      </c>
      <c r="DR21">
        <v>25.748100000000001</v>
      </c>
      <c r="DS21">
        <v>25.794799999999999</v>
      </c>
      <c r="DT21">
        <v>54.9</v>
      </c>
      <c r="DU21">
        <v>29.6</v>
      </c>
      <c r="DV21">
        <v>23.034400000000002</v>
      </c>
      <c r="DW21">
        <v>61.933</v>
      </c>
      <c r="DX21">
        <v>34.767600000000002</v>
      </c>
      <c r="DY21">
        <v>1</v>
      </c>
      <c r="DZ21">
        <v>-6.3691600000000001E-2</v>
      </c>
      <c r="EA21">
        <v>-1.3359799999999999</v>
      </c>
      <c r="EB21">
        <v>20.298200000000001</v>
      </c>
      <c r="EC21">
        <v>5.2403500000000003</v>
      </c>
      <c r="ED21">
        <v>12.039899999999999</v>
      </c>
      <c r="EE21">
        <v>5.0163000000000002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1.8689100000000001</v>
      </c>
      <c r="EL21">
        <v>1.8646199999999999</v>
      </c>
      <c r="EM21">
        <v>1.8692</v>
      </c>
      <c r="EN21">
        <v>1.86724</v>
      </c>
      <c r="EO21">
        <v>1.8633999999999999</v>
      </c>
      <c r="EP21">
        <v>1.8644700000000001</v>
      </c>
      <c r="EQ21">
        <v>1.87016</v>
      </c>
      <c r="ER21">
        <v>1.86941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-5.6000000000000001E-2</v>
      </c>
      <c r="FG21">
        <v>0.18410000000000001</v>
      </c>
      <c r="FH21">
        <v>0.49996858830924029</v>
      </c>
      <c r="FI21">
        <v>-6.1462078757559423E-4</v>
      </c>
      <c r="FJ21">
        <v>-1.8861989874597051E-7</v>
      </c>
      <c r="FK21">
        <v>1.1980462299894961E-10</v>
      </c>
      <c r="FL21">
        <v>0.18404795463265899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6.3</v>
      </c>
      <c r="FU21">
        <v>6.4</v>
      </c>
      <c r="FV21">
        <v>1.79199</v>
      </c>
      <c r="FW21">
        <v>2.5878899999999998</v>
      </c>
      <c r="FX21">
        <v>1.5490699999999999</v>
      </c>
      <c r="FY21">
        <v>2.3290999999999999</v>
      </c>
      <c r="FZ21">
        <v>1.50146</v>
      </c>
      <c r="GA21">
        <v>2.4157700000000002</v>
      </c>
      <c r="GB21">
        <v>34.0092</v>
      </c>
      <c r="GC21">
        <v>24.026199999999999</v>
      </c>
      <c r="GD21">
        <v>19</v>
      </c>
      <c r="GE21">
        <v>261.53100000000001</v>
      </c>
      <c r="GF21">
        <v>604.15899999999999</v>
      </c>
      <c r="GG21">
        <v>28.391100000000002</v>
      </c>
      <c r="GH21">
        <v>26.621400000000001</v>
      </c>
      <c r="GI21">
        <v>30.0002</v>
      </c>
      <c r="GJ21">
        <v>26.657699999999998</v>
      </c>
      <c r="GK21">
        <v>26.6111</v>
      </c>
      <c r="GL21">
        <v>35.830100000000002</v>
      </c>
      <c r="GM21">
        <v>13.9603</v>
      </c>
      <c r="GN21">
        <v>100</v>
      </c>
      <c r="GO21">
        <v>28.391500000000001</v>
      </c>
      <c r="GP21">
        <v>800</v>
      </c>
      <c r="GQ21">
        <v>22.183199999999999</v>
      </c>
      <c r="GR21">
        <v>99.726299999999995</v>
      </c>
      <c r="GS21">
        <v>99.587500000000006</v>
      </c>
    </row>
    <row r="22" spans="1:201" x14ac:dyDescent="0.25">
      <c r="A22">
        <v>6</v>
      </c>
      <c r="B22">
        <v>1690306849.5999999</v>
      </c>
      <c r="C22">
        <v>231</v>
      </c>
      <c r="D22" t="s">
        <v>345</v>
      </c>
      <c r="E22" t="s">
        <v>346</v>
      </c>
      <c r="F22" t="s">
        <v>330</v>
      </c>
      <c r="H22">
        <v>1690306849.5999999</v>
      </c>
      <c r="I22">
        <f t="shared" si="0"/>
        <v>1.4056516305694852E-4</v>
      </c>
      <c r="J22">
        <f t="shared" si="1"/>
        <v>0.14056516305694852</v>
      </c>
      <c r="K22">
        <f t="shared" si="2"/>
        <v>-0.70931581202890948</v>
      </c>
      <c r="L22">
        <f t="shared" si="3"/>
        <v>806.23199999999997</v>
      </c>
      <c r="M22">
        <f t="shared" si="4"/>
        <v>931.72979255399366</v>
      </c>
      <c r="N22">
        <f t="shared" si="5"/>
        <v>92.542903039428381</v>
      </c>
      <c r="O22">
        <f t="shared" si="6"/>
        <v>80.077990850508002</v>
      </c>
      <c r="P22">
        <f t="shared" si="7"/>
        <v>7.4980905991288514E-3</v>
      </c>
      <c r="Q22">
        <f t="shared" si="8"/>
        <v>2.1955457404453451</v>
      </c>
      <c r="R22">
        <f t="shared" si="9"/>
        <v>7.4838935701779571E-3</v>
      </c>
      <c r="S22">
        <f t="shared" si="10"/>
        <v>4.6787067620949569E-3</v>
      </c>
      <c r="T22">
        <f t="shared" si="11"/>
        <v>276.06510275793812</v>
      </c>
      <c r="U22">
        <f t="shared" si="12"/>
        <v>29.468943758045498</v>
      </c>
      <c r="V22">
        <f t="shared" si="13"/>
        <v>29.468943758045498</v>
      </c>
      <c r="W22">
        <f t="shared" si="14"/>
        <v>4.1322059831485536</v>
      </c>
      <c r="X22">
        <f t="shared" si="15"/>
        <v>63.540074660686763</v>
      </c>
      <c r="Y22">
        <f t="shared" si="16"/>
        <v>2.3273343975567</v>
      </c>
      <c r="Z22">
        <f t="shared" si="17"/>
        <v>3.6627819686788281</v>
      </c>
      <c r="AA22">
        <f t="shared" si="18"/>
        <v>1.8048715855918536</v>
      </c>
      <c r="AB22">
        <f t="shared" si="19"/>
        <v>-6.19892369081143</v>
      </c>
      <c r="AC22">
        <f t="shared" si="20"/>
        <v>-245.62700966716781</v>
      </c>
      <c r="AD22">
        <f t="shared" si="21"/>
        <v>-24.491497232231108</v>
      </c>
      <c r="AE22">
        <f t="shared" si="22"/>
        <v>-0.25232783227221489</v>
      </c>
      <c r="AF22">
        <v>16</v>
      </c>
      <c r="AG22">
        <v>5</v>
      </c>
      <c r="AH22">
        <f t="shared" si="23"/>
        <v>1</v>
      </c>
      <c r="AI22">
        <f t="shared" si="24"/>
        <v>0</v>
      </c>
      <c r="AJ22">
        <f t="shared" si="25"/>
        <v>52379.110601503613</v>
      </c>
      <c r="AK22">
        <f t="shared" si="26"/>
        <v>1799.67</v>
      </c>
      <c r="AL22">
        <f t="shared" si="27"/>
        <v>1498.8376811049598</v>
      </c>
      <c r="AM22">
        <f t="shared" si="28"/>
        <v>0.83284028799999987</v>
      </c>
      <c r="AN22">
        <f t="shared" si="29"/>
        <v>0.15339762443000002</v>
      </c>
      <c r="AO22">
        <v>31.2</v>
      </c>
      <c r="AP22">
        <v>0.5</v>
      </c>
      <c r="AQ22" t="s">
        <v>331</v>
      </c>
      <c r="AR22">
        <v>2</v>
      </c>
      <c r="AS22">
        <v>1690306849.5999999</v>
      </c>
      <c r="AT22">
        <v>806.23199999999997</v>
      </c>
      <c r="AU22">
        <v>800.03599999999994</v>
      </c>
      <c r="AV22">
        <v>23.431799999999999</v>
      </c>
      <c r="AW22">
        <v>22.0047</v>
      </c>
      <c r="AX22">
        <v>806.28700000000003</v>
      </c>
      <c r="AY22">
        <v>23.247800000000002</v>
      </c>
      <c r="AZ22">
        <v>300.11</v>
      </c>
      <c r="BA22">
        <v>99.223799999999997</v>
      </c>
      <c r="BB22">
        <v>9.9956500000000004E-2</v>
      </c>
      <c r="BC22">
        <v>27.393799999999999</v>
      </c>
      <c r="BD22">
        <v>28.9786</v>
      </c>
      <c r="BE22">
        <v>28.654299999999999</v>
      </c>
      <c r="BF22">
        <v>0</v>
      </c>
      <c r="BG22">
        <v>0</v>
      </c>
      <c r="BH22">
        <v>9996.25</v>
      </c>
      <c r="BI22">
        <v>1075.99</v>
      </c>
      <c r="BJ22">
        <v>1.3568</v>
      </c>
      <c r="BK22">
        <v>6.1952499999999997</v>
      </c>
      <c r="BL22">
        <v>825.57600000000002</v>
      </c>
      <c r="BM22">
        <v>818.03700000000003</v>
      </c>
      <c r="BN22">
        <v>1.42716</v>
      </c>
      <c r="BO22">
        <v>800.03599999999994</v>
      </c>
      <c r="BP22">
        <v>22.0047</v>
      </c>
      <c r="BQ22">
        <v>2.3249900000000001</v>
      </c>
      <c r="BR22">
        <v>2.1833900000000002</v>
      </c>
      <c r="BS22">
        <v>19.8506</v>
      </c>
      <c r="BT22">
        <v>18.840900000000001</v>
      </c>
      <c r="BU22">
        <v>1799.67</v>
      </c>
      <c r="BV22">
        <v>0.90999799999999997</v>
      </c>
      <c r="BW22">
        <v>3.3999099999999997E-2</v>
      </c>
      <c r="BX22">
        <v>2.2002899999999999E-2</v>
      </c>
      <c r="BY22">
        <v>3.4000099999999998E-2</v>
      </c>
      <c r="BZ22">
        <v>26</v>
      </c>
      <c r="CA22">
        <v>33522.1</v>
      </c>
      <c r="CB22">
        <v>1690306253.5999999</v>
      </c>
      <c r="CC22" t="s">
        <v>332</v>
      </c>
      <c r="CD22">
        <v>1690306253.5999999</v>
      </c>
      <c r="CE22">
        <v>1690306251.5999999</v>
      </c>
      <c r="CF22">
        <v>9</v>
      </c>
      <c r="CG22">
        <v>0.19</v>
      </c>
      <c r="CH22">
        <v>-8.7999999999999995E-2</v>
      </c>
      <c r="CI22">
        <v>-5.0999999999999997E-2</v>
      </c>
      <c r="CJ22">
        <v>5.0999999999999997E-2</v>
      </c>
      <c r="CK22">
        <v>799</v>
      </c>
      <c r="CL22">
        <v>15</v>
      </c>
      <c r="CM22">
        <v>0.28000000000000003</v>
      </c>
      <c r="CN22">
        <v>0.03</v>
      </c>
      <c r="CO22">
        <v>6.6453458536585366</v>
      </c>
      <c r="CP22">
        <v>-0.50456508710801595</v>
      </c>
      <c r="CQ22">
        <v>8.1823470631735576E-2</v>
      </c>
      <c r="CR22">
        <v>-1</v>
      </c>
      <c r="CS22">
        <v>1.3876453658536581</v>
      </c>
      <c r="CT22">
        <v>5.460397212543585E-2</v>
      </c>
      <c r="CU22">
        <v>7.9441437542445356E-3</v>
      </c>
      <c r="CV22">
        <v>-1</v>
      </c>
      <c r="CW22">
        <v>0</v>
      </c>
      <c r="CX22">
        <v>0</v>
      </c>
      <c r="CY22" t="s">
        <v>333</v>
      </c>
      <c r="CZ22">
        <v>2.36389</v>
      </c>
      <c r="DA22">
        <v>2.71374</v>
      </c>
      <c r="DB22">
        <v>0.147618</v>
      </c>
      <c r="DC22">
        <v>0.14652200000000001</v>
      </c>
      <c r="DD22">
        <v>0.112078</v>
      </c>
      <c r="DE22">
        <v>0.105647</v>
      </c>
      <c r="DF22">
        <v>31119.5</v>
      </c>
      <c r="DG22">
        <v>27507.5</v>
      </c>
      <c r="DH22">
        <v>31168.7</v>
      </c>
      <c r="DI22">
        <v>28084.5</v>
      </c>
      <c r="DJ22">
        <v>37576.5</v>
      </c>
      <c r="DK22">
        <v>35719.9</v>
      </c>
      <c r="DL22">
        <v>44357.599999999999</v>
      </c>
      <c r="DM22">
        <v>42574</v>
      </c>
      <c r="DN22">
        <v>1.4247799999999999</v>
      </c>
      <c r="DO22">
        <v>2.0573000000000001</v>
      </c>
      <c r="DP22">
        <v>0.19433300000000001</v>
      </c>
      <c r="DQ22">
        <v>0.17125199999999999</v>
      </c>
      <c r="DR22">
        <v>25.802499999999998</v>
      </c>
      <c r="DS22">
        <v>25.854800000000001</v>
      </c>
      <c r="DT22">
        <v>55.9</v>
      </c>
      <c r="DU22">
        <v>29.5</v>
      </c>
      <c r="DV22">
        <v>23.322099999999999</v>
      </c>
      <c r="DW22">
        <v>61.582999999999998</v>
      </c>
      <c r="DX22">
        <v>36.246000000000002</v>
      </c>
      <c r="DY22">
        <v>1</v>
      </c>
      <c r="DZ22">
        <v>-6.3673800000000003E-2</v>
      </c>
      <c r="EA22">
        <v>0.60137300000000005</v>
      </c>
      <c r="EB22">
        <v>20.163499999999999</v>
      </c>
      <c r="EC22">
        <v>5.2411000000000003</v>
      </c>
      <c r="ED22">
        <v>12.039899999999999</v>
      </c>
      <c r="EE22">
        <v>5.0172499999999998</v>
      </c>
      <c r="EF22">
        <v>3.2879499999999999</v>
      </c>
      <c r="EG22">
        <v>9999</v>
      </c>
      <c r="EH22">
        <v>9999</v>
      </c>
      <c r="EI22">
        <v>9999</v>
      </c>
      <c r="EJ22">
        <v>999.9</v>
      </c>
      <c r="EK22">
        <v>1.8689100000000001</v>
      </c>
      <c r="EL22">
        <v>1.8646199999999999</v>
      </c>
      <c r="EM22">
        <v>1.8692</v>
      </c>
      <c r="EN22">
        <v>1.8672299999999999</v>
      </c>
      <c r="EO22">
        <v>1.8633999999999999</v>
      </c>
      <c r="EP22">
        <v>1.8644700000000001</v>
      </c>
      <c r="EQ22">
        <v>1.8701399999999999</v>
      </c>
      <c r="ER22">
        <v>1.8694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-5.5E-2</v>
      </c>
      <c r="FG22">
        <v>0.184</v>
      </c>
      <c r="FH22">
        <v>0.49996858830924029</v>
      </c>
      <c r="FI22">
        <v>-6.1462078757559423E-4</v>
      </c>
      <c r="FJ22">
        <v>-1.8861989874597051E-7</v>
      </c>
      <c r="FK22">
        <v>1.1980462299894961E-10</v>
      </c>
      <c r="FL22">
        <v>0.18404795463265899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9.9</v>
      </c>
      <c r="FU22">
        <v>10</v>
      </c>
      <c r="FV22">
        <v>1.79443</v>
      </c>
      <c r="FW22">
        <v>2.5976599999999999</v>
      </c>
      <c r="FX22">
        <v>1.5490699999999999</v>
      </c>
      <c r="FY22">
        <v>2.3290999999999999</v>
      </c>
      <c r="FZ22">
        <v>1.50146</v>
      </c>
      <c r="GA22">
        <v>2.2668499999999998</v>
      </c>
      <c r="GB22">
        <v>33.963900000000002</v>
      </c>
      <c r="GC22">
        <v>23.956199999999999</v>
      </c>
      <c r="GD22">
        <v>19</v>
      </c>
      <c r="GE22">
        <v>262.86500000000001</v>
      </c>
      <c r="GF22">
        <v>604.21199999999999</v>
      </c>
      <c r="GG22">
        <v>28.4115</v>
      </c>
      <c r="GH22">
        <v>26.6035</v>
      </c>
      <c r="GI22">
        <v>30.0002</v>
      </c>
      <c r="GJ22">
        <v>26.677499999999998</v>
      </c>
      <c r="GK22">
        <v>26.6448</v>
      </c>
      <c r="GL22">
        <v>35.878399999999999</v>
      </c>
      <c r="GM22">
        <v>14.107200000000001</v>
      </c>
      <c r="GN22">
        <v>100</v>
      </c>
      <c r="GO22">
        <v>27.430800000000001</v>
      </c>
      <c r="GP22">
        <v>800</v>
      </c>
      <c r="GQ22">
        <v>22.297499999999999</v>
      </c>
      <c r="GR22">
        <v>99.7286</v>
      </c>
      <c r="GS22">
        <v>99.588200000000001</v>
      </c>
    </row>
    <row r="23" spans="1:201" x14ac:dyDescent="0.25">
      <c r="A23">
        <v>7</v>
      </c>
      <c r="B23">
        <v>1690306860</v>
      </c>
      <c r="C23">
        <v>241.4000000953674</v>
      </c>
      <c r="D23" t="s">
        <v>347</v>
      </c>
      <c r="E23" t="s">
        <v>348</v>
      </c>
      <c r="F23" t="s">
        <v>330</v>
      </c>
      <c r="H23">
        <v>1690306860</v>
      </c>
      <c r="I23">
        <f t="shared" si="0"/>
        <v>1.2521306430037722E-4</v>
      </c>
      <c r="J23">
        <f t="shared" si="1"/>
        <v>0.12521306430037721</v>
      </c>
      <c r="K23">
        <f t="shared" si="2"/>
        <v>-0.61773466008532696</v>
      </c>
      <c r="L23">
        <f t="shared" si="3"/>
        <v>805.08600000000001</v>
      </c>
      <c r="M23">
        <f t="shared" si="4"/>
        <v>930.0519046310261</v>
      </c>
      <c r="N23">
        <f t="shared" si="5"/>
        <v>92.378204621078311</v>
      </c>
      <c r="O23">
        <f t="shared" si="6"/>
        <v>79.965858760399783</v>
      </c>
      <c r="P23">
        <f t="shared" si="7"/>
        <v>6.5275376538473937E-3</v>
      </c>
      <c r="Q23">
        <f t="shared" si="8"/>
        <v>2.1920323341438284</v>
      </c>
      <c r="R23">
        <f t="shared" si="9"/>
        <v>6.5167580174200646E-3</v>
      </c>
      <c r="S23">
        <f t="shared" si="10"/>
        <v>4.0739407647006759E-3</v>
      </c>
      <c r="T23">
        <f t="shared" si="11"/>
        <v>276.10446862441631</v>
      </c>
      <c r="U23">
        <f t="shared" si="12"/>
        <v>29.666632523847589</v>
      </c>
      <c r="V23">
        <f t="shared" si="13"/>
        <v>29.666632523847589</v>
      </c>
      <c r="W23">
        <f t="shared" si="14"/>
        <v>4.1795466918457507</v>
      </c>
      <c r="X23">
        <f t="shared" si="15"/>
        <v>63.010441824574073</v>
      </c>
      <c r="Y23">
        <f t="shared" si="16"/>
        <v>2.3336709968394298</v>
      </c>
      <c r="Z23">
        <f t="shared" si="17"/>
        <v>3.7036258265519706</v>
      </c>
      <c r="AA23">
        <f t="shared" si="18"/>
        <v>1.8458756950063209</v>
      </c>
      <c r="AB23">
        <f t="shared" si="19"/>
        <v>-5.5218961356466352</v>
      </c>
      <c r="AC23">
        <f t="shared" si="20"/>
        <v>-246.2016693341144</v>
      </c>
      <c r="AD23">
        <f t="shared" si="21"/>
        <v>-24.635551203842883</v>
      </c>
      <c r="AE23">
        <f t="shared" si="22"/>
        <v>-0.25464804918760819</v>
      </c>
      <c r="AF23">
        <v>18</v>
      </c>
      <c r="AG23">
        <v>6</v>
      </c>
      <c r="AH23">
        <f t="shared" si="23"/>
        <v>1</v>
      </c>
      <c r="AI23">
        <f t="shared" si="24"/>
        <v>0</v>
      </c>
      <c r="AJ23">
        <f t="shared" si="25"/>
        <v>52202.721240221188</v>
      </c>
      <c r="AK23">
        <f t="shared" si="26"/>
        <v>1799.93</v>
      </c>
      <c r="AL23">
        <f t="shared" si="27"/>
        <v>1499.0527670363299</v>
      </c>
      <c r="AM23">
        <f t="shared" si="28"/>
        <v>0.83283948099999994</v>
      </c>
      <c r="AN23">
        <f t="shared" si="29"/>
        <v>0.15339733691000002</v>
      </c>
      <c r="AO23">
        <v>31.2</v>
      </c>
      <c r="AP23">
        <v>0.5</v>
      </c>
      <c r="AQ23" t="s">
        <v>331</v>
      </c>
      <c r="AR23">
        <v>2</v>
      </c>
      <c r="AS23">
        <v>1690306860</v>
      </c>
      <c r="AT23">
        <v>805.08600000000001</v>
      </c>
      <c r="AU23">
        <v>799.71299999999997</v>
      </c>
      <c r="AV23">
        <v>23.495100000000001</v>
      </c>
      <c r="AW23">
        <v>22.2242</v>
      </c>
      <c r="AX23">
        <v>805.14099999999996</v>
      </c>
      <c r="AY23">
        <v>23.311</v>
      </c>
      <c r="AZ23">
        <v>300.17</v>
      </c>
      <c r="BA23">
        <v>99.225899999999996</v>
      </c>
      <c r="BB23">
        <v>9.9959300000000001E-2</v>
      </c>
      <c r="BC23">
        <v>27.583300000000001</v>
      </c>
      <c r="BD23">
        <v>30.189499999999999</v>
      </c>
      <c r="BE23">
        <v>29.541399999999999</v>
      </c>
      <c r="BF23">
        <v>0</v>
      </c>
      <c r="BG23">
        <v>0</v>
      </c>
      <c r="BH23">
        <v>9967.5</v>
      </c>
      <c r="BI23">
        <v>1078.78</v>
      </c>
      <c r="BJ23">
        <v>1.5137799999999999</v>
      </c>
      <c r="BK23">
        <v>5.3726200000000004</v>
      </c>
      <c r="BL23">
        <v>824.45600000000002</v>
      </c>
      <c r="BM23">
        <v>817.89</v>
      </c>
      <c r="BN23">
        <v>1.2708299999999999</v>
      </c>
      <c r="BO23">
        <v>799.71299999999997</v>
      </c>
      <c r="BP23">
        <v>22.2242</v>
      </c>
      <c r="BQ23">
        <v>2.3313199999999998</v>
      </c>
      <c r="BR23">
        <v>2.2052200000000002</v>
      </c>
      <c r="BS23">
        <v>19.894500000000001</v>
      </c>
      <c r="BT23">
        <v>19.000299999999999</v>
      </c>
      <c r="BU23">
        <v>1799.93</v>
      </c>
      <c r="BV23">
        <v>0.90999600000000003</v>
      </c>
      <c r="BW23">
        <v>3.3996699999999998E-2</v>
      </c>
      <c r="BX23">
        <v>2.19998E-2</v>
      </c>
      <c r="BY23">
        <v>3.4007099999999998E-2</v>
      </c>
      <c r="BZ23">
        <v>26</v>
      </c>
      <c r="CA23">
        <v>33527.1</v>
      </c>
      <c r="CB23">
        <v>1690306253.5999999</v>
      </c>
      <c r="CC23" t="s">
        <v>332</v>
      </c>
      <c r="CD23">
        <v>1690306253.5999999</v>
      </c>
      <c r="CE23">
        <v>1690306251.5999999</v>
      </c>
      <c r="CF23">
        <v>9</v>
      </c>
      <c r="CG23">
        <v>0.19</v>
      </c>
      <c r="CH23">
        <v>-8.7999999999999995E-2</v>
      </c>
      <c r="CI23">
        <v>-5.0999999999999997E-2</v>
      </c>
      <c r="CJ23">
        <v>5.0999999999999997E-2</v>
      </c>
      <c r="CK23">
        <v>799</v>
      </c>
      <c r="CL23">
        <v>15</v>
      </c>
      <c r="CM23">
        <v>0.28000000000000003</v>
      </c>
      <c r="CN23">
        <v>0.03</v>
      </c>
      <c r="CO23">
        <v>6.17292243902439</v>
      </c>
      <c r="CP23">
        <v>-4.5808696328906393</v>
      </c>
      <c r="CQ23">
        <v>0.46444881723199333</v>
      </c>
      <c r="CR23">
        <v>-1</v>
      </c>
      <c r="CS23">
        <v>1.4079468292682931</v>
      </c>
      <c r="CT23">
        <v>9.315383808968597E-2</v>
      </c>
      <c r="CU23">
        <v>3.2692927514351697E-2</v>
      </c>
      <c r="CV23">
        <v>-1</v>
      </c>
      <c r="CW23">
        <v>0</v>
      </c>
      <c r="CX23">
        <v>0</v>
      </c>
      <c r="CY23" t="s">
        <v>333</v>
      </c>
      <c r="CZ23">
        <v>2.36409</v>
      </c>
      <c r="DA23">
        <v>2.7137199999999999</v>
      </c>
      <c r="DB23">
        <v>0.147483</v>
      </c>
      <c r="DC23">
        <v>0.14648900000000001</v>
      </c>
      <c r="DD23">
        <v>0.112294</v>
      </c>
      <c r="DE23">
        <v>0.106387</v>
      </c>
      <c r="DF23">
        <v>31123.1</v>
      </c>
      <c r="DG23">
        <v>27507.4</v>
      </c>
      <c r="DH23">
        <v>31167.4</v>
      </c>
      <c r="DI23">
        <v>28083.3</v>
      </c>
      <c r="DJ23">
        <v>37565.800000000003</v>
      </c>
      <c r="DK23">
        <v>35688.699999999997</v>
      </c>
      <c r="DL23">
        <v>44355.9</v>
      </c>
      <c r="DM23">
        <v>42572</v>
      </c>
      <c r="DN23">
        <v>1.42075</v>
      </c>
      <c r="DO23">
        <v>2.0578500000000002</v>
      </c>
      <c r="DP23">
        <v>0.264183</v>
      </c>
      <c r="DQ23">
        <v>0.22348000000000001</v>
      </c>
      <c r="DR23">
        <v>25.876200000000001</v>
      </c>
      <c r="DS23">
        <v>25.890799999999999</v>
      </c>
      <c r="DT23">
        <v>56</v>
      </c>
      <c r="DU23">
        <v>29.5</v>
      </c>
      <c r="DV23">
        <v>23.362500000000001</v>
      </c>
      <c r="DW23">
        <v>62.493000000000002</v>
      </c>
      <c r="DX23">
        <v>35.861400000000003</v>
      </c>
      <c r="DY23">
        <v>1</v>
      </c>
      <c r="DZ23">
        <v>-4.0622499999999999E-2</v>
      </c>
      <c r="EA23">
        <v>9.2810500000000005</v>
      </c>
      <c r="EB23">
        <v>19.8553</v>
      </c>
      <c r="EC23">
        <v>5.2408000000000001</v>
      </c>
      <c r="ED23">
        <v>12.039899999999999</v>
      </c>
      <c r="EE23">
        <v>5.0164499999999999</v>
      </c>
      <c r="EF23">
        <v>3.2879700000000001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1.8646199999999999</v>
      </c>
      <c r="EM23">
        <v>1.8692</v>
      </c>
      <c r="EN23">
        <v>1.8672299999999999</v>
      </c>
      <c r="EO23">
        <v>1.8633999999999999</v>
      </c>
      <c r="EP23">
        <v>1.8644700000000001</v>
      </c>
      <c r="EQ23">
        <v>1.8701399999999999</v>
      </c>
      <c r="ER23">
        <v>1.86937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-5.5E-2</v>
      </c>
      <c r="FG23">
        <v>0.18410000000000001</v>
      </c>
      <c r="FH23">
        <v>0.49996858830924029</v>
      </c>
      <c r="FI23">
        <v>-6.1462078757559423E-4</v>
      </c>
      <c r="FJ23">
        <v>-1.8861989874597051E-7</v>
      </c>
      <c r="FK23">
        <v>1.1980462299894961E-10</v>
      </c>
      <c r="FL23">
        <v>0.18404795463265899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10.1</v>
      </c>
      <c r="FU23">
        <v>10.1</v>
      </c>
      <c r="FV23">
        <v>1.79443</v>
      </c>
      <c r="FW23">
        <v>2.5976599999999999</v>
      </c>
      <c r="FX23">
        <v>1.5490699999999999</v>
      </c>
      <c r="FY23">
        <v>2.3290999999999999</v>
      </c>
      <c r="FZ23">
        <v>1.50146</v>
      </c>
      <c r="GA23">
        <v>2.2717299999999998</v>
      </c>
      <c r="GB23">
        <v>33.986499999999999</v>
      </c>
      <c r="GC23">
        <v>23.8598</v>
      </c>
      <c r="GD23">
        <v>19</v>
      </c>
      <c r="GE23">
        <v>261.238</v>
      </c>
      <c r="GF23">
        <v>604.71500000000003</v>
      </c>
      <c r="GG23">
        <v>25.731100000000001</v>
      </c>
      <c r="GH23">
        <v>26.6035</v>
      </c>
      <c r="GI23">
        <v>30.011399999999998</v>
      </c>
      <c r="GJ23">
        <v>26.677900000000001</v>
      </c>
      <c r="GK23">
        <v>26.6478</v>
      </c>
      <c r="GL23">
        <v>35.891800000000003</v>
      </c>
      <c r="GM23">
        <v>11.682499999999999</v>
      </c>
      <c r="GN23">
        <v>100</v>
      </c>
      <c r="GO23">
        <v>22.3264</v>
      </c>
      <c r="GP23">
        <v>800</v>
      </c>
      <c r="GQ23">
        <v>22.559100000000001</v>
      </c>
      <c r="GR23">
        <v>99.724599999999995</v>
      </c>
      <c r="GS23">
        <v>99.583799999999997</v>
      </c>
    </row>
    <row r="24" spans="1:201" x14ac:dyDescent="0.25">
      <c r="A24">
        <v>8</v>
      </c>
      <c r="B24">
        <v>1690306870</v>
      </c>
      <c r="C24">
        <v>251.4000000953674</v>
      </c>
      <c r="D24" t="s">
        <v>349</v>
      </c>
      <c r="E24" t="s">
        <v>350</v>
      </c>
      <c r="F24" t="s">
        <v>330</v>
      </c>
      <c r="H24">
        <v>1690306870</v>
      </c>
      <c r="I24">
        <f t="shared" si="0"/>
        <v>7.2948884311540993E-5</v>
      </c>
      <c r="J24">
        <f t="shared" si="1"/>
        <v>7.2948884311540993E-2</v>
      </c>
      <c r="K24">
        <f t="shared" si="2"/>
        <v>-0.52120620860360001</v>
      </c>
      <c r="L24">
        <f t="shared" si="3"/>
        <v>804.62699999999995</v>
      </c>
      <c r="M24">
        <f t="shared" si="4"/>
        <v>993.25842879920992</v>
      </c>
      <c r="N24">
        <f t="shared" si="5"/>
        <v>98.652903937555593</v>
      </c>
      <c r="O24">
        <f t="shared" si="6"/>
        <v>79.917560057887201</v>
      </c>
      <c r="P24">
        <f t="shared" si="7"/>
        <v>3.8679506504743239E-3</v>
      </c>
      <c r="Q24">
        <f t="shared" si="8"/>
        <v>2.1983731761411072</v>
      </c>
      <c r="R24">
        <f t="shared" si="9"/>
        <v>3.8641738006311151E-3</v>
      </c>
      <c r="S24">
        <f t="shared" si="10"/>
        <v>2.415447645329338E-3</v>
      </c>
      <c r="T24">
        <f t="shared" si="11"/>
        <v>276.1068127507794</v>
      </c>
      <c r="U24">
        <f t="shared" si="12"/>
        <v>29.435838394001514</v>
      </c>
      <c r="V24">
        <f t="shared" si="13"/>
        <v>29.435838394001514</v>
      </c>
      <c r="W24">
        <f t="shared" si="14"/>
        <v>4.1243240786456186</v>
      </c>
      <c r="X24">
        <f t="shared" si="15"/>
        <v>63.267227576236152</v>
      </c>
      <c r="Y24">
        <f t="shared" si="16"/>
        <v>2.3100226916500799</v>
      </c>
      <c r="Z24">
        <f t="shared" si="17"/>
        <v>3.6512152976302525</v>
      </c>
      <c r="AA24">
        <f t="shared" si="18"/>
        <v>1.8143013869955387</v>
      </c>
      <c r="AB24">
        <f t="shared" si="19"/>
        <v>-3.2170457981389577</v>
      </c>
      <c r="AC24">
        <f t="shared" si="20"/>
        <v>-248.41973443970491</v>
      </c>
      <c r="AD24">
        <f t="shared" si="21"/>
        <v>-24.727386896696352</v>
      </c>
      <c r="AE24">
        <f t="shared" si="22"/>
        <v>-0.25735438376082698</v>
      </c>
      <c r="AF24">
        <v>19</v>
      </c>
      <c r="AG24">
        <v>6</v>
      </c>
      <c r="AH24">
        <f t="shared" si="23"/>
        <v>1</v>
      </c>
      <c r="AI24">
        <f t="shared" si="24"/>
        <v>0</v>
      </c>
      <c r="AJ24">
        <f t="shared" si="25"/>
        <v>52504.177977016683</v>
      </c>
      <c r="AK24">
        <f t="shared" si="26"/>
        <v>1799.94</v>
      </c>
      <c r="AL24">
        <f t="shared" si="27"/>
        <v>1499.06285937234</v>
      </c>
      <c r="AM24">
        <f t="shared" si="28"/>
        <v>0.83284046099999998</v>
      </c>
      <c r="AN24">
        <f t="shared" si="29"/>
        <v>0.15339778701000001</v>
      </c>
      <c r="AO24">
        <v>31.2</v>
      </c>
      <c r="AP24">
        <v>0.5</v>
      </c>
      <c r="AQ24" t="s">
        <v>331</v>
      </c>
      <c r="AR24">
        <v>2</v>
      </c>
      <c r="AS24">
        <v>1690306870</v>
      </c>
      <c r="AT24">
        <v>804.62699999999995</v>
      </c>
      <c r="AU24">
        <v>799.81899999999996</v>
      </c>
      <c r="AV24">
        <v>23.2578</v>
      </c>
      <c r="AW24">
        <v>22.517099999999999</v>
      </c>
      <c r="AX24">
        <v>804.68200000000002</v>
      </c>
      <c r="AY24">
        <v>23.073799999999999</v>
      </c>
      <c r="AZ24">
        <v>300.13099999999997</v>
      </c>
      <c r="BA24">
        <v>99.222499999999997</v>
      </c>
      <c r="BB24">
        <v>9.9993600000000002E-2</v>
      </c>
      <c r="BC24">
        <v>27.3398</v>
      </c>
      <c r="BD24">
        <v>30.200500000000002</v>
      </c>
      <c r="BE24">
        <v>29.485700000000001</v>
      </c>
      <c r="BF24">
        <v>0</v>
      </c>
      <c r="BG24">
        <v>0</v>
      </c>
      <c r="BH24">
        <v>10019.4</v>
      </c>
      <c r="BI24">
        <v>1079.9100000000001</v>
      </c>
      <c r="BJ24">
        <v>1.4941599999999999</v>
      </c>
      <c r="BK24">
        <v>4.8086500000000001</v>
      </c>
      <c r="BL24">
        <v>823.78700000000003</v>
      </c>
      <c r="BM24">
        <v>818.24300000000005</v>
      </c>
      <c r="BN24">
        <v>0.74075899999999995</v>
      </c>
      <c r="BO24">
        <v>799.81899999999996</v>
      </c>
      <c r="BP24">
        <v>22.517099999999999</v>
      </c>
      <c r="BQ24">
        <v>2.3077000000000001</v>
      </c>
      <c r="BR24">
        <v>2.2342</v>
      </c>
      <c r="BS24">
        <v>19.7302</v>
      </c>
      <c r="BT24">
        <v>19.209700000000002</v>
      </c>
      <c r="BU24">
        <v>1799.94</v>
      </c>
      <c r="BV24">
        <v>0.909999</v>
      </c>
      <c r="BW24">
        <v>3.3997800000000002E-2</v>
      </c>
      <c r="BX24">
        <v>2.20068E-2</v>
      </c>
      <c r="BY24">
        <v>3.3995900000000003E-2</v>
      </c>
      <c r="BZ24">
        <v>26</v>
      </c>
      <c r="CA24">
        <v>33527.199999999997</v>
      </c>
      <c r="CB24">
        <v>1690306253.5999999</v>
      </c>
      <c r="CC24" t="s">
        <v>332</v>
      </c>
      <c r="CD24">
        <v>1690306253.5999999</v>
      </c>
      <c r="CE24">
        <v>1690306251.5999999</v>
      </c>
      <c r="CF24">
        <v>9</v>
      </c>
      <c r="CG24">
        <v>0.19</v>
      </c>
      <c r="CH24">
        <v>-8.7999999999999995E-2</v>
      </c>
      <c r="CI24">
        <v>-5.0999999999999997E-2</v>
      </c>
      <c r="CJ24">
        <v>5.0999999999999997E-2</v>
      </c>
      <c r="CK24">
        <v>799</v>
      </c>
      <c r="CL24">
        <v>15</v>
      </c>
      <c r="CM24">
        <v>0.28000000000000003</v>
      </c>
      <c r="CN24">
        <v>0.03</v>
      </c>
      <c r="CO24">
        <v>5.3700341463414638</v>
      </c>
      <c r="CP24">
        <v>-4.1792124903906114</v>
      </c>
      <c r="CQ24">
        <v>0.41302494146016611</v>
      </c>
      <c r="CR24">
        <v>-1</v>
      </c>
      <c r="CS24">
        <v>1.231683243902439</v>
      </c>
      <c r="CT24">
        <v>-2.1499321051505911</v>
      </c>
      <c r="CU24">
        <v>0.22047062633694289</v>
      </c>
      <c r="CV24">
        <v>-1</v>
      </c>
      <c r="CW24">
        <v>0</v>
      </c>
      <c r="CX24">
        <v>0</v>
      </c>
      <c r="CY24" t="s">
        <v>333</v>
      </c>
      <c r="CZ24">
        <v>2.3639700000000001</v>
      </c>
      <c r="DA24">
        <v>2.7138</v>
      </c>
      <c r="DB24">
        <v>0.14741699999999999</v>
      </c>
      <c r="DC24">
        <v>0.14650199999999999</v>
      </c>
      <c r="DD24">
        <v>0.111486</v>
      </c>
      <c r="DE24">
        <v>0.107362</v>
      </c>
      <c r="DF24">
        <v>31122.6</v>
      </c>
      <c r="DG24">
        <v>27504.1</v>
      </c>
      <c r="DH24">
        <v>31164.5</v>
      </c>
      <c r="DI24">
        <v>28080.3</v>
      </c>
      <c r="DJ24">
        <v>37596.9</v>
      </c>
      <c r="DK24">
        <v>35646.1</v>
      </c>
      <c r="DL24">
        <v>44351.8</v>
      </c>
      <c r="DM24">
        <v>42567.8</v>
      </c>
      <c r="DN24">
        <v>1.4191499999999999</v>
      </c>
      <c r="DO24">
        <v>2.0579000000000001</v>
      </c>
      <c r="DP24">
        <v>0.25972000000000001</v>
      </c>
      <c r="DQ24">
        <v>0.21781800000000001</v>
      </c>
      <c r="DR24">
        <v>25.9604</v>
      </c>
      <c r="DS24">
        <v>25.927600000000002</v>
      </c>
      <c r="DT24">
        <v>56</v>
      </c>
      <c r="DU24">
        <v>29.4</v>
      </c>
      <c r="DV24">
        <v>23.231100000000001</v>
      </c>
      <c r="DW24">
        <v>62.633000000000003</v>
      </c>
      <c r="DX24">
        <v>35.933500000000002</v>
      </c>
      <c r="DY24">
        <v>1</v>
      </c>
      <c r="DZ24">
        <v>-3.7687999999999999E-2</v>
      </c>
      <c r="EA24">
        <v>9.2810500000000005</v>
      </c>
      <c r="EB24">
        <v>19.8673</v>
      </c>
      <c r="EC24">
        <v>5.2408000000000001</v>
      </c>
      <c r="ED24">
        <v>12.039899999999999</v>
      </c>
      <c r="EE24">
        <v>5.0160999999999998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1.8691899999999999</v>
      </c>
      <c r="EN24">
        <v>1.8672200000000001</v>
      </c>
      <c r="EO24">
        <v>1.8633900000000001</v>
      </c>
      <c r="EP24">
        <v>1.86446</v>
      </c>
      <c r="EQ24">
        <v>1.8701399999999999</v>
      </c>
      <c r="ER24">
        <v>1.86937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-5.5E-2</v>
      </c>
      <c r="FG24">
        <v>0.184</v>
      </c>
      <c r="FH24">
        <v>0.49996858830924029</v>
      </c>
      <c r="FI24">
        <v>-6.1462078757559423E-4</v>
      </c>
      <c r="FJ24">
        <v>-1.8861989874597051E-7</v>
      </c>
      <c r="FK24">
        <v>1.1980462299894961E-10</v>
      </c>
      <c r="FL24">
        <v>0.18404795463265899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10.3</v>
      </c>
      <c r="FU24">
        <v>10.3</v>
      </c>
      <c r="FV24">
        <v>1.79565</v>
      </c>
      <c r="FW24">
        <v>2.5927699999999998</v>
      </c>
      <c r="FX24">
        <v>1.5490699999999999</v>
      </c>
      <c r="FY24">
        <v>2.3290999999999999</v>
      </c>
      <c r="FZ24">
        <v>1.50146</v>
      </c>
      <c r="GA24">
        <v>2.34375</v>
      </c>
      <c r="GB24">
        <v>33.986499999999999</v>
      </c>
      <c r="GC24">
        <v>23.868600000000001</v>
      </c>
      <c r="GD24">
        <v>19</v>
      </c>
      <c r="GE24">
        <v>260.584</v>
      </c>
      <c r="GF24">
        <v>604.77499999999998</v>
      </c>
      <c r="GG24">
        <v>23.321300000000001</v>
      </c>
      <c r="GH24">
        <v>26.605699999999999</v>
      </c>
      <c r="GI24">
        <v>30.002099999999999</v>
      </c>
      <c r="GJ24">
        <v>26.675699999999999</v>
      </c>
      <c r="GK24">
        <v>26.6493</v>
      </c>
      <c r="GL24">
        <v>35.901499999999999</v>
      </c>
      <c r="GM24">
        <v>10.109400000000001</v>
      </c>
      <c r="GN24">
        <v>100</v>
      </c>
      <c r="GO24">
        <v>20.397200000000002</v>
      </c>
      <c r="GP24">
        <v>800</v>
      </c>
      <c r="GQ24">
        <v>22.770199999999999</v>
      </c>
      <c r="GR24">
        <v>99.715299999999999</v>
      </c>
      <c r="GS24">
        <v>99.573700000000002</v>
      </c>
    </row>
    <row r="25" spans="1:201" x14ac:dyDescent="0.25">
      <c r="A25">
        <v>9</v>
      </c>
      <c r="B25">
        <v>1690306880</v>
      </c>
      <c r="C25">
        <v>261.40000009536737</v>
      </c>
      <c r="D25" t="s">
        <v>351</v>
      </c>
      <c r="E25" t="s">
        <v>352</v>
      </c>
      <c r="F25" t="s">
        <v>330</v>
      </c>
      <c r="H25">
        <v>1690306880</v>
      </c>
      <c r="I25">
        <f t="shared" si="0"/>
        <v>2.3916925004852963E-5</v>
      </c>
      <c r="J25">
        <f t="shared" si="1"/>
        <v>2.3916925004852964E-2</v>
      </c>
      <c r="K25">
        <f t="shared" si="2"/>
        <v>-0.41695076970698469</v>
      </c>
      <c r="L25">
        <f t="shared" si="3"/>
        <v>804.01199999999994</v>
      </c>
      <c r="M25">
        <f t="shared" si="4"/>
        <v>1289.3627245320938</v>
      </c>
      <c r="N25">
        <f t="shared" si="5"/>
        <v>128.06555690873006</v>
      </c>
      <c r="O25">
        <f t="shared" si="6"/>
        <v>79.858245148717188</v>
      </c>
      <c r="P25">
        <f t="shared" si="7"/>
        <v>1.2923501694293649E-3</v>
      </c>
      <c r="Q25">
        <f t="shared" si="8"/>
        <v>2.1961653878723686</v>
      </c>
      <c r="R25">
        <f t="shared" si="9"/>
        <v>1.2919278222950023E-3</v>
      </c>
      <c r="S25">
        <f t="shared" si="10"/>
        <v>8.0749282271695613E-4</v>
      </c>
      <c r="T25">
        <f t="shared" si="11"/>
        <v>276.10674038127155</v>
      </c>
      <c r="U25">
        <f t="shared" si="12"/>
        <v>29.148959186823689</v>
      </c>
      <c r="V25">
        <f t="shared" si="13"/>
        <v>29.148959186823689</v>
      </c>
      <c r="W25">
        <f t="shared" si="14"/>
        <v>4.0565693815104034</v>
      </c>
      <c r="X25">
        <f t="shared" si="15"/>
        <v>63.476311269940567</v>
      </c>
      <c r="Y25">
        <f t="shared" si="16"/>
        <v>2.2764325736282105</v>
      </c>
      <c r="Z25">
        <f t="shared" si="17"/>
        <v>3.5862710483402385</v>
      </c>
      <c r="AA25">
        <f t="shared" si="18"/>
        <v>1.7801368078821929</v>
      </c>
      <c r="AB25">
        <f t="shared" si="19"/>
        <v>-1.0547363927140156</v>
      </c>
      <c r="AC25">
        <f t="shared" si="20"/>
        <v>-250.43414631404946</v>
      </c>
      <c r="AD25">
        <f t="shared" si="21"/>
        <v>-24.879407417615507</v>
      </c>
      <c r="AE25">
        <f t="shared" si="22"/>
        <v>-0.26154974310742318</v>
      </c>
      <c r="AF25">
        <v>19</v>
      </c>
      <c r="AG25">
        <v>6</v>
      </c>
      <c r="AH25">
        <f t="shared" si="23"/>
        <v>1</v>
      </c>
      <c r="AI25">
        <f t="shared" si="24"/>
        <v>0</v>
      </c>
      <c r="AJ25">
        <f t="shared" si="25"/>
        <v>52467.341998837619</v>
      </c>
      <c r="AK25">
        <f t="shared" si="26"/>
        <v>1799.95</v>
      </c>
      <c r="AL25">
        <f t="shared" si="27"/>
        <v>1499.0705775938998</v>
      </c>
      <c r="AM25">
        <f t="shared" si="28"/>
        <v>0.83284012199999991</v>
      </c>
      <c r="AN25">
        <f t="shared" si="29"/>
        <v>0.15339689457000003</v>
      </c>
      <c r="AO25">
        <v>31.2</v>
      </c>
      <c r="AP25">
        <v>0.5</v>
      </c>
      <c r="AQ25" t="s">
        <v>331</v>
      </c>
      <c r="AR25">
        <v>2</v>
      </c>
      <c r="AS25">
        <v>1690306880</v>
      </c>
      <c r="AT25">
        <v>804.01199999999994</v>
      </c>
      <c r="AU25">
        <v>799.87800000000004</v>
      </c>
      <c r="AV25">
        <v>22.9191</v>
      </c>
      <c r="AW25">
        <v>22.676200000000001</v>
      </c>
      <c r="AX25">
        <v>804.06600000000003</v>
      </c>
      <c r="AY25">
        <v>22.734999999999999</v>
      </c>
      <c r="AZ25">
        <v>300.16699999999997</v>
      </c>
      <c r="BA25">
        <v>99.224699999999999</v>
      </c>
      <c r="BB25">
        <v>9.9993100000000001E-2</v>
      </c>
      <c r="BC25">
        <v>27.033799999999999</v>
      </c>
      <c r="BD25">
        <v>29.938199999999998</v>
      </c>
      <c r="BE25">
        <v>29.1616</v>
      </c>
      <c r="BF25">
        <v>0</v>
      </c>
      <c r="BG25">
        <v>0</v>
      </c>
      <c r="BH25">
        <v>10001.200000000001</v>
      </c>
      <c r="BI25">
        <v>1080.05</v>
      </c>
      <c r="BJ25">
        <v>1.62592</v>
      </c>
      <c r="BK25">
        <v>4.1342800000000004</v>
      </c>
      <c r="BL25">
        <v>822.87099999999998</v>
      </c>
      <c r="BM25">
        <v>818.43700000000001</v>
      </c>
      <c r="BN25">
        <v>0.24290800000000001</v>
      </c>
      <c r="BO25">
        <v>799.87800000000004</v>
      </c>
      <c r="BP25">
        <v>22.676200000000001</v>
      </c>
      <c r="BQ25">
        <v>2.2741400000000001</v>
      </c>
      <c r="BR25">
        <v>2.2500399999999998</v>
      </c>
      <c r="BS25">
        <v>19.494399999999999</v>
      </c>
      <c r="BT25">
        <v>19.3231</v>
      </c>
      <c r="BU25">
        <v>1799.95</v>
      </c>
      <c r="BV25">
        <v>0.91000999999999999</v>
      </c>
      <c r="BW25">
        <v>3.3998399999999998E-2</v>
      </c>
      <c r="BX25">
        <v>2.1994099999999999E-2</v>
      </c>
      <c r="BY25">
        <v>3.3997300000000001E-2</v>
      </c>
      <c r="BZ25">
        <v>26</v>
      </c>
      <c r="CA25">
        <v>33527.599999999999</v>
      </c>
      <c r="CB25">
        <v>1690306253.5999999</v>
      </c>
      <c r="CC25" t="s">
        <v>332</v>
      </c>
      <c r="CD25">
        <v>1690306253.5999999</v>
      </c>
      <c r="CE25">
        <v>1690306251.5999999</v>
      </c>
      <c r="CF25">
        <v>9</v>
      </c>
      <c r="CG25">
        <v>0.19</v>
      </c>
      <c r="CH25">
        <v>-8.7999999999999995E-2</v>
      </c>
      <c r="CI25">
        <v>-5.0999999999999997E-2</v>
      </c>
      <c r="CJ25">
        <v>5.0999999999999997E-2</v>
      </c>
      <c r="CK25">
        <v>799</v>
      </c>
      <c r="CL25">
        <v>15</v>
      </c>
      <c r="CM25">
        <v>0.28000000000000003</v>
      </c>
      <c r="CN25">
        <v>0.03</v>
      </c>
      <c r="CO25">
        <v>4.8186124390243901</v>
      </c>
      <c r="CP25">
        <v>-3.357970034843194</v>
      </c>
      <c r="CQ25">
        <v>0.33521597606421638</v>
      </c>
      <c r="CR25">
        <v>-1</v>
      </c>
      <c r="CS25">
        <v>0.83162417073170725</v>
      </c>
      <c r="CT25">
        <v>-3.1794935540069682</v>
      </c>
      <c r="CU25">
        <v>0.31371500460122481</v>
      </c>
      <c r="CV25">
        <v>-1</v>
      </c>
      <c r="CW25">
        <v>0</v>
      </c>
      <c r="CX25">
        <v>0</v>
      </c>
      <c r="CY25" t="s">
        <v>333</v>
      </c>
      <c r="CZ25">
        <v>2.3641000000000001</v>
      </c>
      <c r="DA25">
        <v>2.7137799999999999</v>
      </c>
      <c r="DB25">
        <v>0.14734</v>
      </c>
      <c r="DC25">
        <v>0.14651700000000001</v>
      </c>
      <c r="DD25">
        <v>0.110336</v>
      </c>
      <c r="DE25">
        <v>0.10789600000000001</v>
      </c>
      <c r="DF25">
        <v>31125.8</v>
      </c>
      <c r="DG25">
        <v>27504.9</v>
      </c>
      <c r="DH25">
        <v>31164.9</v>
      </c>
      <c r="DI25">
        <v>28081.7</v>
      </c>
      <c r="DJ25">
        <v>37646.9</v>
      </c>
      <c r="DK25">
        <v>35626.400000000001</v>
      </c>
      <c r="DL25">
        <v>44352.800000000003</v>
      </c>
      <c r="DM25">
        <v>42569.8</v>
      </c>
      <c r="DN25">
        <v>1.41812</v>
      </c>
      <c r="DO25">
        <v>2.0579200000000002</v>
      </c>
      <c r="DP25">
        <v>0.239514</v>
      </c>
      <c r="DQ25">
        <v>0.19726199999999999</v>
      </c>
      <c r="DR25">
        <v>26.0274</v>
      </c>
      <c r="DS25">
        <v>25.938500000000001</v>
      </c>
      <c r="DT25">
        <v>56.1</v>
      </c>
      <c r="DU25">
        <v>29.4</v>
      </c>
      <c r="DV25">
        <v>23.268599999999999</v>
      </c>
      <c r="DW25">
        <v>62.292999999999999</v>
      </c>
      <c r="DX25">
        <v>35.084099999999999</v>
      </c>
      <c r="DY25">
        <v>1</v>
      </c>
      <c r="DZ25">
        <v>-3.8838900000000003E-2</v>
      </c>
      <c r="EA25">
        <v>9.2810500000000005</v>
      </c>
      <c r="EB25">
        <v>19.878299999999999</v>
      </c>
      <c r="EC25">
        <v>5.24125</v>
      </c>
      <c r="ED25">
        <v>12.039899999999999</v>
      </c>
      <c r="EE25">
        <v>5.0162000000000004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1.8692</v>
      </c>
      <c r="EN25">
        <v>1.8672200000000001</v>
      </c>
      <c r="EO25">
        <v>1.8633999999999999</v>
      </c>
      <c r="EP25">
        <v>1.8644700000000001</v>
      </c>
      <c r="EQ25">
        <v>1.87015</v>
      </c>
      <c r="ER25">
        <v>1.86937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-5.3999999999999999E-2</v>
      </c>
      <c r="FG25">
        <v>0.18410000000000001</v>
      </c>
      <c r="FH25">
        <v>0.49996858830924029</v>
      </c>
      <c r="FI25">
        <v>-6.1462078757559423E-4</v>
      </c>
      <c r="FJ25">
        <v>-1.8861989874597051E-7</v>
      </c>
      <c r="FK25">
        <v>1.1980462299894961E-10</v>
      </c>
      <c r="FL25">
        <v>0.18404795463265899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10.4</v>
      </c>
      <c r="FU25">
        <v>10.5</v>
      </c>
      <c r="FV25">
        <v>1.79565</v>
      </c>
      <c r="FW25">
        <v>2.5891099999999998</v>
      </c>
      <c r="FX25">
        <v>1.5490699999999999</v>
      </c>
      <c r="FY25">
        <v>2.3290999999999999</v>
      </c>
      <c r="FZ25">
        <v>1.50146</v>
      </c>
      <c r="GA25">
        <v>2.4035600000000001</v>
      </c>
      <c r="GB25">
        <v>33.986499999999999</v>
      </c>
      <c r="GC25">
        <v>23.877400000000002</v>
      </c>
      <c r="GD25">
        <v>19</v>
      </c>
      <c r="GE25">
        <v>260.16300000000001</v>
      </c>
      <c r="GF25">
        <v>604.82100000000003</v>
      </c>
      <c r="GG25">
        <v>21.578700000000001</v>
      </c>
      <c r="GH25">
        <v>26.6112</v>
      </c>
      <c r="GI25">
        <v>30</v>
      </c>
      <c r="GJ25">
        <v>26.673400000000001</v>
      </c>
      <c r="GK25">
        <v>26.651399999999999</v>
      </c>
      <c r="GL25">
        <v>35.909599999999998</v>
      </c>
      <c r="GM25">
        <v>9.2179099999999998</v>
      </c>
      <c r="GN25">
        <v>100</v>
      </c>
      <c r="GO25">
        <v>20.365400000000001</v>
      </c>
      <c r="GP25">
        <v>800</v>
      </c>
      <c r="GQ25">
        <v>22.876000000000001</v>
      </c>
      <c r="GR25">
        <v>99.717299999999994</v>
      </c>
      <c r="GS25">
        <v>99.578400000000002</v>
      </c>
    </row>
    <row r="26" spans="1:201" x14ac:dyDescent="0.25">
      <c r="A26">
        <v>10</v>
      </c>
      <c r="B26">
        <v>1690306890</v>
      </c>
      <c r="C26">
        <v>271.40000009536737</v>
      </c>
      <c r="D26" t="s">
        <v>353</v>
      </c>
      <c r="E26" t="s">
        <v>354</v>
      </c>
      <c r="F26" t="s">
        <v>330</v>
      </c>
      <c r="H26">
        <v>1690306890</v>
      </c>
      <c r="I26">
        <f t="shared" si="0"/>
        <v>-2.6824796493764436E-5</v>
      </c>
      <c r="J26">
        <f t="shared" si="1"/>
        <v>-2.6824796493764437E-2</v>
      </c>
      <c r="K26">
        <f t="shared" si="2"/>
        <v>-0.27704221320937894</v>
      </c>
      <c r="L26">
        <f t="shared" si="3"/>
        <v>803.09900000000005</v>
      </c>
      <c r="M26">
        <f t="shared" si="4"/>
        <v>482.57835072494953</v>
      </c>
      <c r="N26">
        <f t="shared" si="5"/>
        <v>47.929784824479867</v>
      </c>
      <c r="O26">
        <f t="shared" si="6"/>
        <v>79.763964141636507</v>
      </c>
      <c r="P26">
        <f t="shared" si="7"/>
        <v>-1.4685737065316048E-3</v>
      </c>
      <c r="Q26">
        <f t="shared" si="8"/>
        <v>2.1963443747535392</v>
      </c>
      <c r="R26">
        <f t="shared" si="9"/>
        <v>-1.4691194553787623E-3</v>
      </c>
      <c r="S26">
        <f t="shared" si="10"/>
        <v>-9.1815061063900622E-4</v>
      </c>
      <c r="T26">
        <f t="shared" si="11"/>
        <v>276.10984490531519</v>
      </c>
      <c r="U26">
        <f t="shared" si="12"/>
        <v>28.869100134483617</v>
      </c>
      <c r="V26">
        <f t="shared" si="13"/>
        <v>28.869100134483617</v>
      </c>
      <c r="W26">
        <f t="shared" si="14"/>
        <v>3.9914099278046162</v>
      </c>
      <c r="X26">
        <f t="shared" si="15"/>
        <v>63.413483224176503</v>
      </c>
      <c r="Y26">
        <f t="shared" si="16"/>
        <v>2.2347544638567496</v>
      </c>
      <c r="Z26">
        <f t="shared" si="17"/>
        <v>3.5240998447546965</v>
      </c>
      <c r="AA26">
        <f t="shared" si="18"/>
        <v>1.7566554639478666</v>
      </c>
      <c r="AB26">
        <f t="shared" si="19"/>
        <v>1.1829735253750115</v>
      </c>
      <c r="AC26">
        <f t="shared" si="20"/>
        <v>-252.54340920887043</v>
      </c>
      <c r="AD26">
        <f t="shared" si="21"/>
        <v>-25.014824466246299</v>
      </c>
      <c r="AE26">
        <f t="shared" si="22"/>
        <v>-0.26541524442652076</v>
      </c>
      <c r="AF26">
        <v>19</v>
      </c>
      <c r="AG26">
        <v>6</v>
      </c>
      <c r="AH26">
        <f t="shared" si="23"/>
        <v>1</v>
      </c>
      <c r="AI26">
        <f t="shared" si="24"/>
        <v>0</v>
      </c>
      <c r="AJ26">
        <f t="shared" si="25"/>
        <v>52526.657684177961</v>
      </c>
      <c r="AK26">
        <f t="shared" si="26"/>
        <v>1799.96</v>
      </c>
      <c r="AL26">
        <f t="shared" si="27"/>
        <v>1499.07782601912</v>
      </c>
      <c r="AM26">
        <f t="shared" si="28"/>
        <v>0.832839522</v>
      </c>
      <c r="AN26">
        <f t="shared" si="29"/>
        <v>0.15339776712</v>
      </c>
      <c r="AO26">
        <v>31.2</v>
      </c>
      <c r="AP26">
        <v>0.5</v>
      </c>
      <c r="AQ26" t="s">
        <v>331</v>
      </c>
      <c r="AR26">
        <v>2</v>
      </c>
      <c r="AS26">
        <v>1690306890</v>
      </c>
      <c r="AT26">
        <v>803.09900000000005</v>
      </c>
      <c r="AU26">
        <v>799.99599999999998</v>
      </c>
      <c r="AV26">
        <v>22.500499999999999</v>
      </c>
      <c r="AW26">
        <v>22.773</v>
      </c>
      <c r="AX26">
        <v>803.15300000000002</v>
      </c>
      <c r="AY26">
        <v>22.316500000000001</v>
      </c>
      <c r="AZ26">
        <v>300.221</v>
      </c>
      <c r="BA26">
        <v>99.220299999999995</v>
      </c>
      <c r="BB26">
        <v>9.9913500000000002E-2</v>
      </c>
      <c r="BC26">
        <v>26.7363</v>
      </c>
      <c r="BD26">
        <v>29.6768</v>
      </c>
      <c r="BE26">
        <v>28.804300000000001</v>
      </c>
      <c r="BF26">
        <v>0</v>
      </c>
      <c r="BG26">
        <v>0</v>
      </c>
      <c r="BH26">
        <v>10003.1</v>
      </c>
      <c r="BI26">
        <v>1079.6600000000001</v>
      </c>
      <c r="BJ26">
        <v>1.62592</v>
      </c>
      <c r="BK26">
        <v>3.10358</v>
      </c>
      <c r="BL26">
        <v>821.58500000000004</v>
      </c>
      <c r="BM26">
        <v>818.63900000000001</v>
      </c>
      <c r="BN26">
        <v>-0.27251999999999998</v>
      </c>
      <c r="BO26">
        <v>799.99599999999998</v>
      </c>
      <c r="BP26">
        <v>22.773</v>
      </c>
      <c r="BQ26">
        <v>2.23251</v>
      </c>
      <c r="BR26">
        <v>2.2595499999999999</v>
      </c>
      <c r="BS26">
        <v>19.197500000000002</v>
      </c>
      <c r="BT26">
        <v>19.390899999999998</v>
      </c>
      <c r="BU26">
        <v>1799.96</v>
      </c>
      <c r="BV26">
        <v>0.90998699999999999</v>
      </c>
      <c r="BW26">
        <v>3.3995699999999997E-2</v>
      </c>
      <c r="BX26">
        <v>2.2004599999999999E-2</v>
      </c>
      <c r="BY26">
        <v>3.4012599999999997E-2</v>
      </c>
      <c r="BZ26">
        <v>26</v>
      </c>
      <c r="CA26">
        <v>33527.599999999999</v>
      </c>
      <c r="CB26">
        <v>1690306253.5999999</v>
      </c>
      <c r="CC26" t="s">
        <v>332</v>
      </c>
      <c r="CD26">
        <v>1690306253.5999999</v>
      </c>
      <c r="CE26">
        <v>1690306251.5999999</v>
      </c>
      <c r="CF26">
        <v>9</v>
      </c>
      <c r="CG26">
        <v>0.19</v>
      </c>
      <c r="CH26">
        <v>-8.7999999999999995E-2</v>
      </c>
      <c r="CI26">
        <v>-5.0999999999999997E-2</v>
      </c>
      <c r="CJ26">
        <v>5.0999999999999997E-2</v>
      </c>
      <c r="CK26">
        <v>799</v>
      </c>
      <c r="CL26">
        <v>15</v>
      </c>
      <c r="CM26">
        <v>0.28000000000000003</v>
      </c>
      <c r="CN26">
        <v>0.03</v>
      </c>
      <c r="CO26">
        <v>4.1416847499999996</v>
      </c>
      <c r="CP26">
        <v>-4.5981105816135281</v>
      </c>
      <c r="CQ26">
        <v>0.44942890223030552</v>
      </c>
      <c r="CR26">
        <v>-1</v>
      </c>
      <c r="CS26">
        <v>0.27895653442500001</v>
      </c>
      <c r="CT26">
        <v>-2.9516124419774892</v>
      </c>
      <c r="CU26">
        <v>0.28398047184770348</v>
      </c>
      <c r="CV26">
        <v>-1</v>
      </c>
      <c r="CW26">
        <v>0</v>
      </c>
      <c r="CX26">
        <v>0</v>
      </c>
      <c r="CY26" t="s">
        <v>333</v>
      </c>
      <c r="CZ26">
        <v>2.3642500000000002</v>
      </c>
      <c r="DA26">
        <v>2.7137099999999998</v>
      </c>
      <c r="DB26">
        <v>0.14721400000000001</v>
      </c>
      <c r="DC26">
        <v>0.14652599999999999</v>
      </c>
      <c r="DD26">
        <v>0.108894</v>
      </c>
      <c r="DE26">
        <v>0.108213</v>
      </c>
      <c r="DF26">
        <v>31131.7</v>
      </c>
      <c r="DG26">
        <v>27505.9</v>
      </c>
      <c r="DH26">
        <v>31166.2</v>
      </c>
      <c r="DI26">
        <v>28083</v>
      </c>
      <c r="DJ26">
        <v>37710.1</v>
      </c>
      <c r="DK26">
        <v>35615.1</v>
      </c>
      <c r="DL26">
        <v>44354.7</v>
      </c>
      <c r="DM26">
        <v>42571.4</v>
      </c>
      <c r="DN26">
        <v>1.41788</v>
      </c>
      <c r="DO26">
        <v>2.0581299999999998</v>
      </c>
      <c r="DP26">
        <v>0.22097700000000001</v>
      </c>
      <c r="DQ26">
        <v>0.176564</v>
      </c>
      <c r="DR26">
        <v>26.068100000000001</v>
      </c>
      <c r="DS26">
        <v>25.918500000000002</v>
      </c>
      <c r="DT26">
        <v>56.1</v>
      </c>
      <c r="DU26">
        <v>29.4</v>
      </c>
      <c r="DV26">
        <v>23.272099999999998</v>
      </c>
      <c r="DW26">
        <v>62.762999999999998</v>
      </c>
      <c r="DX26">
        <v>34.799700000000001</v>
      </c>
      <c r="DY26">
        <v>1</v>
      </c>
      <c r="DZ26">
        <v>-3.99797E-2</v>
      </c>
      <c r="EA26">
        <v>9.2810500000000005</v>
      </c>
      <c r="EB26">
        <v>19.886900000000001</v>
      </c>
      <c r="EC26">
        <v>5.2409499999999998</v>
      </c>
      <c r="ED26">
        <v>12.039899999999999</v>
      </c>
      <c r="EE26">
        <v>5.0165499999999996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1.8646199999999999</v>
      </c>
      <c r="EM26">
        <v>1.8692</v>
      </c>
      <c r="EN26">
        <v>1.8672200000000001</v>
      </c>
      <c r="EO26">
        <v>1.8633999999999999</v>
      </c>
      <c r="EP26">
        <v>1.8644700000000001</v>
      </c>
      <c r="EQ26">
        <v>1.87016</v>
      </c>
      <c r="ER26">
        <v>1.8693900000000001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-5.3999999999999999E-2</v>
      </c>
      <c r="FG26">
        <v>0.184</v>
      </c>
      <c r="FH26">
        <v>0.49996858830924029</v>
      </c>
      <c r="FI26">
        <v>-6.1462078757559423E-4</v>
      </c>
      <c r="FJ26">
        <v>-1.8861989874597051E-7</v>
      </c>
      <c r="FK26">
        <v>1.1980462299894961E-10</v>
      </c>
      <c r="FL26">
        <v>0.18404795463265899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10.6</v>
      </c>
      <c r="FU26">
        <v>10.6</v>
      </c>
      <c r="FV26">
        <v>1.79565</v>
      </c>
      <c r="FW26">
        <v>2.5891099999999998</v>
      </c>
      <c r="FX26">
        <v>1.5490699999999999</v>
      </c>
      <c r="FY26">
        <v>2.3290999999999999</v>
      </c>
      <c r="FZ26">
        <v>1.50146</v>
      </c>
      <c r="GA26">
        <v>2.4047900000000002</v>
      </c>
      <c r="GB26">
        <v>33.986499999999999</v>
      </c>
      <c r="GC26">
        <v>23.877400000000002</v>
      </c>
      <c r="GD26">
        <v>19</v>
      </c>
      <c r="GE26">
        <v>260.06200000000001</v>
      </c>
      <c r="GF26">
        <v>605</v>
      </c>
      <c r="GG26">
        <v>20.227799999999998</v>
      </c>
      <c r="GH26">
        <v>26.621200000000002</v>
      </c>
      <c r="GI26">
        <v>29.999500000000001</v>
      </c>
      <c r="GJ26">
        <v>26.673400000000001</v>
      </c>
      <c r="GK26">
        <v>26.652200000000001</v>
      </c>
      <c r="GL26">
        <v>35.9146</v>
      </c>
      <c r="GM26">
        <v>8.1979699999999998</v>
      </c>
      <c r="GN26">
        <v>100</v>
      </c>
      <c r="GO26">
        <v>20.1494</v>
      </c>
      <c r="GP26">
        <v>800</v>
      </c>
      <c r="GQ26">
        <v>22.744199999999999</v>
      </c>
      <c r="GR26">
        <v>99.721500000000006</v>
      </c>
      <c r="GS26">
        <v>99.582599999999999</v>
      </c>
    </row>
    <row r="27" spans="1:201" x14ac:dyDescent="0.25">
      <c r="A27">
        <v>11</v>
      </c>
      <c r="B27">
        <v>1690306900</v>
      </c>
      <c r="C27">
        <v>281.40000009536737</v>
      </c>
      <c r="D27" t="s">
        <v>355</v>
      </c>
      <c r="E27" t="s">
        <v>356</v>
      </c>
      <c r="F27" t="s">
        <v>330</v>
      </c>
      <c r="H27">
        <v>1690306900</v>
      </c>
      <c r="I27">
        <f t="shared" si="0"/>
        <v>-8.3661806278796845E-5</v>
      </c>
      <c r="J27">
        <f t="shared" si="1"/>
        <v>-8.3661806278796838E-2</v>
      </c>
      <c r="K27">
        <f t="shared" si="2"/>
        <v>-9.4964447992442344E-2</v>
      </c>
      <c r="L27">
        <f t="shared" si="3"/>
        <v>801.72299999999996</v>
      </c>
      <c r="M27">
        <f t="shared" si="4"/>
        <v>746.09741056322537</v>
      </c>
      <c r="N27">
        <f t="shared" si="5"/>
        <v>74.104999741638792</v>
      </c>
      <c r="O27">
        <f t="shared" si="6"/>
        <v>79.62992749568221</v>
      </c>
      <c r="P27">
        <f t="shared" si="7"/>
        <v>-4.5893305624373978E-3</v>
      </c>
      <c r="Q27">
        <f t="shared" si="8"/>
        <v>2.1994539500826238</v>
      </c>
      <c r="R27">
        <f t="shared" si="9"/>
        <v>-4.5946572275037886E-3</v>
      </c>
      <c r="S27">
        <f t="shared" si="10"/>
        <v>-2.8711816860013352E-3</v>
      </c>
      <c r="T27">
        <f t="shared" si="11"/>
        <v>276.1103683798284</v>
      </c>
      <c r="U27">
        <f t="shared" si="12"/>
        <v>28.605449520396338</v>
      </c>
      <c r="V27">
        <f t="shared" si="13"/>
        <v>28.605449520396338</v>
      </c>
      <c r="W27">
        <f t="shared" si="14"/>
        <v>3.9308611372980495</v>
      </c>
      <c r="X27">
        <f t="shared" si="15"/>
        <v>62.831922050821646</v>
      </c>
      <c r="Y27">
        <f t="shared" si="16"/>
        <v>2.1779456547209204</v>
      </c>
      <c r="Z27">
        <f t="shared" si="17"/>
        <v>3.466304361912226</v>
      </c>
      <c r="AA27">
        <f t="shared" si="18"/>
        <v>1.7529154825771291</v>
      </c>
      <c r="AB27">
        <f t="shared" si="19"/>
        <v>3.689485656894941</v>
      </c>
      <c r="AC27">
        <f t="shared" si="20"/>
        <v>-254.92262350308852</v>
      </c>
      <c r="AD27">
        <f t="shared" si="21"/>
        <v>-25.146412683148561</v>
      </c>
      <c r="AE27">
        <f t="shared" si="22"/>
        <v>-0.26918214951373898</v>
      </c>
      <c r="AF27">
        <v>19</v>
      </c>
      <c r="AG27">
        <v>6</v>
      </c>
      <c r="AH27">
        <f t="shared" si="23"/>
        <v>1</v>
      </c>
      <c r="AI27">
        <f t="shared" si="24"/>
        <v>0</v>
      </c>
      <c r="AJ27">
        <f t="shared" si="25"/>
        <v>52703.619901657185</v>
      </c>
      <c r="AK27">
        <f t="shared" si="26"/>
        <v>1799.97</v>
      </c>
      <c r="AL27">
        <f t="shared" si="27"/>
        <v>1499.0845524410399</v>
      </c>
      <c r="AM27">
        <f t="shared" si="28"/>
        <v>0.83283863199999997</v>
      </c>
      <c r="AN27">
        <f t="shared" si="29"/>
        <v>0.15339720572000001</v>
      </c>
      <c r="AO27">
        <v>31.2</v>
      </c>
      <c r="AP27">
        <v>0.5</v>
      </c>
      <c r="AQ27" t="s">
        <v>331</v>
      </c>
      <c r="AR27">
        <v>2</v>
      </c>
      <c r="AS27">
        <v>1690306900</v>
      </c>
      <c r="AT27">
        <v>801.72299999999996</v>
      </c>
      <c r="AU27">
        <v>800.03899999999999</v>
      </c>
      <c r="AV27">
        <v>21.927800000000001</v>
      </c>
      <c r="AW27">
        <v>22.778199999999998</v>
      </c>
      <c r="AX27">
        <v>801.77499999999998</v>
      </c>
      <c r="AY27">
        <v>21.7437</v>
      </c>
      <c r="AZ27">
        <v>300.21300000000002</v>
      </c>
      <c r="BA27">
        <v>99.223600000000005</v>
      </c>
      <c r="BB27">
        <v>9.9891400000000005E-2</v>
      </c>
      <c r="BC27">
        <v>26.4556</v>
      </c>
      <c r="BD27">
        <v>29.379799999999999</v>
      </c>
      <c r="BE27">
        <v>28.4619</v>
      </c>
      <c r="BF27">
        <v>0</v>
      </c>
      <c r="BG27">
        <v>0</v>
      </c>
      <c r="BH27">
        <v>10028.1</v>
      </c>
      <c r="BI27">
        <v>1078.6400000000001</v>
      </c>
      <c r="BJ27">
        <v>1.62592</v>
      </c>
      <c r="BK27">
        <v>1.6830400000000001</v>
      </c>
      <c r="BL27">
        <v>819.697</v>
      </c>
      <c r="BM27">
        <v>818.68799999999999</v>
      </c>
      <c r="BN27">
        <v>-0.85037799999999997</v>
      </c>
      <c r="BO27">
        <v>800.03899999999999</v>
      </c>
      <c r="BP27">
        <v>22.778199999999998</v>
      </c>
      <c r="BQ27">
        <v>2.1757499999999999</v>
      </c>
      <c r="BR27">
        <v>2.2601300000000002</v>
      </c>
      <c r="BS27">
        <v>18.7849</v>
      </c>
      <c r="BT27">
        <v>19.395</v>
      </c>
      <c r="BU27">
        <v>1799.97</v>
      </c>
      <c r="BV27">
        <v>0.909995</v>
      </c>
      <c r="BW27">
        <v>3.4005100000000003E-2</v>
      </c>
      <c r="BX27">
        <v>2.1997599999999999E-2</v>
      </c>
      <c r="BY27">
        <v>3.4001799999999999E-2</v>
      </c>
      <c r="BZ27">
        <v>26</v>
      </c>
      <c r="CA27">
        <v>33527.800000000003</v>
      </c>
      <c r="CB27">
        <v>1690306253.5999999</v>
      </c>
      <c r="CC27" t="s">
        <v>332</v>
      </c>
      <c r="CD27">
        <v>1690306253.5999999</v>
      </c>
      <c r="CE27">
        <v>1690306251.5999999</v>
      </c>
      <c r="CF27">
        <v>9</v>
      </c>
      <c r="CG27">
        <v>0.19</v>
      </c>
      <c r="CH27">
        <v>-8.7999999999999995E-2</v>
      </c>
      <c r="CI27">
        <v>-5.0999999999999997E-2</v>
      </c>
      <c r="CJ27">
        <v>5.0999999999999997E-2</v>
      </c>
      <c r="CK27">
        <v>799</v>
      </c>
      <c r="CL27">
        <v>15</v>
      </c>
      <c r="CM27">
        <v>0.28000000000000003</v>
      </c>
      <c r="CN27">
        <v>0.03</v>
      </c>
      <c r="CO27">
        <v>3.2428419512195119</v>
      </c>
      <c r="CP27">
        <v>-7.2259827177700258</v>
      </c>
      <c r="CQ27">
        <v>0.71957577371541914</v>
      </c>
      <c r="CR27">
        <v>-1</v>
      </c>
      <c r="CS27">
        <v>-0.21056603958536579</v>
      </c>
      <c r="CT27">
        <v>-3.375254204299651</v>
      </c>
      <c r="CU27">
        <v>0.33334135105096252</v>
      </c>
      <c r="CV27">
        <v>-1</v>
      </c>
      <c r="CW27">
        <v>0</v>
      </c>
      <c r="CX27">
        <v>0</v>
      </c>
      <c r="CY27" t="s">
        <v>333</v>
      </c>
      <c r="CZ27">
        <v>2.3642099999999999</v>
      </c>
      <c r="DA27">
        <v>2.7137099999999998</v>
      </c>
      <c r="DB27">
        <v>0.147036</v>
      </c>
      <c r="DC27">
        <v>0.146534</v>
      </c>
      <c r="DD27">
        <v>0.10691299999999999</v>
      </c>
      <c r="DE27">
        <v>0.10823199999999999</v>
      </c>
      <c r="DF27">
        <v>31138.6</v>
      </c>
      <c r="DG27">
        <v>27506.1</v>
      </c>
      <c r="DH27">
        <v>31166.799999999999</v>
      </c>
      <c r="DI27">
        <v>28083.599999999999</v>
      </c>
      <c r="DJ27">
        <v>37795.300000000003</v>
      </c>
      <c r="DK27">
        <v>35615</v>
      </c>
      <c r="DL27">
        <v>44355.3</v>
      </c>
      <c r="DM27">
        <v>42572.2</v>
      </c>
      <c r="DN27">
        <v>1.41737</v>
      </c>
      <c r="DO27">
        <v>2.0576699999999999</v>
      </c>
      <c r="DP27">
        <v>0.20171</v>
      </c>
      <c r="DQ27">
        <v>0.158355</v>
      </c>
      <c r="DR27">
        <v>26.084900000000001</v>
      </c>
      <c r="DS27">
        <v>25.872900000000001</v>
      </c>
      <c r="DT27">
        <v>56.1</v>
      </c>
      <c r="DU27">
        <v>29.4</v>
      </c>
      <c r="DV27">
        <v>23.2684</v>
      </c>
      <c r="DW27">
        <v>62.363</v>
      </c>
      <c r="DX27">
        <v>35.328499999999998</v>
      </c>
      <c r="DY27">
        <v>1</v>
      </c>
      <c r="DZ27">
        <v>-4.0170200000000003E-2</v>
      </c>
      <c r="EA27">
        <v>9.0063999999999993</v>
      </c>
      <c r="EB27">
        <v>19.91</v>
      </c>
      <c r="EC27">
        <v>5.2404999999999999</v>
      </c>
      <c r="ED27">
        <v>12.039899999999999</v>
      </c>
      <c r="EE27">
        <v>5.0170500000000002</v>
      </c>
      <c r="EF27">
        <v>3.2879499999999999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1.8692</v>
      </c>
      <c r="EN27">
        <v>1.8672299999999999</v>
      </c>
      <c r="EO27">
        <v>1.8633999999999999</v>
      </c>
      <c r="EP27">
        <v>1.8644700000000001</v>
      </c>
      <c r="EQ27">
        <v>1.87015</v>
      </c>
      <c r="ER27">
        <v>1.8693900000000001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-5.1999999999999998E-2</v>
      </c>
      <c r="FG27">
        <v>0.18410000000000001</v>
      </c>
      <c r="FH27">
        <v>0.49996858830924029</v>
      </c>
      <c r="FI27">
        <v>-6.1462078757559423E-4</v>
      </c>
      <c r="FJ27">
        <v>-1.8861989874597051E-7</v>
      </c>
      <c r="FK27">
        <v>1.1980462299894961E-10</v>
      </c>
      <c r="FL27">
        <v>0.18404795463265899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10.8</v>
      </c>
      <c r="FU27">
        <v>10.8</v>
      </c>
      <c r="FV27">
        <v>1.79688</v>
      </c>
      <c r="FW27">
        <v>2.5866699999999998</v>
      </c>
      <c r="FX27">
        <v>1.5490699999999999</v>
      </c>
      <c r="FY27">
        <v>2.3290999999999999</v>
      </c>
      <c r="FZ27">
        <v>1.50024</v>
      </c>
      <c r="GA27">
        <v>2.3754900000000001</v>
      </c>
      <c r="GB27">
        <v>33.986499999999999</v>
      </c>
      <c r="GC27">
        <v>23.921099999999999</v>
      </c>
      <c r="GD27">
        <v>19</v>
      </c>
      <c r="GE27">
        <v>259.86799999999999</v>
      </c>
      <c r="GF27">
        <v>604.64400000000001</v>
      </c>
      <c r="GG27">
        <v>19.156300000000002</v>
      </c>
      <c r="GH27">
        <v>26.634599999999999</v>
      </c>
      <c r="GI27">
        <v>30</v>
      </c>
      <c r="GJ27">
        <v>26.6754</v>
      </c>
      <c r="GK27">
        <v>26.654499999999999</v>
      </c>
      <c r="GL27">
        <v>35.917200000000001</v>
      </c>
      <c r="GM27">
        <v>10.1654</v>
      </c>
      <c r="GN27">
        <v>100</v>
      </c>
      <c r="GO27">
        <v>20.451799999999999</v>
      </c>
      <c r="GP27">
        <v>800</v>
      </c>
      <c r="GQ27">
        <v>22.288499999999999</v>
      </c>
      <c r="GR27">
        <v>99.723100000000002</v>
      </c>
      <c r="GS27">
        <v>99.584400000000002</v>
      </c>
    </row>
    <row r="28" spans="1:201" x14ac:dyDescent="0.25">
      <c r="A28">
        <v>12</v>
      </c>
      <c r="B28">
        <v>1690306910</v>
      </c>
      <c r="C28">
        <v>291.40000009536737</v>
      </c>
      <c r="D28" t="s">
        <v>357</v>
      </c>
      <c r="E28" t="s">
        <v>358</v>
      </c>
      <c r="F28" t="s">
        <v>330</v>
      </c>
      <c r="H28">
        <v>1690306910</v>
      </c>
      <c r="I28">
        <f t="shared" si="0"/>
        <v>-7.7680198414225671E-5</v>
      </c>
      <c r="J28">
        <f t="shared" si="1"/>
        <v>-7.7680198414225674E-2</v>
      </c>
      <c r="K28">
        <f t="shared" si="2"/>
        <v>5.9176963653549235E-2</v>
      </c>
      <c r="L28">
        <f t="shared" si="3"/>
        <v>800.197</v>
      </c>
      <c r="M28">
        <f t="shared" si="4"/>
        <v>799.10762610794848</v>
      </c>
      <c r="N28">
        <f t="shared" si="5"/>
        <v>79.3684178542469</v>
      </c>
      <c r="O28">
        <f t="shared" si="6"/>
        <v>79.476615898464004</v>
      </c>
      <c r="P28">
        <f t="shared" si="7"/>
        <v>-4.3143075473192991E-3</v>
      </c>
      <c r="Q28">
        <f t="shared" si="8"/>
        <v>2.192051796165345</v>
      </c>
      <c r="R28">
        <f t="shared" si="9"/>
        <v>-4.3190304834654367E-3</v>
      </c>
      <c r="S28">
        <f t="shared" si="10"/>
        <v>-2.6989692963365684E-3</v>
      </c>
      <c r="T28">
        <f t="shared" si="11"/>
        <v>276.10790561041165</v>
      </c>
      <c r="U28">
        <f t="shared" si="12"/>
        <v>28.405503886935179</v>
      </c>
      <c r="V28">
        <f t="shared" si="13"/>
        <v>28.405503886935179</v>
      </c>
      <c r="W28">
        <f t="shared" si="14"/>
        <v>3.8854781925385269</v>
      </c>
      <c r="X28">
        <f t="shared" si="15"/>
        <v>62.880621664926792</v>
      </c>
      <c r="Y28">
        <f t="shared" si="16"/>
        <v>2.1534350261280002</v>
      </c>
      <c r="Z28">
        <f t="shared" si="17"/>
        <v>3.424640165937054</v>
      </c>
      <c r="AA28">
        <f t="shared" si="18"/>
        <v>1.7320431664105267</v>
      </c>
      <c r="AB28">
        <f t="shared" si="19"/>
        <v>3.4256967500673521</v>
      </c>
      <c r="AC28">
        <f t="shared" si="20"/>
        <v>-254.65019058767263</v>
      </c>
      <c r="AD28">
        <f t="shared" si="21"/>
        <v>-25.153469938589804</v>
      </c>
      <c r="AE28">
        <f t="shared" si="22"/>
        <v>-0.27005816578343911</v>
      </c>
      <c r="AF28">
        <v>17</v>
      </c>
      <c r="AG28">
        <v>6</v>
      </c>
      <c r="AH28">
        <f t="shared" si="23"/>
        <v>1</v>
      </c>
      <c r="AI28">
        <f t="shared" si="24"/>
        <v>0</v>
      </c>
      <c r="AJ28">
        <f t="shared" si="25"/>
        <v>52435.88616850238</v>
      </c>
      <c r="AK28">
        <f t="shared" si="26"/>
        <v>1799.96</v>
      </c>
      <c r="AL28">
        <f t="shared" si="27"/>
        <v>1499.0795251813597</v>
      </c>
      <c r="AM28">
        <f t="shared" si="28"/>
        <v>0.83284046599999983</v>
      </c>
      <c r="AN28">
        <f t="shared" si="29"/>
        <v>0.15339668971000003</v>
      </c>
      <c r="AO28">
        <v>31.2</v>
      </c>
      <c r="AP28">
        <v>0.5</v>
      </c>
      <c r="AQ28" t="s">
        <v>331</v>
      </c>
      <c r="AR28">
        <v>2</v>
      </c>
      <c r="AS28">
        <v>1690306910</v>
      </c>
      <c r="AT28">
        <v>800.197</v>
      </c>
      <c r="AU28">
        <v>800.16600000000005</v>
      </c>
      <c r="AV28">
        <v>21.6815</v>
      </c>
      <c r="AW28">
        <v>22.471399999999999</v>
      </c>
      <c r="AX28">
        <v>800.24900000000002</v>
      </c>
      <c r="AY28">
        <v>21.497499999999999</v>
      </c>
      <c r="AZ28">
        <v>300.17399999999998</v>
      </c>
      <c r="BA28">
        <v>99.221299999999999</v>
      </c>
      <c r="BB28">
        <v>0.100012</v>
      </c>
      <c r="BC28">
        <v>26.250699999999998</v>
      </c>
      <c r="BD28">
        <v>29.138999999999999</v>
      </c>
      <c r="BE28">
        <v>28.1889</v>
      </c>
      <c r="BF28">
        <v>0</v>
      </c>
      <c r="BG28">
        <v>0</v>
      </c>
      <c r="BH28">
        <v>9968.1200000000008</v>
      </c>
      <c r="BI28">
        <v>1077.4100000000001</v>
      </c>
      <c r="BJ28">
        <v>1.62592</v>
      </c>
      <c r="BK28">
        <v>3.1555199999999999E-2</v>
      </c>
      <c r="BL28">
        <v>817.93100000000004</v>
      </c>
      <c r="BM28">
        <v>818.56</v>
      </c>
      <c r="BN28">
        <v>-0.78990400000000005</v>
      </c>
      <c r="BO28">
        <v>800.16600000000005</v>
      </c>
      <c r="BP28">
        <v>22.471399999999999</v>
      </c>
      <c r="BQ28">
        <v>2.1512699999999998</v>
      </c>
      <c r="BR28">
        <v>2.2296499999999999</v>
      </c>
      <c r="BS28">
        <v>18.603999999999999</v>
      </c>
      <c r="BT28">
        <v>19.1769</v>
      </c>
      <c r="BU28">
        <v>1799.96</v>
      </c>
      <c r="BV28">
        <v>0.91001699999999996</v>
      </c>
      <c r="BW28">
        <v>3.3996800000000001E-2</v>
      </c>
      <c r="BX28">
        <v>2.1992299999999999E-2</v>
      </c>
      <c r="BY28">
        <v>3.3993500000000003E-2</v>
      </c>
      <c r="BZ28">
        <v>26</v>
      </c>
      <c r="CA28">
        <v>33527.9</v>
      </c>
      <c r="CB28">
        <v>1690306253.5999999</v>
      </c>
      <c r="CC28" t="s">
        <v>332</v>
      </c>
      <c r="CD28">
        <v>1690306253.5999999</v>
      </c>
      <c r="CE28">
        <v>1690306251.5999999</v>
      </c>
      <c r="CF28">
        <v>9</v>
      </c>
      <c r="CG28">
        <v>0.19</v>
      </c>
      <c r="CH28">
        <v>-8.7999999999999995E-2</v>
      </c>
      <c r="CI28">
        <v>-5.0999999999999997E-2</v>
      </c>
      <c r="CJ28">
        <v>5.0999999999999997E-2</v>
      </c>
      <c r="CK28">
        <v>799</v>
      </c>
      <c r="CL28">
        <v>15</v>
      </c>
      <c r="CM28">
        <v>0.28000000000000003</v>
      </c>
      <c r="CN28">
        <v>0.03</v>
      </c>
      <c r="CO28">
        <v>1.797977825</v>
      </c>
      <c r="CP28">
        <v>-9.0587774971857478</v>
      </c>
      <c r="CQ28">
        <v>0.87309722937837475</v>
      </c>
      <c r="CR28">
        <v>-1</v>
      </c>
      <c r="CS28">
        <v>-0.74882389999999999</v>
      </c>
      <c r="CT28">
        <v>-2.4532044427767352</v>
      </c>
      <c r="CU28">
        <v>0.25039454988865067</v>
      </c>
      <c r="CV28">
        <v>-1</v>
      </c>
      <c r="CW28">
        <v>0</v>
      </c>
      <c r="CX28">
        <v>0</v>
      </c>
      <c r="CY28" t="s">
        <v>333</v>
      </c>
      <c r="CZ28">
        <v>2.3640599999999998</v>
      </c>
      <c r="DA28">
        <v>2.7137799999999999</v>
      </c>
      <c r="DB28">
        <v>0.146838</v>
      </c>
      <c r="DC28">
        <v>0.146539</v>
      </c>
      <c r="DD28">
        <v>0.106049</v>
      </c>
      <c r="DE28">
        <v>0.107207</v>
      </c>
      <c r="DF28">
        <v>31147.3</v>
      </c>
      <c r="DG28">
        <v>27507.3</v>
      </c>
      <c r="DH28">
        <v>31168.3</v>
      </c>
      <c r="DI28">
        <v>28085.1</v>
      </c>
      <c r="DJ28">
        <v>37834</v>
      </c>
      <c r="DK28">
        <v>35657.9</v>
      </c>
      <c r="DL28">
        <v>44357.4</v>
      </c>
      <c r="DM28">
        <v>42574.400000000001</v>
      </c>
      <c r="DN28">
        <v>1.4228799999999999</v>
      </c>
      <c r="DO28">
        <v>2.0573199999999998</v>
      </c>
      <c r="DP28">
        <v>0.187218</v>
      </c>
      <c r="DQ28">
        <v>0.14565900000000001</v>
      </c>
      <c r="DR28">
        <v>26.080300000000001</v>
      </c>
      <c r="DS28">
        <v>25.806799999999999</v>
      </c>
      <c r="DT28">
        <v>56.1</v>
      </c>
      <c r="DU28">
        <v>29.4</v>
      </c>
      <c r="DV28">
        <v>23.269300000000001</v>
      </c>
      <c r="DW28">
        <v>62.442999999999998</v>
      </c>
      <c r="DX28">
        <v>36.033700000000003</v>
      </c>
      <c r="DY28">
        <v>1</v>
      </c>
      <c r="DZ28">
        <v>-5.8549299999999999E-2</v>
      </c>
      <c r="EA28">
        <v>4.3763399999999999</v>
      </c>
      <c r="EB28">
        <v>20.108899999999998</v>
      </c>
      <c r="EC28">
        <v>5.2404999999999999</v>
      </c>
      <c r="ED28">
        <v>12.039899999999999</v>
      </c>
      <c r="EE28">
        <v>5.01715</v>
      </c>
      <c r="EF28">
        <v>3.2879499999999999</v>
      </c>
      <c r="EG28">
        <v>9999</v>
      </c>
      <c r="EH28">
        <v>9999</v>
      </c>
      <c r="EI28">
        <v>9999</v>
      </c>
      <c r="EJ28">
        <v>999.9</v>
      </c>
      <c r="EK28">
        <v>1.8689100000000001</v>
      </c>
      <c r="EL28">
        <v>1.86463</v>
      </c>
      <c r="EM28">
        <v>1.8692</v>
      </c>
      <c r="EN28">
        <v>1.8672299999999999</v>
      </c>
      <c r="EO28">
        <v>1.8633999999999999</v>
      </c>
      <c r="EP28">
        <v>1.8644700000000001</v>
      </c>
      <c r="EQ28">
        <v>1.87016</v>
      </c>
      <c r="ER28">
        <v>1.86941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-5.1999999999999998E-2</v>
      </c>
      <c r="FG28">
        <v>0.184</v>
      </c>
      <c r="FH28">
        <v>0.49996858830924029</v>
      </c>
      <c r="FI28">
        <v>-6.1462078757559423E-4</v>
      </c>
      <c r="FJ28">
        <v>-1.8861989874597051E-7</v>
      </c>
      <c r="FK28">
        <v>1.1980462299894961E-10</v>
      </c>
      <c r="FL28">
        <v>0.18404795463265899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10.9</v>
      </c>
      <c r="FU28">
        <v>11</v>
      </c>
      <c r="FV28">
        <v>1.79565</v>
      </c>
      <c r="FW28">
        <v>2.5952099999999998</v>
      </c>
      <c r="FX28">
        <v>1.5490699999999999</v>
      </c>
      <c r="FY28">
        <v>2.3290999999999999</v>
      </c>
      <c r="FZ28">
        <v>1.50146</v>
      </c>
      <c r="GA28">
        <v>2.2912599999999999</v>
      </c>
      <c r="GB28">
        <v>33.986499999999999</v>
      </c>
      <c r="GC28">
        <v>23.9299</v>
      </c>
      <c r="GD28">
        <v>19</v>
      </c>
      <c r="GE28">
        <v>262.11399999999998</v>
      </c>
      <c r="GF28">
        <v>604.36300000000006</v>
      </c>
      <c r="GG28">
        <v>19.757999999999999</v>
      </c>
      <c r="GH28">
        <v>26.651499999999999</v>
      </c>
      <c r="GI28">
        <v>29.992599999999999</v>
      </c>
      <c r="GJ28">
        <v>26.682300000000001</v>
      </c>
      <c r="GK28">
        <v>26.655899999999999</v>
      </c>
      <c r="GL28">
        <v>35.905299999999997</v>
      </c>
      <c r="GM28">
        <v>11.8033</v>
      </c>
      <c r="GN28">
        <v>100</v>
      </c>
      <c r="GO28">
        <v>19.595700000000001</v>
      </c>
      <c r="GP28">
        <v>800</v>
      </c>
      <c r="GQ28">
        <v>22.455400000000001</v>
      </c>
      <c r="GR28">
        <v>99.727800000000002</v>
      </c>
      <c r="GS28">
        <v>99.589699999999993</v>
      </c>
    </row>
    <row r="29" spans="1:201" x14ac:dyDescent="0.25">
      <c r="A29">
        <v>13</v>
      </c>
      <c r="B29">
        <v>1690306920</v>
      </c>
      <c r="C29">
        <v>301.40000009536737</v>
      </c>
      <c r="D29" t="s">
        <v>359</v>
      </c>
      <c r="E29" t="s">
        <v>360</v>
      </c>
      <c r="F29" t="s">
        <v>330</v>
      </c>
      <c r="H29">
        <v>1690306920</v>
      </c>
      <c r="I29">
        <f t="shared" si="0"/>
        <v>-5.5919914581687982E-5</v>
      </c>
      <c r="J29">
        <f t="shared" si="1"/>
        <v>-5.5919914581687984E-2</v>
      </c>
      <c r="K29">
        <f t="shared" si="2"/>
        <v>0.16800794037597516</v>
      </c>
      <c r="L29">
        <f t="shared" si="3"/>
        <v>798.70500000000004</v>
      </c>
      <c r="M29">
        <f t="shared" si="4"/>
        <v>859.78205003958362</v>
      </c>
      <c r="N29">
        <f t="shared" si="5"/>
        <v>85.394956374237111</v>
      </c>
      <c r="O29">
        <f t="shared" si="6"/>
        <v>79.328684086559988</v>
      </c>
      <c r="P29">
        <f t="shared" si="7"/>
        <v>-3.1842458827214251E-3</v>
      </c>
      <c r="Q29">
        <f t="shared" si="8"/>
        <v>2.1935953874171368</v>
      </c>
      <c r="R29">
        <f t="shared" si="9"/>
        <v>-3.1868160571566556E-3</v>
      </c>
      <c r="S29">
        <f t="shared" si="10"/>
        <v>-1.9915289492635725E-3</v>
      </c>
      <c r="T29">
        <f t="shared" si="11"/>
        <v>276.11335304576659</v>
      </c>
      <c r="U29">
        <f t="shared" si="12"/>
        <v>28.302552462072072</v>
      </c>
      <c r="V29">
        <f t="shared" si="13"/>
        <v>28.302552462072072</v>
      </c>
      <c r="W29">
        <f t="shared" si="14"/>
        <v>3.8622894005770285</v>
      </c>
      <c r="X29">
        <f t="shared" si="15"/>
        <v>63.789556575480944</v>
      </c>
      <c r="Y29">
        <f t="shared" si="16"/>
        <v>2.1724123959199995</v>
      </c>
      <c r="Z29">
        <f t="shared" si="17"/>
        <v>3.4055925649042975</v>
      </c>
      <c r="AA29">
        <f t="shared" si="18"/>
        <v>1.6898770046570291</v>
      </c>
      <c r="AB29">
        <f t="shared" si="19"/>
        <v>2.4660682330524399</v>
      </c>
      <c r="AC29">
        <f t="shared" si="20"/>
        <v>-253.81820821974318</v>
      </c>
      <c r="AD29">
        <f t="shared" si="21"/>
        <v>-25.028958307933429</v>
      </c>
      <c r="AE29">
        <f t="shared" si="22"/>
        <v>-0.26774524885757955</v>
      </c>
      <c r="AF29">
        <v>18</v>
      </c>
      <c r="AG29">
        <v>6</v>
      </c>
      <c r="AH29">
        <f t="shared" si="23"/>
        <v>1</v>
      </c>
      <c r="AI29">
        <f t="shared" si="24"/>
        <v>0</v>
      </c>
      <c r="AJ29">
        <f t="shared" si="25"/>
        <v>52515.717195707519</v>
      </c>
      <c r="AK29">
        <f t="shared" si="26"/>
        <v>1799.98</v>
      </c>
      <c r="AL29">
        <f t="shared" si="27"/>
        <v>1499.0942308123599</v>
      </c>
      <c r="AM29">
        <f t="shared" si="28"/>
        <v>0.83283938199999996</v>
      </c>
      <c r="AN29">
        <f t="shared" si="29"/>
        <v>0.15339801167</v>
      </c>
      <c r="AO29">
        <v>31.2</v>
      </c>
      <c r="AP29">
        <v>0.5</v>
      </c>
      <c r="AQ29" t="s">
        <v>331</v>
      </c>
      <c r="AR29">
        <v>2</v>
      </c>
      <c r="AS29">
        <v>1690306920</v>
      </c>
      <c r="AT29">
        <v>798.70500000000004</v>
      </c>
      <c r="AU29">
        <v>799.98699999999997</v>
      </c>
      <c r="AV29">
        <v>21.872499999999999</v>
      </c>
      <c r="AW29">
        <v>22.440999999999999</v>
      </c>
      <c r="AX29">
        <v>798.755</v>
      </c>
      <c r="AY29">
        <v>21.688400000000001</v>
      </c>
      <c r="AZ29">
        <v>300.18299999999999</v>
      </c>
      <c r="BA29">
        <v>99.221599999999995</v>
      </c>
      <c r="BB29">
        <v>0.100032</v>
      </c>
      <c r="BC29">
        <v>26.156300000000002</v>
      </c>
      <c r="BD29">
        <v>28.984100000000002</v>
      </c>
      <c r="BE29">
        <v>28.056899999999999</v>
      </c>
      <c r="BF29">
        <v>0</v>
      </c>
      <c r="BG29">
        <v>0</v>
      </c>
      <c r="BH29">
        <v>9980.6200000000008</v>
      </c>
      <c r="BI29">
        <v>1076.29</v>
      </c>
      <c r="BJ29">
        <v>1.62592</v>
      </c>
      <c r="BK29">
        <v>-1.2820400000000001</v>
      </c>
      <c r="BL29">
        <v>816.56500000000005</v>
      </c>
      <c r="BM29">
        <v>818.35199999999998</v>
      </c>
      <c r="BN29">
        <v>-0.56850400000000001</v>
      </c>
      <c r="BO29">
        <v>799.98699999999997</v>
      </c>
      <c r="BP29">
        <v>22.440999999999999</v>
      </c>
      <c r="BQ29">
        <v>2.17022</v>
      </c>
      <c r="BR29">
        <v>2.2266300000000001</v>
      </c>
      <c r="BS29">
        <v>18.744199999999999</v>
      </c>
      <c r="BT29">
        <v>19.155200000000001</v>
      </c>
      <c r="BU29">
        <v>1799.98</v>
      </c>
      <c r="BV29">
        <v>0.90998699999999999</v>
      </c>
      <c r="BW29">
        <v>3.4007500000000003E-2</v>
      </c>
      <c r="BX29">
        <v>2.2007100000000002E-2</v>
      </c>
      <c r="BY29">
        <v>3.3998500000000001E-2</v>
      </c>
      <c r="BZ29">
        <v>26</v>
      </c>
      <c r="CA29">
        <v>33527.9</v>
      </c>
      <c r="CB29">
        <v>1690306253.5999999</v>
      </c>
      <c r="CC29" t="s">
        <v>332</v>
      </c>
      <c r="CD29">
        <v>1690306253.5999999</v>
      </c>
      <c r="CE29">
        <v>1690306251.5999999</v>
      </c>
      <c r="CF29">
        <v>9</v>
      </c>
      <c r="CG29">
        <v>0.19</v>
      </c>
      <c r="CH29">
        <v>-8.7999999999999995E-2</v>
      </c>
      <c r="CI29">
        <v>-5.0999999999999997E-2</v>
      </c>
      <c r="CJ29">
        <v>5.0999999999999997E-2</v>
      </c>
      <c r="CK29">
        <v>799</v>
      </c>
      <c r="CL29">
        <v>15</v>
      </c>
      <c r="CM29">
        <v>0.28000000000000003</v>
      </c>
      <c r="CN29">
        <v>0.03</v>
      </c>
      <c r="CO29">
        <v>0.37161624390243908</v>
      </c>
      <c r="CP29">
        <v>-9.3209735289198505</v>
      </c>
      <c r="CQ29">
        <v>0.92095790635304098</v>
      </c>
      <c r="CR29">
        <v>-1</v>
      </c>
      <c r="CS29">
        <v>-0.78563687804878046</v>
      </c>
      <c r="CT29">
        <v>1.535673700348434</v>
      </c>
      <c r="CU29">
        <v>0.19298051238505859</v>
      </c>
      <c r="CV29">
        <v>-1</v>
      </c>
      <c r="CW29">
        <v>0</v>
      </c>
      <c r="CX29">
        <v>0</v>
      </c>
      <c r="CY29" t="s">
        <v>333</v>
      </c>
      <c r="CZ29">
        <v>2.3640400000000001</v>
      </c>
      <c r="DA29">
        <v>2.7138100000000001</v>
      </c>
      <c r="DB29">
        <v>0.14665700000000001</v>
      </c>
      <c r="DC29">
        <v>0.14651700000000001</v>
      </c>
      <c r="DD29">
        <v>0.106714</v>
      </c>
      <c r="DE29">
        <v>0.10710600000000001</v>
      </c>
      <c r="DF29">
        <v>31153.8</v>
      </c>
      <c r="DG29">
        <v>27507.1</v>
      </c>
      <c r="DH29">
        <v>31168.3</v>
      </c>
      <c r="DI29">
        <v>28084.2</v>
      </c>
      <c r="DJ29">
        <v>37805.4</v>
      </c>
      <c r="DK29">
        <v>35660.800000000003</v>
      </c>
      <c r="DL29">
        <v>44357.1</v>
      </c>
      <c r="DM29">
        <v>42573.1</v>
      </c>
      <c r="DN29">
        <v>1.41998</v>
      </c>
      <c r="DO29">
        <v>2.0568300000000002</v>
      </c>
      <c r="DP29">
        <v>0.178896</v>
      </c>
      <c r="DQ29">
        <v>0.14205300000000001</v>
      </c>
      <c r="DR29">
        <v>26.0609</v>
      </c>
      <c r="DS29">
        <v>25.7334</v>
      </c>
      <c r="DT29">
        <v>56.2</v>
      </c>
      <c r="DU29">
        <v>29.4</v>
      </c>
      <c r="DV29">
        <v>23.308900000000001</v>
      </c>
      <c r="DW29">
        <v>62.373100000000001</v>
      </c>
      <c r="DX29">
        <v>35.5809</v>
      </c>
      <c r="DY29">
        <v>1</v>
      </c>
      <c r="DZ29">
        <v>-4.94461E-2</v>
      </c>
      <c r="EA29">
        <v>5.8546300000000002</v>
      </c>
      <c r="EB29">
        <v>20.075500000000002</v>
      </c>
      <c r="EC29">
        <v>5.2409499999999998</v>
      </c>
      <c r="ED29">
        <v>12.039899999999999</v>
      </c>
      <c r="EE29">
        <v>5.0171999999999999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1.8692</v>
      </c>
      <c r="EN29">
        <v>1.86724</v>
      </c>
      <c r="EO29">
        <v>1.8633999999999999</v>
      </c>
      <c r="EP29">
        <v>1.8644700000000001</v>
      </c>
      <c r="EQ29">
        <v>1.87018</v>
      </c>
      <c r="ER29">
        <v>1.86941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-0.05</v>
      </c>
      <c r="FG29">
        <v>0.18410000000000001</v>
      </c>
      <c r="FH29">
        <v>0.49996858830924029</v>
      </c>
      <c r="FI29">
        <v>-6.1462078757559423E-4</v>
      </c>
      <c r="FJ29">
        <v>-1.8861989874597051E-7</v>
      </c>
      <c r="FK29">
        <v>1.1980462299894961E-10</v>
      </c>
      <c r="FL29">
        <v>0.18404795463265899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11.1</v>
      </c>
      <c r="FU29">
        <v>11.1</v>
      </c>
      <c r="FV29">
        <v>1.79688</v>
      </c>
      <c r="FW29">
        <v>2.5927699999999998</v>
      </c>
      <c r="FX29">
        <v>1.5490699999999999</v>
      </c>
      <c r="FY29">
        <v>2.3290999999999999</v>
      </c>
      <c r="FZ29">
        <v>1.50146</v>
      </c>
      <c r="GA29">
        <v>2.36572</v>
      </c>
      <c r="GB29">
        <v>34.0092</v>
      </c>
      <c r="GC29">
        <v>23.947399999999998</v>
      </c>
      <c r="GD29">
        <v>19</v>
      </c>
      <c r="GE29">
        <v>260.99700000000001</v>
      </c>
      <c r="GF29">
        <v>604.005</v>
      </c>
      <c r="GG29">
        <v>19.3003</v>
      </c>
      <c r="GH29">
        <v>26.669499999999999</v>
      </c>
      <c r="GI29">
        <v>30.0016</v>
      </c>
      <c r="GJ29">
        <v>26.696000000000002</v>
      </c>
      <c r="GK29">
        <v>26.6617</v>
      </c>
      <c r="GL29">
        <v>35.910699999999999</v>
      </c>
      <c r="GM29">
        <v>11.5084</v>
      </c>
      <c r="GN29">
        <v>100</v>
      </c>
      <c r="GO29">
        <v>19.256699999999999</v>
      </c>
      <c r="GP29">
        <v>800</v>
      </c>
      <c r="GQ29">
        <v>22.356100000000001</v>
      </c>
      <c r="GR29">
        <v>99.727400000000003</v>
      </c>
      <c r="GS29">
        <v>99.586600000000004</v>
      </c>
    </row>
    <row r="30" spans="1:201" x14ac:dyDescent="0.25">
      <c r="A30">
        <v>14</v>
      </c>
      <c r="B30">
        <v>1690306930</v>
      </c>
      <c r="C30">
        <v>311.40000009536737</v>
      </c>
      <c r="D30" t="s">
        <v>361</v>
      </c>
      <c r="E30" t="s">
        <v>362</v>
      </c>
      <c r="F30" t="s">
        <v>330</v>
      </c>
      <c r="H30">
        <v>1690306930</v>
      </c>
      <c r="I30">
        <f t="shared" si="0"/>
        <v>-5.6146576416378483E-5</v>
      </c>
      <c r="J30">
        <f t="shared" si="1"/>
        <v>-5.6146576416378484E-2</v>
      </c>
      <c r="K30">
        <f t="shared" si="2"/>
        <v>0.27224373209286584</v>
      </c>
      <c r="L30">
        <f t="shared" si="3"/>
        <v>797.69</v>
      </c>
      <c r="M30">
        <f t="shared" si="4"/>
        <v>908.62883060198726</v>
      </c>
      <c r="N30">
        <f t="shared" si="5"/>
        <v>90.250682573405854</v>
      </c>
      <c r="O30">
        <f t="shared" si="6"/>
        <v>79.231545992530016</v>
      </c>
      <c r="P30">
        <f t="shared" si="7"/>
        <v>-3.2332755796595793E-3</v>
      </c>
      <c r="Q30">
        <f t="shared" si="8"/>
        <v>2.1997178768406025</v>
      </c>
      <c r="R30">
        <f t="shared" si="9"/>
        <v>-3.2359181657920628E-3</v>
      </c>
      <c r="S30">
        <f t="shared" si="10"/>
        <v>-2.0222112543369251E-3</v>
      </c>
      <c r="T30">
        <f t="shared" si="11"/>
        <v>276.11271617684309</v>
      </c>
      <c r="U30">
        <f t="shared" si="12"/>
        <v>28.173516083307895</v>
      </c>
      <c r="V30">
        <f t="shared" si="13"/>
        <v>28.173516083307895</v>
      </c>
      <c r="W30">
        <f t="shared" si="14"/>
        <v>3.8333957729586281</v>
      </c>
      <c r="X30">
        <f t="shared" si="15"/>
        <v>63.950464222477024</v>
      </c>
      <c r="Y30">
        <f t="shared" si="16"/>
        <v>2.1619944702842004</v>
      </c>
      <c r="Z30">
        <f t="shared" si="17"/>
        <v>3.3807330354363749</v>
      </c>
      <c r="AA30">
        <f t="shared" si="18"/>
        <v>1.6714013026744277</v>
      </c>
      <c r="AB30">
        <f t="shared" si="19"/>
        <v>2.476064019962291</v>
      </c>
      <c r="AC30">
        <f t="shared" si="20"/>
        <v>-253.91750462495264</v>
      </c>
      <c r="AD30">
        <f t="shared" si="21"/>
        <v>-24.937517632984658</v>
      </c>
      <c r="AE30">
        <f t="shared" si="22"/>
        <v>-0.26624206113191917</v>
      </c>
      <c r="AF30">
        <v>18</v>
      </c>
      <c r="AG30">
        <v>6</v>
      </c>
      <c r="AH30">
        <f t="shared" si="23"/>
        <v>1</v>
      </c>
      <c r="AI30">
        <f t="shared" si="24"/>
        <v>0</v>
      </c>
      <c r="AJ30">
        <f t="shared" si="25"/>
        <v>52789.121755993314</v>
      </c>
      <c r="AK30">
        <f t="shared" si="26"/>
        <v>1799.98</v>
      </c>
      <c r="AL30">
        <f t="shared" si="27"/>
        <v>1499.0942092126002</v>
      </c>
      <c r="AM30">
        <f t="shared" si="28"/>
        <v>0.83283937000000008</v>
      </c>
      <c r="AN30">
        <f t="shared" si="29"/>
        <v>0.15339765785000004</v>
      </c>
      <c r="AO30">
        <v>31.2</v>
      </c>
      <c r="AP30">
        <v>0.5</v>
      </c>
      <c r="AQ30" t="s">
        <v>331</v>
      </c>
      <c r="AR30">
        <v>2</v>
      </c>
      <c r="AS30">
        <v>1690306930</v>
      </c>
      <c r="AT30">
        <v>797.69</v>
      </c>
      <c r="AU30">
        <v>800.053</v>
      </c>
      <c r="AV30">
        <v>21.7666</v>
      </c>
      <c r="AW30">
        <v>22.337199999999999</v>
      </c>
      <c r="AX30">
        <v>797.73900000000003</v>
      </c>
      <c r="AY30">
        <v>21.5825</v>
      </c>
      <c r="AZ30">
        <v>300.32299999999998</v>
      </c>
      <c r="BA30">
        <v>99.226100000000002</v>
      </c>
      <c r="BB30">
        <v>0.100137</v>
      </c>
      <c r="BC30">
        <v>26.032399999999999</v>
      </c>
      <c r="BD30">
        <v>28.921099999999999</v>
      </c>
      <c r="BE30">
        <v>27.9207</v>
      </c>
      <c r="BF30">
        <v>0</v>
      </c>
      <c r="BG30">
        <v>0</v>
      </c>
      <c r="BH30">
        <v>10030</v>
      </c>
      <c r="BI30">
        <v>1074.99</v>
      </c>
      <c r="BJ30">
        <v>1.62592</v>
      </c>
      <c r="BK30">
        <v>-2.3635299999999999</v>
      </c>
      <c r="BL30">
        <v>815.43899999999996</v>
      </c>
      <c r="BM30">
        <v>818.33299999999997</v>
      </c>
      <c r="BN30">
        <v>-0.57058699999999996</v>
      </c>
      <c r="BO30">
        <v>800.053</v>
      </c>
      <c r="BP30">
        <v>22.337199999999999</v>
      </c>
      <c r="BQ30">
        <v>2.1598099999999998</v>
      </c>
      <c r="BR30">
        <v>2.2164299999999999</v>
      </c>
      <c r="BS30">
        <v>18.667300000000001</v>
      </c>
      <c r="BT30">
        <v>19.081600000000002</v>
      </c>
      <c r="BU30">
        <v>1799.98</v>
      </c>
      <c r="BV30">
        <v>0.90998900000000005</v>
      </c>
      <c r="BW30">
        <v>3.4000299999999997E-2</v>
      </c>
      <c r="BX30">
        <v>2.2002500000000001E-2</v>
      </c>
      <c r="BY30">
        <v>3.4008299999999998E-2</v>
      </c>
      <c r="BZ30">
        <v>26</v>
      </c>
      <c r="CA30">
        <v>33527.9</v>
      </c>
      <c r="CB30">
        <v>1690306253.5999999</v>
      </c>
      <c r="CC30" t="s">
        <v>332</v>
      </c>
      <c r="CD30">
        <v>1690306253.5999999</v>
      </c>
      <c r="CE30">
        <v>1690306251.5999999</v>
      </c>
      <c r="CF30">
        <v>9</v>
      </c>
      <c r="CG30">
        <v>0.19</v>
      </c>
      <c r="CH30">
        <v>-8.7999999999999995E-2</v>
      </c>
      <c r="CI30">
        <v>-5.0999999999999997E-2</v>
      </c>
      <c r="CJ30">
        <v>5.0999999999999997E-2</v>
      </c>
      <c r="CK30">
        <v>799</v>
      </c>
      <c r="CL30">
        <v>15</v>
      </c>
      <c r="CM30">
        <v>0.28000000000000003</v>
      </c>
      <c r="CN30">
        <v>0.03</v>
      </c>
      <c r="CO30">
        <v>-1.0530959512195119</v>
      </c>
      <c r="CP30">
        <v>-7.472965563763065</v>
      </c>
      <c r="CQ30">
        <v>0.73862385627300142</v>
      </c>
      <c r="CR30">
        <v>-1</v>
      </c>
      <c r="CS30">
        <v>-0.61626402439024386</v>
      </c>
      <c r="CT30">
        <v>0.36943607665505152</v>
      </c>
      <c r="CU30">
        <v>9.3828736888919795E-2</v>
      </c>
      <c r="CV30">
        <v>-1</v>
      </c>
      <c r="CW30">
        <v>0</v>
      </c>
      <c r="CX30">
        <v>0</v>
      </c>
      <c r="CY30" t="s">
        <v>333</v>
      </c>
      <c r="CZ30">
        <v>2.3645100000000001</v>
      </c>
      <c r="DA30">
        <v>2.7139600000000002</v>
      </c>
      <c r="DB30">
        <v>0.146533</v>
      </c>
      <c r="DC30">
        <v>0.14652699999999999</v>
      </c>
      <c r="DD30">
        <v>0.106347</v>
      </c>
      <c r="DE30">
        <v>0.10676099999999999</v>
      </c>
      <c r="DF30">
        <v>31156.799999999999</v>
      </c>
      <c r="DG30">
        <v>27504.9</v>
      </c>
      <c r="DH30">
        <v>31166.799999999999</v>
      </c>
      <c r="DI30">
        <v>28082.3</v>
      </c>
      <c r="DJ30">
        <v>37819.199999999997</v>
      </c>
      <c r="DK30">
        <v>35672.400000000001</v>
      </c>
      <c r="DL30">
        <v>44355</v>
      </c>
      <c r="DM30">
        <v>42570.400000000001</v>
      </c>
      <c r="DN30">
        <v>1.4212199999999999</v>
      </c>
      <c r="DO30">
        <v>2.0563500000000001</v>
      </c>
      <c r="DP30">
        <v>0.17680999999999999</v>
      </c>
      <c r="DQ30">
        <v>0.138208</v>
      </c>
      <c r="DR30">
        <v>26.0318</v>
      </c>
      <c r="DS30">
        <v>25.659700000000001</v>
      </c>
      <c r="DT30">
        <v>56.2</v>
      </c>
      <c r="DU30">
        <v>29.4</v>
      </c>
      <c r="DV30">
        <v>23.312799999999999</v>
      </c>
      <c r="DW30">
        <v>61.853000000000002</v>
      </c>
      <c r="DX30">
        <v>34.831699999999998</v>
      </c>
      <c r="DY30">
        <v>1</v>
      </c>
      <c r="DZ30">
        <v>-5.0297300000000003E-2</v>
      </c>
      <c r="EA30">
        <v>4.7730899999999998</v>
      </c>
      <c r="EB30">
        <v>20.114999999999998</v>
      </c>
      <c r="EC30">
        <v>5.24125</v>
      </c>
      <c r="ED30">
        <v>12.039899999999999</v>
      </c>
      <c r="EE30">
        <v>5.0173500000000004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1.86463</v>
      </c>
      <c r="EM30">
        <v>1.8692</v>
      </c>
      <c r="EN30">
        <v>1.8672200000000001</v>
      </c>
      <c r="EO30">
        <v>1.8633999999999999</v>
      </c>
      <c r="EP30">
        <v>1.8644700000000001</v>
      </c>
      <c r="EQ30">
        <v>1.87015</v>
      </c>
      <c r="ER30">
        <v>1.8693900000000001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-4.9000000000000002E-2</v>
      </c>
      <c r="FG30">
        <v>0.18410000000000001</v>
      </c>
      <c r="FH30">
        <v>0.49996858830924029</v>
      </c>
      <c r="FI30">
        <v>-6.1462078757559423E-4</v>
      </c>
      <c r="FJ30">
        <v>-1.8861989874597051E-7</v>
      </c>
      <c r="FK30">
        <v>1.1980462299894961E-10</v>
      </c>
      <c r="FL30">
        <v>0.18404795463265899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11.3</v>
      </c>
      <c r="FU30">
        <v>11.3</v>
      </c>
      <c r="FV30">
        <v>1.79565</v>
      </c>
      <c r="FW30">
        <v>2.5878899999999998</v>
      </c>
      <c r="FX30">
        <v>1.5490699999999999</v>
      </c>
      <c r="FY30">
        <v>2.3290999999999999</v>
      </c>
      <c r="FZ30">
        <v>1.50146</v>
      </c>
      <c r="GA30">
        <v>2.4096700000000002</v>
      </c>
      <c r="GB30">
        <v>34.0092</v>
      </c>
      <c r="GC30">
        <v>23.9649</v>
      </c>
      <c r="GD30">
        <v>19</v>
      </c>
      <c r="GE30">
        <v>261.53100000000001</v>
      </c>
      <c r="GF30">
        <v>603.65899999999999</v>
      </c>
      <c r="GG30">
        <v>19.204599999999999</v>
      </c>
      <c r="GH30">
        <v>26.687000000000001</v>
      </c>
      <c r="GI30">
        <v>29.999600000000001</v>
      </c>
      <c r="GJ30">
        <v>26.703499999999998</v>
      </c>
      <c r="GK30">
        <v>26.666699999999999</v>
      </c>
      <c r="GL30">
        <v>35.907699999999998</v>
      </c>
      <c r="GM30">
        <v>12.8817</v>
      </c>
      <c r="GN30">
        <v>100</v>
      </c>
      <c r="GO30">
        <v>19.3215</v>
      </c>
      <c r="GP30">
        <v>800</v>
      </c>
      <c r="GQ30">
        <v>22.128299999999999</v>
      </c>
      <c r="GR30">
        <v>99.722700000000003</v>
      </c>
      <c r="GS30">
        <v>99.580200000000005</v>
      </c>
    </row>
    <row r="31" spans="1:201" x14ac:dyDescent="0.25">
      <c r="A31">
        <v>15</v>
      </c>
      <c r="B31">
        <v>1690306940</v>
      </c>
      <c r="C31">
        <v>321.40000009536737</v>
      </c>
      <c r="D31" t="s">
        <v>363</v>
      </c>
      <c r="E31" t="s">
        <v>364</v>
      </c>
      <c r="F31" t="s">
        <v>330</v>
      </c>
      <c r="H31">
        <v>1690306940</v>
      </c>
      <c r="I31">
        <f t="shared" si="0"/>
        <v>-3.3662131601034537E-5</v>
      </c>
      <c r="J31">
        <f t="shared" si="1"/>
        <v>-3.3662131601034539E-2</v>
      </c>
      <c r="K31">
        <f t="shared" si="2"/>
        <v>0.35224077773738166</v>
      </c>
      <c r="L31">
        <f t="shared" si="3"/>
        <v>796.63699999999994</v>
      </c>
      <c r="M31">
        <f t="shared" si="4"/>
        <v>1057.4662273657002</v>
      </c>
      <c r="N31">
        <f t="shared" si="5"/>
        <v>105.02354847962191</v>
      </c>
      <c r="O31">
        <f t="shared" si="6"/>
        <v>79.118975552139986</v>
      </c>
      <c r="P31">
        <f t="shared" si="7"/>
        <v>-1.9684738373994411E-3</v>
      </c>
      <c r="Q31">
        <f t="shared" si="8"/>
        <v>2.1935285076798365</v>
      </c>
      <c r="R31">
        <f t="shared" si="9"/>
        <v>-1.9694557603634178E-3</v>
      </c>
      <c r="S31">
        <f t="shared" si="10"/>
        <v>-1.2308215898923257E-3</v>
      </c>
      <c r="T31">
        <f t="shared" si="11"/>
        <v>276.11182707672197</v>
      </c>
      <c r="U31">
        <f t="shared" si="12"/>
        <v>28.088132842687603</v>
      </c>
      <c r="V31">
        <f t="shared" si="13"/>
        <v>28.088132842687603</v>
      </c>
      <c r="W31">
        <f t="shared" si="14"/>
        <v>3.8143807198872755</v>
      </c>
      <c r="X31">
        <f t="shared" si="15"/>
        <v>64.444899433184318</v>
      </c>
      <c r="Y31">
        <f t="shared" si="16"/>
        <v>2.1679836980020002</v>
      </c>
      <c r="Z31">
        <f t="shared" si="17"/>
        <v>3.3640888837909335</v>
      </c>
      <c r="AA31">
        <f t="shared" si="18"/>
        <v>1.6463970218852753</v>
      </c>
      <c r="AB31">
        <f t="shared" si="19"/>
        <v>1.4845000036056231</v>
      </c>
      <c r="AC31">
        <f t="shared" si="20"/>
        <v>-252.96852119532176</v>
      </c>
      <c r="AD31">
        <f t="shared" si="21"/>
        <v>-24.893405919315633</v>
      </c>
      <c r="AE31">
        <f t="shared" si="22"/>
        <v>-0.26560003430978441</v>
      </c>
      <c r="AF31">
        <v>18</v>
      </c>
      <c r="AG31">
        <v>6</v>
      </c>
      <c r="AH31">
        <f t="shared" si="23"/>
        <v>1</v>
      </c>
      <c r="AI31">
        <f t="shared" si="24"/>
        <v>0</v>
      </c>
      <c r="AJ31">
        <f t="shared" si="25"/>
        <v>52549.273055421691</v>
      </c>
      <c r="AK31">
        <f t="shared" si="26"/>
        <v>1799.98</v>
      </c>
      <c r="AL31">
        <f t="shared" si="27"/>
        <v>1499.0963691886</v>
      </c>
      <c r="AM31">
        <f t="shared" si="28"/>
        <v>0.83284057</v>
      </c>
      <c r="AN31">
        <f t="shared" si="29"/>
        <v>0.15339716389999999</v>
      </c>
      <c r="AO31">
        <v>31.2</v>
      </c>
      <c r="AP31">
        <v>0.5</v>
      </c>
      <c r="AQ31" t="s">
        <v>331</v>
      </c>
      <c r="AR31">
        <v>2</v>
      </c>
      <c r="AS31">
        <v>1690306940</v>
      </c>
      <c r="AT31">
        <v>796.63699999999994</v>
      </c>
      <c r="AU31">
        <v>800.01900000000001</v>
      </c>
      <c r="AV31">
        <v>21.8291</v>
      </c>
      <c r="AW31">
        <v>22.171299999999999</v>
      </c>
      <c r="AX31">
        <v>796.68600000000004</v>
      </c>
      <c r="AY31">
        <v>21.645099999999999</v>
      </c>
      <c r="AZ31">
        <v>300.214</v>
      </c>
      <c r="BA31">
        <v>99.216200000000001</v>
      </c>
      <c r="BB31">
        <v>0.10002</v>
      </c>
      <c r="BC31">
        <v>25.949000000000002</v>
      </c>
      <c r="BD31">
        <v>28.797999999999998</v>
      </c>
      <c r="BE31">
        <v>27.8261</v>
      </c>
      <c r="BF31">
        <v>0</v>
      </c>
      <c r="BG31">
        <v>0</v>
      </c>
      <c r="BH31">
        <v>9980.6200000000008</v>
      </c>
      <c r="BI31">
        <v>1073.68</v>
      </c>
      <c r="BJ31">
        <v>1.6034900000000001</v>
      </c>
      <c r="BK31">
        <v>-3.3815300000000001</v>
      </c>
      <c r="BL31">
        <v>814.41499999999996</v>
      </c>
      <c r="BM31">
        <v>818.15899999999999</v>
      </c>
      <c r="BN31">
        <v>-0.34219899999999998</v>
      </c>
      <c r="BO31">
        <v>800.01900000000001</v>
      </c>
      <c r="BP31">
        <v>22.171299999999999</v>
      </c>
      <c r="BQ31">
        <v>2.1657999999999999</v>
      </c>
      <c r="BR31">
        <v>2.1997599999999999</v>
      </c>
      <c r="BS31">
        <v>18.711600000000001</v>
      </c>
      <c r="BT31">
        <v>18.9605</v>
      </c>
      <c r="BU31">
        <v>1799.98</v>
      </c>
      <c r="BV31">
        <v>0.91000700000000001</v>
      </c>
      <c r="BW31">
        <v>3.39934E-2</v>
      </c>
      <c r="BX31">
        <v>2.1998E-2</v>
      </c>
      <c r="BY31">
        <v>3.4001400000000001E-2</v>
      </c>
      <c r="BZ31">
        <v>26</v>
      </c>
      <c r="CA31">
        <v>33528.1</v>
      </c>
      <c r="CB31">
        <v>1690306253.5999999</v>
      </c>
      <c r="CC31" t="s">
        <v>332</v>
      </c>
      <c r="CD31">
        <v>1690306253.5999999</v>
      </c>
      <c r="CE31">
        <v>1690306251.5999999</v>
      </c>
      <c r="CF31">
        <v>9</v>
      </c>
      <c r="CG31">
        <v>0.19</v>
      </c>
      <c r="CH31">
        <v>-8.7999999999999995E-2</v>
      </c>
      <c r="CI31">
        <v>-5.0999999999999997E-2</v>
      </c>
      <c r="CJ31">
        <v>5.0999999999999997E-2</v>
      </c>
      <c r="CK31">
        <v>799</v>
      </c>
      <c r="CL31">
        <v>15</v>
      </c>
      <c r="CM31">
        <v>0.28000000000000003</v>
      </c>
      <c r="CN31">
        <v>0.03</v>
      </c>
      <c r="CO31">
        <v>-2.2949145</v>
      </c>
      <c r="CP31">
        <v>-6.3363921951219524</v>
      </c>
      <c r="CQ31">
        <v>0.61021141668666778</v>
      </c>
      <c r="CR31">
        <v>-1</v>
      </c>
      <c r="CS31">
        <v>-0.53979785000000002</v>
      </c>
      <c r="CT31">
        <v>0.71896622138836874</v>
      </c>
      <c r="CU31">
        <v>8.1068879508893549E-2</v>
      </c>
      <c r="CV31">
        <v>-1</v>
      </c>
      <c r="CW31">
        <v>0</v>
      </c>
      <c r="CX31">
        <v>0</v>
      </c>
      <c r="CY31" t="s">
        <v>333</v>
      </c>
      <c r="CZ31">
        <v>2.3641200000000002</v>
      </c>
      <c r="DA31">
        <v>2.7137899999999999</v>
      </c>
      <c r="DB31">
        <v>0.14638799999999999</v>
      </c>
      <c r="DC31">
        <v>0.146504</v>
      </c>
      <c r="DD31">
        <v>0.10655299999999999</v>
      </c>
      <c r="DE31">
        <v>0.106194</v>
      </c>
      <c r="DF31">
        <v>31161.4</v>
      </c>
      <c r="DG31">
        <v>27505</v>
      </c>
      <c r="DH31">
        <v>31166.2</v>
      </c>
      <c r="DI31">
        <v>28081.7</v>
      </c>
      <c r="DJ31">
        <v>37809.800000000003</v>
      </c>
      <c r="DK31">
        <v>35694.400000000001</v>
      </c>
      <c r="DL31">
        <v>44354.1</v>
      </c>
      <c r="DM31">
        <v>42569.599999999999</v>
      </c>
      <c r="DN31">
        <v>1.42083</v>
      </c>
      <c r="DO31">
        <v>2.0561699999999998</v>
      </c>
      <c r="DP31">
        <v>0.17136299999999999</v>
      </c>
      <c r="DQ31">
        <v>0.13677800000000001</v>
      </c>
      <c r="DR31">
        <v>25.997399999999999</v>
      </c>
      <c r="DS31">
        <v>25.588200000000001</v>
      </c>
      <c r="DT31">
        <v>56.2</v>
      </c>
      <c r="DU31">
        <v>29.4</v>
      </c>
      <c r="DV31">
        <v>23.314</v>
      </c>
      <c r="DW31">
        <v>62.023000000000003</v>
      </c>
      <c r="DX31">
        <v>34.799700000000001</v>
      </c>
      <c r="DY31">
        <v>1</v>
      </c>
      <c r="DZ31">
        <v>-5.0388700000000002E-2</v>
      </c>
      <c r="EA31">
        <v>4.7551500000000004</v>
      </c>
      <c r="EB31">
        <v>20.115200000000002</v>
      </c>
      <c r="EC31">
        <v>5.2408000000000001</v>
      </c>
      <c r="ED31">
        <v>12.039899999999999</v>
      </c>
      <c r="EE31">
        <v>5.0167999999999999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1.86463</v>
      </c>
      <c r="EM31">
        <v>1.8692</v>
      </c>
      <c r="EN31">
        <v>1.8672500000000001</v>
      </c>
      <c r="EO31">
        <v>1.8633999999999999</v>
      </c>
      <c r="EP31">
        <v>1.8644700000000001</v>
      </c>
      <c r="EQ31">
        <v>1.8701700000000001</v>
      </c>
      <c r="ER31">
        <v>1.8693900000000001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-4.9000000000000002E-2</v>
      </c>
      <c r="FG31">
        <v>0.184</v>
      </c>
      <c r="FH31">
        <v>0.49996858830924029</v>
      </c>
      <c r="FI31">
        <v>-6.1462078757559423E-4</v>
      </c>
      <c r="FJ31">
        <v>-1.8861989874597051E-7</v>
      </c>
      <c r="FK31">
        <v>1.1980462299894961E-10</v>
      </c>
      <c r="FL31">
        <v>0.18404795463265899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11.4</v>
      </c>
      <c r="FU31">
        <v>11.5</v>
      </c>
      <c r="FV31">
        <v>1.79565</v>
      </c>
      <c r="FW31">
        <v>2.5854499999999998</v>
      </c>
      <c r="FX31">
        <v>1.5490699999999999</v>
      </c>
      <c r="FY31">
        <v>2.3303199999999999</v>
      </c>
      <c r="FZ31">
        <v>1.50146</v>
      </c>
      <c r="GA31">
        <v>2.4084500000000002</v>
      </c>
      <c r="GB31">
        <v>34.0092</v>
      </c>
      <c r="GC31">
        <v>23.9649</v>
      </c>
      <c r="GD31">
        <v>19</v>
      </c>
      <c r="GE31">
        <v>261.411</v>
      </c>
      <c r="GF31">
        <v>603.56299999999999</v>
      </c>
      <c r="GG31">
        <v>19.241299999999999</v>
      </c>
      <c r="GH31">
        <v>26.703399999999998</v>
      </c>
      <c r="GI31">
        <v>30.0002</v>
      </c>
      <c r="GJ31">
        <v>26.713899999999999</v>
      </c>
      <c r="GK31">
        <v>26.671199999999999</v>
      </c>
      <c r="GL31">
        <v>35.901899999999998</v>
      </c>
      <c r="GM31">
        <v>13.775</v>
      </c>
      <c r="GN31">
        <v>100</v>
      </c>
      <c r="GO31">
        <v>19.212</v>
      </c>
      <c r="GP31">
        <v>800</v>
      </c>
      <c r="GQ31">
        <v>22.001899999999999</v>
      </c>
      <c r="GR31">
        <v>99.720699999999994</v>
      </c>
      <c r="GS31">
        <v>99.578199999999995</v>
      </c>
    </row>
    <row r="32" spans="1:201" x14ac:dyDescent="0.25">
      <c r="A32">
        <v>16</v>
      </c>
      <c r="B32">
        <v>1690306950</v>
      </c>
      <c r="C32">
        <v>331.40000009536737</v>
      </c>
      <c r="D32" t="s">
        <v>365</v>
      </c>
      <c r="E32" t="s">
        <v>366</v>
      </c>
      <c r="F32" t="s">
        <v>330</v>
      </c>
      <c r="H32">
        <v>1690306950</v>
      </c>
      <c r="I32">
        <f t="shared" si="0"/>
        <v>-1.9044649531378328E-5</v>
      </c>
      <c r="J32">
        <f t="shared" si="1"/>
        <v>-1.9044649531378327E-2</v>
      </c>
      <c r="K32">
        <f t="shared" si="2"/>
        <v>0.41832217626596252</v>
      </c>
      <c r="L32">
        <f t="shared" si="3"/>
        <v>795.79</v>
      </c>
      <c r="M32">
        <f t="shared" si="4"/>
        <v>1358.9161500092155</v>
      </c>
      <c r="N32">
        <f t="shared" si="5"/>
        <v>134.96048837276751</v>
      </c>
      <c r="O32">
        <f t="shared" si="6"/>
        <v>79.033726283579995</v>
      </c>
      <c r="P32">
        <f t="shared" si="7"/>
        <v>-1.1299976169725462E-3</v>
      </c>
      <c r="Q32">
        <f t="shared" si="8"/>
        <v>2.1963622498732756</v>
      </c>
      <c r="R32">
        <f t="shared" si="9"/>
        <v>-1.130320698900099E-3</v>
      </c>
      <c r="S32">
        <f t="shared" si="10"/>
        <v>-7.0642140224608143E-4</v>
      </c>
      <c r="T32">
        <f t="shared" si="11"/>
        <v>276.11140930136401</v>
      </c>
      <c r="U32">
        <f t="shared" si="12"/>
        <v>27.994815644653823</v>
      </c>
      <c r="V32">
        <f t="shared" si="13"/>
        <v>27.994815644653823</v>
      </c>
      <c r="W32">
        <f t="shared" si="14"/>
        <v>3.7936929159077053</v>
      </c>
      <c r="X32">
        <f t="shared" si="15"/>
        <v>64.851926182155111</v>
      </c>
      <c r="Y32">
        <f t="shared" si="16"/>
        <v>2.1705945180713999</v>
      </c>
      <c r="Z32">
        <f t="shared" si="17"/>
        <v>3.347000846165566</v>
      </c>
      <c r="AA32">
        <f t="shared" si="18"/>
        <v>1.6230983978363054</v>
      </c>
      <c r="AB32">
        <f t="shared" si="19"/>
        <v>0.83986904433378429</v>
      </c>
      <c r="AC32">
        <f t="shared" si="20"/>
        <v>-252.42889083508018</v>
      </c>
      <c r="AD32">
        <f t="shared" si="21"/>
        <v>-24.786017926045222</v>
      </c>
      <c r="AE32">
        <f t="shared" si="22"/>
        <v>-0.26363041542759902</v>
      </c>
      <c r="AF32">
        <v>18</v>
      </c>
      <c r="AG32">
        <v>6</v>
      </c>
      <c r="AH32">
        <f t="shared" si="23"/>
        <v>1</v>
      </c>
      <c r="AI32">
        <f t="shared" si="24"/>
        <v>0</v>
      </c>
      <c r="AJ32">
        <f t="shared" si="25"/>
        <v>52680.759607321706</v>
      </c>
      <c r="AK32">
        <f t="shared" si="26"/>
        <v>1799.98</v>
      </c>
      <c r="AL32">
        <f t="shared" si="27"/>
        <v>1499.0933272223999</v>
      </c>
      <c r="AM32">
        <f t="shared" si="28"/>
        <v>0.83283887999999995</v>
      </c>
      <c r="AN32">
        <f t="shared" si="29"/>
        <v>0.1533969318</v>
      </c>
      <c r="AO32">
        <v>31.2</v>
      </c>
      <c r="AP32">
        <v>0.5</v>
      </c>
      <c r="AQ32" t="s">
        <v>331</v>
      </c>
      <c r="AR32">
        <v>2</v>
      </c>
      <c r="AS32">
        <v>1690306950</v>
      </c>
      <c r="AT32">
        <v>795.79</v>
      </c>
      <c r="AU32">
        <v>799.98</v>
      </c>
      <c r="AV32">
        <v>21.855699999999999</v>
      </c>
      <c r="AW32">
        <v>22.049299999999999</v>
      </c>
      <c r="AX32">
        <v>795.83900000000006</v>
      </c>
      <c r="AY32">
        <v>21.671600000000002</v>
      </c>
      <c r="AZ32">
        <v>300.20999999999998</v>
      </c>
      <c r="BA32">
        <v>99.214799999999997</v>
      </c>
      <c r="BB32">
        <v>0.10000199999999999</v>
      </c>
      <c r="BC32">
        <v>25.863</v>
      </c>
      <c r="BD32">
        <v>28.6919</v>
      </c>
      <c r="BE32">
        <v>27.7378</v>
      </c>
      <c r="BF32">
        <v>0</v>
      </c>
      <c r="BG32">
        <v>0</v>
      </c>
      <c r="BH32">
        <v>10003.799999999999</v>
      </c>
      <c r="BI32">
        <v>1072.43</v>
      </c>
      <c r="BJ32">
        <v>1.51098</v>
      </c>
      <c r="BK32">
        <v>-4.18933</v>
      </c>
      <c r="BL32">
        <v>813.57100000000003</v>
      </c>
      <c r="BM32">
        <v>818.01599999999996</v>
      </c>
      <c r="BN32">
        <v>-0.193636</v>
      </c>
      <c r="BO32">
        <v>799.98</v>
      </c>
      <c r="BP32">
        <v>22.049299999999999</v>
      </c>
      <c r="BQ32">
        <v>2.1684100000000002</v>
      </c>
      <c r="BR32">
        <v>2.1876199999999999</v>
      </c>
      <c r="BS32">
        <v>18.730799999999999</v>
      </c>
      <c r="BT32">
        <v>18.8719</v>
      </c>
      <c r="BU32">
        <v>1799.98</v>
      </c>
      <c r="BV32">
        <v>0.91000300000000001</v>
      </c>
      <c r="BW32">
        <v>3.40074E-2</v>
      </c>
      <c r="BX32">
        <v>2.1994E-2</v>
      </c>
      <c r="BY32">
        <v>3.3995200000000003E-2</v>
      </c>
      <c r="BZ32">
        <v>26</v>
      </c>
      <c r="CA32">
        <v>33528</v>
      </c>
      <c r="CB32">
        <v>1690306253.5999999</v>
      </c>
      <c r="CC32" t="s">
        <v>332</v>
      </c>
      <c r="CD32">
        <v>1690306253.5999999</v>
      </c>
      <c r="CE32">
        <v>1690306251.5999999</v>
      </c>
      <c r="CF32">
        <v>9</v>
      </c>
      <c r="CG32">
        <v>0.19</v>
      </c>
      <c r="CH32">
        <v>-8.7999999999999995E-2</v>
      </c>
      <c r="CI32">
        <v>-5.0999999999999997E-2</v>
      </c>
      <c r="CJ32">
        <v>5.0999999999999997E-2</v>
      </c>
      <c r="CK32">
        <v>799</v>
      </c>
      <c r="CL32">
        <v>15</v>
      </c>
      <c r="CM32">
        <v>0.28000000000000003</v>
      </c>
      <c r="CN32">
        <v>0.03</v>
      </c>
      <c r="CO32">
        <v>-3.2883005000000001</v>
      </c>
      <c r="CP32">
        <v>-5.5883810881801104</v>
      </c>
      <c r="CQ32">
        <v>0.53903203801791777</v>
      </c>
      <c r="CR32">
        <v>-1</v>
      </c>
      <c r="CS32">
        <v>-0.373009125</v>
      </c>
      <c r="CT32">
        <v>1.209059088180114</v>
      </c>
      <c r="CU32">
        <v>0.1168584362331594</v>
      </c>
      <c r="CV32">
        <v>-1</v>
      </c>
      <c r="CW32">
        <v>0</v>
      </c>
      <c r="CX32">
        <v>0</v>
      </c>
      <c r="CY32" t="s">
        <v>333</v>
      </c>
      <c r="CZ32">
        <v>2.3641100000000002</v>
      </c>
      <c r="DA32">
        <v>2.7138</v>
      </c>
      <c r="DB32">
        <v>0.14627899999999999</v>
      </c>
      <c r="DC32">
        <v>0.14649300000000001</v>
      </c>
      <c r="DD32">
        <v>0.106641</v>
      </c>
      <c r="DE32">
        <v>0.10578</v>
      </c>
      <c r="DF32">
        <v>31164.799999999999</v>
      </c>
      <c r="DG32">
        <v>27504.3</v>
      </c>
      <c r="DH32">
        <v>31165.599999999999</v>
      </c>
      <c r="DI32">
        <v>28080.7</v>
      </c>
      <c r="DJ32">
        <v>37805.199999999997</v>
      </c>
      <c r="DK32">
        <v>35709.800000000003</v>
      </c>
      <c r="DL32">
        <v>44353.2</v>
      </c>
      <c r="DM32">
        <v>42568.3</v>
      </c>
      <c r="DN32">
        <v>1.42083</v>
      </c>
      <c r="DO32">
        <v>2.0554999999999999</v>
      </c>
      <c r="DP32">
        <v>0.16713900000000001</v>
      </c>
      <c r="DQ32">
        <v>0.13559299999999999</v>
      </c>
      <c r="DR32">
        <v>25.96</v>
      </c>
      <c r="DS32">
        <v>25.518999999999998</v>
      </c>
      <c r="DT32">
        <v>56.2</v>
      </c>
      <c r="DU32">
        <v>29.4</v>
      </c>
      <c r="DV32">
        <v>23.314699999999998</v>
      </c>
      <c r="DW32">
        <v>62.162999999999997</v>
      </c>
      <c r="DX32">
        <v>35.456699999999998</v>
      </c>
      <c r="DY32">
        <v>1</v>
      </c>
      <c r="DZ32">
        <v>-4.9923799999999997E-2</v>
      </c>
      <c r="EA32">
        <v>4.4026399999999999</v>
      </c>
      <c r="EB32">
        <v>20.125900000000001</v>
      </c>
      <c r="EC32">
        <v>5.2409499999999998</v>
      </c>
      <c r="ED32">
        <v>12.039899999999999</v>
      </c>
      <c r="EE32">
        <v>5.016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</v>
      </c>
      <c r="EL32">
        <v>1.8646400000000001</v>
      </c>
      <c r="EM32">
        <v>1.8692</v>
      </c>
      <c r="EN32">
        <v>1.8672599999999999</v>
      </c>
      <c r="EO32">
        <v>1.8633999999999999</v>
      </c>
      <c r="EP32">
        <v>1.8644700000000001</v>
      </c>
      <c r="EQ32">
        <v>1.87019</v>
      </c>
      <c r="ER32">
        <v>1.8693900000000001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-4.9000000000000002E-2</v>
      </c>
      <c r="FG32">
        <v>0.18410000000000001</v>
      </c>
      <c r="FH32">
        <v>0.49996858830924029</v>
      </c>
      <c r="FI32">
        <v>-6.1462078757559423E-4</v>
      </c>
      <c r="FJ32">
        <v>-1.8861989874597051E-7</v>
      </c>
      <c r="FK32">
        <v>1.1980462299894961E-10</v>
      </c>
      <c r="FL32">
        <v>0.18404795463265899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11.6</v>
      </c>
      <c r="FU32">
        <v>11.6</v>
      </c>
      <c r="FV32">
        <v>1.79565</v>
      </c>
      <c r="FW32">
        <v>2.5878899999999998</v>
      </c>
      <c r="FX32">
        <v>1.5490699999999999</v>
      </c>
      <c r="FY32">
        <v>2.3290999999999999</v>
      </c>
      <c r="FZ32">
        <v>1.50146</v>
      </c>
      <c r="GA32">
        <v>2.3730500000000001</v>
      </c>
      <c r="GB32">
        <v>34.0092</v>
      </c>
      <c r="GC32">
        <v>23.9649</v>
      </c>
      <c r="GD32">
        <v>19</v>
      </c>
      <c r="GE32">
        <v>261.44900000000001</v>
      </c>
      <c r="GF32">
        <v>603.06100000000004</v>
      </c>
      <c r="GG32">
        <v>19.2041</v>
      </c>
      <c r="GH32">
        <v>26.718</v>
      </c>
      <c r="GI32">
        <v>30</v>
      </c>
      <c r="GJ32">
        <v>26.723500000000001</v>
      </c>
      <c r="GK32">
        <v>26.677399999999999</v>
      </c>
      <c r="GL32">
        <v>35.900599999999997</v>
      </c>
      <c r="GM32">
        <v>14.328099999999999</v>
      </c>
      <c r="GN32">
        <v>100</v>
      </c>
      <c r="GO32">
        <v>19.2561</v>
      </c>
      <c r="GP32">
        <v>800</v>
      </c>
      <c r="GQ32">
        <v>21.898900000000001</v>
      </c>
      <c r="GR32">
        <v>99.718800000000002</v>
      </c>
      <c r="GS32">
        <v>99.575000000000003</v>
      </c>
    </row>
    <row r="33" spans="1:201" x14ac:dyDescent="0.25">
      <c r="A33">
        <v>17</v>
      </c>
      <c r="B33">
        <v>1690306960</v>
      </c>
      <c r="C33">
        <v>341.40000009536737</v>
      </c>
      <c r="D33" t="s">
        <v>367</v>
      </c>
      <c r="E33" t="s">
        <v>368</v>
      </c>
      <c r="F33" t="s">
        <v>330</v>
      </c>
      <c r="H33">
        <v>1690306960</v>
      </c>
      <c r="I33">
        <f t="shared" si="0"/>
        <v>-1.0226513009962638E-6</v>
      </c>
      <c r="J33">
        <f t="shared" si="1"/>
        <v>-1.0226513009962638E-3</v>
      </c>
      <c r="K33">
        <f t="shared" si="2"/>
        <v>0.50064429191517867</v>
      </c>
      <c r="L33">
        <f t="shared" si="3"/>
        <v>794.81899999999996</v>
      </c>
      <c r="M33">
        <f t="shared" si="4"/>
        <v>13608.14772055771</v>
      </c>
      <c r="N33">
        <f t="shared" si="5"/>
        <v>1351.5332532540783</v>
      </c>
      <c r="O33">
        <f t="shared" si="6"/>
        <v>78.939788932135997</v>
      </c>
      <c r="P33">
        <f t="shared" si="7"/>
        <v>-6.1594999079673464E-5</v>
      </c>
      <c r="Q33">
        <f t="shared" si="8"/>
        <v>2.1969289130881773</v>
      </c>
      <c r="R33">
        <f t="shared" si="9"/>
        <v>-6.1595958501738695E-5</v>
      </c>
      <c r="S33">
        <f t="shared" si="10"/>
        <v>-3.8497387864268895E-5</v>
      </c>
      <c r="T33">
        <f t="shared" si="11"/>
        <v>276.11121295954558</v>
      </c>
      <c r="U33">
        <f t="shared" si="12"/>
        <v>27.914935272284602</v>
      </c>
      <c r="V33">
        <f t="shared" si="13"/>
        <v>27.914935272284602</v>
      </c>
      <c r="W33">
        <f t="shared" si="14"/>
        <v>3.776061799158037</v>
      </c>
      <c r="X33">
        <f t="shared" si="15"/>
        <v>65.313074578642798</v>
      </c>
      <c r="Y33">
        <f t="shared" si="16"/>
        <v>2.1765428109656</v>
      </c>
      <c r="Z33">
        <f t="shared" si="17"/>
        <v>3.3324764222282126</v>
      </c>
      <c r="AA33">
        <f t="shared" si="18"/>
        <v>1.599518988192437</v>
      </c>
      <c r="AB33">
        <f t="shared" si="19"/>
        <v>4.509892237393523E-2</v>
      </c>
      <c r="AC33">
        <f t="shared" si="20"/>
        <v>-251.72647699830893</v>
      </c>
      <c r="AD33">
        <f t="shared" si="21"/>
        <v>-24.691732779288795</v>
      </c>
      <c r="AE33">
        <f t="shared" si="22"/>
        <v>-0.26189789567820299</v>
      </c>
      <c r="AF33">
        <v>17</v>
      </c>
      <c r="AG33">
        <v>6</v>
      </c>
      <c r="AH33">
        <f t="shared" si="23"/>
        <v>1</v>
      </c>
      <c r="AI33">
        <f t="shared" si="24"/>
        <v>0</v>
      </c>
      <c r="AJ33">
        <f t="shared" si="25"/>
        <v>52717.068654139199</v>
      </c>
      <c r="AK33">
        <f t="shared" si="26"/>
        <v>1799.98</v>
      </c>
      <c r="AL33">
        <f t="shared" si="27"/>
        <v>1499.09596779306</v>
      </c>
      <c r="AM33">
        <f t="shared" si="28"/>
        <v>0.83284034699999998</v>
      </c>
      <c r="AN33">
        <f t="shared" si="29"/>
        <v>0.15339682271999999</v>
      </c>
      <c r="AO33">
        <v>31.2</v>
      </c>
      <c r="AP33">
        <v>0.5</v>
      </c>
      <c r="AQ33" t="s">
        <v>331</v>
      </c>
      <c r="AR33">
        <v>2</v>
      </c>
      <c r="AS33">
        <v>1690306960</v>
      </c>
      <c r="AT33">
        <v>794.81899999999996</v>
      </c>
      <c r="AU33">
        <v>800.01599999999996</v>
      </c>
      <c r="AV33">
        <v>21.914899999999999</v>
      </c>
      <c r="AW33">
        <v>21.9253</v>
      </c>
      <c r="AX33">
        <v>794.86699999999996</v>
      </c>
      <c r="AY33">
        <v>21.730799999999999</v>
      </c>
      <c r="AZ33">
        <v>300.072</v>
      </c>
      <c r="BA33">
        <v>99.2179</v>
      </c>
      <c r="BB33">
        <v>0.10004399999999999</v>
      </c>
      <c r="BC33">
        <v>25.7896</v>
      </c>
      <c r="BD33">
        <v>28.6904</v>
      </c>
      <c r="BE33">
        <v>27.6661</v>
      </c>
      <c r="BF33">
        <v>0</v>
      </c>
      <c r="BG33">
        <v>0</v>
      </c>
      <c r="BH33">
        <v>10008.1</v>
      </c>
      <c r="BI33">
        <v>1071.0999999999999</v>
      </c>
      <c r="BJ33">
        <v>1.62592</v>
      </c>
      <c r="BK33">
        <v>-5.1970799999999997</v>
      </c>
      <c r="BL33">
        <v>812.62800000000004</v>
      </c>
      <c r="BM33">
        <v>817.95</v>
      </c>
      <c r="BN33">
        <v>-1.03912E-2</v>
      </c>
      <c r="BO33">
        <v>800.01599999999996</v>
      </c>
      <c r="BP33">
        <v>21.9253</v>
      </c>
      <c r="BQ33">
        <v>2.17435</v>
      </c>
      <c r="BR33">
        <v>2.1753800000000001</v>
      </c>
      <c r="BS33">
        <v>18.7745</v>
      </c>
      <c r="BT33">
        <v>18.7821</v>
      </c>
      <c r="BU33">
        <v>1799.98</v>
      </c>
      <c r="BV33">
        <v>0.91001500000000002</v>
      </c>
      <c r="BW33">
        <v>3.4001999999999998E-2</v>
      </c>
      <c r="BX33">
        <v>2.1993100000000002E-2</v>
      </c>
      <c r="BY33">
        <v>3.3989800000000001E-2</v>
      </c>
      <c r="BZ33">
        <v>26</v>
      </c>
      <c r="CA33">
        <v>33528.199999999997</v>
      </c>
      <c r="CB33">
        <v>1690306253.5999999</v>
      </c>
      <c r="CC33" t="s">
        <v>332</v>
      </c>
      <c r="CD33">
        <v>1690306253.5999999</v>
      </c>
      <c r="CE33">
        <v>1690306251.5999999</v>
      </c>
      <c r="CF33">
        <v>9</v>
      </c>
      <c r="CG33">
        <v>0.19</v>
      </c>
      <c r="CH33">
        <v>-8.7999999999999995E-2</v>
      </c>
      <c r="CI33">
        <v>-5.0999999999999997E-2</v>
      </c>
      <c r="CJ33">
        <v>5.0999999999999997E-2</v>
      </c>
      <c r="CK33">
        <v>799</v>
      </c>
      <c r="CL33">
        <v>15</v>
      </c>
      <c r="CM33">
        <v>0.28000000000000003</v>
      </c>
      <c r="CN33">
        <v>0.03</v>
      </c>
      <c r="CO33">
        <v>-4.2422092682926831</v>
      </c>
      <c r="CP33">
        <v>-5.6095262717770078</v>
      </c>
      <c r="CQ33">
        <v>0.55480153806647647</v>
      </c>
      <c r="CR33">
        <v>-1</v>
      </c>
      <c r="CS33">
        <v>-0.19217830731707319</v>
      </c>
      <c r="CT33">
        <v>0.93292783484320507</v>
      </c>
      <c r="CU33">
        <v>9.2386088222963347E-2</v>
      </c>
      <c r="CV33">
        <v>-1</v>
      </c>
      <c r="CW33">
        <v>0</v>
      </c>
      <c r="CX33">
        <v>0</v>
      </c>
      <c r="CY33" t="s">
        <v>333</v>
      </c>
      <c r="CZ33">
        <v>2.3636499999999998</v>
      </c>
      <c r="DA33">
        <v>2.7138399999999998</v>
      </c>
      <c r="DB33">
        <v>0.14616199999999999</v>
      </c>
      <c r="DC33">
        <v>0.14649799999999999</v>
      </c>
      <c r="DD33">
        <v>0.106848</v>
      </c>
      <c r="DE33">
        <v>0.105364</v>
      </c>
      <c r="DF33">
        <v>31168.400000000001</v>
      </c>
      <c r="DG33">
        <v>27503.8</v>
      </c>
      <c r="DH33">
        <v>31165.1</v>
      </c>
      <c r="DI33">
        <v>28080.400000000001</v>
      </c>
      <c r="DJ33">
        <v>37795.599999999999</v>
      </c>
      <c r="DK33">
        <v>35726</v>
      </c>
      <c r="DL33">
        <v>44352.3</v>
      </c>
      <c r="DM33">
        <v>42567.8</v>
      </c>
      <c r="DN33">
        <v>1.4212199999999999</v>
      </c>
      <c r="DO33">
        <v>2.0552700000000002</v>
      </c>
      <c r="DP33">
        <v>0.16950100000000001</v>
      </c>
      <c r="DQ33">
        <v>0.135213</v>
      </c>
      <c r="DR33">
        <v>25.919799999999999</v>
      </c>
      <c r="DS33">
        <v>25.453299999999999</v>
      </c>
      <c r="DT33">
        <v>56.3</v>
      </c>
      <c r="DU33">
        <v>29.4</v>
      </c>
      <c r="DV33">
        <v>23.3569</v>
      </c>
      <c r="DW33">
        <v>61.703000000000003</v>
      </c>
      <c r="DX33">
        <v>36.005600000000001</v>
      </c>
      <c r="DY33">
        <v>1</v>
      </c>
      <c r="DZ33">
        <v>-4.95757E-2</v>
      </c>
      <c r="EA33">
        <v>4.1281100000000004</v>
      </c>
      <c r="EB33">
        <v>20.133400000000002</v>
      </c>
      <c r="EC33">
        <v>5.2404999999999999</v>
      </c>
      <c r="ED33">
        <v>12.039899999999999</v>
      </c>
      <c r="EE33">
        <v>5.0166500000000003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1.8689100000000001</v>
      </c>
      <c r="EL33">
        <v>1.8646400000000001</v>
      </c>
      <c r="EM33">
        <v>1.8692</v>
      </c>
      <c r="EN33">
        <v>1.8672599999999999</v>
      </c>
      <c r="EO33">
        <v>1.8633999999999999</v>
      </c>
      <c r="EP33">
        <v>1.8644700000000001</v>
      </c>
      <c r="EQ33">
        <v>1.87015</v>
      </c>
      <c r="ER33">
        <v>1.8693900000000001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-4.8000000000000001E-2</v>
      </c>
      <c r="FG33">
        <v>0.18410000000000001</v>
      </c>
      <c r="FH33">
        <v>0.49996858830924029</v>
      </c>
      <c r="FI33">
        <v>-6.1462078757559423E-4</v>
      </c>
      <c r="FJ33">
        <v>-1.8861989874597051E-7</v>
      </c>
      <c r="FK33">
        <v>1.1980462299894961E-10</v>
      </c>
      <c r="FL33">
        <v>0.18404795463265899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11.8</v>
      </c>
      <c r="FU33">
        <v>11.8</v>
      </c>
      <c r="FV33">
        <v>1.79565</v>
      </c>
      <c r="FW33">
        <v>2.5976599999999999</v>
      </c>
      <c r="FX33">
        <v>1.5490699999999999</v>
      </c>
      <c r="FY33">
        <v>2.3290999999999999</v>
      </c>
      <c r="FZ33">
        <v>1.50146</v>
      </c>
      <c r="GA33">
        <v>2.2973599999999998</v>
      </c>
      <c r="GB33">
        <v>34.031799999999997</v>
      </c>
      <c r="GC33">
        <v>23.956199999999999</v>
      </c>
      <c r="GD33">
        <v>19</v>
      </c>
      <c r="GE33">
        <v>261.649</v>
      </c>
      <c r="GF33">
        <v>602.93399999999997</v>
      </c>
      <c r="GG33">
        <v>19.242999999999999</v>
      </c>
      <c r="GH33">
        <v>26.7317</v>
      </c>
      <c r="GI33">
        <v>30.000399999999999</v>
      </c>
      <c r="GJ33">
        <v>26.7333</v>
      </c>
      <c r="GK33">
        <v>26.6829</v>
      </c>
      <c r="GL33">
        <v>35.8949</v>
      </c>
      <c r="GM33">
        <v>15.175800000000001</v>
      </c>
      <c r="GN33">
        <v>100</v>
      </c>
      <c r="GO33">
        <v>19.293199999999999</v>
      </c>
      <c r="GP33">
        <v>800</v>
      </c>
      <c r="GQ33">
        <v>21.759699999999999</v>
      </c>
      <c r="GR33">
        <v>99.716800000000006</v>
      </c>
      <c r="GS33">
        <v>99.573800000000006</v>
      </c>
    </row>
    <row r="34" spans="1:201" x14ac:dyDescent="0.25">
      <c r="A34">
        <v>18</v>
      </c>
      <c r="B34">
        <v>1690306970</v>
      </c>
      <c r="C34">
        <v>351.40000009536737</v>
      </c>
      <c r="D34" t="s">
        <v>369</v>
      </c>
      <c r="E34" t="s">
        <v>370</v>
      </c>
      <c r="F34" t="s">
        <v>330</v>
      </c>
      <c r="H34">
        <v>1690306970</v>
      </c>
      <c r="I34">
        <f t="shared" si="0"/>
        <v>2.1096157499612062E-5</v>
      </c>
      <c r="J34">
        <f t="shared" si="1"/>
        <v>2.1096157499612061E-2</v>
      </c>
      <c r="K34">
        <f t="shared" si="2"/>
        <v>0.58769012006141763</v>
      </c>
      <c r="L34">
        <f t="shared" si="3"/>
        <v>793.798</v>
      </c>
      <c r="M34">
        <f t="shared" si="4"/>
        <v>54.681045777656884</v>
      </c>
      <c r="N34">
        <f t="shared" si="5"/>
        <v>5.4307963017230962</v>
      </c>
      <c r="O34">
        <f t="shared" si="6"/>
        <v>78.838200356377982</v>
      </c>
      <c r="P34">
        <f t="shared" si="7"/>
        <v>1.2919348478915424E-3</v>
      </c>
      <c r="Q34">
        <f t="shared" si="8"/>
        <v>2.1969264351685345</v>
      </c>
      <c r="R34">
        <f t="shared" si="9"/>
        <v>1.2915129182860272E-3</v>
      </c>
      <c r="S34">
        <f t="shared" si="10"/>
        <v>8.0723347021797282E-4</v>
      </c>
      <c r="T34">
        <f t="shared" si="11"/>
        <v>276.1147964863863</v>
      </c>
      <c r="U34">
        <f t="shared" si="12"/>
        <v>27.836791079401909</v>
      </c>
      <c r="V34">
        <f t="shared" si="13"/>
        <v>27.836791079401909</v>
      </c>
      <c r="W34">
        <f t="shared" si="14"/>
        <v>3.7588831111182754</v>
      </c>
      <c r="X34">
        <f t="shared" si="15"/>
        <v>65.8465085003822</v>
      </c>
      <c r="Y34">
        <f t="shared" si="16"/>
        <v>2.1851286867953998</v>
      </c>
      <c r="Z34">
        <f t="shared" si="17"/>
        <v>3.3185186831625497</v>
      </c>
      <c r="AA34">
        <f t="shared" si="18"/>
        <v>1.5737544243228756</v>
      </c>
      <c r="AB34">
        <f t="shared" si="19"/>
        <v>-0.93034054573289193</v>
      </c>
      <c r="AC34">
        <f t="shared" si="20"/>
        <v>-250.85634174453875</v>
      </c>
      <c r="AD34">
        <f t="shared" si="21"/>
        <v>-24.588078009106361</v>
      </c>
      <c r="AE34">
        <f t="shared" si="22"/>
        <v>-0.25996381299171389</v>
      </c>
      <c r="AF34">
        <v>17</v>
      </c>
      <c r="AG34">
        <v>6</v>
      </c>
      <c r="AH34">
        <f t="shared" si="23"/>
        <v>1</v>
      </c>
      <c r="AI34">
        <f t="shared" si="24"/>
        <v>0</v>
      </c>
      <c r="AJ34">
        <f t="shared" si="25"/>
        <v>52729.45695213999</v>
      </c>
      <c r="AK34">
        <f t="shared" si="26"/>
        <v>1799.99</v>
      </c>
      <c r="AL34">
        <f t="shared" si="27"/>
        <v>1499.1058351879801</v>
      </c>
      <c r="AM34">
        <f t="shared" si="28"/>
        <v>0.832841202</v>
      </c>
      <c r="AN34">
        <f t="shared" si="29"/>
        <v>0.15339796137</v>
      </c>
      <c r="AO34">
        <v>31.2</v>
      </c>
      <c r="AP34">
        <v>0.5</v>
      </c>
      <c r="AQ34" t="s">
        <v>331</v>
      </c>
      <c r="AR34">
        <v>2</v>
      </c>
      <c r="AS34">
        <v>1690306970</v>
      </c>
      <c r="AT34">
        <v>793.798</v>
      </c>
      <c r="AU34">
        <v>800.08199999999999</v>
      </c>
      <c r="AV34">
        <v>22.0014</v>
      </c>
      <c r="AW34">
        <v>21.786899999999999</v>
      </c>
      <c r="AX34">
        <v>793.84500000000003</v>
      </c>
      <c r="AY34">
        <v>21.817299999999999</v>
      </c>
      <c r="AZ34">
        <v>300.10199999999998</v>
      </c>
      <c r="BA34">
        <v>99.217699999999994</v>
      </c>
      <c r="BB34">
        <v>0.100011</v>
      </c>
      <c r="BC34">
        <v>25.718800000000002</v>
      </c>
      <c r="BD34">
        <v>28.5915</v>
      </c>
      <c r="BE34">
        <v>27.607199999999999</v>
      </c>
      <c r="BF34">
        <v>0</v>
      </c>
      <c r="BG34">
        <v>0</v>
      </c>
      <c r="BH34">
        <v>10008.1</v>
      </c>
      <c r="BI34">
        <v>1069.81</v>
      </c>
      <c r="BJ34">
        <v>1.62592</v>
      </c>
      <c r="BK34">
        <v>-6.28369</v>
      </c>
      <c r="BL34">
        <v>811.65599999999995</v>
      </c>
      <c r="BM34">
        <v>817.90200000000004</v>
      </c>
      <c r="BN34">
        <v>0.214451</v>
      </c>
      <c r="BO34">
        <v>800.08199999999999</v>
      </c>
      <c r="BP34">
        <v>21.786899999999999</v>
      </c>
      <c r="BQ34">
        <v>2.1829299999999998</v>
      </c>
      <c r="BR34">
        <v>2.1616499999999998</v>
      </c>
      <c r="BS34">
        <v>18.837599999999998</v>
      </c>
      <c r="BT34">
        <v>18.680900000000001</v>
      </c>
      <c r="BU34">
        <v>1799.99</v>
      </c>
      <c r="BV34">
        <v>0.91</v>
      </c>
      <c r="BW34">
        <v>3.3996899999999997E-2</v>
      </c>
      <c r="BX34">
        <v>2.2008099999999999E-2</v>
      </c>
      <c r="BY34">
        <v>3.39951E-2</v>
      </c>
      <c r="BZ34">
        <v>26</v>
      </c>
      <c r="CA34">
        <v>33528.1</v>
      </c>
      <c r="CB34">
        <v>1690306253.5999999</v>
      </c>
      <c r="CC34" t="s">
        <v>332</v>
      </c>
      <c r="CD34">
        <v>1690306253.5999999</v>
      </c>
      <c r="CE34">
        <v>1690306251.5999999</v>
      </c>
      <c r="CF34">
        <v>9</v>
      </c>
      <c r="CG34">
        <v>0.19</v>
      </c>
      <c r="CH34">
        <v>-8.7999999999999995E-2</v>
      </c>
      <c r="CI34">
        <v>-5.0999999999999997E-2</v>
      </c>
      <c r="CJ34">
        <v>5.0999999999999997E-2</v>
      </c>
      <c r="CK34">
        <v>799</v>
      </c>
      <c r="CL34">
        <v>15</v>
      </c>
      <c r="CM34">
        <v>0.28000000000000003</v>
      </c>
      <c r="CN34">
        <v>0.03</v>
      </c>
      <c r="CO34">
        <v>-5.0959714634146334</v>
      </c>
      <c r="CP34">
        <v>-5.9929133101045302</v>
      </c>
      <c r="CQ34">
        <v>0.59191059351882669</v>
      </c>
      <c r="CR34">
        <v>-1</v>
      </c>
      <c r="CS34">
        <v>-3.5574380160975611E-2</v>
      </c>
      <c r="CT34">
        <v>1.1797432380543551</v>
      </c>
      <c r="CU34">
        <v>0.11654150459491849</v>
      </c>
      <c r="CV34">
        <v>-1</v>
      </c>
      <c r="CW34">
        <v>0</v>
      </c>
      <c r="CX34">
        <v>0</v>
      </c>
      <c r="CY34" t="s">
        <v>333</v>
      </c>
      <c r="CZ34">
        <v>2.36375</v>
      </c>
      <c r="DA34">
        <v>2.7138100000000001</v>
      </c>
      <c r="DB34">
        <v>0.146035</v>
      </c>
      <c r="DC34">
        <v>0.14650099999999999</v>
      </c>
      <c r="DD34">
        <v>0.10714700000000001</v>
      </c>
      <c r="DE34">
        <v>0.104895</v>
      </c>
      <c r="DF34">
        <v>31171.8</v>
      </c>
      <c r="DG34">
        <v>27502.799999999999</v>
      </c>
      <c r="DH34">
        <v>31163.8</v>
      </c>
      <c r="DI34">
        <v>28079.5</v>
      </c>
      <c r="DJ34">
        <v>37781.300000000003</v>
      </c>
      <c r="DK34">
        <v>35743.699999999997</v>
      </c>
      <c r="DL34">
        <v>44350.5</v>
      </c>
      <c r="DM34">
        <v>42566.5</v>
      </c>
      <c r="DN34">
        <v>1.4213</v>
      </c>
      <c r="DO34">
        <v>2.0544799999999999</v>
      </c>
      <c r="DP34">
        <v>0.16596900000000001</v>
      </c>
      <c r="DQ34">
        <v>0.13523499999999999</v>
      </c>
      <c r="DR34">
        <v>25.878299999999999</v>
      </c>
      <c r="DS34">
        <v>25.393799999999999</v>
      </c>
      <c r="DT34">
        <v>56.3</v>
      </c>
      <c r="DU34">
        <v>29.4</v>
      </c>
      <c r="DV34">
        <v>23.351199999999999</v>
      </c>
      <c r="DW34">
        <v>61.482999999999997</v>
      </c>
      <c r="DX34">
        <v>35.6691</v>
      </c>
      <c r="DY34">
        <v>1</v>
      </c>
      <c r="DZ34">
        <v>-4.9064999999999998E-2</v>
      </c>
      <c r="EA34">
        <v>3.8830499999999999</v>
      </c>
      <c r="EB34">
        <v>20.14</v>
      </c>
      <c r="EC34">
        <v>5.2406499999999996</v>
      </c>
      <c r="ED34">
        <v>12.039899999999999</v>
      </c>
      <c r="EE34">
        <v>5.0167000000000002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1.8689100000000001</v>
      </c>
      <c r="EL34">
        <v>1.8646199999999999</v>
      </c>
      <c r="EM34">
        <v>1.8692</v>
      </c>
      <c r="EN34">
        <v>1.86724</v>
      </c>
      <c r="EO34">
        <v>1.8633999999999999</v>
      </c>
      <c r="EP34">
        <v>1.8644700000000001</v>
      </c>
      <c r="EQ34">
        <v>1.87018</v>
      </c>
      <c r="ER34">
        <v>1.86941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-4.7E-2</v>
      </c>
      <c r="FG34">
        <v>0.18410000000000001</v>
      </c>
      <c r="FH34">
        <v>0.49996858830924029</v>
      </c>
      <c r="FI34">
        <v>-6.1462078757559423E-4</v>
      </c>
      <c r="FJ34">
        <v>-1.8861989874597051E-7</v>
      </c>
      <c r="FK34">
        <v>1.1980462299894961E-10</v>
      </c>
      <c r="FL34">
        <v>0.18404795463265899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11.9</v>
      </c>
      <c r="FU34">
        <v>12</v>
      </c>
      <c r="FV34">
        <v>1.79565</v>
      </c>
      <c r="FW34">
        <v>2.5939899999999998</v>
      </c>
      <c r="FX34">
        <v>1.5490699999999999</v>
      </c>
      <c r="FY34">
        <v>2.3290999999999999</v>
      </c>
      <c r="FZ34">
        <v>1.50146</v>
      </c>
      <c r="GA34">
        <v>2.3645</v>
      </c>
      <c r="GB34">
        <v>34.031799999999997</v>
      </c>
      <c r="GC34">
        <v>23.9649</v>
      </c>
      <c r="GD34">
        <v>19</v>
      </c>
      <c r="GE34">
        <v>261.71600000000001</v>
      </c>
      <c r="GF34">
        <v>602.327</v>
      </c>
      <c r="GG34">
        <v>19.307400000000001</v>
      </c>
      <c r="GH34">
        <v>26.742999999999999</v>
      </c>
      <c r="GI34">
        <v>30.000499999999999</v>
      </c>
      <c r="GJ34">
        <v>26.742599999999999</v>
      </c>
      <c r="GK34">
        <v>26.6891</v>
      </c>
      <c r="GL34">
        <v>35.888800000000003</v>
      </c>
      <c r="GM34">
        <v>16.379100000000001</v>
      </c>
      <c r="GN34">
        <v>100</v>
      </c>
      <c r="GO34">
        <v>19.3504</v>
      </c>
      <c r="GP34">
        <v>800</v>
      </c>
      <c r="GQ34">
        <v>21.5871</v>
      </c>
      <c r="GR34">
        <v>99.712900000000005</v>
      </c>
      <c r="GS34">
        <v>99.570599999999999</v>
      </c>
    </row>
    <row r="35" spans="1:201" x14ac:dyDescent="0.25">
      <c r="A35">
        <v>19</v>
      </c>
      <c r="B35">
        <v>1690306980</v>
      </c>
      <c r="C35">
        <v>361.40000009536737</v>
      </c>
      <c r="D35" t="s">
        <v>371</v>
      </c>
      <c r="E35" t="s">
        <v>372</v>
      </c>
      <c r="F35" t="s">
        <v>330</v>
      </c>
      <c r="H35">
        <v>1690306980</v>
      </c>
      <c r="I35">
        <f t="shared" si="0"/>
        <v>4.1936942813891329E-5</v>
      </c>
      <c r="J35">
        <f t="shared" si="1"/>
        <v>4.1936942813891327E-2</v>
      </c>
      <c r="K35">
        <f t="shared" si="2"/>
        <v>0.68053671176575192</v>
      </c>
      <c r="L35">
        <f t="shared" si="3"/>
        <v>792.65</v>
      </c>
      <c r="M35">
        <f t="shared" si="4"/>
        <v>360.22833453634348</v>
      </c>
      <c r="N35">
        <f t="shared" si="5"/>
        <v>35.776468972904929</v>
      </c>
      <c r="O35">
        <f t="shared" si="6"/>
        <v>78.722897153199995</v>
      </c>
      <c r="P35">
        <f t="shared" si="7"/>
        <v>2.6089682789736017E-3</v>
      </c>
      <c r="Q35">
        <f t="shared" si="8"/>
        <v>2.1962923418915539</v>
      </c>
      <c r="R35">
        <f t="shared" si="9"/>
        <v>2.6072477359849432E-3</v>
      </c>
      <c r="S35">
        <f t="shared" si="10"/>
        <v>1.6296843207510214E-3</v>
      </c>
      <c r="T35">
        <f t="shared" si="11"/>
        <v>276.11463797926689</v>
      </c>
      <c r="U35">
        <f t="shared" si="12"/>
        <v>27.77297922872793</v>
      </c>
      <c r="V35">
        <f t="shared" si="13"/>
        <v>27.77297922872793</v>
      </c>
      <c r="W35">
        <f t="shared" si="14"/>
        <v>3.74490576428096</v>
      </c>
      <c r="X35">
        <f t="shared" si="15"/>
        <v>66.375686090887228</v>
      </c>
      <c r="Y35">
        <f t="shared" si="16"/>
        <v>2.1952033562816</v>
      </c>
      <c r="Z35">
        <f t="shared" si="17"/>
        <v>3.3072401741742317</v>
      </c>
      <c r="AA35">
        <f t="shared" si="18"/>
        <v>1.54970240799936</v>
      </c>
      <c r="AB35">
        <f t="shared" si="19"/>
        <v>-1.8494191780926077</v>
      </c>
      <c r="AC35">
        <f t="shared" si="20"/>
        <v>-250.02473283956803</v>
      </c>
      <c r="AD35">
        <f t="shared" si="21"/>
        <v>-24.498775415711524</v>
      </c>
      <c r="AE35">
        <f t="shared" si="22"/>
        <v>-0.25828945410526671</v>
      </c>
      <c r="AF35">
        <v>17</v>
      </c>
      <c r="AG35">
        <v>6</v>
      </c>
      <c r="AH35">
        <f t="shared" si="23"/>
        <v>1</v>
      </c>
      <c r="AI35">
        <f t="shared" si="24"/>
        <v>0</v>
      </c>
      <c r="AJ35">
        <f t="shared" si="25"/>
        <v>52713.472766065053</v>
      </c>
      <c r="AK35">
        <f t="shared" si="26"/>
        <v>1799.99</v>
      </c>
      <c r="AL35">
        <f t="shared" si="27"/>
        <v>1499.1047083942399</v>
      </c>
      <c r="AM35">
        <f t="shared" si="28"/>
        <v>0.83284057599999994</v>
      </c>
      <c r="AN35">
        <f t="shared" si="29"/>
        <v>0.15339787330999999</v>
      </c>
      <c r="AO35">
        <v>31.2</v>
      </c>
      <c r="AP35">
        <v>0.5</v>
      </c>
      <c r="AQ35" t="s">
        <v>331</v>
      </c>
      <c r="AR35">
        <v>2</v>
      </c>
      <c r="AS35">
        <v>1690306980</v>
      </c>
      <c r="AT35">
        <v>792.65</v>
      </c>
      <c r="AU35">
        <v>800.06799999999998</v>
      </c>
      <c r="AV35">
        <v>22.103200000000001</v>
      </c>
      <c r="AW35">
        <v>21.677</v>
      </c>
      <c r="AX35">
        <v>792.69600000000003</v>
      </c>
      <c r="AY35">
        <v>21.9192</v>
      </c>
      <c r="AZ35">
        <v>300.214</v>
      </c>
      <c r="BA35">
        <v>99.216099999999997</v>
      </c>
      <c r="BB35">
        <v>9.9987999999999994E-2</v>
      </c>
      <c r="BC35">
        <v>25.6614</v>
      </c>
      <c r="BD35">
        <v>28.525400000000001</v>
      </c>
      <c r="BE35">
        <v>27.555199999999999</v>
      </c>
      <c r="BF35">
        <v>0</v>
      </c>
      <c r="BG35">
        <v>0</v>
      </c>
      <c r="BH35">
        <v>10003.1</v>
      </c>
      <c r="BI35">
        <v>1068.6300000000001</v>
      </c>
      <c r="BJ35">
        <v>1.62592</v>
      </c>
      <c r="BK35">
        <v>-7.4183300000000001</v>
      </c>
      <c r="BL35">
        <v>810.56600000000003</v>
      </c>
      <c r="BM35">
        <v>817.79499999999996</v>
      </c>
      <c r="BN35">
        <v>0.42621799999999999</v>
      </c>
      <c r="BO35">
        <v>800.06799999999998</v>
      </c>
      <c r="BP35">
        <v>21.677</v>
      </c>
      <c r="BQ35">
        <v>2.1930000000000001</v>
      </c>
      <c r="BR35">
        <v>2.1507100000000001</v>
      </c>
      <c r="BS35">
        <v>18.911200000000001</v>
      </c>
      <c r="BT35">
        <v>18.599799999999998</v>
      </c>
      <c r="BU35">
        <v>1799.99</v>
      </c>
      <c r="BV35">
        <v>0.90999099999999999</v>
      </c>
      <c r="BW35">
        <v>3.3992500000000002E-2</v>
      </c>
      <c r="BX35">
        <v>2.2005299999999998E-2</v>
      </c>
      <c r="BY35">
        <v>3.4011699999999999E-2</v>
      </c>
      <c r="BZ35">
        <v>26</v>
      </c>
      <c r="CA35">
        <v>33528.1</v>
      </c>
      <c r="CB35">
        <v>1690306253.5999999</v>
      </c>
      <c r="CC35" t="s">
        <v>332</v>
      </c>
      <c r="CD35">
        <v>1690306253.5999999</v>
      </c>
      <c r="CE35">
        <v>1690306251.5999999</v>
      </c>
      <c r="CF35">
        <v>9</v>
      </c>
      <c r="CG35">
        <v>0.19</v>
      </c>
      <c r="CH35">
        <v>-8.7999999999999995E-2</v>
      </c>
      <c r="CI35">
        <v>-5.0999999999999997E-2</v>
      </c>
      <c r="CJ35">
        <v>5.0999999999999997E-2</v>
      </c>
      <c r="CK35">
        <v>799</v>
      </c>
      <c r="CL35">
        <v>15</v>
      </c>
      <c r="CM35">
        <v>0.28000000000000003</v>
      </c>
      <c r="CN35">
        <v>0.03</v>
      </c>
      <c r="CO35">
        <v>-6.1973190000000002</v>
      </c>
      <c r="CP35">
        <v>-6.4138536585365697</v>
      </c>
      <c r="CQ35">
        <v>0.61752738729468515</v>
      </c>
      <c r="CR35">
        <v>-1</v>
      </c>
      <c r="CS35">
        <v>0.19780907283499999</v>
      </c>
      <c r="CT35">
        <v>1.3982950652645409</v>
      </c>
      <c r="CU35">
        <v>0.1346498331984432</v>
      </c>
      <c r="CV35">
        <v>-1</v>
      </c>
      <c r="CW35">
        <v>0</v>
      </c>
      <c r="CX35">
        <v>0</v>
      </c>
      <c r="CY35" t="s">
        <v>333</v>
      </c>
      <c r="CZ35">
        <v>2.36409</v>
      </c>
      <c r="DA35">
        <v>2.7137799999999999</v>
      </c>
      <c r="DB35">
        <v>0.14589099999999999</v>
      </c>
      <c r="DC35">
        <v>0.14649300000000001</v>
      </c>
      <c r="DD35">
        <v>0.10749599999999999</v>
      </c>
      <c r="DE35">
        <v>0.104519</v>
      </c>
      <c r="DF35">
        <v>31176.5</v>
      </c>
      <c r="DG35">
        <v>27502.2</v>
      </c>
      <c r="DH35">
        <v>31163.3</v>
      </c>
      <c r="DI35">
        <v>28078.6</v>
      </c>
      <c r="DJ35">
        <v>37765.599999999999</v>
      </c>
      <c r="DK35">
        <v>35757.5</v>
      </c>
      <c r="DL35">
        <v>44349.599999999999</v>
      </c>
      <c r="DM35">
        <v>42565.1</v>
      </c>
      <c r="DN35">
        <v>1.4214199999999999</v>
      </c>
      <c r="DO35">
        <v>2.0542799999999999</v>
      </c>
      <c r="DP35">
        <v>0.16444900000000001</v>
      </c>
      <c r="DQ35">
        <v>0.135571</v>
      </c>
      <c r="DR35">
        <v>25.8368</v>
      </c>
      <c r="DS35">
        <v>25.336099999999998</v>
      </c>
      <c r="DT35">
        <v>56.3</v>
      </c>
      <c r="DU35">
        <v>29.4</v>
      </c>
      <c r="DV35">
        <v>23.357099999999999</v>
      </c>
      <c r="DW35">
        <v>61.353000000000002</v>
      </c>
      <c r="DX35">
        <v>34.915900000000001</v>
      </c>
      <c r="DY35">
        <v>1</v>
      </c>
      <c r="DZ35">
        <v>-4.8884700000000003E-2</v>
      </c>
      <c r="EA35">
        <v>3.6855899999999999</v>
      </c>
      <c r="EB35">
        <v>20.1448</v>
      </c>
      <c r="EC35">
        <v>5.2411000000000003</v>
      </c>
      <c r="ED35">
        <v>12.039899999999999</v>
      </c>
      <c r="EE35">
        <v>5.0167000000000002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</v>
      </c>
      <c r="EL35">
        <v>1.86463</v>
      </c>
      <c r="EM35">
        <v>1.8692</v>
      </c>
      <c r="EN35">
        <v>1.8672299999999999</v>
      </c>
      <c r="EO35">
        <v>1.8633999999999999</v>
      </c>
      <c r="EP35">
        <v>1.8644700000000001</v>
      </c>
      <c r="EQ35">
        <v>1.8701700000000001</v>
      </c>
      <c r="ER35">
        <v>1.8694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-4.5999999999999999E-2</v>
      </c>
      <c r="FG35">
        <v>0.184</v>
      </c>
      <c r="FH35">
        <v>0.49996858830924029</v>
      </c>
      <c r="FI35">
        <v>-6.1462078757559423E-4</v>
      </c>
      <c r="FJ35">
        <v>-1.8861989874597051E-7</v>
      </c>
      <c r="FK35">
        <v>1.1980462299894961E-10</v>
      </c>
      <c r="FL35">
        <v>0.18404795463265899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12.1</v>
      </c>
      <c r="FU35">
        <v>12.1</v>
      </c>
      <c r="FV35">
        <v>1.79443</v>
      </c>
      <c r="FW35">
        <v>2.5878899999999998</v>
      </c>
      <c r="FX35">
        <v>1.5490699999999999</v>
      </c>
      <c r="FY35">
        <v>2.3290999999999999</v>
      </c>
      <c r="FZ35">
        <v>1.50146</v>
      </c>
      <c r="GA35">
        <v>2.3962400000000001</v>
      </c>
      <c r="GB35">
        <v>34.031799999999997</v>
      </c>
      <c r="GC35">
        <v>23.973700000000001</v>
      </c>
      <c r="GD35">
        <v>19</v>
      </c>
      <c r="GE35">
        <v>261.80099999999999</v>
      </c>
      <c r="GF35">
        <v>602.22799999999995</v>
      </c>
      <c r="GG35">
        <v>19.384599999999999</v>
      </c>
      <c r="GH35">
        <v>26.7532</v>
      </c>
      <c r="GI35">
        <v>30.000299999999999</v>
      </c>
      <c r="GJ35">
        <v>26.751300000000001</v>
      </c>
      <c r="GK35">
        <v>26.6952</v>
      </c>
      <c r="GL35">
        <v>35.883699999999997</v>
      </c>
      <c r="GM35">
        <v>16.663799999999998</v>
      </c>
      <c r="GN35">
        <v>100</v>
      </c>
      <c r="GO35">
        <v>19.4192</v>
      </c>
      <c r="GP35">
        <v>800</v>
      </c>
      <c r="GQ35">
        <v>21.534099999999999</v>
      </c>
      <c r="GR35">
        <v>99.710899999999995</v>
      </c>
      <c r="GS35">
        <v>99.567400000000006</v>
      </c>
    </row>
    <row r="36" spans="1:201" x14ac:dyDescent="0.25">
      <c r="A36">
        <v>20</v>
      </c>
      <c r="B36">
        <v>1690306990</v>
      </c>
      <c r="C36">
        <v>371.40000009536737</v>
      </c>
      <c r="D36" t="s">
        <v>373</v>
      </c>
      <c r="E36" t="s">
        <v>374</v>
      </c>
      <c r="F36" t="s">
        <v>330</v>
      </c>
      <c r="H36">
        <v>1690306990</v>
      </c>
      <c r="I36">
        <f t="shared" si="0"/>
        <v>6.0822371774450182E-5</v>
      </c>
      <c r="J36">
        <f t="shared" si="1"/>
        <v>6.0822371774450185E-2</v>
      </c>
      <c r="K36">
        <f t="shared" si="2"/>
        <v>0.78395509329698232</v>
      </c>
      <c r="L36">
        <f t="shared" si="3"/>
        <v>791.31100000000004</v>
      </c>
      <c r="M36">
        <f t="shared" si="4"/>
        <v>449.13380685714299</v>
      </c>
      <c r="N36">
        <f t="shared" si="5"/>
        <v>44.607054003046017</v>
      </c>
      <c r="O36">
        <f t="shared" si="6"/>
        <v>78.591395195133202</v>
      </c>
      <c r="P36">
        <f t="shared" si="7"/>
        <v>3.8453144836878284E-3</v>
      </c>
      <c r="Q36">
        <f t="shared" si="8"/>
        <v>2.1993845530531404</v>
      </c>
      <c r="R36">
        <f t="shared" si="9"/>
        <v>3.8415834022147754E-3</v>
      </c>
      <c r="S36">
        <f t="shared" si="10"/>
        <v>2.401324539938323E-3</v>
      </c>
      <c r="T36">
        <f t="shared" si="11"/>
        <v>276.11425575139037</v>
      </c>
      <c r="U36">
        <f t="shared" si="12"/>
        <v>27.709167815996423</v>
      </c>
      <c r="V36">
        <f t="shared" si="13"/>
        <v>27.709167815996423</v>
      </c>
      <c r="W36">
        <f t="shared" si="14"/>
        <v>3.730973885155398</v>
      </c>
      <c r="X36">
        <f t="shared" si="15"/>
        <v>66.904345967347581</v>
      </c>
      <c r="Y36">
        <f t="shared" si="16"/>
        <v>2.2055043053877998</v>
      </c>
      <c r="Z36">
        <f t="shared" si="17"/>
        <v>3.2965037973231039</v>
      </c>
      <c r="AA36">
        <f t="shared" si="18"/>
        <v>1.5254695797675981</v>
      </c>
      <c r="AB36">
        <f t="shared" si="19"/>
        <v>-2.6822665952532532</v>
      </c>
      <c r="AC36">
        <f t="shared" si="20"/>
        <v>-249.30823626194746</v>
      </c>
      <c r="AD36">
        <f t="shared" si="21"/>
        <v>-24.379743599350075</v>
      </c>
      <c r="AE36">
        <f t="shared" si="22"/>
        <v>-0.25599070516040001</v>
      </c>
      <c r="AF36">
        <v>17</v>
      </c>
      <c r="AG36">
        <v>6</v>
      </c>
      <c r="AH36">
        <f t="shared" si="23"/>
        <v>1</v>
      </c>
      <c r="AI36">
        <f t="shared" si="24"/>
        <v>0</v>
      </c>
      <c r="AJ36">
        <f t="shared" si="25"/>
        <v>52850.484182622291</v>
      </c>
      <c r="AK36">
        <f t="shared" si="26"/>
        <v>1799.99</v>
      </c>
      <c r="AL36">
        <f t="shared" si="27"/>
        <v>1499.09981242144</v>
      </c>
      <c r="AM36">
        <f t="shared" si="28"/>
        <v>0.83283785600000004</v>
      </c>
      <c r="AN36">
        <f t="shared" si="29"/>
        <v>0.15339766095999999</v>
      </c>
      <c r="AO36">
        <v>31.2</v>
      </c>
      <c r="AP36">
        <v>0.5</v>
      </c>
      <c r="AQ36" t="s">
        <v>331</v>
      </c>
      <c r="AR36">
        <v>2</v>
      </c>
      <c r="AS36">
        <v>1690306990</v>
      </c>
      <c r="AT36">
        <v>791.31100000000004</v>
      </c>
      <c r="AU36">
        <v>799.95899999999995</v>
      </c>
      <c r="AV36">
        <v>22.206499999999998</v>
      </c>
      <c r="AW36">
        <v>21.5884</v>
      </c>
      <c r="AX36">
        <v>791.35599999999999</v>
      </c>
      <c r="AY36">
        <v>22.022500000000001</v>
      </c>
      <c r="AZ36">
        <v>300.197</v>
      </c>
      <c r="BA36">
        <v>99.218000000000004</v>
      </c>
      <c r="BB36">
        <v>9.99612E-2</v>
      </c>
      <c r="BC36">
        <v>25.6066</v>
      </c>
      <c r="BD36">
        <v>28.5152</v>
      </c>
      <c r="BE36">
        <v>27.515699999999999</v>
      </c>
      <c r="BF36">
        <v>0</v>
      </c>
      <c r="BG36">
        <v>0</v>
      </c>
      <c r="BH36">
        <v>10028.1</v>
      </c>
      <c r="BI36">
        <v>1067.69</v>
      </c>
      <c r="BJ36">
        <v>1.62592</v>
      </c>
      <c r="BK36">
        <v>-8.6479499999999998</v>
      </c>
      <c r="BL36">
        <v>809.28200000000004</v>
      </c>
      <c r="BM36">
        <v>817.61</v>
      </c>
      <c r="BN36">
        <v>0.61815799999999999</v>
      </c>
      <c r="BO36">
        <v>799.95899999999995</v>
      </c>
      <c r="BP36">
        <v>21.5884</v>
      </c>
      <c r="BQ36">
        <v>2.20329</v>
      </c>
      <c r="BR36">
        <v>2.14195</v>
      </c>
      <c r="BS36">
        <v>18.9862</v>
      </c>
      <c r="BT36">
        <v>18.534600000000001</v>
      </c>
      <c r="BU36">
        <v>1799.99</v>
      </c>
      <c r="BV36">
        <v>0.90998100000000004</v>
      </c>
      <c r="BW36">
        <v>3.4007900000000001E-2</v>
      </c>
      <c r="BX36">
        <v>2.2002799999999999E-2</v>
      </c>
      <c r="BY36">
        <v>3.4007799999999998E-2</v>
      </c>
      <c r="BZ36">
        <v>26</v>
      </c>
      <c r="CA36">
        <v>33528.1</v>
      </c>
      <c r="CB36">
        <v>1690306253.5999999</v>
      </c>
      <c r="CC36" t="s">
        <v>332</v>
      </c>
      <c r="CD36">
        <v>1690306253.5999999</v>
      </c>
      <c r="CE36">
        <v>1690306251.5999999</v>
      </c>
      <c r="CF36">
        <v>9</v>
      </c>
      <c r="CG36">
        <v>0.19</v>
      </c>
      <c r="CH36">
        <v>-8.7999999999999995E-2</v>
      </c>
      <c r="CI36">
        <v>-5.0999999999999997E-2</v>
      </c>
      <c r="CJ36">
        <v>5.0999999999999997E-2</v>
      </c>
      <c r="CK36">
        <v>799</v>
      </c>
      <c r="CL36">
        <v>15</v>
      </c>
      <c r="CM36">
        <v>0.28000000000000003</v>
      </c>
      <c r="CN36">
        <v>0.03</v>
      </c>
      <c r="CO36">
        <v>-7.2444470731707309</v>
      </c>
      <c r="CP36">
        <v>-7.0195049477351921</v>
      </c>
      <c r="CQ36">
        <v>0.69292507655464664</v>
      </c>
      <c r="CR36">
        <v>-1</v>
      </c>
      <c r="CS36">
        <v>0.39207219512195118</v>
      </c>
      <c r="CT36">
        <v>1.1609365923344941</v>
      </c>
      <c r="CU36">
        <v>0.1150964648950079</v>
      </c>
      <c r="CV36">
        <v>-1</v>
      </c>
      <c r="CW36">
        <v>0</v>
      </c>
      <c r="CX36">
        <v>0</v>
      </c>
      <c r="CY36" t="s">
        <v>333</v>
      </c>
      <c r="CZ36">
        <v>2.3640500000000002</v>
      </c>
      <c r="DA36">
        <v>2.7137799999999999</v>
      </c>
      <c r="DB36">
        <v>0.145728</v>
      </c>
      <c r="DC36">
        <v>0.146478</v>
      </c>
      <c r="DD36">
        <v>0.10785400000000001</v>
      </c>
      <c r="DE36">
        <v>0.10421900000000001</v>
      </c>
      <c r="DF36">
        <v>31181.9</v>
      </c>
      <c r="DG36">
        <v>27502</v>
      </c>
      <c r="DH36">
        <v>31162.799999999999</v>
      </c>
      <c r="DI36">
        <v>28078</v>
      </c>
      <c r="DJ36">
        <v>37749.800000000003</v>
      </c>
      <c r="DK36">
        <v>35768.9</v>
      </c>
      <c r="DL36">
        <v>44348.9</v>
      </c>
      <c r="DM36">
        <v>42564.3</v>
      </c>
      <c r="DN36">
        <v>1.4214800000000001</v>
      </c>
      <c r="DO36">
        <v>2.0539700000000001</v>
      </c>
      <c r="DP36">
        <v>0.166431</v>
      </c>
      <c r="DQ36">
        <v>0.136569</v>
      </c>
      <c r="DR36">
        <v>25.794</v>
      </c>
      <c r="DS36">
        <v>25.280100000000001</v>
      </c>
      <c r="DT36">
        <v>56.3</v>
      </c>
      <c r="DU36">
        <v>29.4</v>
      </c>
      <c r="DV36">
        <v>23.3523</v>
      </c>
      <c r="DW36">
        <v>61.222999999999999</v>
      </c>
      <c r="DX36">
        <v>34.899799999999999</v>
      </c>
      <c r="DY36">
        <v>1</v>
      </c>
      <c r="DZ36">
        <v>-4.8368899999999999E-2</v>
      </c>
      <c r="EA36">
        <v>3.4946199999999998</v>
      </c>
      <c r="EB36">
        <v>20.1492</v>
      </c>
      <c r="EC36">
        <v>5.2408000000000001</v>
      </c>
      <c r="ED36">
        <v>12.039899999999999</v>
      </c>
      <c r="EE36">
        <v>5.0165499999999996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1.8689100000000001</v>
      </c>
      <c r="EL36">
        <v>1.86463</v>
      </c>
      <c r="EM36">
        <v>1.8692</v>
      </c>
      <c r="EN36">
        <v>1.8672200000000001</v>
      </c>
      <c r="EO36">
        <v>1.8633900000000001</v>
      </c>
      <c r="EP36">
        <v>1.8644700000000001</v>
      </c>
      <c r="EQ36">
        <v>1.87018</v>
      </c>
      <c r="ER36">
        <v>1.86941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-4.4999999999999998E-2</v>
      </c>
      <c r="FG36">
        <v>0.184</v>
      </c>
      <c r="FH36">
        <v>0.49996858830924029</v>
      </c>
      <c r="FI36">
        <v>-6.1462078757559423E-4</v>
      </c>
      <c r="FJ36">
        <v>-1.8861989874597051E-7</v>
      </c>
      <c r="FK36">
        <v>1.1980462299894961E-10</v>
      </c>
      <c r="FL36">
        <v>0.18404795463265899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12.3</v>
      </c>
      <c r="FU36">
        <v>12.3</v>
      </c>
      <c r="FV36">
        <v>1.79443</v>
      </c>
      <c r="FW36">
        <v>2.5891099999999998</v>
      </c>
      <c r="FX36">
        <v>1.5490699999999999</v>
      </c>
      <c r="FY36">
        <v>2.3290999999999999</v>
      </c>
      <c r="FZ36">
        <v>1.50146</v>
      </c>
      <c r="GA36">
        <v>2.4023400000000001</v>
      </c>
      <c r="GB36">
        <v>34.031799999999997</v>
      </c>
      <c r="GC36">
        <v>23.973700000000001</v>
      </c>
      <c r="GD36">
        <v>19</v>
      </c>
      <c r="GE36">
        <v>261.85500000000002</v>
      </c>
      <c r="GF36">
        <v>602.03800000000001</v>
      </c>
      <c r="GG36">
        <v>19.4602</v>
      </c>
      <c r="GH36">
        <v>26.761600000000001</v>
      </c>
      <c r="GI36">
        <v>30.000299999999999</v>
      </c>
      <c r="GJ36">
        <v>26.759699999999999</v>
      </c>
      <c r="GK36">
        <v>26.700800000000001</v>
      </c>
      <c r="GL36">
        <v>35.885300000000001</v>
      </c>
      <c r="GM36">
        <v>17.252600000000001</v>
      </c>
      <c r="GN36">
        <v>100</v>
      </c>
      <c r="GO36">
        <v>19.497399999999999</v>
      </c>
      <c r="GP36">
        <v>800</v>
      </c>
      <c r="GQ36">
        <v>21.434899999999999</v>
      </c>
      <c r="GR36">
        <v>99.709400000000002</v>
      </c>
      <c r="GS36">
        <v>99.565399999999997</v>
      </c>
    </row>
    <row r="37" spans="1:201" x14ac:dyDescent="0.25">
      <c r="A37">
        <v>21</v>
      </c>
      <c r="B37">
        <v>1690307000</v>
      </c>
      <c r="C37">
        <v>381.40000009536737</v>
      </c>
      <c r="D37" t="s">
        <v>375</v>
      </c>
      <c r="E37" t="s">
        <v>376</v>
      </c>
      <c r="F37" t="s">
        <v>330</v>
      </c>
      <c r="H37">
        <v>1690307000</v>
      </c>
      <c r="I37">
        <f t="shared" si="0"/>
        <v>8.4991893623302404E-5</v>
      </c>
      <c r="J37">
        <f t="shared" si="1"/>
        <v>8.4991893623302409E-2</v>
      </c>
      <c r="K37">
        <f t="shared" si="2"/>
        <v>0.91394290296829528</v>
      </c>
      <c r="L37">
        <f t="shared" si="3"/>
        <v>789.87599999999998</v>
      </c>
      <c r="M37">
        <f t="shared" si="4"/>
        <v>505.38783071316107</v>
      </c>
      <c r="N37">
        <f t="shared" si="5"/>
        <v>50.195478677178791</v>
      </c>
      <c r="O37">
        <f t="shared" si="6"/>
        <v>78.451045921835984</v>
      </c>
      <c r="P37">
        <f t="shared" si="7"/>
        <v>5.4561414136535232E-3</v>
      </c>
      <c r="Q37">
        <f t="shared" si="8"/>
        <v>2.1992708693156513</v>
      </c>
      <c r="R37">
        <f t="shared" si="9"/>
        <v>5.4486325524646731E-3</v>
      </c>
      <c r="S37">
        <f t="shared" si="10"/>
        <v>3.4060691109033224E-3</v>
      </c>
      <c r="T37">
        <f t="shared" si="11"/>
        <v>276.11418798176692</v>
      </c>
      <c r="U37">
        <f t="shared" si="12"/>
        <v>27.654356780192778</v>
      </c>
      <c r="V37">
        <f t="shared" si="13"/>
        <v>27.654356780192778</v>
      </c>
      <c r="W37">
        <f t="shared" si="14"/>
        <v>3.7190431780535396</v>
      </c>
      <c r="X37">
        <f t="shared" si="15"/>
        <v>67.411369082141974</v>
      </c>
      <c r="Y37">
        <f t="shared" si="16"/>
        <v>2.2160536359031</v>
      </c>
      <c r="Z37">
        <f t="shared" si="17"/>
        <v>3.2873588922408601</v>
      </c>
      <c r="AA37">
        <f t="shared" si="18"/>
        <v>1.5029895421504396</v>
      </c>
      <c r="AB37">
        <f t="shared" si="19"/>
        <v>-3.7481425087876361</v>
      </c>
      <c r="AC37">
        <f t="shared" si="20"/>
        <v>-248.34550458494957</v>
      </c>
      <c r="AD37">
        <f t="shared" si="21"/>
        <v>-24.274500622582419</v>
      </c>
      <c r="AE37">
        <f t="shared" si="22"/>
        <v>-0.25395973455269427</v>
      </c>
      <c r="AF37">
        <v>17</v>
      </c>
      <c r="AG37">
        <v>6</v>
      </c>
      <c r="AH37">
        <f t="shared" si="23"/>
        <v>1</v>
      </c>
      <c r="AI37">
        <f t="shared" si="24"/>
        <v>0</v>
      </c>
      <c r="AJ37">
        <f t="shared" si="25"/>
        <v>52854.144318641585</v>
      </c>
      <c r="AK37">
        <f t="shared" si="26"/>
        <v>1799.99</v>
      </c>
      <c r="AL37">
        <f t="shared" si="27"/>
        <v>1499.1022154080902</v>
      </c>
      <c r="AM37">
        <f t="shared" si="28"/>
        <v>0.83283919100000003</v>
      </c>
      <c r="AN37">
        <f t="shared" si="29"/>
        <v>0.15339762331000001</v>
      </c>
      <c r="AO37">
        <v>31.2</v>
      </c>
      <c r="AP37">
        <v>0.5</v>
      </c>
      <c r="AQ37" t="s">
        <v>331</v>
      </c>
      <c r="AR37">
        <v>2</v>
      </c>
      <c r="AS37">
        <v>1690307000</v>
      </c>
      <c r="AT37">
        <v>789.87599999999998</v>
      </c>
      <c r="AU37">
        <v>800.07100000000003</v>
      </c>
      <c r="AV37">
        <v>22.312100000000001</v>
      </c>
      <c r="AW37">
        <v>21.448599999999999</v>
      </c>
      <c r="AX37">
        <v>789.92</v>
      </c>
      <c r="AY37">
        <v>22.1281</v>
      </c>
      <c r="AZ37">
        <v>300.24099999999999</v>
      </c>
      <c r="BA37">
        <v>99.220699999999994</v>
      </c>
      <c r="BB37">
        <v>0.100011</v>
      </c>
      <c r="BC37">
        <v>25.559799999999999</v>
      </c>
      <c r="BD37">
        <v>28.468</v>
      </c>
      <c r="BE37">
        <v>27.4527</v>
      </c>
      <c r="BF37">
        <v>0</v>
      </c>
      <c r="BG37">
        <v>0</v>
      </c>
      <c r="BH37">
        <v>10026.9</v>
      </c>
      <c r="BI37">
        <v>1066.73</v>
      </c>
      <c r="BJ37">
        <v>1.62592</v>
      </c>
      <c r="BK37">
        <v>-10.195600000000001</v>
      </c>
      <c r="BL37">
        <v>807.90200000000004</v>
      </c>
      <c r="BM37">
        <v>817.60799999999995</v>
      </c>
      <c r="BN37">
        <v>0.86350099999999996</v>
      </c>
      <c r="BO37">
        <v>800.07100000000003</v>
      </c>
      <c r="BP37">
        <v>21.448599999999999</v>
      </c>
      <c r="BQ37">
        <v>2.2138200000000001</v>
      </c>
      <c r="BR37">
        <v>2.1281500000000002</v>
      </c>
      <c r="BS37">
        <v>19.0627</v>
      </c>
      <c r="BT37">
        <v>18.4314</v>
      </c>
      <c r="BU37">
        <v>1799.99</v>
      </c>
      <c r="BV37">
        <v>0.90998900000000005</v>
      </c>
      <c r="BW37">
        <v>3.4005800000000003E-2</v>
      </c>
      <c r="BX37">
        <v>2.2000800000000001E-2</v>
      </c>
      <c r="BY37">
        <v>3.4004899999999998E-2</v>
      </c>
      <c r="BZ37">
        <v>26</v>
      </c>
      <c r="CA37">
        <v>33528.1</v>
      </c>
      <c r="CB37">
        <v>1690306253.5999999</v>
      </c>
      <c r="CC37" t="s">
        <v>332</v>
      </c>
      <c r="CD37">
        <v>1690306253.5999999</v>
      </c>
      <c r="CE37">
        <v>1690306251.5999999</v>
      </c>
      <c r="CF37">
        <v>9</v>
      </c>
      <c r="CG37">
        <v>0.19</v>
      </c>
      <c r="CH37">
        <v>-8.7999999999999995E-2</v>
      </c>
      <c r="CI37">
        <v>-5.0999999999999997E-2</v>
      </c>
      <c r="CJ37">
        <v>5.0999999999999997E-2</v>
      </c>
      <c r="CK37">
        <v>799</v>
      </c>
      <c r="CL37">
        <v>15</v>
      </c>
      <c r="CM37">
        <v>0.28000000000000003</v>
      </c>
      <c r="CN37">
        <v>0.03</v>
      </c>
      <c r="CO37">
        <v>-8.6578924390243905</v>
      </c>
      <c r="CP37">
        <v>-8.2744335888501652</v>
      </c>
      <c r="CQ37">
        <v>0.81782556412745666</v>
      </c>
      <c r="CR37">
        <v>-1</v>
      </c>
      <c r="CS37">
        <v>0.61351890243902441</v>
      </c>
      <c r="CT37">
        <v>1.3088689756097569</v>
      </c>
      <c r="CU37">
        <v>0.1293873425395772</v>
      </c>
      <c r="CV37">
        <v>-1</v>
      </c>
      <c r="CW37">
        <v>0</v>
      </c>
      <c r="CX37">
        <v>0</v>
      </c>
      <c r="CY37" t="s">
        <v>333</v>
      </c>
      <c r="CZ37">
        <v>2.3641800000000002</v>
      </c>
      <c r="DA37">
        <v>2.7138300000000002</v>
      </c>
      <c r="DB37">
        <v>0.14555399999999999</v>
      </c>
      <c r="DC37">
        <v>0.14649100000000001</v>
      </c>
      <c r="DD37">
        <v>0.10822</v>
      </c>
      <c r="DE37">
        <v>0.103746</v>
      </c>
      <c r="DF37">
        <v>31187.4</v>
      </c>
      <c r="DG37">
        <v>27500.9</v>
      </c>
      <c r="DH37">
        <v>31162</v>
      </c>
      <c r="DI37">
        <v>28077.4</v>
      </c>
      <c r="DJ37">
        <v>37733.1</v>
      </c>
      <c r="DK37">
        <v>35787.1</v>
      </c>
      <c r="DL37">
        <v>44347.7</v>
      </c>
      <c r="DM37">
        <v>42563.4</v>
      </c>
      <c r="DN37">
        <v>1.4220200000000001</v>
      </c>
      <c r="DO37">
        <v>2.0535000000000001</v>
      </c>
      <c r="DP37">
        <v>0.16619300000000001</v>
      </c>
      <c r="DQ37">
        <v>0.13595099999999999</v>
      </c>
      <c r="DR37">
        <v>25.750499999999999</v>
      </c>
      <c r="DS37">
        <v>25.227</v>
      </c>
      <c r="DT37">
        <v>56.3</v>
      </c>
      <c r="DU37">
        <v>29.4</v>
      </c>
      <c r="DV37">
        <v>23.353899999999999</v>
      </c>
      <c r="DW37">
        <v>61.512999999999998</v>
      </c>
      <c r="DX37">
        <v>35.520800000000001</v>
      </c>
      <c r="DY37">
        <v>1</v>
      </c>
      <c r="DZ37">
        <v>-4.7886199999999997E-2</v>
      </c>
      <c r="EA37">
        <v>3.3420700000000001</v>
      </c>
      <c r="EB37">
        <v>20.1524</v>
      </c>
      <c r="EC37">
        <v>5.2408000000000001</v>
      </c>
      <c r="ED37">
        <v>12.039899999999999</v>
      </c>
      <c r="EE37">
        <v>5.0168999999999997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</v>
      </c>
      <c r="EL37">
        <v>1.8646199999999999</v>
      </c>
      <c r="EM37">
        <v>1.8692</v>
      </c>
      <c r="EN37">
        <v>1.8672299999999999</v>
      </c>
      <c r="EO37">
        <v>1.8633999999999999</v>
      </c>
      <c r="EP37">
        <v>1.8644700000000001</v>
      </c>
      <c r="EQ37">
        <v>1.87018</v>
      </c>
      <c r="ER37">
        <v>1.86941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-4.3999999999999997E-2</v>
      </c>
      <c r="FG37">
        <v>0.184</v>
      </c>
      <c r="FH37">
        <v>0.49996858830924029</v>
      </c>
      <c r="FI37">
        <v>-6.1462078757559423E-4</v>
      </c>
      <c r="FJ37">
        <v>-1.8861989874597051E-7</v>
      </c>
      <c r="FK37">
        <v>1.1980462299894961E-10</v>
      </c>
      <c r="FL37">
        <v>0.18404795463265899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12.4</v>
      </c>
      <c r="FU37">
        <v>12.5</v>
      </c>
      <c r="FV37">
        <v>1.79443</v>
      </c>
      <c r="FW37">
        <v>2.5903299999999998</v>
      </c>
      <c r="FX37">
        <v>1.5490699999999999</v>
      </c>
      <c r="FY37">
        <v>2.3290999999999999</v>
      </c>
      <c r="FZ37">
        <v>1.50146</v>
      </c>
      <c r="GA37">
        <v>2.34497</v>
      </c>
      <c r="GB37">
        <v>34.031799999999997</v>
      </c>
      <c r="GC37">
        <v>23.973700000000001</v>
      </c>
      <c r="GD37">
        <v>19</v>
      </c>
      <c r="GE37">
        <v>262.10599999999999</v>
      </c>
      <c r="GF37">
        <v>601.70000000000005</v>
      </c>
      <c r="GG37">
        <v>19.537400000000002</v>
      </c>
      <c r="GH37">
        <v>26.768000000000001</v>
      </c>
      <c r="GI37">
        <v>30.000399999999999</v>
      </c>
      <c r="GJ37">
        <v>26.766999999999999</v>
      </c>
      <c r="GK37">
        <v>26.706399999999999</v>
      </c>
      <c r="GL37">
        <v>35.877200000000002</v>
      </c>
      <c r="GM37">
        <v>18.433399999999999</v>
      </c>
      <c r="GN37">
        <v>100</v>
      </c>
      <c r="GO37">
        <v>19.572399999999998</v>
      </c>
      <c r="GP37">
        <v>800</v>
      </c>
      <c r="GQ37">
        <v>21.2455</v>
      </c>
      <c r="GR37">
        <v>99.706699999999998</v>
      </c>
      <c r="GS37">
        <v>99.563199999999995</v>
      </c>
    </row>
    <row r="38" spans="1:201" x14ac:dyDescent="0.25">
      <c r="A38">
        <v>22</v>
      </c>
      <c r="B38">
        <v>1690307010</v>
      </c>
      <c r="C38">
        <v>391.40000009536737</v>
      </c>
      <c r="D38" t="s">
        <v>377</v>
      </c>
      <c r="E38" t="s">
        <v>378</v>
      </c>
      <c r="F38" t="s">
        <v>330</v>
      </c>
      <c r="H38">
        <v>1690307010</v>
      </c>
      <c r="I38">
        <f t="shared" si="0"/>
        <v>1.2164159157189779E-4</v>
      </c>
      <c r="J38">
        <f t="shared" si="1"/>
        <v>0.12164159157189779</v>
      </c>
      <c r="K38">
        <f t="shared" si="2"/>
        <v>1.0309302412786334</v>
      </c>
      <c r="L38">
        <f t="shared" si="3"/>
        <v>788.36</v>
      </c>
      <c r="M38">
        <f t="shared" si="4"/>
        <v>563.53717396992749</v>
      </c>
      <c r="N38">
        <f t="shared" si="5"/>
        <v>55.969329254165039</v>
      </c>
      <c r="O38">
        <f t="shared" si="6"/>
        <v>78.29826043236001</v>
      </c>
      <c r="P38">
        <f t="shared" si="7"/>
        <v>7.9356247432117808E-3</v>
      </c>
      <c r="Q38">
        <f t="shared" si="8"/>
        <v>2.1942425717925831</v>
      </c>
      <c r="R38">
        <f t="shared" si="9"/>
        <v>7.9197149757333375E-3</v>
      </c>
      <c r="S38">
        <f t="shared" si="10"/>
        <v>4.9512486026279346E-3</v>
      </c>
      <c r="T38">
        <f t="shared" si="11"/>
        <v>276.11365581472347</v>
      </c>
      <c r="U38">
        <f t="shared" si="12"/>
        <v>27.594269556348838</v>
      </c>
      <c r="V38">
        <f t="shared" si="13"/>
        <v>27.594269556348838</v>
      </c>
      <c r="W38">
        <f t="shared" si="14"/>
        <v>3.706002269510579</v>
      </c>
      <c r="X38">
        <f t="shared" si="15"/>
        <v>67.926842942983484</v>
      </c>
      <c r="Y38">
        <f t="shared" si="16"/>
        <v>2.2261015012239005</v>
      </c>
      <c r="Z38">
        <f t="shared" si="17"/>
        <v>3.2772044228412738</v>
      </c>
      <c r="AA38">
        <f t="shared" si="18"/>
        <v>1.4799007682866785</v>
      </c>
      <c r="AB38">
        <f t="shared" si="19"/>
        <v>-5.3643941883206923</v>
      </c>
      <c r="AC38">
        <f t="shared" si="20"/>
        <v>-246.83284377757695</v>
      </c>
      <c r="AD38">
        <f t="shared" si="21"/>
        <v>-24.168352179552148</v>
      </c>
      <c r="AE38">
        <f t="shared" si="22"/>
        <v>-0.25193433072632843</v>
      </c>
      <c r="AF38">
        <v>17</v>
      </c>
      <c r="AG38">
        <v>6</v>
      </c>
      <c r="AH38">
        <f t="shared" si="23"/>
        <v>1</v>
      </c>
      <c r="AI38">
        <f t="shared" si="24"/>
        <v>0</v>
      </c>
      <c r="AJ38">
        <f t="shared" si="25"/>
        <v>52656.34635820429</v>
      </c>
      <c r="AK38">
        <f t="shared" si="26"/>
        <v>1799.99</v>
      </c>
      <c r="AL38">
        <f t="shared" si="27"/>
        <v>1499.1032414023898</v>
      </c>
      <c r="AM38">
        <f t="shared" si="28"/>
        <v>0.8328397609999999</v>
      </c>
      <c r="AN38">
        <f t="shared" si="29"/>
        <v>0.15339732766000003</v>
      </c>
      <c r="AO38">
        <v>31.2</v>
      </c>
      <c r="AP38">
        <v>0.5</v>
      </c>
      <c r="AQ38" t="s">
        <v>331</v>
      </c>
      <c r="AR38">
        <v>2</v>
      </c>
      <c r="AS38">
        <v>1690307010</v>
      </c>
      <c r="AT38">
        <v>788.36</v>
      </c>
      <c r="AU38">
        <v>800.07600000000002</v>
      </c>
      <c r="AV38">
        <v>22.413900000000002</v>
      </c>
      <c r="AW38">
        <v>21.177499999999998</v>
      </c>
      <c r="AX38">
        <v>788.40300000000002</v>
      </c>
      <c r="AY38">
        <v>22.229800000000001</v>
      </c>
      <c r="AZ38">
        <v>300.077</v>
      </c>
      <c r="BA38">
        <v>99.2179</v>
      </c>
      <c r="BB38">
        <v>0.10000100000000001</v>
      </c>
      <c r="BC38">
        <v>25.5077</v>
      </c>
      <c r="BD38">
        <v>28.403300000000002</v>
      </c>
      <c r="BE38">
        <v>27.401199999999999</v>
      </c>
      <c r="BF38">
        <v>0</v>
      </c>
      <c r="BG38">
        <v>0</v>
      </c>
      <c r="BH38">
        <v>9986.25</v>
      </c>
      <c r="BI38">
        <v>1065.8599999999999</v>
      </c>
      <c r="BJ38">
        <v>1.62592</v>
      </c>
      <c r="BK38">
        <v>-11.716200000000001</v>
      </c>
      <c r="BL38">
        <v>806.43499999999995</v>
      </c>
      <c r="BM38">
        <v>817.38699999999994</v>
      </c>
      <c r="BN38">
        <v>1.2363299999999999</v>
      </c>
      <c r="BO38">
        <v>800.07600000000002</v>
      </c>
      <c r="BP38">
        <v>21.177499999999998</v>
      </c>
      <c r="BQ38">
        <v>2.2238600000000002</v>
      </c>
      <c r="BR38">
        <v>2.1011899999999999</v>
      </c>
      <c r="BS38">
        <v>19.135200000000001</v>
      </c>
      <c r="BT38">
        <v>18.228200000000001</v>
      </c>
      <c r="BU38">
        <v>1799.99</v>
      </c>
      <c r="BV38">
        <v>0.909999</v>
      </c>
      <c r="BW38">
        <v>3.4001900000000002E-2</v>
      </c>
      <c r="BX38">
        <v>2.1998299999999998E-2</v>
      </c>
      <c r="BY38">
        <v>3.4001000000000003E-2</v>
      </c>
      <c r="BZ38">
        <v>26</v>
      </c>
      <c r="CA38">
        <v>33528.199999999997</v>
      </c>
      <c r="CB38">
        <v>1690306253.5999999</v>
      </c>
      <c r="CC38" t="s">
        <v>332</v>
      </c>
      <c r="CD38">
        <v>1690306253.5999999</v>
      </c>
      <c r="CE38">
        <v>1690306251.5999999</v>
      </c>
      <c r="CF38">
        <v>9</v>
      </c>
      <c r="CG38">
        <v>0.19</v>
      </c>
      <c r="CH38">
        <v>-8.7999999999999995E-2</v>
      </c>
      <c r="CI38">
        <v>-5.0999999999999997E-2</v>
      </c>
      <c r="CJ38">
        <v>5.0999999999999997E-2</v>
      </c>
      <c r="CK38">
        <v>799</v>
      </c>
      <c r="CL38">
        <v>15</v>
      </c>
      <c r="CM38">
        <v>0.28000000000000003</v>
      </c>
      <c r="CN38">
        <v>0.03</v>
      </c>
      <c r="CO38">
        <v>-10.129220487804879</v>
      </c>
      <c r="CP38">
        <v>-9.3076632752613371</v>
      </c>
      <c r="CQ38">
        <v>0.91817554346610319</v>
      </c>
      <c r="CR38">
        <v>-1</v>
      </c>
      <c r="CS38">
        <v>0.87216648780487804</v>
      </c>
      <c r="CT38">
        <v>1.8051960209059239</v>
      </c>
      <c r="CU38">
        <v>0.17910827960436451</v>
      </c>
      <c r="CV38">
        <v>-1</v>
      </c>
      <c r="CW38">
        <v>0</v>
      </c>
      <c r="CX38">
        <v>0</v>
      </c>
      <c r="CY38" t="s">
        <v>333</v>
      </c>
      <c r="CZ38">
        <v>2.36361</v>
      </c>
      <c r="DA38">
        <v>2.7137799999999999</v>
      </c>
      <c r="DB38">
        <v>0.14536299999999999</v>
      </c>
      <c r="DC38">
        <v>0.146481</v>
      </c>
      <c r="DD38">
        <v>0.108567</v>
      </c>
      <c r="DE38">
        <v>0.102816</v>
      </c>
      <c r="DF38">
        <v>31193.8</v>
      </c>
      <c r="DG38">
        <v>27500.7</v>
      </c>
      <c r="DH38">
        <v>31161.4</v>
      </c>
      <c r="DI38">
        <v>28076.9</v>
      </c>
      <c r="DJ38">
        <v>37717.5</v>
      </c>
      <c r="DK38">
        <v>35823.699999999997</v>
      </c>
      <c r="DL38">
        <v>44346.7</v>
      </c>
      <c r="DM38">
        <v>42562.8</v>
      </c>
      <c r="DN38">
        <v>1.42188</v>
      </c>
      <c r="DO38">
        <v>2.05315</v>
      </c>
      <c r="DP38">
        <v>0.16485900000000001</v>
      </c>
      <c r="DQ38">
        <v>0.13586899999999999</v>
      </c>
      <c r="DR38">
        <v>25.7075</v>
      </c>
      <c r="DS38">
        <v>25.176600000000001</v>
      </c>
      <c r="DT38">
        <v>56.3</v>
      </c>
      <c r="DU38">
        <v>29.4</v>
      </c>
      <c r="DV38">
        <v>23.354199999999999</v>
      </c>
      <c r="DW38">
        <v>62.343000000000004</v>
      </c>
      <c r="DX38">
        <v>36.053699999999999</v>
      </c>
      <c r="DY38">
        <v>1</v>
      </c>
      <c r="DZ38">
        <v>-4.7662599999999999E-2</v>
      </c>
      <c r="EA38">
        <v>3.2159399999999998</v>
      </c>
      <c r="EB38">
        <v>20.155100000000001</v>
      </c>
      <c r="EC38">
        <v>5.2411000000000003</v>
      </c>
      <c r="ED38">
        <v>12.039899999999999</v>
      </c>
      <c r="EE38">
        <v>5.0170000000000003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1.8689100000000001</v>
      </c>
      <c r="EL38">
        <v>1.8646199999999999</v>
      </c>
      <c r="EM38">
        <v>1.8692</v>
      </c>
      <c r="EN38">
        <v>1.86724</v>
      </c>
      <c r="EO38">
        <v>1.8633999999999999</v>
      </c>
      <c r="EP38">
        <v>1.8644700000000001</v>
      </c>
      <c r="EQ38">
        <v>1.87016</v>
      </c>
      <c r="ER38">
        <v>1.8694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-4.2999999999999997E-2</v>
      </c>
      <c r="FG38">
        <v>0.18410000000000001</v>
      </c>
      <c r="FH38">
        <v>0.49996858830924029</v>
      </c>
      <c r="FI38">
        <v>-6.1462078757559423E-4</v>
      </c>
      <c r="FJ38">
        <v>-1.8861989874597051E-7</v>
      </c>
      <c r="FK38">
        <v>1.1980462299894961E-10</v>
      </c>
      <c r="FL38">
        <v>0.18404795463265899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12.6</v>
      </c>
      <c r="FU38">
        <v>12.6</v>
      </c>
      <c r="FV38">
        <v>1.79321</v>
      </c>
      <c r="FW38">
        <v>2.5988799999999999</v>
      </c>
      <c r="FX38">
        <v>1.5490699999999999</v>
      </c>
      <c r="FY38">
        <v>2.3290999999999999</v>
      </c>
      <c r="FZ38">
        <v>1.50146</v>
      </c>
      <c r="GA38">
        <v>2.3046899999999999</v>
      </c>
      <c r="GB38">
        <v>34.031799999999997</v>
      </c>
      <c r="GC38">
        <v>23.9649</v>
      </c>
      <c r="GD38">
        <v>19</v>
      </c>
      <c r="GE38">
        <v>262.07</v>
      </c>
      <c r="GF38">
        <v>601.45600000000002</v>
      </c>
      <c r="GG38">
        <v>19.613</v>
      </c>
      <c r="GH38">
        <v>26.772600000000001</v>
      </c>
      <c r="GI38">
        <v>30.000299999999999</v>
      </c>
      <c r="GJ38">
        <v>26.773199999999999</v>
      </c>
      <c r="GK38">
        <v>26.710899999999999</v>
      </c>
      <c r="GL38">
        <v>35.865499999999997</v>
      </c>
      <c r="GM38">
        <v>19.592300000000002</v>
      </c>
      <c r="GN38">
        <v>100</v>
      </c>
      <c r="GO38">
        <v>19.643799999999999</v>
      </c>
      <c r="GP38">
        <v>800</v>
      </c>
      <c r="GQ38">
        <v>20.952100000000002</v>
      </c>
      <c r="GR38">
        <v>99.704700000000003</v>
      </c>
      <c r="GS38">
        <v>99.561700000000002</v>
      </c>
    </row>
    <row r="39" spans="1:201" x14ac:dyDescent="0.25">
      <c r="A39">
        <v>23</v>
      </c>
      <c r="B39">
        <v>1690307020</v>
      </c>
      <c r="C39">
        <v>401.40000009536737</v>
      </c>
      <c r="D39" t="s">
        <v>379</v>
      </c>
      <c r="E39" t="s">
        <v>380</v>
      </c>
      <c r="F39" t="s">
        <v>330</v>
      </c>
      <c r="H39">
        <v>1690307020</v>
      </c>
      <c r="I39">
        <f t="shared" si="0"/>
        <v>1.5440134912886766E-4</v>
      </c>
      <c r="J39">
        <f t="shared" si="1"/>
        <v>0.15440134912886766</v>
      </c>
      <c r="K39">
        <f t="shared" si="2"/>
        <v>1.1769704514011778</v>
      </c>
      <c r="L39">
        <f t="shared" si="3"/>
        <v>786.65300000000002</v>
      </c>
      <c r="M39">
        <f t="shared" si="4"/>
        <v>585.41394592621282</v>
      </c>
      <c r="N39">
        <f t="shared" si="5"/>
        <v>58.143771781218085</v>
      </c>
      <c r="O39">
        <f t="shared" si="6"/>
        <v>78.130992302625501</v>
      </c>
      <c r="P39">
        <f t="shared" si="7"/>
        <v>1.0222569315525298E-2</v>
      </c>
      <c r="Q39">
        <f t="shared" si="8"/>
        <v>2.1942009597008818</v>
      </c>
      <c r="R39">
        <f t="shared" si="9"/>
        <v>1.01961841950694E-2</v>
      </c>
      <c r="S39">
        <f t="shared" si="10"/>
        <v>6.3749800011674313E-3</v>
      </c>
      <c r="T39">
        <f t="shared" si="11"/>
        <v>276.1132790228167</v>
      </c>
      <c r="U39">
        <f t="shared" si="12"/>
        <v>27.538151788085198</v>
      </c>
      <c r="V39">
        <f t="shared" si="13"/>
        <v>27.538151788085198</v>
      </c>
      <c r="W39">
        <f t="shared" si="14"/>
        <v>3.6938589190739703</v>
      </c>
      <c r="X39">
        <f t="shared" si="15"/>
        <v>68.37298562412829</v>
      </c>
      <c r="Y39">
        <f t="shared" si="16"/>
        <v>2.2347275608283499</v>
      </c>
      <c r="Z39">
        <f t="shared" si="17"/>
        <v>3.2684364159749841</v>
      </c>
      <c r="AA39">
        <f t="shared" si="18"/>
        <v>1.4591313582456205</v>
      </c>
      <c r="AB39">
        <f t="shared" si="19"/>
        <v>-6.8090994965830642</v>
      </c>
      <c r="AC39">
        <f t="shared" si="20"/>
        <v>-245.52482952774437</v>
      </c>
      <c r="AD39">
        <f t="shared" si="21"/>
        <v>-24.028549492740993</v>
      </c>
      <c r="AE39">
        <f t="shared" si="22"/>
        <v>-0.24919949425171239</v>
      </c>
      <c r="AF39">
        <v>17</v>
      </c>
      <c r="AG39">
        <v>6</v>
      </c>
      <c r="AH39">
        <f t="shared" si="23"/>
        <v>1</v>
      </c>
      <c r="AI39">
        <f t="shared" si="24"/>
        <v>0</v>
      </c>
      <c r="AJ39">
        <f t="shared" si="25"/>
        <v>52662.654595323613</v>
      </c>
      <c r="AK39">
        <f t="shared" si="26"/>
        <v>1799.99</v>
      </c>
      <c r="AL39">
        <f t="shared" si="27"/>
        <v>1499.10494599292</v>
      </c>
      <c r="AM39">
        <f t="shared" si="28"/>
        <v>0.83284070799999999</v>
      </c>
      <c r="AN39">
        <f t="shared" si="29"/>
        <v>0.15339711833</v>
      </c>
      <c r="AO39">
        <v>31.2</v>
      </c>
      <c r="AP39">
        <v>0.5</v>
      </c>
      <c r="AQ39" t="s">
        <v>331</v>
      </c>
      <c r="AR39">
        <v>2</v>
      </c>
      <c r="AS39">
        <v>1690307020</v>
      </c>
      <c r="AT39">
        <v>786.65300000000002</v>
      </c>
      <c r="AU39">
        <v>800.15200000000004</v>
      </c>
      <c r="AV39">
        <v>22.5001</v>
      </c>
      <c r="AW39">
        <v>20.931000000000001</v>
      </c>
      <c r="AX39">
        <v>786.69500000000005</v>
      </c>
      <c r="AY39">
        <v>22.315999999999999</v>
      </c>
      <c r="AZ39">
        <v>300.10399999999998</v>
      </c>
      <c r="BA39">
        <v>99.220799999999997</v>
      </c>
      <c r="BB39">
        <v>9.9983500000000003E-2</v>
      </c>
      <c r="BC39">
        <v>25.462599999999998</v>
      </c>
      <c r="BD39">
        <v>28.349599999999999</v>
      </c>
      <c r="BE39">
        <v>27.338200000000001</v>
      </c>
      <c r="BF39">
        <v>0</v>
      </c>
      <c r="BG39">
        <v>0</v>
      </c>
      <c r="BH39">
        <v>9985.6200000000008</v>
      </c>
      <c r="BI39">
        <v>1064.8399999999999</v>
      </c>
      <c r="BJ39">
        <v>1.62592</v>
      </c>
      <c r="BK39">
        <v>-13.499000000000001</v>
      </c>
      <c r="BL39">
        <v>804.76</v>
      </c>
      <c r="BM39">
        <v>817.25800000000004</v>
      </c>
      <c r="BN39">
        <v>1.56904</v>
      </c>
      <c r="BO39">
        <v>800.15200000000004</v>
      </c>
      <c r="BP39">
        <v>20.931000000000001</v>
      </c>
      <c r="BQ39">
        <v>2.2324700000000002</v>
      </c>
      <c r="BR39">
        <v>2.0767899999999999</v>
      </c>
      <c r="BS39">
        <v>19.197299999999998</v>
      </c>
      <c r="BT39">
        <v>18.042300000000001</v>
      </c>
      <c r="BU39">
        <v>1799.99</v>
      </c>
      <c r="BV39">
        <v>0.91000899999999996</v>
      </c>
      <c r="BW39">
        <v>3.3998199999999999E-2</v>
      </c>
      <c r="BX39">
        <v>2.1995899999999999E-2</v>
      </c>
      <c r="BY39">
        <v>3.3997300000000001E-2</v>
      </c>
      <c r="BZ39">
        <v>26</v>
      </c>
      <c r="CA39">
        <v>33528.300000000003</v>
      </c>
      <c r="CB39">
        <v>1690306253.5999999</v>
      </c>
      <c r="CC39" t="s">
        <v>332</v>
      </c>
      <c r="CD39">
        <v>1690306253.5999999</v>
      </c>
      <c r="CE39">
        <v>1690306251.5999999</v>
      </c>
      <c r="CF39">
        <v>9</v>
      </c>
      <c r="CG39">
        <v>0.19</v>
      </c>
      <c r="CH39">
        <v>-8.7999999999999995E-2</v>
      </c>
      <c r="CI39">
        <v>-5.0999999999999997E-2</v>
      </c>
      <c r="CJ39">
        <v>5.0999999999999997E-2</v>
      </c>
      <c r="CK39">
        <v>799</v>
      </c>
      <c r="CL39">
        <v>15</v>
      </c>
      <c r="CM39">
        <v>0.28000000000000003</v>
      </c>
      <c r="CN39">
        <v>0.03</v>
      </c>
      <c r="CO39">
        <v>-11.71840487804878</v>
      </c>
      <c r="CP39">
        <v>-9.8470285714286021</v>
      </c>
      <c r="CQ39">
        <v>0.972087913556959</v>
      </c>
      <c r="CR39">
        <v>-1</v>
      </c>
      <c r="CS39">
        <v>1.206031707317073</v>
      </c>
      <c r="CT39">
        <v>2.189800097560977</v>
      </c>
      <c r="CU39">
        <v>0.216162926771231</v>
      </c>
      <c r="CV39">
        <v>-1</v>
      </c>
      <c r="CW39">
        <v>0</v>
      </c>
      <c r="CX39">
        <v>0</v>
      </c>
      <c r="CY39" t="s">
        <v>333</v>
      </c>
      <c r="CZ39">
        <v>2.3637000000000001</v>
      </c>
      <c r="DA39">
        <v>2.7137600000000002</v>
      </c>
      <c r="DB39">
        <v>0.14515600000000001</v>
      </c>
      <c r="DC39">
        <v>0.14648800000000001</v>
      </c>
      <c r="DD39">
        <v>0.108866</v>
      </c>
      <c r="DE39">
        <v>0.10197199999999999</v>
      </c>
      <c r="DF39">
        <v>31201.3</v>
      </c>
      <c r="DG39">
        <v>27500.1</v>
      </c>
      <c r="DH39">
        <v>31161.4</v>
      </c>
      <c r="DI39">
        <v>28076.5</v>
      </c>
      <c r="DJ39">
        <v>37704.5</v>
      </c>
      <c r="DK39">
        <v>35857.1</v>
      </c>
      <c r="DL39">
        <v>44346.6</v>
      </c>
      <c r="DM39">
        <v>42562.3</v>
      </c>
      <c r="DN39">
        <v>1.4214</v>
      </c>
      <c r="DO39">
        <v>2.0522800000000001</v>
      </c>
      <c r="DP39">
        <v>0.16409899999999999</v>
      </c>
      <c r="DQ39">
        <v>0.13495199999999999</v>
      </c>
      <c r="DR39">
        <v>25.666</v>
      </c>
      <c r="DS39">
        <v>25.128399999999999</v>
      </c>
      <c r="DT39">
        <v>56.4</v>
      </c>
      <c r="DU39">
        <v>29.4</v>
      </c>
      <c r="DV39">
        <v>23.3932</v>
      </c>
      <c r="DW39">
        <v>61.792999999999999</v>
      </c>
      <c r="DX39">
        <v>35.625</v>
      </c>
      <c r="DY39">
        <v>1</v>
      </c>
      <c r="DZ39">
        <v>-4.7339899999999997E-2</v>
      </c>
      <c r="EA39">
        <v>3.12141</v>
      </c>
      <c r="EB39">
        <v>20.157299999999999</v>
      </c>
      <c r="EC39">
        <v>5.2409499999999998</v>
      </c>
      <c r="ED39">
        <v>12.039899999999999</v>
      </c>
      <c r="EE39">
        <v>5.0170000000000003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1.8646199999999999</v>
      </c>
      <c r="EM39">
        <v>1.8692</v>
      </c>
      <c r="EN39">
        <v>1.8672500000000001</v>
      </c>
      <c r="EO39">
        <v>1.8633999999999999</v>
      </c>
      <c r="EP39">
        <v>1.86446</v>
      </c>
      <c r="EQ39">
        <v>1.8701700000000001</v>
      </c>
      <c r="ER39">
        <v>1.86941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-4.2000000000000003E-2</v>
      </c>
      <c r="FG39">
        <v>0.18410000000000001</v>
      </c>
      <c r="FH39">
        <v>0.49996858830924029</v>
      </c>
      <c r="FI39">
        <v>-6.1462078757559423E-4</v>
      </c>
      <c r="FJ39">
        <v>-1.8861989874597051E-7</v>
      </c>
      <c r="FK39">
        <v>1.1980462299894961E-10</v>
      </c>
      <c r="FL39">
        <v>0.18404795463265899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12.8</v>
      </c>
      <c r="FU39">
        <v>12.8</v>
      </c>
      <c r="FV39">
        <v>1.79321</v>
      </c>
      <c r="FW39">
        <v>2.5952099999999998</v>
      </c>
      <c r="FX39">
        <v>1.5490699999999999</v>
      </c>
      <c r="FY39">
        <v>2.3290999999999999</v>
      </c>
      <c r="FZ39">
        <v>1.50146</v>
      </c>
      <c r="GA39">
        <v>2.3645</v>
      </c>
      <c r="GB39">
        <v>34.054499999999997</v>
      </c>
      <c r="GC39">
        <v>23.973700000000001</v>
      </c>
      <c r="GD39">
        <v>19</v>
      </c>
      <c r="GE39">
        <v>261.90300000000002</v>
      </c>
      <c r="GF39">
        <v>600.77300000000002</v>
      </c>
      <c r="GG39">
        <v>19.677099999999999</v>
      </c>
      <c r="GH39">
        <v>26.776499999999999</v>
      </c>
      <c r="GI39">
        <v>30.0002</v>
      </c>
      <c r="GJ39">
        <v>26.779399999999999</v>
      </c>
      <c r="GK39">
        <v>26.715900000000001</v>
      </c>
      <c r="GL39">
        <v>35.853999999999999</v>
      </c>
      <c r="GM39">
        <v>20.774799999999999</v>
      </c>
      <c r="GN39">
        <v>100</v>
      </c>
      <c r="GO39">
        <v>19.703199999999999</v>
      </c>
      <c r="GP39">
        <v>800</v>
      </c>
      <c r="GQ39">
        <v>20.7255</v>
      </c>
      <c r="GR39">
        <v>99.704400000000007</v>
      </c>
      <c r="GS39">
        <v>99.560500000000005</v>
      </c>
    </row>
    <row r="40" spans="1:201" x14ac:dyDescent="0.25">
      <c r="A40">
        <v>24</v>
      </c>
      <c r="B40">
        <v>1690307030</v>
      </c>
      <c r="C40">
        <v>411.40000009536737</v>
      </c>
      <c r="D40" t="s">
        <v>381</v>
      </c>
      <c r="E40" t="s">
        <v>382</v>
      </c>
      <c r="F40" t="s">
        <v>330</v>
      </c>
      <c r="H40">
        <v>1690307030</v>
      </c>
      <c r="I40">
        <f t="shared" si="0"/>
        <v>1.9115668164144421E-4</v>
      </c>
      <c r="J40">
        <f t="shared" si="1"/>
        <v>0.19115668164144423</v>
      </c>
      <c r="K40">
        <f t="shared" si="2"/>
        <v>1.3232812157066272</v>
      </c>
      <c r="L40">
        <f t="shared" si="3"/>
        <v>784.81</v>
      </c>
      <c r="M40">
        <f t="shared" si="4"/>
        <v>602.59258042267584</v>
      </c>
      <c r="N40">
        <f t="shared" si="5"/>
        <v>59.848008491684261</v>
      </c>
      <c r="O40">
        <f t="shared" si="6"/>
        <v>77.945393073730003</v>
      </c>
      <c r="P40">
        <f t="shared" si="7"/>
        <v>1.2819209773834687E-2</v>
      </c>
      <c r="Q40">
        <f t="shared" si="8"/>
        <v>2.1969239572445223</v>
      </c>
      <c r="R40">
        <f t="shared" si="9"/>
        <v>1.2777798612322516E-2</v>
      </c>
      <c r="S40">
        <f t="shared" si="10"/>
        <v>7.9898335503319276E-3</v>
      </c>
      <c r="T40">
        <f t="shared" si="11"/>
        <v>276.11271962192455</v>
      </c>
      <c r="U40">
        <f t="shared" si="12"/>
        <v>27.48669047619526</v>
      </c>
      <c r="V40">
        <f t="shared" si="13"/>
        <v>27.48669047619526</v>
      </c>
      <c r="W40">
        <f t="shared" si="14"/>
        <v>3.6827537171965661</v>
      </c>
      <c r="X40">
        <f t="shared" si="15"/>
        <v>68.722827090840809</v>
      </c>
      <c r="Y40">
        <f t="shared" si="16"/>
        <v>2.2412689719510999</v>
      </c>
      <c r="Z40">
        <f t="shared" si="17"/>
        <v>3.2613166058906358</v>
      </c>
      <c r="AA40">
        <f t="shared" si="18"/>
        <v>1.4414847452454662</v>
      </c>
      <c r="AB40">
        <f t="shared" si="19"/>
        <v>-8.4300096603876895</v>
      </c>
      <c r="AC40">
        <f t="shared" si="20"/>
        <v>-244.08118707560948</v>
      </c>
      <c r="AD40">
        <f t="shared" si="21"/>
        <v>-23.847122011885986</v>
      </c>
      <c r="AE40">
        <f t="shared" si="22"/>
        <v>-0.24559912595859146</v>
      </c>
      <c r="AF40">
        <v>17</v>
      </c>
      <c r="AG40">
        <v>6</v>
      </c>
      <c r="AH40">
        <f t="shared" si="23"/>
        <v>1</v>
      </c>
      <c r="AI40">
        <f t="shared" si="24"/>
        <v>0</v>
      </c>
      <c r="AJ40">
        <f t="shared" si="25"/>
        <v>52781.103632248538</v>
      </c>
      <c r="AK40">
        <f t="shared" si="26"/>
        <v>1799.99</v>
      </c>
      <c r="AL40">
        <f t="shared" si="27"/>
        <v>1499.10485059345</v>
      </c>
      <c r="AM40">
        <f t="shared" si="28"/>
        <v>0.83284065500000004</v>
      </c>
      <c r="AN40">
        <f t="shared" si="29"/>
        <v>0.15339680755000001</v>
      </c>
      <c r="AO40">
        <v>31.2</v>
      </c>
      <c r="AP40">
        <v>0.5</v>
      </c>
      <c r="AQ40" t="s">
        <v>331</v>
      </c>
      <c r="AR40">
        <v>2</v>
      </c>
      <c r="AS40">
        <v>1690307030</v>
      </c>
      <c r="AT40">
        <v>784.81</v>
      </c>
      <c r="AU40">
        <v>800.12</v>
      </c>
      <c r="AV40">
        <v>22.566700000000001</v>
      </c>
      <c r="AW40">
        <v>20.6251</v>
      </c>
      <c r="AX40">
        <v>784.851</v>
      </c>
      <c r="AY40">
        <v>22.3827</v>
      </c>
      <c r="AZ40">
        <v>300.24200000000002</v>
      </c>
      <c r="BA40">
        <v>99.217500000000001</v>
      </c>
      <c r="BB40">
        <v>0.100033</v>
      </c>
      <c r="BC40">
        <v>25.425899999999999</v>
      </c>
      <c r="BD40">
        <v>28.328399999999998</v>
      </c>
      <c r="BE40">
        <v>27.327100000000002</v>
      </c>
      <c r="BF40">
        <v>0</v>
      </c>
      <c r="BG40">
        <v>0</v>
      </c>
      <c r="BH40">
        <v>10008.1</v>
      </c>
      <c r="BI40">
        <v>1064.08</v>
      </c>
      <c r="BJ40">
        <v>1.62592</v>
      </c>
      <c r="BK40">
        <v>-15.31</v>
      </c>
      <c r="BL40">
        <v>802.93</v>
      </c>
      <c r="BM40">
        <v>816.97</v>
      </c>
      <c r="BN40">
        <v>1.9416</v>
      </c>
      <c r="BO40">
        <v>800.12</v>
      </c>
      <c r="BP40">
        <v>20.6251</v>
      </c>
      <c r="BQ40">
        <v>2.23902</v>
      </c>
      <c r="BR40">
        <v>2.04637</v>
      </c>
      <c r="BS40">
        <v>19.244199999999999</v>
      </c>
      <c r="BT40">
        <v>17.8078</v>
      </c>
      <c r="BU40">
        <v>1799.99</v>
      </c>
      <c r="BV40">
        <v>0.91001600000000005</v>
      </c>
      <c r="BW40">
        <v>3.3995299999999999E-2</v>
      </c>
      <c r="BX40">
        <v>2.1994E-2</v>
      </c>
      <c r="BY40">
        <v>3.3994299999999998E-2</v>
      </c>
      <c r="BZ40">
        <v>26</v>
      </c>
      <c r="CA40">
        <v>33528.300000000003</v>
      </c>
      <c r="CB40">
        <v>1690306253.5999999</v>
      </c>
      <c r="CC40" t="s">
        <v>332</v>
      </c>
      <c r="CD40">
        <v>1690306253.5999999</v>
      </c>
      <c r="CE40">
        <v>1690306251.5999999</v>
      </c>
      <c r="CF40">
        <v>9</v>
      </c>
      <c r="CG40">
        <v>0.19</v>
      </c>
      <c r="CH40">
        <v>-8.7999999999999995E-2</v>
      </c>
      <c r="CI40">
        <v>-5.0999999999999997E-2</v>
      </c>
      <c r="CJ40">
        <v>5.0999999999999997E-2</v>
      </c>
      <c r="CK40">
        <v>799</v>
      </c>
      <c r="CL40">
        <v>15</v>
      </c>
      <c r="CM40">
        <v>0.28000000000000003</v>
      </c>
      <c r="CN40">
        <v>0.03</v>
      </c>
      <c r="CO40">
        <v>-13.37912</v>
      </c>
      <c r="CP40">
        <v>-10.79779587242021</v>
      </c>
      <c r="CQ40">
        <v>1.0391282734099769</v>
      </c>
      <c r="CR40">
        <v>-1</v>
      </c>
      <c r="CS40">
        <v>1.55990775</v>
      </c>
      <c r="CT40">
        <v>2.1344914446529062</v>
      </c>
      <c r="CU40">
        <v>0.20564541488308821</v>
      </c>
      <c r="CV40">
        <v>-1</v>
      </c>
      <c r="CW40">
        <v>0</v>
      </c>
      <c r="CX40">
        <v>0</v>
      </c>
      <c r="CY40" t="s">
        <v>333</v>
      </c>
      <c r="CZ40">
        <v>2.3641100000000002</v>
      </c>
      <c r="DA40">
        <v>2.7138300000000002</v>
      </c>
      <c r="DB40">
        <v>0.144923</v>
      </c>
      <c r="DC40">
        <v>0.14647199999999999</v>
      </c>
      <c r="DD40">
        <v>0.10909099999999999</v>
      </c>
      <c r="DE40">
        <v>0.100913</v>
      </c>
      <c r="DF40">
        <v>31210</v>
      </c>
      <c r="DG40">
        <v>27500.6</v>
      </c>
      <c r="DH40">
        <v>31161.5</v>
      </c>
      <c r="DI40">
        <v>28076.5</v>
      </c>
      <c r="DJ40">
        <v>37694.9</v>
      </c>
      <c r="DK40">
        <v>35899.599999999999</v>
      </c>
      <c r="DL40">
        <v>44346.6</v>
      </c>
      <c r="DM40">
        <v>42562.5</v>
      </c>
      <c r="DN40">
        <v>1.42248</v>
      </c>
      <c r="DO40">
        <v>2.0521199999999999</v>
      </c>
      <c r="DP40">
        <v>0.16530600000000001</v>
      </c>
      <c r="DQ40">
        <v>0.13711300000000001</v>
      </c>
      <c r="DR40">
        <v>25.6249</v>
      </c>
      <c r="DS40">
        <v>25.081900000000001</v>
      </c>
      <c r="DT40">
        <v>56.4</v>
      </c>
      <c r="DU40">
        <v>29.4</v>
      </c>
      <c r="DV40">
        <v>23.395</v>
      </c>
      <c r="DW40">
        <v>61.662999999999997</v>
      </c>
      <c r="DX40">
        <v>34.831699999999998</v>
      </c>
      <c r="DY40">
        <v>1</v>
      </c>
      <c r="DZ40">
        <v>-4.7141799999999998E-2</v>
      </c>
      <c r="EA40">
        <v>3.0597500000000002</v>
      </c>
      <c r="EB40">
        <v>20.1586</v>
      </c>
      <c r="EC40">
        <v>5.2403500000000003</v>
      </c>
      <c r="ED40">
        <v>12.039899999999999</v>
      </c>
      <c r="EE40">
        <v>5.0169499999999996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1.8689100000000001</v>
      </c>
      <c r="EL40">
        <v>1.8646199999999999</v>
      </c>
      <c r="EM40">
        <v>1.8692</v>
      </c>
      <c r="EN40">
        <v>1.8672500000000001</v>
      </c>
      <c r="EO40">
        <v>1.8633999999999999</v>
      </c>
      <c r="EP40">
        <v>1.8644700000000001</v>
      </c>
      <c r="EQ40">
        <v>1.8702000000000001</v>
      </c>
      <c r="ER40">
        <v>1.8694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-4.1000000000000002E-2</v>
      </c>
      <c r="FG40">
        <v>0.184</v>
      </c>
      <c r="FH40">
        <v>0.49996858830924029</v>
      </c>
      <c r="FI40">
        <v>-6.1462078757559423E-4</v>
      </c>
      <c r="FJ40">
        <v>-1.8861989874597051E-7</v>
      </c>
      <c r="FK40">
        <v>1.1980462299894961E-10</v>
      </c>
      <c r="FL40">
        <v>0.18404795463265899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12.9</v>
      </c>
      <c r="FU40">
        <v>13</v>
      </c>
      <c r="FV40">
        <v>1.79199</v>
      </c>
      <c r="FW40">
        <v>2.5903299999999998</v>
      </c>
      <c r="FX40">
        <v>1.5490699999999999</v>
      </c>
      <c r="FY40">
        <v>2.3290999999999999</v>
      </c>
      <c r="FZ40">
        <v>1.50146</v>
      </c>
      <c r="GA40">
        <v>2.4072300000000002</v>
      </c>
      <c r="GB40">
        <v>34.054499999999997</v>
      </c>
      <c r="GC40">
        <v>23.982399999999998</v>
      </c>
      <c r="GD40">
        <v>19</v>
      </c>
      <c r="GE40">
        <v>262.35500000000002</v>
      </c>
      <c r="GF40">
        <v>600.697</v>
      </c>
      <c r="GG40">
        <v>19.732299999999999</v>
      </c>
      <c r="GH40">
        <v>26.777200000000001</v>
      </c>
      <c r="GI40">
        <v>30.0002</v>
      </c>
      <c r="GJ40">
        <v>26.783899999999999</v>
      </c>
      <c r="GK40">
        <v>26.720300000000002</v>
      </c>
      <c r="GL40">
        <v>35.840499999999999</v>
      </c>
      <c r="GM40">
        <v>22.020199999999999</v>
      </c>
      <c r="GN40">
        <v>100</v>
      </c>
      <c r="GO40">
        <v>19.7483</v>
      </c>
      <c r="GP40">
        <v>800</v>
      </c>
      <c r="GQ40">
        <v>20.395299999999999</v>
      </c>
      <c r="GR40">
        <v>99.704599999999999</v>
      </c>
      <c r="GS40">
        <v>99.5608</v>
      </c>
    </row>
    <row r="41" spans="1:201" x14ac:dyDescent="0.25">
      <c r="A41">
        <v>25</v>
      </c>
      <c r="B41">
        <v>1690307040</v>
      </c>
      <c r="C41">
        <v>421.40000009536737</v>
      </c>
      <c r="D41" t="s">
        <v>383</v>
      </c>
      <c r="E41" t="s">
        <v>384</v>
      </c>
      <c r="F41" t="s">
        <v>330</v>
      </c>
      <c r="H41">
        <v>1690307040</v>
      </c>
      <c r="I41">
        <f t="shared" si="0"/>
        <v>2.2142505476588256E-4</v>
      </c>
      <c r="J41">
        <f t="shared" si="1"/>
        <v>0.22142505476588256</v>
      </c>
      <c r="K41">
        <f t="shared" si="2"/>
        <v>1.4895739600778342</v>
      </c>
      <c r="L41">
        <f t="shared" si="3"/>
        <v>782.82600000000002</v>
      </c>
      <c r="M41">
        <f t="shared" si="4"/>
        <v>607.24261536572203</v>
      </c>
      <c r="N41">
        <f t="shared" si="5"/>
        <v>60.309472930536955</v>
      </c>
      <c r="O41">
        <f t="shared" si="6"/>
        <v>77.747875827006013</v>
      </c>
      <c r="P41">
        <f t="shared" si="7"/>
        <v>1.5024774480927311E-2</v>
      </c>
      <c r="Q41">
        <f t="shared" si="8"/>
        <v>2.1986841226083302</v>
      </c>
      <c r="R41">
        <f t="shared" si="9"/>
        <v>1.4967967210946249E-2</v>
      </c>
      <c r="S41">
        <f t="shared" si="10"/>
        <v>9.3600654363957137E-3</v>
      </c>
      <c r="T41">
        <f t="shared" si="11"/>
        <v>276.11243174952381</v>
      </c>
      <c r="U41">
        <f t="shared" si="12"/>
        <v>27.433190790586842</v>
      </c>
      <c r="V41">
        <f t="shared" si="13"/>
        <v>27.433190790586842</v>
      </c>
      <c r="W41">
        <f t="shared" si="14"/>
        <v>3.6712395413561891</v>
      </c>
      <c r="X41">
        <f t="shared" si="15"/>
        <v>69.032575244776226</v>
      </c>
      <c r="Y41">
        <f t="shared" si="16"/>
        <v>2.2457842388513001</v>
      </c>
      <c r="Z41">
        <f t="shared" si="17"/>
        <v>3.2532239031908938</v>
      </c>
      <c r="AA41">
        <f t="shared" si="18"/>
        <v>1.4254553025048891</v>
      </c>
      <c r="AB41">
        <f t="shared" si="19"/>
        <v>-9.76484491517542</v>
      </c>
      <c r="AC41">
        <f t="shared" si="20"/>
        <v>-242.88991620243692</v>
      </c>
      <c r="AD41">
        <f t="shared" si="21"/>
        <v>-23.700414804337836</v>
      </c>
      <c r="AE41">
        <f t="shared" si="22"/>
        <v>-0.24274417242637014</v>
      </c>
      <c r="AF41">
        <v>17</v>
      </c>
      <c r="AG41">
        <v>6</v>
      </c>
      <c r="AH41">
        <f t="shared" si="23"/>
        <v>1</v>
      </c>
      <c r="AI41">
        <f t="shared" si="24"/>
        <v>0</v>
      </c>
      <c r="AJ41">
        <f t="shared" si="25"/>
        <v>52860.997318327027</v>
      </c>
      <c r="AK41">
        <f t="shared" si="26"/>
        <v>1799.99</v>
      </c>
      <c r="AL41">
        <f t="shared" si="27"/>
        <v>1499.1062761855301</v>
      </c>
      <c r="AM41">
        <f t="shared" si="28"/>
        <v>0.83284144700000007</v>
      </c>
      <c r="AN41">
        <f t="shared" si="29"/>
        <v>0.15339664761999999</v>
      </c>
      <c r="AO41">
        <v>31.2</v>
      </c>
      <c r="AP41">
        <v>0.5</v>
      </c>
      <c r="AQ41" t="s">
        <v>331</v>
      </c>
      <c r="AR41">
        <v>2</v>
      </c>
      <c r="AS41">
        <v>1690307040</v>
      </c>
      <c r="AT41">
        <v>782.82600000000002</v>
      </c>
      <c r="AU41">
        <v>800.10299999999995</v>
      </c>
      <c r="AV41">
        <v>22.612300000000001</v>
      </c>
      <c r="AW41">
        <v>20.363800000000001</v>
      </c>
      <c r="AX41">
        <v>782.86599999999999</v>
      </c>
      <c r="AY41">
        <v>22.4282</v>
      </c>
      <c r="AZ41">
        <v>300.3</v>
      </c>
      <c r="BA41">
        <v>99.216899999999995</v>
      </c>
      <c r="BB41">
        <v>0.10003099999999999</v>
      </c>
      <c r="BC41">
        <v>25.3841</v>
      </c>
      <c r="BD41">
        <v>28.303899999999999</v>
      </c>
      <c r="BE41">
        <v>27.304200000000002</v>
      </c>
      <c r="BF41">
        <v>0</v>
      </c>
      <c r="BG41">
        <v>0</v>
      </c>
      <c r="BH41">
        <v>10022.5</v>
      </c>
      <c r="BI41">
        <v>1063.21</v>
      </c>
      <c r="BJ41">
        <v>1.62592</v>
      </c>
      <c r="BK41">
        <v>-17.276399999999999</v>
      </c>
      <c r="BL41">
        <v>800.93799999999999</v>
      </c>
      <c r="BM41">
        <v>816.73500000000001</v>
      </c>
      <c r="BN41">
        <v>2.2484799999999998</v>
      </c>
      <c r="BO41">
        <v>800.10299999999995</v>
      </c>
      <c r="BP41">
        <v>20.363800000000001</v>
      </c>
      <c r="BQ41">
        <v>2.2435200000000002</v>
      </c>
      <c r="BR41">
        <v>2.0204300000000002</v>
      </c>
      <c r="BS41">
        <v>19.276499999999999</v>
      </c>
      <c r="BT41">
        <v>17.605399999999999</v>
      </c>
      <c r="BU41">
        <v>1799.99</v>
      </c>
      <c r="BV41">
        <v>0.91002400000000006</v>
      </c>
      <c r="BW41">
        <v>3.3992300000000003E-2</v>
      </c>
      <c r="BX41">
        <v>2.1992100000000001E-2</v>
      </c>
      <c r="BY41">
        <v>3.3991399999999998E-2</v>
      </c>
      <c r="BZ41">
        <v>26</v>
      </c>
      <c r="CA41">
        <v>33528.5</v>
      </c>
      <c r="CB41">
        <v>1690306253.5999999</v>
      </c>
      <c r="CC41" t="s">
        <v>332</v>
      </c>
      <c r="CD41">
        <v>1690306253.5999999</v>
      </c>
      <c r="CE41">
        <v>1690306251.5999999</v>
      </c>
      <c r="CF41">
        <v>9</v>
      </c>
      <c r="CG41">
        <v>0.19</v>
      </c>
      <c r="CH41">
        <v>-8.7999999999999995E-2</v>
      </c>
      <c r="CI41">
        <v>-5.0999999999999997E-2</v>
      </c>
      <c r="CJ41">
        <v>5.0999999999999997E-2</v>
      </c>
      <c r="CK41">
        <v>799</v>
      </c>
      <c r="CL41">
        <v>15</v>
      </c>
      <c r="CM41">
        <v>0.28000000000000003</v>
      </c>
      <c r="CN41">
        <v>0.03</v>
      </c>
      <c r="CO41">
        <v>-15.237327499999999</v>
      </c>
      <c r="CP41">
        <v>-11.519438273921191</v>
      </c>
      <c r="CQ41">
        <v>1.108948556062791</v>
      </c>
      <c r="CR41">
        <v>-1</v>
      </c>
      <c r="CS41">
        <v>1.906677</v>
      </c>
      <c r="CT41">
        <v>2.0685329831144439</v>
      </c>
      <c r="CU41">
        <v>0.19943108673424009</v>
      </c>
      <c r="CV41">
        <v>-1</v>
      </c>
      <c r="CW41">
        <v>0</v>
      </c>
      <c r="CX41">
        <v>0</v>
      </c>
      <c r="CY41" t="s">
        <v>333</v>
      </c>
      <c r="CZ41">
        <v>2.36429</v>
      </c>
      <c r="DA41">
        <v>2.7138399999999998</v>
      </c>
      <c r="DB41">
        <v>0.144676</v>
      </c>
      <c r="DC41">
        <v>0.14646200000000001</v>
      </c>
      <c r="DD41">
        <v>0.10924499999999999</v>
      </c>
      <c r="DE41">
        <v>0.100005</v>
      </c>
      <c r="DF41">
        <v>31218.7</v>
      </c>
      <c r="DG41">
        <v>27500.6</v>
      </c>
      <c r="DH41">
        <v>31161.200000000001</v>
      </c>
      <c r="DI41">
        <v>28076.2</v>
      </c>
      <c r="DJ41">
        <v>37688</v>
      </c>
      <c r="DK41">
        <v>35935.599999999999</v>
      </c>
      <c r="DL41">
        <v>44346.3</v>
      </c>
      <c r="DM41">
        <v>42562.1</v>
      </c>
      <c r="DN41">
        <v>1.4228499999999999</v>
      </c>
      <c r="DO41">
        <v>2.0514800000000002</v>
      </c>
      <c r="DP41">
        <v>0.166357</v>
      </c>
      <c r="DQ41">
        <v>0.13852100000000001</v>
      </c>
      <c r="DR41">
        <v>25.583100000000002</v>
      </c>
      <c r="DS41">
        <v>25.035699999999999</v>
      </c>
      <c r="DT41">
        <v>56.4</v>
      </c>
      <c r="DU41">
        <v>29.4</v>
      </c>
      <c r="DV41">
        <v>23.394300000000001</v>
      </c>
      <c r="DW41">
        <v>61.262999999999998</v>
      </c>
      <c r="DX41">
        <v>34.975999999999999</v>
      </c>
      <c r="DY41">
        <v>1</v>
      </c>
      <c r="DZ41">
        <v>-4.6877500000000003E-2</v>
      </c>
      <c r="EA41">
        <v>3.00326</v>
      </c>
      <c r="EB41">
        <v>20.159700000000001</v>
      </c>
      <c r="EC41">
        <v>5.2404999999999999</v>
      </c>
      <c r="ED41">
        <v>12.039899999999999</v>
      </c>
      <c r="EE41">
        <v>5.0168999999999997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1.8689100000000001</v>
      </c>
      <c r="EL41">
        <v>1.86463</v>
      </c>
      <c r="EM41">
        <v>1.8692</v>
      </c>
      <c r="EN41">
        <v>1.8672299999999999</v>
      </c>
      <c r="EO41">
        <v>1.8633999999999999</v>
      </c>
      <c r="EP41">
        <v>1.8644700000000001</v>
      </c>
      <c r="EQ41">
        <v>1.8701700000000001</v>
      </c>
      <c r="ER41">
        <v>1.86941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-0.04</v>
      </c>
      <c r="FG41">
        <v>0.18410000000000001</v>
      </c>
      <c r="FH41">
        <v>0.49996858830924029</v>
      </c>
      <c r="FI41">
        <v>-6.1462078757559423E-4</v>
      </c>
      <c r="FJ41">
        <v>-1.8861989874597051E-7</v>
      </c>
      <c r="FK41">
        <v>1.1980462299894961E-10</v>
      </c>
      <c r="FL41">
        <v>0.18404795463265899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13.1</v>
      </c>
      <c r="FU41">
        <v>13.1</v>
      </c>
      <c r="FV41">
        <v>1.79199</v>
      </c>
      <c r="FW41">
        <v>2.5817899999999998</v>
      </c>
      <c r="FX41">
        <v>1.5490699999999999</v>
      </c>
      <c r="FY41">
        <v>2.3290999999999999</v>
      </c>
      <c r="FZ41">
        <v>1.50146</v>
      </c>
      <c r="GA41">
        <v>2.4218799999999998</v>
      </c>
      <c r="GB41">
        <v>34.054499999999997</v>
      </c>
      <c r="GC41">
        <v>23.973700000000001</v>
      </c>
      <c r="GD41">
        <v>19</v>
      </c>
      <c r="GE41">
        <v>262.524</v>
      </c>
      <c r="GF41">
        <v>600.19899999999996</v>
      </c>
      <c r="GG41">
        <v>19.768599999999999</v>
      </c>
      <c r="GH41">
        <v>26.779</v>
      </c>
      <c r="GI41">
        <v>30.0001</v>
      </c>
      <c r="GJ41">
        <v>26.7881</v>
      </c>
      <c r="GK41">
        <v>26.724799999999998</v>
      </c>
      <c r="GL41">
        <v>35.828499999999998</v>
      </c>
      <c r="GM41">
        <v>23.1934</v>
      </c>
      <c r="GN41">
        <v>100</v>
      </c>
      <c r="GO41">
        <v>19.780799999999999</v>
      </c>
      <c r="GP41">
        <v>800</v>
      </c>
      <c r="GQ41">
        <v>20.152799999999999</v>
      </c>
      <c r="GR41">
        <v>99.703800000000001</v>
      </c>
      <c r="GS41">
        <v>99.559799999999996</v>
      </c>
    </row>
    <row r="42" spans="1:201" x14ac:dyDescent="0.25">
      <c r="A42">
        <v>26</v>
      </c>
      <c r="B42">
        <v>1690307050</v>
      </c>
      <c r="C42">
        <v>431.40000009536737</v>
      </c>
      <c r="D42" t="s">
        <v>385</v>
      </c>
      <c r="E42" t="s">
        <v>386</v>
      </c>
      <c r="F42" t="s">
        <v>330</v>
      </c>
      <c r="H42">
        <v>1690307050</v>
      </c>
      <c r="I42">
        <f t="shared" si="0"/>
        <v>2.51149923258772E-4</v>
      </c>
      <c r="J42">
        <f t="shared" si="1"/>
        <v>0.251149923258772</v>
      </c>
      <c r="K42">
        <f t="shared" si="2"/>
        <v>1.6681539368099001</v>
      </c>
      <c r="L42">
        <f t="shared" si="3"/>
        <v>780.80799999999999</v>
      </c>
      <c r="M42">
        <f t="shared" si="4"/>
        <v>608.81991029883079</v>
      </c>
      <c r="N42">
        <f t="shared" si="5"/>
        <v>60.46749425855343</v>
      </c>
      <c r="O42">
        <f t="shared" si="6"/>
        <v>77.549210297439998</v>
      </c>
      <c r="P42">
        <f t="shared" si="7"/>
        <v>1.7206032920454313E-2</v>
      </c>
      <c r="Q42">
        <f t="shared" si="8"/>
        <v>2.1965629634322679</v>
      </c>
      <c r="R42">
        <f t="shared" si="9"/>
        <v>1.7131506639469753E-2</v>
      </c>
      <c r="S42">
        <f t="shared" si="10"/>
        <v>1.0713860544218096E-2</v>
      </c>
      <c r="T42">
        <f t="shared" si="11"/>
        <v>276.11432112599999</v>
      </c>
      <c r="U42">
        <f t="shared" si="12"/>
        <v>27.383590770321693</v>
      </c>
      <c r="V42">
        <f t="shared" si="13"/>
        <v>27.383590770321693</v>
      </c>
      <c r="W42">
        <f t="shared" si="14"/>
        <v>3.6605927278735599</v>
      </c>
      <c r="X42">
        <f t="shared" si="15"/>
        <v>69.267014909209522</v>
      </c>
      <c r="Y42">
        <f t="shared" si="16"/>
        <v>2.2478711371040001</v>
      </c>
      <c r="Z42">
        <f t="shared" si="17"/>
        <v>3.2452259420307867</v>
      </c>
      <c r="AA42">
        <f t="shared" si="18"/>
        <v>1.4127215907695598</v>
      </c>
      <c r="AB42">
        <f t="shared" si="19"/>
        <v>-11.075711615711844</v>
      </c>
      <c r="AC42">
        <f t="shared" si="20"/>
        <v>-241.68453507205857</v>
      </c>
      <c r="AD42">
        <f t="shared" si="21"/>
        <v>-23.594808607326343</v>
      </c>
      <c r="AE42">
        <f t="shared" si="22"/>
        <v>-0.24073416909675416</v>
      </c>
      <c r="AF42">
        <v>17</v>
      </c>
      <c r="AG42">
        <v>6</v>
      </c>
      <c r="AH42">
        <f t="shared" si="23"/>
        <v>1</v>
      </c>
      <c r="AI42">
        <f t="shared" si="24"/>
        <v>0</v>
      </c>
      <c r="AJ42">
        <f t="shared" si="25"/>
        <v>52780.991478146796</v>
      </c>
      <c r="AK42">
        <f t="shared" si="26"/>
        <v>1800</v>
      </c>
      <c r="AL42">
        <f t="shared" si="27"/>
        <v>1499.1110586</v>
      </c>
      <c r="AM42">
        <f t="shared" si="28"/>
        <v>0.83283947700000005</v>
      </c>
      <c r="AN42">
        <f t="shared" si="29"/>
        <v>0.15339684506999998</v>
      </c>
      <c r="AO42">
        <v>31.2</v>
      </c>
      <c r="AP42">
        <v>0.5</v>
      </c>
      <c r="AQ42" t="s">
        <v>331</v>
      </c>
      <c r="AR42">
        <v>2</v>
      </c>
      <c r="AS42">
        <v>1690307050</v>
      </c>
      <c r="AT42">
        <v>780.80799999999999</v>
      </c>
      <c r="AU42">
        <v>800.18299999999999</v>
      </c>
      <c r="AV42">
        <v>22.6328</v>
      </c>
      <c r="AW42">
        <v>20.081700000000001</v>
      </c>
      <c r="AX42">
        <v>780.846</v>
      </c>
      <c r="AY42">
        <v>22.448699999999999</v>
      </c>
      <c r="AZ42">
        <v>300.20499999999998</v>
      </c>
      <c r="BA42">
        <v>99.219099999999997</v>
      </c>
      <c r="BB42">
        <v>0.10008</v>
      </c>
      <c r="BC42">
        <v>25.342700000000001</v>
      </c>
      <c r="BD42">
        <v>28.245999999999999</v>
      </c>
      <c r="BE42">
        <v>27.240400000000001</v>
      </c>
      <c r="BF42">
        <v>0</v>
      </c>
      <c r="BG42">
        <v>0</v>
      </c>
      <c r="BH42">
        <v>10005</v>
      </c>
      <c r="BI42">
        <v>1062.43</v>
      </c>
      <c r="BJ42">
        <v>1.62592</v>
      </c>
      <c r="BK42">
        <v>-19.375800000000002</v>
      </c>
      <c r="BL42">
        <v>798.88900000000001</v>
      </c>
      <c r="BM42">
        <v>816.58199999999999</v>
      </c>
      <c r="BN42">
        <v>2.55105</v>
      </c>
      <c r="BO42">
        <v>800.18299999999999</v>
      </c>
      <c r="BP42">
        <v>20.081700000000001</v>
      </c>
      <c r="BQ42">
        <v>2.2456</v>
      </c>
      <c r="BR42">
        <v>1.9924900000000001</v>
      </c>
      <c r="BS42">
        <v>19.291399999999999</v>
      </c>
      <c r="BT42">
        <v>17.384799999999998</v>
      </c>
      <c r="BU42">
        <v>1800</v>
      </c>
      <c r="BV42">
        <v>0.91000999999999999</v>
      </c>
      <c r="BW42">
        <v>3.4009200000000003E-2</v>
      </c>
      <c r="BX42">
        <v>2.1992600000000001E-2</v>
      </c>
      <c r="BY42">
        <v>3.39881E-2</v>
      </c>
      <c r="BZ42">
        <v>26</v>
      </c>
      <c r="CA42">
        <v>33528.400000000001</v>
      </c>
      <c r="CB42">
        <v>1690306253.5999999</v>
      </c>
      <c r="CC42" t="s">
        <v>332</v>
      </c>
      <c r="CD42">
        <v>1690306253.5999999</v>
      </c>
      <c r="CE42">
        <v>1690306251.5999999</v>
      </c>
      <c r="CF42">
        <v>9</v>
      </c>
      <c r="CG42">
        <v>0.19</v>
      </c>
      <c r="CH42">
        <v>-8.7999999999999995E-2</v>
      </c>
      <c r="CI42">
        <v>-5.0999999999999997E-2</v>
      </c>
      <c r="CJ42">
        <v>5.0999999999999997E-2</v>
      </c>
      <c r="CK42">
        <v>799</v>
      </c>
      <c r="CL42">
        <v>15</v>
      </c>
      <c r="CM42">
        <v>0.28000000000000003</v>
      </c>
      <c r="CN42">
        <v>0.03</v>
      </c>
      <c r="CO42">
        <v>-17.041426829268289</v>
      </c>
      <c r="CP42">
        <v>-12.055128919860669</v>
      </c>
      <c r="CQ42">
        <v>1.1890303729580569</v>
      </c>
      <c r="CR42">
        <v>-1</v>
      </c>
      <c r="CS42">
        <v>2.202419024390244</v>
      </c>
      <c r="CT42">
        <v>1.802083693379795</v>
      </c>
      <c r="CU42">
        <v>0.17777866962787731</v>
      </c>
      <c r="CV42">
        <v>-1</v>
      </c>
      <c r="CW42">
        <v>0</v>
      </c>
      <c r="CX42">
        <v>0</v>
      </c>
      <c r="CY42" t="s">
        <v>333</v>
      </c>
      <c r="CZ42">
        <v>2.3639800000000002</v>
      </c>
      <c r="DA42">
        <v>2.7138800000000001</v>
      </c>
      <c r="DB42">
        <v>0.144428</v>
      </c>
      <c r="DC42">
        <v>0.14646899999999999</v>
      </c>
      <c r="DD42">
        <v>0.109317</v>
      </c>
      <c r="DE42">
        <v>9.9023200000000006E-2</v>
      </c>
      <c r="DF42">
        <v>31227.4</v>
      </c>
      <c r="DG42">
        <v>27500.6</v>
      </c>
      <c r="DH42">
        <v>31160.799999999999</v>
      </c>
      <c r="DI42">
        <v>28076.400000000001</v>
      </c>
      <c r="DJ42">
        <v>37684.300000000003</v>
      </c>
      <c r="DK42">
        <v>35975.199999999997</v>
      </c>
      <c r="DL42">
        <v>44345.599999999999</v>
      </c>
      <c r="DM42">
        <v>42562.400000000001</v>
      </c>
      <c r="DN42">
        <v>1.4227799999999999</v>
      </c>
      <c r="DO42">
        <v>2.05105</v>
      </c>
      <c r="DP42">
        <v>0.16526099999999999</v>
      </c>
      <c r="DQ42">
        <v>0.137188</v>
      </c>
      <c r="DR42">
        <v>25.542899999999999</v>
      </c>
      <c r="DS42">
        <v>24.993600000000001</v>
      </c>
      <c r="DT42">
        <v>56.4</v>
      </c>
      <c r="DU42">
        <v>29.4</v>
      </c>
      <c r="DV42">
        <v>23.3978</v>
      </c>
      <c r="DW42">
        <v>61.643000000000001</v>
      </c>
      <c r="DX42">
        <v>35.785299999999999</v>
      </c>
      <c r="DY42">
        <v>1</v>
      </c>
      <c r="DZ42">
        <v>-4.6755600000000001E-2</v>
      </c>
      <c r="EA42">
        <v>2.9878300000000002</v>
      </c>
      <c r="EB42">
        <v>20.159800000000001</v>
      </c>
      <c r="EC42">
        <v>5.2409499999999998</v>
      </c>
      <c r="ED42">
        <v>12.039899999999999</v>
      </c>
      <c r="EE42">
        <v>5.0170000000000003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1.86893</v>
      </c>
      <c r="EL42">
        <v>1.86463</v>
      </c>
      <c r="EM42">
        <v>1.8692</v>
      </c>
      <c r="EN42">
        <v>1.8672500000000001</v>
      </c>
      <c r="EO42">
        <v>1.8633999999999999</v>
      </c>
      <c r="EP42">
        <v>1.8644700000000001</v>
      </c>
      <c r="EQ42">
        <v>1.8702000000000001</v>
      </c>
      <c r="ER42">
        <v>1.8694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-3.7999999999999999E-2</v>
      </c>
      <c r="FG42">
        <v>0.18410000000000001</v>
      </c>
      <c r="FH42">
        <v>0.49996858830924029</v>
      </c>
      <c r="FI42">
        <v>-6.1462078757559423E-4</v>
      </c>
      <c r="FJ42">
        <v>-1.8861989874597051E-7</v>
      </c>
      <c r="FK42">
        <v>1.1980462299894961E-10</v>
      </c>
      <c r="FL42">
        <v>0.18404795463265899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13.3</v>
      </c>
      <c r="FU42">
        <v>13.3</v>
      </c>
      <c r="FV42">
        <v>1.79077</v>
      </c>
      <c r="FW42">
        <v>2.5878899999999998</v>
      </c>
      <c r="FX42">
        <v>1.5490699999999999</v>
      </c>
      <c r="FY42">
        <v>2.3290999999999999</v>
      </c>
      <c r="FZ42">
        <v>1.50146</v>
      </c>
      <c r="GA42">
        <v>2.34009</v>
      </c>
      <c r="GB42">
        <v>34.054499999999997</v>
      </c>
      <c r="GC42">
        <v>23.973700000000001</v>
      </c>
      <c r="GD42">
        <v>19</v>
      </c>
      <c r="GE42">
        <v>262.50599999999997</v>
      </c>
      <c r="GF42">
        <v>599.86900000000003</v>
      </c>
      <c r="GG42">
        <v>19.789300000000001</v>
      </c>
      <c r="GH42">
        <v>26.777200000000001</v>
      </c>
      <c r="GI42">
        <v>30.0001</v>
      </c>
      <c r="GJ42">
        <v>26.7913</v>
      </c>
      <c r="GK42">
        <v>26.727399999999999</v>
      </c>
      <c r="GL42">
        <v>35.814300000000003</v>
      </c>
      <c r="GM42">
        <v>24.5002</v>
      </c>
      <c r="GN42">
        <v>100</v>
      </c>
      <c r="GO42">
        <v>19.793399999999998</v>
      </c>
      <c r="GP42">
        <v>800</v>
      </c>
      <c r="GQ42">
        <v>19.833200000000001</v>
      </c>
      <c r="GR42">
        <v>99.702399999999997</v>
      </c>
      <c r="GS42">
        <v>99.560599999999994</v>
      </c>
    </row>
    <row r="43" spans="1:201" x14ac:dyDescent="0.25">
      <c r="A43">
        <v>27</v>
      </c>
      <c r="B43">
        <v>1690307060</v>
      </c>
      <c r="C43">
        <v>441.40000009536737</v>
      </c>
      <c r="D43" t="s">
        <v>387</v>
      </c>
      <c r="E43" t="s">
        <v>388</v>
      </c>
      <c r="F43" t="s">
        <v>330</v>
      </c>
      <c r="H43">
        <v>1690307060</v>
      </c>
      <c r="I43">
        <f t="shared" si="0"/>
        <v>2.771475910065576E-4</v>
      </c>
      <c r="J43">
        <f t="shared" si="1"/>
        <v>0.27714759100655761</v>
      </c>
      <c r="K43">
        <f t="shared" si="2"/>
        <v>1.8420225335736466</v>
      </c>
      <c r="L43">
        <f t="shared" si="3"/>
        <v>778.71199999999999</v>
      </c>
      <c r="M43">
        <f t="shared" si="4"/>
        <v>608.00167049148808</v>
      </c>
      <c r="N43">
        <f t="shared" si="5"/>
        <v>60.387135706340516</v>
      </c>
      <c r="O43">
        <f t="shared" si="6"/>
        <v>77.34220069188801</v>
      </c>
      <c r="P43">
        <f t="shared" si="7"/>
        <v>1.9144510233471072E-2</v>
      </c>
      <c r="Q43">
        <f t="shared" si="8"/>
        <v>2.1997232726886993</v>
      </c>
      <c r="R43">
        <f t="shared" si="9"/>
        <v>1.9052425717437427E-2</v>
      </c>
      <c r="S43">
        <f t="shared" si="10"/>
        <v>1.1916002482254643E-2</v>
      </c>
      <c r="T43">
        <f t="shared" si="11"/>
        <v>276.11488754788041</v>
      </c>
      <c r="U43">
        <f t="shared" si="12"/>
        <v>27.330778510134373</v>
      </c>
      <c r="V43">
        <f t="shared" si="13"/>
        <v>27.330778510134373</v>
      </c>
      <c r="W43">
        <f t="shared" si="14"/>
        <v>3.6492860270900955</v>
      </c>
      <c r="X43">
        <f t="shared" si="15"/>
        <v>69.423176188410039</v>
      </c>
      <c r="Y43">
        <f t="shared" si="16"/>
        <v>2.2473984150698003</v>
      </c>
      <c r="Z43">
        <f t="shared" si="17"/>
        <v>3.2372451657505636</v>
      </c>
      <c r="AA43">
        <f t="shared" si="18"/>
        <v>1.4018876120202952</v>
      </c>
      <c r="AB43">
        <f t="shared" si="19"/>
        <v>-12.22220876338919</v>
      </c>
      <c r="AC43">
        <f t="shared" si="20"/>
        <v>-240.67886233117048</v>
      </c>
      <c r="AD43">
        <f t="shared" si="21"/>
        <v>-23.451793899062476</v>
      </c>
      <c r="AE43">
        <f t="shared" si="22"/>
        <v>-0.23797744574170565</v>
      </c>
      <c r="AF43">
        <v>17</v>
      </c>
      <c r="AG43">
        <v>6</v>
      </c>
      <c r="AH43">
        <f t="shared" si="23"/>
        <v>1</v>
      </c>
      <c r="AI43">
        <f t="shared" si="24"/>
        <v>0</v>
      </c>
      <c r="AJ43">
        <f t="shared" si="25"/>
        <v>52918.60196766664</v>
      </c>
      <c r="AK43">
        <f t="shared" si="26"/>
        <v>1799.99</v>
      </c>
      <c r="AL43">
        <f t="shared" si="27"/>
        <v>1499.10421339699</v>
      </c>
      <c r="AM43">
        <f t="shared" si="28"/>
        <v>0.83284030099999995</v>
      </c>
      <c r="AN43">
        <f t="shared" si="29"/>
        <v>0.15339801196</v>
      </c>
      <c r="AO43">
        <v>31.2</v>
      </c>
      <c r="AP43">
        <v>0.5</v>
      </c>
      <c r="AQ43" t="s">
        <v>331</v>
      </c>
      <c r="AR43">
        <v>2</v>
      </c>
      <c r="AS43">
        <v>1690307060</v>
      </c>
      <c r="AT43">
        <v>778.71199999999999</v>
      </c>
      <c r="AU43">
        <v>800.09900000000005</v>
      </c>
      <c r="AV43">
        <v>22.627700000000001</v>
      </c>
      <c r="AW43">
        <v>19.8125</v>
      </c>
      <c r="AX43">
        <v>778.74900000000002</v>
      </c>
      <c r="AY43">
        <v>22.4437</v>
      </c>
      <c r="AZ43">
        <v>300.20400000000001</v>
      </c>
      <c r="BA43">
        <v>99.220600000000005</v>
      </c>
      <c r="BB43">
        <v>0.100074</v>
      </c>
      <c r="BC43">
        <v>25.301300000000001</v>
      </c>
      <c r="BD43">
        <v>28.175799999999999</v>
      </c>
      <c r="BE43">
        <v>27.210899999999999</v>
      </c>
      <c r="BF43">
        <v>0</v>
      </c>
      <c r="BG43">
        <v>0</v>
      </c>
      <c r="BH43">
        <v>10030.6</v>
      </c>
      <c r="BI43">
        <v>1061.6600000000001</v>
      </c>
      <c r="BJ43">
        <v>1.62592</v>
      </c>
      <c r="BK43">
        <v>-21.3871</v>
      </c>
      <c r="BL43">
        <v>796.74</v>
      </c>
      <c r="BM43">
        <v>816.27200000000005</v>
      </c>
      <c r="BN43">
        <v>2.8152400000000002</v>
      </c>
      <c r="BO43">
        <v>800.09900000000005</v>
      </c>
      <c r="BP43">
        <v>19.8125</v>
      </c>
      <c r="BQ43">
        <v>2.2451400000000001</v>
      </c>
      <c r="BR43">
        <v>1.9658100000000001</v>
      </c>
      <c r="BS43">
        <v>19.2881</v>
      </c>
      <c r="BT43">
        <v>17.171600000000002</v>
      </c>
      <c r="BU43">
        <v>1799.99</v>
      </c>
      <c r="BV43">
        <v>0.90999799999999997</v>
      </c>
      <c r="BW43">
        <v>3.4006700000000001E-2</v>
      </c>
      <c r="BX43">
        <v>2.2009299999999999E-2</v>
      </c>
      <c r="BY43">
        <v>3.3985599999999998E-2</v>
      </c>
      <c r="BZ43">
        <v>26</v>
      </c>
      <c r="CA43">
        <v>33528</v>
      </c>
      <c r="CB43">
        <v>1690306253.5999999</v>
      </c>
      <c r="CC43" t="s">
        <v>332</v>
      </c>
      <c r="CD43">
        <v>1690306253.5999999</v>
      </c>
      <c r="CE43">
        <v>1690306251.5999999</v>
      </c>
      <c r="CF43">
        <v>9</v>
      </c>
      <c r="CG43">
        <v>0.19</v>
      </c>
      <c r="CH43">
        <v>-8.7999999999999995E-2</v>
      </c>
      <c r="CI43">
        <v>-5.0999999999999997E-2</v>
      </c>
      <c r="CJ43">
        <v>5.0999999999999997E-2</v>
      </c>
      <c r="CK43">
        <v>799</v>
      </c>
      <c r="CL43">
        <v>15</v>
      </c>
      <c r="CM43">
        <v>0.28000000000000003</v>
      </c>
      <c r="CN43">
        <v>0.03</v>
      </c>
      <c r="CO43">
        <v>-19.212789999999998</v>
      </c>
      <c r="CP43">
        <v>-12.23413283302059</v>
      </c>
      <c r="CQ43">
        <v>1.177073041446451</v>
      </c>
      <c r="CR43">
        <v>-1</v>
      </c>
      <c r="CS43">
        <v>2.5244982500000002</v>
      </c>
      <c r="CT43">
        <v>1.792399136960598</v>
      </c>
      <c r="CU43">
        <v>0.17272508400471981</v>
      </c>
      <c r="CV43">
        <v>-1</v>
      </c>
      <c r="CW43">
        <v>0</v>
      </c>
      <c r="CX43">
        <v>0</v>
      </c>
      <c r="CY43" t="s">
        <v>333</v>
      </c>
      <c r="CZ43">
        <v>2.3639600000000001</v>
      </c>
      <c r="DA43">
        <v>2.7138900000000001</v>
      </c>
      <c r="DB43">
        <v>0.14416899999999999</v>
      </c>
      <c r="DC43">
        <v>0.146454</v>
      </c>
      <c r="DD43">
        <v>0.109301</v>
      </c>
      <c r="DE43">
        <v>9.8080000000000001E-2</v>
      </c>
      <c r="DF43">
        <v>31236.7</v>
      </c>
      <c r="DG43">
        <v>27500.7</v>
      </c>
      <c r="DH43">
        <v>31160.7</v>
      </c>
      <c r="DI43">
        <v>28076</v>
      </c>
      <c r="DJ43">
        <v>37685</v>
      </c>
      <c r="DK43">
        <v>36012.300000000003</v>
      </c>
      <c r="DL43">
        <v>44345.5</v>
      </c>
      <c r="DM43">
        <v>42561.7</v>
      </c>
      <c r="DN43">
        <v>1.4229000000000001</v>
      </c>
      <c r="DO43">
        <v>2.0506500000000001</v>
      </c>
      <c r="DP43">
        <v>0.16323499999999999</v>
      </c>
      <c r="DQ43">
        <v>0.13782800000000001</v>
      </c>
      <c r="DR43">
        <v>25.505600000000001</v>
      </c>
      <c r="DS43">
        <v>24.953399999999998</v>
      </c>
      <c r="DT43">
        <v>56.4</v>
      </c>
      <c r="DU43">
        <v>29.4</v>
      </c>
      <c r="DV43">
        <v>23.394100000000002</v>
      </c>
      <c r="DW43">
        <v>61.512999999999998</v>
      </c>
      <c r="DX43">
        <v>36.105800000000002</v>
      </c>
      <c r="DY43">
        <v>1</v>
      </c>
      <c r="DZ43">
        <v>-4.6786099999999997E-2</v>
      </c>
      <c r="EA43">
        <v>2.97309</v>
      </c>
      <c r="EB43">
        <v>20.159800000000001</v>
      </c>
      <c r="EC43">
        <v>5.2404999999999999</v>
      </c>
      <c r="ED43">
        <v>12.039899999999999</v>
      </c>
      <c r="EE43">
        <v>5.0168499999999998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1.8689100000000001</v>
      </c>
      <c r="EL43">
        <v>1.8646400000000001</v>
      </c>
      <c r="EM43">
        <v>1.8692</v>
      </c>
      <c r="EN43">
        <v>1.8672500000000001</v>
      </c>
      <c r="EO43">
        <v>1.8633999999999999</v>
      </c>
      <c r="EP43">
        <v>1.8644700000000001</v>
      </c>
      <c r="EQ43">
        <v>1.8702099999999999</v>
      </c>
      <c r="ER43">
        <v>1.8694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-3.6999999999999998E-2</v>
      </c>
      <c r="FG43">
        <v>0.184</v>
      </c>
      <c r="FH43">
        <v>0.49996858830924029</v>
      </c>
      <c r="FI43">
        <v>-6.1462078757559423E-4</v>
      </c>
      <c r="FJ43">
        <v>-1.8861989874597051E-7</v>
      </c>
      <c r="FK43">
        <v>1.1980462299894961E-10</v>
      </c>
      <c r="FL43">
        <v>0.18404795463265899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13.4</v>
      </c>
      <c r="FU43">
        <v>13.5</v>
      </c>
      <c r="FV43">
        <v>1.79077</v>
      </c>
      <c r="FW43">
        <v>2.5988799999999999</v>
      </c>
      <c r="FX43">
        <v>1.5490699999999999</v>
      </c>
      <c r="FY43">
        <v>2.3290999999999999</v>
      </c>
      <c r="FZ43">
        <v>1.50146</v>
      </c>
      <c r="GA43">
        <v>2.2973599999999998</v>
      </c>
      <c r="GB43">
        <v>34.054499999999997</v>
      </c>
      <c r="GC43">
        <v>23.973700000000001</v>
      </c>
      <c r="GD43">
        <v>19</v>
      </c>
      <c r="GE43">
        <v>262.56599999999997</v>
      </c>
      <c r="GF43">
        <v>599.572</v>
      </c>
      <c r="GG43">
        <v>19.7928</v>
      </c>
      <c r="GH43">
        <v>26.774899999999999</v>
      </c>
      <c r="GI43">
        <v>30.0001</v>
      </c>
      <c r="GJ43">
        <v>26.793500000000002</v>
      </c>
      <c r="GK43">
        <v>26.731000000000002</v>
      </c>
      <c r="GL43">
        <v>35.805399999999999</v>
      </c>
      <c r="GM43">
        <v>25.677399999999999</v>
      </c>
      <c r="GN43">
        <v>100</v>
      </c>
      <c r="GO43">
        <v>19.793600000000001</v>
      </c>
      <c r="GP43">
        <v>800</v>
      </c>
      <c r="GQ43">
        <v>19.600300000000001</v>
      </c>
      <c r="GR43">
        <v>99.702100000000002</v>
      </c>
      <c r="GS43">
        <v>99.559100000000001</v>
      </c>
    </row>
    <row r="44" spans="1:201" x14ac:dyDescent="0.25">
      <c r="A44">
        <v>28</v>
      </c>
      <c r="B44">
        <v>1690307070</v>
      </c>
      <c r="C44">
        <v>451.40000009536737</v>
      </c>
      <c r="D44" t="s">
        <v>389</v>
      </c>
      <c r="E44" t="s">
        <v>390</v>
      </c>
      <c r="F44" t="s">
        <v>330</v>
      </c>
      <c r="H44">
        <v>1690307070</v>
      </c>
      <c r="I44">
        <f t="shared" si="0"/>
        <v>3.0136766469271399E-4</v>
      </c>
      <c r="J44">
        <f t="shared" si="1"/>
        <v>0.30136766469271398</v>
      </c>
      <c r="K44">
        <f t="shared" si="2"/>
        <v>2.0338735179182583</v>
      </c>
      <c r="L44">
        <f t="shared" si="3"/>
        <v>776.64300000000003</v>
      </c>
      <c r="M44">
        <f t="shared" si="4"/>
        <v>604.34480110933532</v>
      </c>
      <c r="N44">
        <f t="shared" si="5"/>
        <v>60.023731123411565</v>
      </c>
      <c r="O44">
        <f t="shared" si="6"/>
        <v>77.136446818620016</v>
      </c>
      <c r="P44">
        <f t="shared" si="7"/>
        <v>2.091381494859958E-2</v>
      </c>
      <c r="Q44">
        <f t="shared" si="8"/>
        <v>2.1930411378812833</v>
      </c>
      <c r="R44">
        <f t="shared" si="9"/>
        <v>2.0803643251072E-2</v>
      </c>
      <c r="S44">
        <f t="shared" si="10"/>
        <v>1.3012127037007899E-2</v>
      </c>
      <c r="T44">
        <f t="shared" si="11"/>
        <v>276.11640250200003</v>
      </c>
      <c r="U44">
        <f t="shared" si="12"/>
        <v>27.292854995487097</v>
      </c>
      <c r="V44">
        <f t="shared" si="13"/>
        <v>27.292854995487097</v>
      </c>
      <c r="W44">
        <f t="shared" si="14"/>
        <v>3.6411857063060848</v>
      </c>
      <c r="X44">
        <f t="shared" si="15"/>
        <v>69.496436942059375</v>
      </c>
      <c r="Y44">
        <f t="shared" si="16"/>
        <v>2.2450369653600002</v>
      </c>
      <c r="Z44">
        <f t="shared" si="17"/>
        <v>3.2304346296655959</v>
      </c>
      <c r="AA44">
        <f t="shared" si="18"/>
        <v>1.3961487409460847</v>
      </c>
      <c r="AB44">
        <f t="shared" si="19"/>
        <v>-13.290314012948686</v>
      </c>
      <c r="AC44">
        <f t="shared" si="20"/>
        <v>-239.64939002511082</v>
      </c>
      <c r="AD44">
        <f t="shared" si="21"/>
        <v>-23.41402691271011</v>
      </c>
      <c r="AE44">
        <f t="shared" si="22"/>
        <v>-0.23732844876960257</v>
      </c>
      <c r="AF44">
        <v>17</v>
      </c>
      <c r="AG44">
        <v>6</v>
      </c>
      <c r="AH44">
        <f t="shared" si="23"/>
        <v>1</v>
      </c>
      <c r="AI44">
        <f t="shared" si="24"/>
        <v>0</v>
      </c>
      <c r="AJ44">
        <f t="shared" si="25"/>
        <v>52649.668089636267</v>
      </c>
      <c r="AK44">
        <f t="shared" si="26"/>
        <v>1800</v>
      </c>
      <c r="AL44">
        <f t="shared" si="27"/>
        <v>1499.1086501999998</v>
      </c>
      <c r="AM44">
        <f t="shared" si="28"/>
        <v>0.83283813899999992</v>
      </c>
      <c r="AN44">
        <f t="shared" si="29"/>
        <v>0.15339800139000001</v>
      </c>
      <c r="AO44">
        <v>31.2</v>
      </c>
      <c r="AP44">
        <v>0.5</v>
      </c>
      <c r="AQ44" t="s">
        <v>331</v>
      </c>
      <c r="AR44">
        <v>2</v>
      </c>
      <c r="AS44">
        <v>1690307070</v>
      </c>
      <c r="AT44">
        <v>776.64300000000003</v>
      </c>
      <c r="AU44">
        <v>800.21500000000003</v>
      </c>
      <c r="AV44">
        <v>22.603999999999999</v>
      </c>
      <c r="AW44">
        <v>19.5425</v>
      </c>
      <c r="AX44">
        <v>776.678</v>
      </c>
      <c r="AY44">
        <v>22.419899999999998</v>
      </c>
      <c r="AZ44">
        <v>300.18400000000003</v>
      </c>
      <c r="BA44">
        <v>99.220299999999995</v>
      </c>
      <c r="BB44">
        <v>0.10004</v>
      </c>
      <c r="BC44">
        <v>25.265899999999998</v>
      </c>
      <c r="BD44">
        <v>28.145299999999999</v>
      </c>
      <c r="BE44">
        <v>27.1876</v>
      </c>
      <c r="BF44">
        <v>0</v>
      </c>
      <c r="BG44">
        <v>0</v>
      </c>
      <c r="BH44">
        <v>9976.25</v>
      </c>
      <c r="BI44">
        <v>1060.8900000000001</v>
      </c>
      <c r="BJ44">
        <v>1.6315200000000001</v>
      </c>
      <c r="BK44">
        <v>-23.5715</v>
      </c>
      <c r="BL44">
        <v>794.60400000000004</v>
      </c>
      <c r="BM44">
        <v>816.16499999999996</v>
      </c>
      <c r="BN44">
        <v>3.0614400000000002</v>
      </c>
      <c r="BO44">
        <v>800.21500000000003</v>
      </c>
      <c r="BP44">
        <v>19.5425</v>
      </c>
      <c r="BQ44">
        <v>2.2427700000000002</v>
      </c>
      <c r="BR44">
        <v>1.93902</v>
      </c>
      <c r="BS44">
        <v>19.2712</v>
      </c>
      <c r="BT44">
        <v>16.954999999999998</v>
      </c>
      <c r="BU44">
        <v>1800</v>
      </c>
      <c r="BV44">
        <v>0.90997499999999998</v>
      </c>
      <c r="BW44">
        <v>3.4003499999999999E-2</v>
      </c>
      <c r="BX44">
        <v>2.2007200000000001E-2</v>
      </c>
      <c r="BY44">
        <v>3.40139E-2</v>
      </c>
      <c r="BZ44">
        <v>26</v>
      </c>
      <c r="CA44">
        <v>33528.199999999997</v>
      </c>
      <c r="CB44">
        <v>1690306253.5999999</v>
      </c>
      <c r="CC44" t="s">
        <v>332</v>
      </c>
      <c r="CD44">
        <v>1690306253.5999999</v>
      </c>
      <c r="CE44">
        <v>1690306251.5999999</v>
      </c>
      <c r="CF44">
        <v>9</v>
      </c>
      <c r="CG44">
        <v>0.19</v>
      </c>
      <c r="CH44">
        <v>-8.7999999999999995E-2</v>
      </c>
      <c r="CI44">
        <v>-5.0999999999999997E-2</v>
      </c>
      <c r="CJ44">
        <v>5.0999999999999997E-2</v>
      </c>
      <c r="CK44">
        <v>799</v>
      </c>
      <c r="CL44">
        <v>15</v>
      </c>
      <c r="CM44">
        <v>0.28000000000000003</v>
      </c>
      <c r="CN44">
        <v>0.03</v>
      </c>
      <c r="CO44">
        <v>-21.2758675</v>
      </c>
      <c r="CP44">
        <v>-12.47750431519693</v>
      </c>
      <c r="CQ44">
        <v>1.2008197007435171</v>
      </c>
      <c r="CR44">
        <v>-1</v>
      </c>
      <c r="CS44">
        <v>2.7935080000000001</v>
      </c>
      <c r="CT44">
        <v>1.4238711444652861</v>
      </c>
      <c r="CU44">
        <v>0.137251887039851</v>
      </c>
      <c r="CV44">
        <v>-1</v>
      </c>
      <c r="CW44">
        <v>0</v>
      </c>
      <c r="CX44">
        <v>0</v>
      </c>
      <c r="CY44" t="s">
        <v>333</v>
      </c>
      <c r="CZ44">
        <v>2.3639299999999999</v>
      </c>
      <c r="DA44">
        <v>2.7138100000000001</v>
      </c>
      <c r="DB44">
        <v>0.14391000000000001</v>
      </c>
      <c r="DC44">
        <v>0.14646100000000001</v>
      </c>
      <c r="DD44">
        <v>0.109219</v>
      </c>
      <c r="DE44">
        <v>9.71273E-2</v>
      </c>
      <c r="DF44">
        <v>31245.7</v>
      </c>
      <c r="DG44">
        <v>27500.3</v>
      </c>
      <c r="DH44">
        <v>31160.2</v>
      </c>
      <c r="DI44">
        <v>28075.8</v>
      </c>
      <c r="DJ44">
        <v>37688</v>
      </c>
      <c r="DK44">
        <v>36050.400000000001</v>
      </c>
      <c r="DL44">
        <v>44345</v>
      </c>
      <c r="DM44">
        <v>42561.7</v>
      </c>
      <c r="DN44">
        <v>1.4227000000000001</v>
      </c>
      <c r="DO44">
        <v>2.0500500000000001</v>
      </c>
      <c r="DP44">
        <v>0.163577</v>
      </c>
      <c r="DQ44">
        <v>0.13883400000000001</v>
      </c>
      <c r="DR44">
        <v>25.4693</v>
      </c>
      <c r="DS44">
        <v>24.913599999999999</v>
      </c>
      <c r="DT44">
        <v>56.4</v>
      </c>
      <c r="DU44">
        <v>29.4</v>
      </c>
      <c r="DV44">
        <v>23.392600000000002</v>
      </c>
      <c r="DW44">
        <v>62.133000000000003</v>
      </c>
      <c r="DX44">
        <v>35.6571</v>
      </c>
      <c r="DY44">
        <v>1</v>
      </c>
      <c r="DZ44">
        <v>-4.6689500000000002E-2</v>
      </c>
      <c r="EA44">
        <v>2.9259499999999998</v>
      </c>
      <c r="EB44">
        <v>20.160900000000002</v>
      </c>
      <c r="EC44">
        <v>5.2401999999999997</v>
      </c>
      <c r="ED44">
        <v>12.039899999999999</v>
      </c>
      <c r="EE44">
        <v>5.0169499999999996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1.8689100000000001</v>
      </c>
      <c r="EL44">
        <v>1.86463</v>
      </c>
      <c r="EM44">
        <v>1.8692</v>
      </c>
      <c r="EN44">
        <v>1.8672500000000001</v>
      </c>
      <c r="EO44">
        <v>1.8633999999999999</v>
      </c>
      <c r="EP44">
        <v>1.8644700000000001</v>
      </c>
      <c r="EQ44">
        <v>1.87018</v>
      </c>
      <c r="ER44">
        <v>1.86938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-3.5000000000000003E-2</v>
      </c>
      <c r="FG44">
        <v>0.18410000000000001</v>
      </c>
      <c r="FH44">
        <v>0.49996858830924029</v>
      </c>
      <c r="FI44">
        <v>-6.1462078757559423E-4</v>
      </c>
      <c r="FJ44">
        <v>-1.8861989874597051E-7</v>
      </c>
      <c r="FK44">
        <v>1.1980462299894961E-10</v>
      </c>
      <c r="FL44">
        <v>0.18404795463265899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13.6</v>
      </c>
      <c r="FU44">
        <v>13.6</v>
      </c>
      <c r="FV44">
        <v>1.79077</v>
      </c>
      <c r="FW44">
        <v>2.5927699999999998</v>
      </c>
      <c r="FX44">
        <v>1.5490699999999999</v>
      </c>
      <c r="FY44">
        <v>2.3290999999999999</v>
      </c>
      <c r="FZ44">
        <v>1.50146</v>
      </c>
      <c r="GA44">
        <v>2.36206</v>
      </c>
      <c r="GB44">
        <v>34.054499999999997</v>
      </c>
      <c r="GC44">
        <v>23.973700000000001</v>
      </c>
      <c r="GD44">
        <v>19</v>
      </c>
      <c r="GE44">
        <v>262.49</v>
      </c>
      <c r="GF44">
        <v>599.101</v>
      </c>
      <c r="GG44">
        <v>19.791</v>
      </c>
      <c r="GH44">
        <v>26.772600000000001</v>
      </c>
      <c r="GI44">
        <v>30.0001</v>
      </c>
      <c r="GJ44">
        <v>26.794799999999999</v>
      </c>
      <c r="GK44">
        <v>26.734100000000002</v>
      </c>
      <c r="GL44">
        <v>35.791200000000003</v>
      </c>
      <c r="GM44">
        <v>27.181899999999999</v>
      </c>
      <c r="GN44">
        <v>100</v>
      </c>
      <c r="GO44">
        <v>19.795999999999999</v>
      </c>
      <c r="GP44">
        <v>800</v>
      </c>
      <c r="GQ44">
        <v>19.291399999999999</v>
      </c>
      <c r="GR44">
        <v>99.700800000000001</v>
      </c>
      <c r="GS44">
        <v>99.558800000000005</v>
      </c>
    </row>
    <row r="45" spans="1:201" x14ac:dyDescent="0.25">
      <c r="A45">
        <v>29</v>
      </c>
      <c r="B45">
        <v>1690307080</v>
      </c>
      <c r="C45">
        <v>461.40000009536737</v>
      </c>
      <c r="D45" t="s">
        <v>391</v>
      </c>
      <c r="E45" t="s">
        <v>392</v>
      </c>
      <c r="F45" t="s">
        <v>330</v>
      </c>
      <c r="H45">
        <v>1690307080</v>
      </c>
      <c r="I45">
        <f t="shared" si="0"/>
        <v>3.2611103031338995E-4</v>
      </c>
      <c r="J45">
        <f t="shared" si="1"/>
        <v>0.32611103031338995</v>
      </c>
      <c r="K45">
        <f t="shared" si="2"/>
        <v>2.210140147668886</v>
      </c>
      <c r="L45">
        <f t="shared" si="3"/>
        <v>774.56899999999996</v>
      </c>
      <c r="M45">
        <f t="shared" si="4"/>
        <v>602.84119569195013</v>
      </c>
      <c r="N45">
        <f t="shared" si="5"/>
        <v>59.876574807259431</v>
      </c>
      <c r="O45">
        <f t="shared" si="6"/>
        <v>76.933260373240003</v>
      </c>
      <c r="P45">
        <f t="shared" si="7"/>
        <v>2.2796658260326268E-2</v>
      </c>
      <c r="Q45">
        <f t="shared" si="8"/>
        <v>2.194239354947654</v>
      </c>
      <c r="R45">
        <f t="shared" si="9"/>
        <v>2.2665894354187709E-2</v>
      </c>
      <c r="S45">
        <f t="shared" si="10"/>
        <v>1.4177869952509439E-2</v>
      </c>
      <c r="T45">
        <f t="shared" si="11"/>
        <v>276.1146418492454</v>
      </c>
      <c r="U45">
        <f t="shared" si="12"/>
        <v>27.232212680213522</v>
      </c>
      <c r="V45">
        <f t="shared" si="13"/>
        <v>27.232212680213522</v>
      </c>
      <c r="W45">
        <f t="shared" si="14"/>
        <v>3.6282653438865773</v>
      </c>
      <c r="X45">
        <f t="shared" si="15"/>
        <v>69.597361225513893</v>
      </c>
      <c r="Y45">
        <f t="shared" si="16"/>
        <v>2.2414438053200003</v>
      </c>
      <c r="Z45">
        <f t="shared" si="17"/>
        <v>3.2205873410302557</v>
      </c>
      <c r="AA45">
        <f t="shared" si="18"/>
        <v>1.386821538566577</v>
      </c>
      <c r="AB45">
        <f t="shared" si="19"/>
        <v>-14.381496436820496</v>
      </c>
      <c r="AC45">
        <f t="shared" si="20"/>
        <v>-238.67517086931483</v>
      </c>
      <c r="AD45">
        <f t="shared" si="21"/>
        <v>-23.293034720016006</v>
      </c>
      <c r="AE45">
        <f t="shared" si="22"/>
        <v>-0.23506017690593239</v>
      </c>
      <c r="AF45">
        <v>17</v>
      </c>
      <c r="AG45">
        <v>6</v>
      </c>
      <c r="AH45">
        <f t="shared" si="23"/>
        <v>1</v>
      </c>
      <c r="AI45">
        <f t="shared" si="24"/>
        <v>0</v>
      </c>
      <c r="AJ45">
        <f t="shared" si="25"/>
        <v>52708.096426967059</v>
      </c>
      <c r="AK45">
        <f t="shared" si="26"/>
        <v>1799.99</v>
      </c>
      <c r="AL45">
        <f t="shared" si="27"/>
        <v>1499.1013244130402</v>
      </c>
      <c r="AM45">
        <f t="shared" si="28"/>
        <v>0.83283869600000004</v>
      </c>
      <c r="AN45">
        <f t="shared" si="29"/>
        <v>0.15339787546</v>
      </c>
      <c r="AO45">
        <v>31.2</v>
      </c>
      <c r="AP45">
        <v>0.5</v>
      </c>
      <c r="AQ45" t="s">
        <v>331</v>
      </c>
      <c r="AR45">
        <v>2</v>
      </c>
      <c r="AS45">
        <v>1690307080</v>
      </c>
      <c r="AT45">
        <v>774.56899999999996</v>
      </c>
      <c r="AU45">
        <v>800.16200000000003</v>
      </c>
      <c r="AV45">
        <v>22.567</v>
      </c>
      <c r="AW45">
        <v>19.2545</v>
      </c>
      <c r="AX45">
        <v>774.60299999999995</v>
      </c>
      <c r="AY45">
        <v>22.382999999999999</v>
      </c>
      <c r="AZ45">
        <v>300.22800000000001</v>
      </c>
      <c r="BA45">
        <v>99.2239</v>
      </c>
      <c r="BB45">
        <v>0.10006</v>
      </c>
      <c r="BC45">
        <v>25.214600000000001</v>
      </c>
      <c r="BD45">
        <v>28.1097</v>
      </c>
      <c r="BE45">
        <v>27.135200000000001</v>
      </c>
      <c r="BF45">
        <v>0</v>
      </c>
      <c r="BG45">
        <v>0</v>
      </c>
      <c r="BH45">
        <v>9985.6200000000008</v>
      </c>
      <c r="BI45">
        <v>1060.0899999999999</v>
      </c>
      <c r="BJ45">
        <v>1.62592</v>
      </c>
      <c r="BK45">
        <v>-25.592400000000001</v>
      </c>
      <c r="BL45">
        <v>792.45299999999997</v>
      </c>
      <c r="BM45">
        <v>815.87099999999998</v>
      </c>
      <c r="BN45">
        <v>3.3124799999999999</v>
      </c>
      <c r="BO45">
        <v>800.16200000000003</v>
      </c>
      <c r="BP45">
        <v>19.2545</v>
      </c>
      <c r="BQ45">
        <v>2.2391899999999998</v>
      </c>
      <c r="BR45">
        <v>1.9105099999999999</v>
      </c>
      <c r="BS45">
        <v>19.2455</v>
      </c>
      <c r="BT45">
        <v>16.721499999999999</v>
      </c>
      <c r="BU45">
        <v>1799.99</v>
      </c>
      <c r="BV45">
        <v>0.90998100000000004</v>
      </c>
      <c r="BW45">
        <v>3.4001299999999998E-2</v>
      </c>
      <c r="BX45">
        <v>2.2005799999999999E-2</v>
      </c>
      <c r="BY45">
        <v>3.4011600000000003E-2</v>
      </c>
      <c r="BZ45">
        <v>25.958300000000001</v>
      </c>
      <c r="CA45">
        <v>33528.1</v>
      </c>
      <c r="CB45">
        <v>1690306253.5999999</v>
      </c>
      <c r="CC45" t="s">
        <v>332</v>
      </c>
      <c r="CD45">
        <v>1690306253.5999999</v>
      </c>
      <c r="CE45">
        <v>1690306251.5999999</v>
      </c>
      <c r="CF45">
        <v>9</v>
      </c>
      <c r="CG45">
        <v>0.19</v>
      </c>
      <c r="CH45">
        <v>-8.7999999999999995E-2</v>
      </c>
      <c r="CI45">
        <v>-5.0999999999999997E-2</v>
      </c>
      <c r="CJ45">
        <v>5.0999999999999997E-2</v>
      </c>
      <c r="CK45">
        <v>799</v>
      </c>
      <c r="CL45">
        <v>15</v>
      </c>
      <c r="CM45">
        <v>0.28000000000000003</v>
      </c>
      <c r="CN45">
        <v>0.03</v>
      </c>
      <c r="CO45">
        <v>-23.194692682926831</v>
      </c>
      <c r="CP45">
        <v>-12.46908710801401</v>
      </c>
      <c r="CQ45">
        <v>1.2302640044633379</v>
      </c>
      <c r="CR45">
        <v>-1</v>
      </c>
      <c r="CS45">
        <v>3.0273414634146341</v>
      </c>
      <c r="CT45">
        <v>1.5630750522648049</v>
      </c>
      <c r="CU45">
        <v>0.15452793043868571</v>
      </c>
      <c r="CV45">
        <v>-1</v>
      </c>
      <c r="CW45">
        <v>0</v>
      </c>
      <c r="CX45">
        <v>0</v>
      </c>
      <c r="CY45" t="s">
        <v>333</v>
      </c>
      <c r="CZ45">
        <v>2.3640500000000002</v>
      </c>
      <c r="DA45">
        <v>2.7138399999999998</v>
      </c>
      <c r="DB45">
        <v>0.143655</v>
      </c>
      <c r="DC45">
        <v>0.146453</v>
      </c>
      <c r="DD45">
        <v>0.109095</v>
      </c>
      <c r="DE45">
        <v>9.6109100000000003E-2</v>
      </c>
      <c r="DF45">
        <v>31255.200000000001</v>
      </c>
      <c r="DG45">
        <v>27500.6</v>
      </c>
      <c r="DH45">
        <v>31160.400000000001</v>
      </c>
      <c r="DI45">
        <v>28075.9</v>
      </c>
      <c r="DJ45">
        <v>37693.4</v>
      </c>
      <c r="DK45">
        <v>36091.4</v>
      </c>
      <c r="DL45">
        <v>44345.2</v>
      </c>
      <c r="DM45">
        <v>42562</v>
      </c>
      <c r="DN45">
        <v>1.4229499999999999</v>
      </c>
      <c r="DO45">
        <v>2.0496699999999999</v>
      </c>
      <c r="DP45">
        <v>0.163607</v>
      </c>
      <c r="DQ45">
        <v>0.138044</v>
      </c>
      <c r="DR45">
        <v>25.4331</v>
      </c>
      <c r="DS45">
        <v>24.873899999999999</v>
      </c>
      <c r="DT45">
        <v>56.5</v>
      </c>
      <c r="DU45">
        <v>29.4</v>
      </c>
      <c r="DV45">
        <v>23.4377</v>
      </c>
      <c r="DW45">
        <v>61.823</v>
      </c>
      <c r="DX45">
        <v>35.056100000000001</v>
      </c>
      <c r="DY45">
        <v>1</v>
      </c>
      <c r="DZ45">
        <v>-4.6928400000000002E-2</v>
      </c>
      <c r="EA45">
        <v>2.9165100000000002</v>
      </c>
      <c r="EB45">
        <v>20.161300000000001</v>
      </c>
      <c r="EC45">
        <v>5.2408000000000001</v>
      </c>
      <c r="ED45">
        <v>12.039899999999999</v>
      </c>
      <c r="EE45">
        <v>5.0166500000000003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1.86893</v>
      </c>
      <c r="EL45">
        <v>1.8646199999999999</v>
      </c>
      <c r="EM45">
        <v>1.8692</v>
      </c>
      <c r="EN45">
        <v>1.8672500000000001</v>
      </c>
      <c r="EO45">
        <v>1.8633999999999999</v>
      </c>
      <c r="EP45">
        <v>1.8644700000000001</v>
      </c>
      <c r="EQ45">
        <v>1.87022</v>
      </c>
      <c r="ER45">
        <v>1.86941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-3.4000000000000002E-2</v>
      </c>
      <c r="FG45">
        <v>0.184</v>
      </c>
      <c r="FH45">
        <v>0.49996858830924029</v>
      </c>
      <c r="FI45">
        <v>-6.1462078757559423E-4</v>
      </c>
      <c r="FJ45">
        <v>-1.8861989874597051E-7</v>
      </c>
      <c r="FK45">
        <v>1.1980462299894961E-10</v>
      </c>
      <c r="FL45">
        <v>0.18404795463265899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13.8</v>
      </c>
      <c r="FU45">
        <v>13.8</v>
      </c>
      <c r="FV45">
        <v>1.78955</v>
      </c>
      <c r="FW45">
        <v>2.5878899999999998</v>
      </c>
      <c r="FX45">
        <v>1.5490699999999999</v>
      </c>
      <c r="FY45">
        <v>2.3290999999999999</v>
      </c>
      <c r="FZ45">
        <v>1.50146</v>
      </c>
      <c r="GA45">
        <v>2.4047900000000002</v>
      </c>
      <c r="GB45">
        <v>34.077100000000002</v>
      </c>
      <c r="GC45">
        <v>23.973700000000001</v>
      </c>
      <c r="GD45">
        <v>19</v>
      </c>
      <c r="GE45">
        <v>262.601</v>
      </c>
      <c r="GF45">
        <v>598.80999999999995</v>
      </c>
      <c r="GG45">
        <v>19.785799999999998</v>
      </c>
      <c r="GH45">
        <v>26.768799999999999</v>
      </c>
      <c r="GI45">
        <v>30</v>
      </c>
      <c r="GJ45">
        <v>26.7971</v>
      </c>
      <c r="GK45">
        <v>26.7363</v>
      </c>
      <c r="GL45">
        <v>35.779899999999998</v>
      </c>
      <c r="GM45">
        <v>28.054600000000001</v>
      </c>
      <c r="GN45">
        <v>100</v>
      </c>
      <c r="GO45">
        <v>19.783799999999999</v>
      </c>
      <c r="GP45">
        <v>800</v>
      </c>
      <c r="GQ45">
        <v>19.069299999999998</v>
      </c>
      <c r="GR45">
        <v>99.701300000000003</v>
      </c>
      <c r="GS45">
        <v>99.559299999999993</v>
      </c>
    </row>
    <row r="46" spans="1:201" x14ac:dyDescent="0.25">
      <c r="A46">
        <v>30</v>
      </c>
      <c r="B46">
        <v>1690307090</v>
      </c>
      <c r="C46">
        <v>471.40000009536737</v>
      </c>
      <c r="D46" t="s">
        <v>393</v>
      </c>
      <c r="E46" t="s">
        <v>394</v>
      </c>
      <c r="F46" t="s">
        <v>330</v>
      </c>
      <c r="H46">
        <v>1690307090</v>
      </c>
      <c r="I46">
        <f t="shared" si="0"/>
        <v>3.4392948072127039E-4</v>
      </c>
      <c r="J46">
        <f t="shared" si="1"/>
        <v>0.34392948072127039</v>
      </c>
      <c r="K46">
        <f t="shared" si="2"/>
        <v>2.3888330947133243</v>
      </c>
      <c r="L46">
        <f t="shared" si="3"/>
        <v>772.50099999999998</v>
      </c>
      <c r="M46">
        <f t="shared" si="4"/>
        <v>597.5901238639168</v>
      </c>
      <c r="N46">
        <f t="shared" si="5"/>
        <v>59.353500696043319</v>
      </c>
      <c r="O46">
        <f t="shared" si="6"/>
        <v>76.725897584671699</v>
      </c>
      <c r="P46">
        <f t="shared" si="7"/>
        <v>2.4132413086970155E-2</v>
      </c>
      <c r="Q46">
        <f t="shared" si="8"/>
        <v>2.1985080254874876</v>
      </c>
      <c r="R46">
        <f t="shared" si="9"/>
        <v>2.3986211879002121E-2</v>
      </c>
      <c r="S46">
        <f t="shared" si="10"/>
        <v>1.5004444075033631E-2</v>
      </c>
      <c r="T46">
        <f t="shared" si="11"/>
        <v>276.11434548089198</v>
      </c>
      <c r="U46">
        <f t="shared" si="12"/>
        <v>27.184957737185336</v>
      </c>
      <c r="V46">
        <f t="shared" si="13"/>
        <v>27.184957737185336</v>
      </c>
      <c r="W46">
        <f t="shared" si="14"/>
        <v>3.6182250330084726</v>
      </c>
      <c r="X46">
        <f t="shared" si="15"/>
        <v>69.586282495832137</v>
      </c>
      <c r="Y46">
        <f t="shared" si="16"/>
        <v>2.2360628953007797</v>
      </c>
      <c r="Z46">
        <f t="shared" si="17"/>
        <v>3.2133673694017326</v>
      </c>
      <c r="AA46">
        <f t="shared" si="18"/>
        <v>1.3821621377076929</v>
      </c>
      <c r="AB46">
        <f t="shared" si="19"/>
        <v>-15.167290099808024</v>
      </c>
      <c r="AC46">
        <f t="shared" si="20"/>
        <v>-238.00698041311281</v>
      </c>
      <c r="AD46">
        <f t="shared" si="21"/>
        <v>-23.172850334859561</v>
      </c>
      <c r="AE46">
        <f t="shared" si="22"/>
        <v>-0.23277536688840428</v>
      </c>
      <c r="AF46">
        <v>17</v>
      </c>
      <c r="AG46">
        <v>6</v>
      </c>
      <c r="AH46">
        <f t="shared" si="23"/>
        <v>1</v>
      </c>
      <c r="AI46">
        <f t="shared" si="24"/>
        <v>0</v>
      </c>
      <c r="AJ46">
        <f t="shared" si="25"/>
        <v>52890.5689512545</v>
      </c>
      <c r="AK46">
        <f t="shared" si="26"/>
        <v>1799.99</v>
      </c>
      <c r="AL46">
        <f t="shared" si="27"/>
        <v>1499.10204440904</v>
      </c>
      <c r="AM46">
        <f t="shared" si="28"/>
        <v>0.83283909599999995</v>
      </c>
      <c r="AN46">
        <f t="shared" si="29"/>
        <v>0.15339771081000003</v>
      </c>
      <c r="AO46">
        <v>31.2</v>
      </c>
      <c r="AP46">
        <v>0.5</v>
      </c>
      <c r="AQ46" t="s">
        <v>331</v>
      </c>
      <c r="AR46">
        <v>2</v>
      </c>
      <c r="AS46">
        <v>1690307090</v>
      </c>
      <c r="AT46">
        <v>772.50099999999998</v>
      </c>
      <c r="AU46">
        <v>800.08399999999995</v>
      </c>
      <c r="AV46">
        <v>22.513400000000001</v>
      </c>
      <c r="AW46">
        <v>19.020099999999999</v>
      </c>
      <c r="AX46">
        <v>772.53300000000002</v>
      </c>
      <c r="AY46">
        <v>22.3294</v>
      </c>
      <c r="AZ46">
        <v>300.26100000000002</v>
      </c>
      <c r="BA46">
        <v>99.221500000000006</v>
      </c>
      <c r="BB46">
        <v>9.9921700000000002E-2</v>
      </c>
      <c r="BC46">
        <v>25.1769</v>
      </c>
      <c r="BD46">
        <v>28.04</v>
      </c>
      <c r="BE46">
        <v>27.0823</v>
      </c>
      <c r="BF46">
        <v>0</v>
      </c>
      <c r="BG46">
        <v>0</v>
      </c>
      <c r="BH46">
        <v>10020.6</v>
      </c>
      <c r="BI46">
        <v>1059.47</v>
      </c>
      <c r="BJ46">
        <v>1.62592</v>
      </c>
      <c r="BK46">
        <v>-27.583600000000001</v>
      </c>
      <c r="BL46">
        <v>790.29300000000001</v>
      </c>
      <c r="BM46">
        <v>815.59699999999998</v>
      </c>
      <c r="BN46">
        <v>3.4933700000000001</v>
      </c>
      <c r="BO46">
        <v>800.08399999999995</v>
      </c>
      <c r="BP46">
        <v>19.020099999999999</v>
      </c>
      <c r="BQ46">
        <v>2.2338200000000001</v>
      </c>
      <c r="BR46">
        <v>1.8872</v>
      </c>
      <c r="BS46">
        <v>19.206900000000001</v>
      </c>
      <c r="BT46">
        <v>16.528400000000001</v>
      </c>
      <c r="BU46">
        <v>1799.99</v>
      </c>
      <c r="BV46">
        <v>0.90998699999999999</v>
      </c>
      <c r="BW46">
        <v>3.3999000000000001E-2</v>
      </c>
      <c r="BX46">
        <v>2.2004300000000001E-2</v>
      </c>
      <c r="BY46">
        <v>3.4009299999999999E-2</v>
      </c>
      <c r="BZ46">
        <v>25.708300000000001</v>
      </c>
      <c r="CA46">
        <v>33528.199999999997</v>
      </c>
      <c r="CB46">
        <v>1690306253.5999999</v>
      </c>
      <c r="CC46" t="s">
        <v>332</v>
      </c>
      <c r="CD46">
        <v>1690306253.5999999</v>
      </c>
      <c r="CE46">
        <v>1690306251.5999999</v>
      </c>
      <c r="CF46">
        <v>9</v>
      </c>
      <c r="CG46">
        <v>0.19</v>
      </c>
      <c r="CH46">
        <v>-8.7999999999999995E-2</v>
      </c>
      <c r="CI46">
        <v>-5.0999999999999997E-2</v>
      </c>
      <c r="CJ46">
        <v>5.0999999999999997E-2</v>
      </c>
      <c r="CK46">
        <v>799</v>
      </c>
      <c r="CL46">
        <v>15</v>
      </c>
      <c r="CM46">
        <v>0.28000000000000003</v>
      </c>
      <c r="CN46">
        <v>0.03</v>
      </c>
      <c r="CO46">
        <v>-25.261426829268292</v>
      </c>
      <c r="CP46">
        <v>-12.06506341463415</v>
      </c>
      <c r="CQ46">
        <v>1.1903181862015471</v>
      </c>
      <c r="CR46">
        <v>-1</v>
      </c>
      <c r="CS46">
        <v>3.2693221951219509</v>
      </c>
      <c r="CT46">
        <v>1.3342174912892031</v>
      </c>
      <c r="CU46">
        <v>0.13239056449895581</v>
      </c>
      <c r="CV46">
        <v>-1</v>
      </c>
      <c r="CW46">
        <v>0</v>
      </c>
      <c r="CX46">
        <v>0</v>
      </c>
      <c r="CY46" t="s">
        <v>333</v>
      </c>
      <c r="CZ46">
        <v>2.3641899999999998</v>
      </c>
      <c r="DA46">
        <v>2.71373</v>
      </c>
      <c r="DB46">
        <v>0.14339199999999999</v>
      </c>
      <c r="DC46">
        <v>0.14643400000000001</v>
      </c>
      <c r="DD46">
        <v>0.108907</v>
      </c>
      <c r="DE46">
        <v>9.5269900000000005E-2</v>
      </c>
      <c r="DF46">
        <v>31264.7</v>
      </c>
      <c r="DG46">
        <v>27501.599999999999</v>
      </c>
      <c r="DH46">
        <v>31160.3</v>
      </c>
      <c r="DI46">
        <v>28076.2</v>
      </c>
      <c r="DJ46">
        <v>37701.199999999997</v>
      </c>
      <c r="DK46">
        <v>36125.199999999997</v>
      </c>
      <c r="DL46">
        <v>44345</v>
      </c>
      <c r="DM46">
        <v>42562.3</v>
      </c>
      <c r="DN46">
        <v>1.4231</v>
      </c>
      <c r="DO46">
        <v>2.0496699999999999</v>
      </c>
      <c r="DP46">
        <v>0.16155800000000001</v>
      </c>
      <c r="DQ46">
        <v>0.13718</v>
      </c>
      <c r="DR46">
        <v>25.396699999999999</v>
      </c>
      <c r="DS46">
        <v>24.835000000000001</v>
      </c>
      <c r="DT46">
        <v>56.5</v>
      </c>
      <c r="DU46">
        <v>29.4</v>
      </c>
      <c r="DV46">
        <v>23.435600000000001</v>
      </c>
      <c r="DW46">
        <v>61.573</v>
      </c>
      <c r="DX46">
        <v>34.835700000000003</v>
      </c>
      <c r="DY46">
        <v>1</v>
      </c>
      <c r="DZ46">
        <v>-4.6717500000000002E-2</v>
      </c>
      <c r="EA46">
        <v>2.9167999999999998</v>
      </c>
      <c r="EB46">
        <v>20.160799999999998</v>
      </c>
      <c r="EC46">
        <v>5.2404999999999999</v>
      </c>
      <c r="ED46">
        <v>12.039899999999999</v>
      </c>
      <c r="EE46">
        <v>5.0163500000000001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1.8689100000000001</v>
      </c>
      <c r="EL46">
        <v>1.8646199999999999</v>
      </c>
      <c r="EM46">
        <v>1.8692</v>
      </c>
      <c r="EN46">
        <v>1.8672299999999999</v>
      </c>
      <c r="EO46">
        <v>1.8633999999999999</v>
      </c>
      <c r="EP46">
        <v>1.8644700000000001</v>
      </c>
      <c r="EQ46">
        <v>1.8701700000000001</v>
      </c>
      <c r="ER46">
        <v>1.86944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-3.2000000000000001E-2</v>
      </c>
      <c r="FG46">
        <v>0.184</v>
      </c>
      <c r="FH46">
        <v>0.49996858830924029</v>
      </c>
      <c r="FI46">
        <v>-6.1462078757559423E-4</v>
      </c>
      <c r="FJ46">
        <v>-1.8861989874597051E-7</v>
      </c>
      <c r="FK46">
        <v>1.1980462299894961E-10</v>
      </c>
      <c r="FL46">
        <v>0.18404795463265899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13.9</v>
      </c>
      <c r="FU46">
        <v>14</v>
      </c>
      <c r="FV46">
        <v>1.78955</v>
      </c>
      <c r="FW46">
        <v>2.5866699999999998</v>
      </c>
      <c r="FX46">
        <v>1.5490699999999999</v>
      </c>
      <c r="FY46">
        <v>2.3303199999999999</v>
      </c>
      <c r="FZ46">
        <v>1.50146</v>
      </c>
      <c r="GA46">
        <v>2.3986800000000001</v>
      </c>
      <c r="GB46">
        <v>34.054499999999997</v>
      </c>
      <c r="GC46">
        <v>23.982399999999998</v>
      </c>
      <c r="GD46">
        <v>19</v>
      </c>
      <c r="GE46">
        <v>262.661</v>
      </c>
      <c r="GF46">
        <v>598.83799999999997</v>
      </c>
      <c r="GG46">
        <v>19.768699999999999</v>
      </c>
      <c r="GH46">
        <v>26.764299999999999</v>
      </c>
      <c r="GI46">
        <v>30.0002</v>
      </c>
      <c r="GJ46">
        <v>26.7971</v>
      </c>
      <c r="GK46">
        <v>26.738800000000001</v>
      </c>
      <c r="GL46">
        <v>35.7729</v>
      </c>
      <c r="GM46">
        <v>28.900200000000002</v>
      </c>
      <c r="GN46">
        <v>100</v>
      </c>
      <c r="GO46">
        <v>19.763200000000001</v>
      </c>
      <c r="GP46">
        <v>800</v>
      </c>
      <c r="GQ46">
        <v>18.776900000000001</v>
      </c>
      <c r="GR46">
        <v>99.700900000000004</v>
      </c>
      <c r="GS46">
        <v>99.560199999999995</v>
      </c>
    </row>
    <row r="47" spans="1:201" x14ac:dyDescent="0.25">
      <c r="A47">
        <v>31</v>
      </c>
      <c r="B47">
        <v>1690307100</v>
      </c>
      <c r="C47">
        <v>481.40000009536737</v>
      </c>
      <c r="D47" t="s">
        <v>395</v>
      </c>
      <c r="E47" t="s">
        <v>396</v>
      </c>
      <c r="F47" t="s">
        <v>330</v>
      </c>
      <c r="H47">
        <v>1690307100</v>
      </c>
      <c r="I47">
        <f t="shared" si="0"/>
        <v>3.6372181670862847E-4</v>
      </c>
      <c r="J47">
        <f t="shared" si="1"/>
        <v>0.36372181670862846</v>
      </c>
      <c r="K47">
        <f t="shared" si="2"/>
        <v>2.5853006538527405</v>
      </c>
      <c r="L47">
        <f t="shared" si="3"/>
        <v>770.39099999999996</v>
      </c>
      <c r="M47">
        <f t="shared" si="4"/>
        <v>592.23206339094861</v>
      </c>
      <c r="N47">
        <f t="shared" si="5"/>
        <v>58.822253802100363</v>
      </c>
      <c r="O47">
        <f t="shared" si="6"/>
        <v>76.517530424453696</v>
      </c>
      <c r="P47">
        <f t="shared" si="7"/>
        <v>2.5584416831324078E-2</v>
      </c>
      <c r="Q47">
        <f t="shared" si="8"/>
        <v>2.1953058853363823</v>
      </c>
      <c r="R47">
        <f t="shared" si="9"/>
        <v>2.5419919709633226E-2</v>
      </c>
      <c r="S47">
        <f t="shared" si="10"/>
        <v>1.5902140952505108E-2</v>
      </c>
      <c r="T47">
        <f t="shared" si="11"/>
        <v>276.11420448767529</v>
      </c>
      <c r="U47">
        <f t="shared" si="12"/>
        <v>27.140873306656605</v>
      </c>
      <c r="V47">
        <f t="shared" si="13"/>
        <v>27.140873306656605</v>
      </c>
      <c r="W47">
        <f t="shared" si="14"/>
        <v>3.6088802380361322</v>
      </c>
      <c r="X47">
        <f t="shared" si="15"/>
        <v>69.54739339969079</v>
      </c>
      <c r="Y47">
        <f t="shared" si="16"/>
        <v>2.2294830831767598</v>
      </c>
      <c r="Z47">
        <f t="shared" si="17"/>
        <v>3.2057032969788803</v>
      </c>
      <c r="AA47">
        <f t="shared" si="18"/>
        <v>1.3793971548593724</v>
      </c>
      <c r="AB47">
        <f t="shared" si="19"/>
        <v>-16.040132116850515</v>
      </c>
      <c r="AC47">
        <f t="shared" si="20"/>
        <v>-237.18875119105664</v>
      </c>
      <c r="AD47">
        <f t="shared" si="21"/>
        <v>-23.117109427831256</v>
      </c>
      <c r="AE47">
        <f t="shared" si="22"/>
        <v>-0.23178824806311127</v>
      </c>
      <c r="AF47">
        <v>17</v>
      </c>
      <c r="AG47">
        <v>6</v>
      </c>
      <c r="AH47">
        <f t="shared" si="23"/>
        <v>1</v>
      </c>
      <c r="AI47">
        <f t="shared" si="24"/>
        <v>0</v>
      </c>
      <c r="AJ47">
        <f t="shared" si="25"/>
        <v>52765.74301240193</v>
      </c>
      <c r="AK47">
        <f t="shared" si="26"/>
        <v>1799.99</v>
      </c>
      <c r="AL47">
        <f t="shared" si="27"/>
        <v>1499.1034430012701</v>
      </c>
      <c r="AM47">
        <f t="shared" si="28"/>
        <v>0.83283987300000006</v>
      </c>
      <c r="AN47">
        <f t="shared" si="29"/>
        <v>0.15339763248000005</v>
      </c>
      <c r="AO47">
        <v>31.2</v>
      </c>
      <c r="AP47">
        <v>0.5</v>
      </c>
      <c r="AQ47" t="s">
        <v>331</v>
      </c>
      <c r="AR47">
        <v>2</v>
      </c>
      <c r="AS47">
        <v>1690307100</v>
      </c>
      <c r="AT47">
        <v>770.39099999999996</v>
      </c>
      <c r="AU47">
        <v>800.17700000000002</v>
      </c>
      <c r="AV47">
        <v>22.4468</v>
      </c>
      <c r="AW47">
        <v>18.750900000000001</v>
      </c>
      <c r="AX47">
        <v>770.42100000000005</v>
      </c>
      <c r="AY47">
        <v>22.262699999999999</v>
      </c>
      <c r="AZ47">
        <v>300.154</v>
      </c>
      <c r="BA47">
        <v>99.222999999999999</v>
      </c>
      <c r="BB47">
        <v>9.9980700000000006E-2</v>
      </c>
      <c r="BC47">
        <v>25.136800000000001</v>
      </c>
      <c r="BD47">
        <v>28.046500000000002</v>
      </c>
      <c r="BE47">
        <v>27.048400000000001</v>
      </c>
      <c r="BF47">
        <v>0</v>
      </c>
      <c r="BG47">
        <v>0</v>
      </c>
      <c r="BH47">
        <v>9994.3799999999992</v>
      </c>
      <c r="BI47">
        <v>1058.83</v>
      </c>
      <c r="BJ47">
        <v>1.62592</v>
      </c>
      <c r="BK47">
        <v>-29.7866</v>
      </c>
      <c r="BL47">
        <v>788.08</v>
      </c>
      <c r="BM47">
        <v>815.46799999999996</v>
      </c>
      <c r="BN47">
        <v>3.6959</v>
      </c>
      <c r="BO47">
        <v>800.17700000000002</v>
      </c>
      <c r="BP47">
        <v>18.750900000000001</v>
      </c>
      <c r="BQ47">
        <v>2.2272400000000001</v>
      </c>
      <c r="BR47">
        <v>1.86052</v>
      </c>
      <c r="BS47">
        <v>19.159600000000001</v>
      </c>
      <c r="BT47">
        <v>16.3047</v>
      </c>
      <c r="BU47">
        <v>1799.99</v>
      </c>
      <c r="BV47">
        <v>0.90999300000000005</v>
      </c>
      <c r="BW47">
        <v>3.3996899999999997E-2</v>
      </c>
      <c r="BX47">
        <v>2.2002899999999999E-2</v>
      </c>
      <c r="BY47">
        <v>3.4007200000000001E-2</v>
      </c>
      <c r="BZ47">
        <v>25.666699999999999</v>
      </c>
      <c r="CA47">
        <v>33528.1</v>
      </c>
      <c r="CB47">
        <v>1690306253.5999999</v>
      </c>
      <c r="CC47" t="s">
        <v>332</v>
      </c>
      <c r="CD47">
        <v>1690306253.5999999</v>
      </c>
      <c r="CE47">
        <v>1690306251.5999999</v>
      </c>
      <c r="CF47">
        <v>9</v>
      </c>
      <c r="CG47">
        <v>0.19</v>
      </c>
      <c r="CH47">
        <v>-8.7999999999999995E-2</v>
      </c>
      <c r="CI47">
        <v>-5.0999999999999997E-2</v>
      </c>
      <c r="CJ47">
        <v>5.0999999999999997E-2</v>
      </c>
      <c r="CK47">
        <v>799</v>
      </c>
      <c r="CL47">
        <v>15</v>
      </c>
      <c r="CM47">
        <v>0.28000000000000003</v>
      </c>
      <c r="CN47">
        <v>0.03</v>
      </c>
      <c r="CO47">
        <v>-27.31495609756097</v>
      </c>
      <c r="CP47">
        <v>-12.39536655052267</v>
      </c>
      <c r="CQ47">
        <v>1.223022023025049</v>
      </c>
      <c r="CR47">
        <v>-1</v>
      </c>
      <c r="CS47">
        <v>3.4778804878048781</v>
      </c>
      <c r="CT47">
        <v>1.202721951219518</v>
      </c>
      <c r="CU47">
        <v>0.1190422205067458</v>
      </c>
      <c r="CV47">
        <v>-1</v>
      </c>
      <c r="CW47">
        <v>0</v>
      </c>
      <c r="CX47">
        <v>0</v>
      </c>
      <c r="CY47" t="s">
        <v>333</v>
      </c>
      <c r="CZ47">
        <v>2.3638400000000002</v>
      </c>
      <c r="DA47">
        <v>2.7137699999999998</v>
      </c>
      <c r="DB47">
        <v>0.14313000000000001</v>
      </c>
      <c r="DC47">
        <v>0.14644299999999999</v>
      </c>
      <c r="DD47">
        <v>0.10868</v>
      </c>
      <c r="DE47">
        <v>9.4306799999999996E-2</v>
      </c>
      <c r="DF47">
        <v>31274.1</v>
      </c>
      <c r="DG47">
        <v>27501.3</v>
      </c>
      <c r="DH47">
        <v>31160.2</v>
      </c>
      <c r="DI47">
        <v>28076.2</v>
      </c>
      <c r="DJ47">
        <v>37710.800000000003</v>
      </c>
      <c r="DK47">
        <v>36163.9</v>
      </c>
      <c r="DL47">
        <v>44344.9</v>
      </c>
      <c r="DM47">
        <v>42562.400000000001</v>
      </c>
      <c r="DN47">
        <v>1.42303</v>
      </c>
      <c r="DO47">
        <v>2.0491000000000001</v>
      </c>
      <c r="DP47">
        <v>0.16427</v>
      </c>
      <c r="DQ47">
        <v>0.137433</v>
      </c>
      <c r="DR47">
        <v>25.358699999999999</v>
      </c>
      <c r="DS47">
        <v>24.796900000000001</v>
      </c>
      <c r="DT47">
        <v>56.5</v>
      </c>
      <c r="DU47">
        <v>29.4</v>
      </c>
      <c r="DV47">
        <v>23.435400000000001</v>
      </c>
      <c r="DW47">
        <v>61.863</v>
      </c>
      <c r="DX47">
        <v>35.568899999999999</v>
      </c>
      <c r="DY47">
        <v>1</v>
      </c>
      <c r="DZ47">
        <v>-4.6872499999999997E-2</v>
      </c>
      <c r="EA47">
        <v>2.9286699999999999</v>
      </c>
      <c r="EB47">
        <v>20.160599999999999</v>
      </c>
      <c r="EC47">
        <v>5.2404999999999999</v>
      </c>
      <c r="ED47">
        <v>12.039899999999999</v>
      </c>
      <c r="EE47">
        <v>5.0156999999999998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1.8689100000000001</v>
      </c>
      <c r="EL47">
        <v>1.8646400000000001</v>
      </c>
      <c r="EM47">
        <v>1.8692</v>
      </c>
      <c r="EN47">
        <v>1.8672599999999999</v>
      </c>
      <c r="EO47">
        <v>1.8633900000000001</v>
      </c>
      <c r="EP47">
        <v>1.8644799999999999</v>
      </c>
      <c r="EQ47">
        <v>1.87016</v>
      </c>
      <c r="ER47">
        <v>1.86944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-0.03</v>
      </c>
      <c r="FG47">
        <v>0.18410000000000001</v>
      </c>
      <c r="FH47">
        <v>0.49996858830924029</v>
      </c>
      <c r="FI47">
        <v>-6.1462078757559423E-4</v>
      </c>
      <c r="FJ47">
        <v>-1.8861989874597051E-7</v>
      </c>
      <c r="FK47">
        <v>1.1980462299894961E-10</v>
      </c>
      <c r="FL47">
        <v>0.18404795463265899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14.1</v>
      </c>
      <c r="FU47">
        <v>14.1</v>
      </c>
      <c r="FV47">
        <v>1.78833</v>
      </c>
      <c r="FW47">
        <v>2.5891099999999998</v>
      </c>
      <c r="FX47">
        <v>1.5490699999999999</v>
      </c>
      <c r="FY47">
        <v>2.3303199999999999</v>
      </c>
      <c r="FZ47">
        <v>1.50146</v>
      </c>
      <c r="GA47">
        <v>2.34863</v>
      </c>
      <c r="GB47">
        <v>34.077100000000002</v>
      </c>
      <c r="GC47">
        <v>23.973700000000001</v>
      </c>
      <c r="GD47">
        <v>19</v>
      </c>
      <c r="GE47">
        <v>262.63099999999997</v>
      </c>
      <c r="GF47">
        <v>598.37599999999998</v>
      </c>
      <c r="GG47">
        <v>19.744299999999999</v>
      </c>
      <c r="GH47">
        <v>26.759699999999999</v>
      </c>
      <c r="GI47">
        <v>30</v>
      </c>
      <c r="GJ47">
        <v>26.7971</v>
      </c>
      <c r="GK47">
        <v>26.7408</v>
      </c>
      <c r="GL47">
        <v>35.764699999999998</v>
      </c>
      <c r="GM47">
        <v>29.804400000000001</v>
      </c>
      <c r="GN47">
        <v>100</v>
      </c>
      <c r="GO47">
        <v>19.7334</v>
      </c>
      <c r="GP47">
        <v>800</v>
      </c>
      <c r="GQ47">
        <v>18.5746</v>
      </c>
      <c r="GR47">
        <v>99.700599999999994</v>
      </c>
      <c r="GS47">
        <v>99.560299999999998</v>
      </c>
    </row>
    <row r="48" spans="1:201" x14ac:dyDescent="0.25">
      <c r="A48">
        <v>32</v>
      </c>
      <c r="B48">
        <v>1690307110</v>
      </c>
      <c r="C48">
        <v>491.40000009536737</v>
      </c>
      <c r="D48" t="s">
        <v>397</v>
      </c>
      <c r="E48" t="s">
        <v>398</v>
      </c>
      <c r="F48" t="s">
        <v>330</v>
      </c>
      <c r="H48">
        <v>1690307110</v>
      </c>
      <c r="I48">
        <f t="shared" si="0"/>
        <v>3.7512689007180195E-4</v>
      </c>
      <c r="J48">
        <f t="shared" si="1"/>
        <v>0.37512689007180194</v>
      </c>
      <c r="K48">
        <f t="shared" si="2"/>
        <v>2.7679869645846553</v>
      </c>
      <c r="L48">
        <f t="shared" si="3"/>
        <v>768.29700000000003</v>
      </c>
      <c r="M48">
        <f t="shared" si="4"/>
        <v>584.23960458629256</v>
      </c>
      <c r="N48">
        <f t="shared" si="5"/>
        <v>58.036043180491895</v>
      </c>
      <c r="O48">
        <f t="shared" si="6"/>
        <v>76.319574225058503</v>
      </c>
      <c r="P48">
        <f t="shared" si="7"/>
        <v>2.6417504673580741E-2</v>
      </c>
      <c r="Q48">
        <f t="shared" si="8"/>
        <v>2.1955443881961929</v>
      </c>
      <c r="R48">
        <f t="shared" si="9"/>
        <v>2.6242178851748298E-2</v>
      </c>
      <c r="S48">
        <f t="shared" si="10"/>
        <v>1.6417017001061983E-2</v>
      </c>
      <c r="T48">
        <f t="shared" si="11"/>
        <v>276.11396757299138</v>
      </c>
      <c r="U48">
        <f t="shared" si="12"/>
        <v>27.095970005055495</v>
      </c>
      <c r="V48">
        <f t="shared" si="13"/>
        <v>27.095970005055495</v>
      </c>
      <c r="W48">
        <f t="shared" si="14"/>
        <v>3.5993835265965455</v>
      </c>
      <c r="X48">
        <f t="shared" si="15"/>
        <v>69.451601704754168</v>
      </c>
      <c r="Y48">
        <f t="shared" si="16"/>
        <v>2.2209947043312002</v>
      </c>
      <c r="Z48">
        <f t="shared" si="17"/>
        <v>3.1979027838304934</v>
      </c>
      <c r="AA48">
        <f t="shared" si="18"/>
        <v>1.3783888222653453</v>
      </c>
      <c r="AB48">
        <f t="shared" si="19"/>
        <v>-16.543095852166466</v>
      </c>
      <c r="AC48">
        <f t="shared" si="20"/>
        <v>-236.74066434449992</v>
      </c>
      <c r="AD48">
        <f t="shared" si="21"/>
        <v>-23.061005257021058</v>
      </c>
      <c r="AE48">
        <f t="shared" si="22"/>
        <v>-0.23079788069605911</v>
      </c>
      <c r="AF48">
        <v>17</v>
      </c>
      <c r="AG48">
        <v>6</v>
      </c>
      <c r="AH48">
        <f t="shared" si="23"/>
        <v>1</v>
      </c>
      <c r="AI48">
        <f t="shared" si="24"/>
        <v>0</v>
      </c>
      <c r="AJ48">
        <f t="shared" si="25"/>
        <v>52783.090876147144</v>
      </c>
      <c r="AK48">
        <f t="shared" si="26"/>
        <v>1799.99</v>
      </c>
      <c r="AL48">
        <f t="shared" si="27"/>
        <v>1499.1047353940899</v>
      </c>
      <c r="AM48">
        <f t="shared" si="28"/>
        <v>0.83284059099999996</v>
      </c>
      <c r="AN48">
        <f t="shared" si="29"/>
        <v>0.15339750085999998</v>
      </c>
      <c r="AO48">
        <v>31.2</v>
      </c>
      <c r="AP48">
        <v>0.5</v>
      </c>
      <c r="AQ48" t="s">
        <v>331</v>
      </c>
      <c r="AR48">
        <v>2</v>
      </c>
      <c r="AS48">
        <v>1690307110</v>
      </c>
      <c r="AT48">
        <v>768.29700000000003</v>
      </c>
      <c r="AU48">
        <v>800.07899999999995</v>
      </c>
      <c r="AV48">
        <v>22.3584</v>
      </c>
      <c r="AW48">
        <v>18.544599999999999</v>
      </c>
      <c r="AX48">
        <v>768.327</v>
      </c>
      <c r="AY48">
        <v>22.174399999999999</v>
      </c>
      <c r="AZ48">
        <v>300.02300000000002</v>
      </c>
      <c r="BA48">
        <v>99.236099999999993</v>
      </c>
      <c r="BB48">
        <v>9.9930500000000005E-2</v>
      </c>
      <c r="BC48">
        <v>25.0959</v>
      </c>
      <c r="BD48">
        <v>28.041899999999998</v>
      </c>
      <c r="BE48">
        <v>26.998000000000001</v>
      </c>
      <c r="BF48">
        <v>0</v>
      </c>
      <c r="BG48">
        <v>0</v>
      </c>
      <c r="BH48">
        <v>9995</v>
      </c>
      <c r="BI48">
        <v>1058.1300000000001</v>
      </c>
      <c r="BJ48">
        <v>1.62592</v>
      </c>
      <c r="BK48">
        <v>-31.7818</v>
      </c>
      <c r="BL48">
        <v>785.86800000000005</v>
      </c>
      <c r="BM48">
        <v>815.197</v>
      </c>
      <c r="BN48">
        <v>3.8137699999999999</v>
      </c>
      <c r="BO48">
        <v>800.07899999999995</v>
      </c>
      <c r="BP48">
        <v>18.544599999999999</v>
      </c>
      <c r="BQ48">
        <v>2.2187600000000001</v>
      </c>
      <c r="BR48">
        <v>1.8403</v>
      </c>
      <c r="BS48">
        <v>19.098400000000002</v>
      </c>
      <c r="BT48">
        <v>16.133299999999998</v>
      </c>
      <c r="BU48">
        <v>1799.99</v>
      </c>
      <c r="BV48">
        <v>0.91</v>
      </c>
      <c r="BW48">
        <v>3.3994299999999998E-2</v>
      </c>
      <c r="BX48">
        <v>2.2001300000000001E-2</v>
      </c>
      <c r="BY48">
        <v>3.4004600000000003E-2</v>
      </c>
      <c r="BZ48">
        <v>25.666699999999999</v>
      </c>
      <c r="CA48">
        <v>33528.199999999997</v>
      </c>
      <c r="CB48">
        <v>1690306253.5999999</v>
      </c>
      <c r="CC48" t="s">
        <v>332</v>
      </c>
      <c r="CD48">
        <v>1690306253.5999999</v>
      </c>
      <c r="CE48">
        <v>1690306251.5999999</v>
      </c>
      <c r="CF48">
        <v>9</v>
      </c>
      <c r="CG48">
        <v>0.19</v>
      </c>
      <c r="CH48">
        <v>-8.7999999999999995E-2</v>
      </c>
      <c r="CI48">
        <v>-5.0999999999999997E-2</v>
      </c>
      <c r="CJ48">
        <v>5.0999999999999997E-2</v>
      </c>
      <c r="CK48">
        <v>799</v>
      </c>
      <c r="CL48">
        <v>15</v>
      </c>
      <c r="CM48">
        <v>0.28000000000000003</v>
      </c>
      <c r="CN48">
        <v>0.03</v>
      </c>
      <c r="CO48">
        <v>-29.38199024390244</v>
      </c>
      <c r="CP48">
        <v>-12.421151916376351</v>
      </c>
      <c r="CQ48">
        <v>1.2256368711428429</v>
      </c>
      <c r="CR48">
        <v>-1</v>
      </c>
      <c r="CS48">
        <v>3.6619492682926831</v>
      </c>
      <c r="CT48">
        <v>1.0480327526132469</v>
      </c>
      <c r="CU48">
        <v>0.1047951462148716</v>
      </c>
      <c r="CV48">
        <v>-1</v>
      </c>
      <c r="CW48">
        <v>0</v>
      </c>
      <c r="CX48">
        <v>0</v>
      </c>
      <c r="CY48" t="s">
        <v>333</v>
      </c>
      <c r="CZ48">
        <v>2.3634400000000002</v>
      </c>
      <c r="DA48">
        <v>2.7137199999999999</v>
      </c>
      <c r="DB48">
        <v>0.14288500000000001</v>
      </c>
      <c r="DC48">
        <v>0.14644499999999999</v>
      </c>
      <c r="DD48">
        <v>0.108389</v>
      </c>
      <c r="DE48">
        <v>9.3575500000000006E-2</v>
      </c>
      <c r="DF48">
        <v>31283.4</v>
      </c>
      <c r="DG48">
        <v>27501.5</v>
      </c>
      <c r="DH48">
        <v>31160.5</v>
      </c>
      <c r="DI48">
        <v>28076.5</v>
      </c>
      <c r="DJ48">
        <v>37723.599999999999</v>
      </c>
      <c r="DK48">
        <v>36193.599999999999</v>
      </c>
      <c r="DL48">
        <v>44345.3</v>
      </c>
      <c r="DM48">
        <v>42563</v>
      </c>
      <c r="DN48">
        <v>1.4225000000000001</v>
      </c>
      <c r="DO48">
        <v>2.0484499999999999</v>
      </c>
      <c r="DP48">
        <v>0.16633400000000001</v>
      </c>
      <c r="DQ48">
        <v>0.136659</v>
      </c>
      <c r="DR48">
        <v>25.3203</v>
      </c>
      <c r="DS48">
        <v>24.759</v>
      </c>
      <c r="DT48">
        <v>56.5</v>
      </c>
      <c r="DU48">
        <v>29.4</v>
      </c>
      <c r="DV48">
        <v>23.432500000000001</v>
      </c>
      <c r="DW48">
        <v>61.823</v>
      </c>
      <c r="DX48">
        <v>36.398200000000003</v>
      </c>
      <c r="DY48">
        <v>1</v>
      </c>
      <c r="DZ48">
        <v>-4.7126500000000002E-2</v>
      </c>
      <c r="EA48">
        <v>2.9523700000000002</v>
      </c>
      <c r="EB48">
        <v>20.160299999999999</v>
      </c>
      <c r="EC48">
        <v>5.2403500000000003</v>
      </c>
      <c r="ED48">
        <v>12.039899999999999</v>
      </c>
      <c r="EE48">
        <v>5.0164999999999997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</v>
      </c>
      <c r="EL48">
        <v>1.86463</v>
      </c>
      <c r="EM48">
        <v>1.8692</v>
      </c>
      <c r="EN48">
        <v>1.8672599999999999</v>
      </c>
      <c r="EO48">
        <v>1.8633999999999999</v>
      </c>
      <c r="EP48">
        <v>1.8644700000000001</v>
      </c>
      <c r="EQ48">
        <v>1.8701700000000001</v>
      </c>
      <c r="ER48">
        <v>1.8694500000000001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-0.03</v>
      </c>
      <c r="FG48">
        <v>0.184</v>
      </c>
      <c r="FH48">
        <v>0.49996858830924029</v>
      </c>
      <c r="FI48">
        <v>-6.1462078757559423E-4</v>
      </c>
      <c r="FJ48">
        <v>-1.8861989874597051E-7</v>
      </c>
      <c r="FK48">
        <v>1.1980462299894961E-10</v>
      </c>
      <c r="FL48">
        <v>0.18404795463265899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14.3</v>
      </c>
      <c r="FU48">
        <v>14.3</v>
      </c>
      <c r="FV48">
        <v>1.78833</v>
      </c>
      <c r="FW48">
        <v>2.5952099999999998</v>
      </c>
      <c r="FX48">
        <v>1.5490699999999999</v>
      </c>
      <c r="FY48">
        <v>2.3290999999999999</v>
      </c>
      <c r="FZ48">
        <v>1.50146</v>
      </c>
      <c r="GA48">
        <v>2.3168899999999999</v>
      </c>
      <c r="GB48">
        <v>34.054499999999997</v>
      </c>
      <c r="GC48">
        <v>23.9649</v>
      </c>
      <c r="GD48">
        <v>19</v>
      </c>
      <c r="GE48">
        <v>262.41800000000001</v>
      </c>
      <c r="GF48">
        <v>597.85299999999995</v>
      </c>
      <c r="GG48">
        <v>19.7056</v>
      </c>
      <c r="GH48">
        <v>26.753499999999999</v>
      </c>
      <c r="GI48">
        <v>29.9999</v>
      </c>
      <c r="GJ48">
        <v>26.7971</v>
      </c>
      <c r="GK48">
        <v>26.742999999999999</v>
      </c>
      <c r="GL48">
        <v>35.757800000000003</v>
      </c>
      <c r="GM48">
        <v>30.381399999999999</v>
      </c>
      <c r="GN48">
        <v>99.624799999999993</v>
      </c>
      <c r="GO48">
        <v>19.691199999999998</v>
      </c>
      <c r="GP48">
        <v>800</v>
      </c>
      <c r="GQ48">
        <v>18.397600000000001</v>
      </c>
      <c r="GR48">
        <v>99.701599999999999</v>
      </c>
      <c r="GS48">
        <v>99.561499999999995</v>
      </c>
    </row>
    <row r="49" spans="1:201" x14ac:dyDescent="0.25">
      <c r="A49">
        <v>33</v>
      </c>
      <c r="B49">
        <v>1690307120</v>
      </c>
      <c r="C49">
        <v>501.40000009536737</v>
      </c>
      <c r="D49" t="s">
        <v>399</v>
      </c>
      <c r="E49" t="s">
        <v>400</v>
      </c>
      <c r="F49" t="s">
        <v>330</v>
      </c>
      <c r="H49">
        <v>1690307120</v>
      </c>
      <c r="I49">
        <f t="shared" si="0"/>
        <v>3.8900039943530305E-4</v>
      </c>
      <c r="J49">
        <f t="shared" si="1"/>
        <v>0.38900039943530307</v>
      </c>
      <c r="K49">
        <f t="shared" si="2"/>
        <v>2.9500189957516771</v>
      </c>
      <c r="L49">
        <f t="shared" si="3"/>
        <v>766.31799999999998</v>
      </c>
      <c r="M49">
        <f t="shared" si="4"/>
        <v>577.7503968091919</v>
      </c>
      <c r="N49">
        <f t="shared" si="5"/>
        <v>57.39036480046768</v>
      </c>
      <c r="O49">
        <f t="shared" si="6"/>
        <v>76.121573980829993</v>
      </c>
      <c r="P49">
        <f t="shared" si="7"/>
        <v>2.7411210030567193E-2</v>
      </c>
      <c r="Q49">
        <f t="shared" si="8"/>
        <v>2.1912855412484138</v>
      </c>
      <c r="R49">
        <f t="shared" si="9"/>
        <v>2.7222133032919944E-2</v>
      </c>
      <c r="S49">
        <f t="shared" si="10"/>
        <v>1.7030712132007381E-2</v>
      </c>
      <c r="T49">
        <f t="shared" si="11"/>
        <v>276.11367120463785</v>
      </c>
      <c r="U49">
        <f t="shared" si="12"/>
        <v>27.046575407006774</v>
      </c>
      <c r="V49">
        <f t="shared" si="13"/>
        <v>27.046575407006774</v>
      </c>
      <c r="W49">
        <f t="shared" si="14"/>
        <v>3.5889621419224769</v>
      </c>
      <c r="X49">
        <f t="shared" si="15"/>
        <v>69.336158881817141</v>
      </c>
      <c r="Y49">
        <f t="shared" si="16"/>
        <v>2.2109306226375001</v>
      </c>
      <c r="Z49">
        <f t="shared" si="17"/>
        <v>3.1887122942677157</v>
      </c>
      <c r="AA49">
        <f t="shared" si="18"/>
        <v>1.3780315192849768</v>
      </c>
      <c r="AB49">
        <f t="shared" si="19"/>
        <v>-17.154917615096863</v>
      </c>
      <c r="AC49">
        <f t="shared" si="20"/>
        <v>-236.15213028120755</v>
      </c>
      <c r="AD49">
        <f t="shared" si="21"/>
        <v>-23.037093535592593</v>
      </c>
      <c r="AE49">
        <f t="shared" si="22"/>
        <v>-0.2304702272591328</v>
      </c>
      <c r="AF49">
        <v>16</v>
      </c>
      <c r="AG49">
        <v>5</v>
      </c>
      <c r="AH49">
        <f t="shared" si="23"/>
        <v>1</v>
      </c>
      <c r="AI49">
        <f t="shared" si="24"/>
        <v>0</v>
      </c>
      <c r="AJ49">
        <f t="shared" si="25"/>
        <v>52616.308393894797</v>
      </c>
      <c r="AK49">
        <f t="shared" si="26"/>
        <v>1799.99</v>
      </c>
      <c r="AL49">
        <f t="shared" si="27"/>
        <v>1499.1054553900899</v>
      </c>
      <c r="AM49">
        <f t="shared" si="28"/>
        <v>0.83284099099999997</v>
      </c>
      <c r="AN49">
        <f t="shared" si="29"/>
        <v>0.15339733620999998</v>
      </c>
      <c r="AO49">
        <v>31.2</v>
      </c>
      <c r="AP49">
        <v>0.5</v>
      </c>
      <c r="AQ49" t="s">
        <v>331</v>
      </c>
      <c r="AR49">
        <v>2</v>
      </c>
      <c r="AS49">
        <v>1690307120</v>
      </c>
      <c r="AT49">
        <v>766.31799999999998</v>
      </c>
      <c r="AU49">
        <v>800.07399999999996</v>
      </c>
      <c r="AV49">
        <v>22.2575</v>
      </c>
      <c r="AW49">
        <v>18.3048</v>
      </c>
      <c r="AX49">
        <v>766.346</v>
      </c>
      <c r="AY49">
        <v>22.073399999999999</v>
      </c>
      <c r="AZ49">
        <v>300.21699999999998</v>
      </c>
      <c r="BA49">
        <v>99.234099999999998</v>
      </c>
      <c r="BB49">
        <v>0.10008499999999999</v>
      </c>
      <c r="BC49">
        <v>25.047599999999999</v>
      </c>
      <c r="BD49">
        <v>27.9208</v>
      </c>
      <c r="BE49">
        <v>26.950900000000001</v>
      </c>
      <c r="BF49">
        <v>0</v>
      </c>
      <c r="BG49">
        <v>0</v>
      </c>
      <c r="BH49">
        <v>9960.6200000000008</v>
      </c>
      <c r="BI49">
        <v>1057.4100000000001</v>
      </c>
      <c r="BJ49">
        <v>1.62592</v>
      </c>
      <c r="BK49">
        <v>-33.755899999999997</v>
      </c>
      <c r="BL49">
        <v>783.76300000000003</v>
      </c>
      <c r="BM49">
        <v>814.99199999999996</v>
      </c>
      <c r="BN49">
        <v>3.95269</v>
      </c>
      <c r="BO49">
        <v>800.07399999999996</v>
      </c>
      <c r="BP49">
        <v>18.3048</v>
      </c>
      <c r="BQ49">
        <v>2.2086999999999999</v>
      </c>
      <c r="BR49">
        <v>1.81646</v>
      </c>
      <c r="BS49">
        <v>19.025600000000001</v>
      </c>
      <c r="BT49">
        <v>15.9292</v>
      </c>
      <c r="BU49">
        <v>1799.99</v>
      </c>
      <c r="BV49">
        <v>0.91000599999999998</v>
      </c>
      <c r="BW49">
        <v>3.3992000000000001E-2</v>
      </c>
      <c r="BX49">
        <v>2.19998E-2</v>
      </c>
      <c r="BY49">
        <v>3.4002299999999999E-2</v>
      </c>
      <c r="BZ49">
        <v>25.666699999999999</v>
      </c>
      <c r="CA49">
        <v>33528.300000000003</v>
      </c>
      <c r="CB49">
        <v>1690306253.5999999</v>
      </c>
      <c r="CC49" t="s">
        <v>332</v>
      </c>
      <c r="CD49">
        <v>1690306253.5999999</v>
      </c>
      <c r="CE49">
        <v>1690306251.5999999</v>
      </c>
      <c r="CF49">
        <v>9</v>
      </c>
      <c r="CG49">
        <v>0.19</v>
      </c>
      <c r="CH49">
        <v>-8.7999999999999995E-2</v>
      </c>
      <c r="CI49">
        <v>-5.0999999999999997E-2</v>
      </c>
      <c r="CJ49">
        <v>5.0999999999999997E-2</v>
      </c>
      <c r="CK49">
        <v>799</v>
      </c>
      <c r="CL49">
        <v>15</v>
      </c>
      <c r="CM49">
        <v>0.28000000000000003</v>
      </c>
      <c r="CN49">
        <v>0.03</v>
      </c>
      <c r="CO49">
        <v>-31.425043902439018</v>
      </c>
      <c r="CP49">
        <v>-11.92117630662027</v>
      </c>
      <c r="CQ49">
        <v>1.1761940332811729</v>
      </c>
      <c r="CR49">
        <v>-1</v>
      </c>
      <c r="CS49">
        <v>3.8093368292682919</v>
      </c>
      <c r="CT49">
        <v>0.76376989547038809</v>
      </c>
      <c r="CU49">
        <v>7.5802005554233318E-2</v>
      </c>
      <c r="CV49">
        <v>-1</v>
      </c>
      <c r="CW49">
        <v>0</v>
      </c>
      <c r="CX49">
        <v>0</v>
      </c>
      <c r="CY49" t="s">
        <v>333</v>
      </c>
      <c r="CZ49">
        <v>2.36409</v>
      </c>
      <c r="DA49">
        <v>2.7138399999999998</v>
      </c>
      <c r="DB49">
        <v>0.14263300000000001</v>
      </c>
      <c r="DC49">
        <v>0.14643600000000001</v>
      </c>
      <c r="DD49">
        <v>0.108039</v>
      </c>
      <c r="DE49">
        <v>9.2705599999999999E-2</v>
      </c>
      <c r="DF49">
        <v>31293</v>
      </c>
      <c r="DG49">
        <v>27501.8</v>
      </c>
      <c r="DH49">
        <v>31160.9</v>
      </c>
      <c r="DI49">
        <v>28076.6</v>
      </c>
      <c r="DJ49">
        <v>37738.9</v>
      </c>
      <c r="DK49">
        <v>36228.6</v>
      </c>
      <c r="DL49">
        <v>44345.8</v>
      </c>
      <c r="DM49">
        <v>42563.3</v>
      </c>
      <c r="DN49">
        <v>1.4238500000000001</v>
      </c>
      <c r="DO49">
        <v>2.0487000000000002</v>
      </c>
      <c r="DP49">
        <v>0.16114100000000001</v>
      </c>
      <c r="DQ49">
        <v>0.13600999999999999</v>
      </c>
      <c r="DR49">
        <v>25.283799999999999</v>
      </c>
      <c r="DS49">
        <v>24.7224</v>
      </c>
      <c r="DT49">
        <v>56.5</v>
      </c>
      <c r="DU49">
        <v>29.4</v>
      </c>
      <c r="DV49">
        <v>23.4361</v>
      </c>
      <c r="DW49">
        <v>62.082999999999998</v>
      </c>
      <c r="DX49">
        <v>35.540900000000001</v>
      </c>
      <c r="DY49">
        <v>1</v>
      </c>
      <c r="DZ49">
        <v>-4.7426299999999998E-2</v>
      </c>
      <c r="EA49">
        <v>2.9885700000000002</v>
      </c>
      <c r="EB49">
        <v>20.159099999999999</v>
      </c>
      <c r="EC49">
        <v>5.2400500000000001</v>
      </c>
      <c r="ED49">
        <v>12.039899999999999</v>
      </c>
      <c r="EE49">
        <v>5.0165499999999996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1.8689100000000001</v>
      </c>
      <c r="EL49">
        <v>1.8646199999999999</v>
      </c>
      <c r="EM49">
        <v>1.8692</v>
      </c>
      <c r="EN49">
        <v>1.8672800000000001</v>
      </c>
      <c r="EO49">
        <v>1.8633999999999999</v>
      </c>
      <c r="EP49">
        <v>1.8644700000000001</v>
      </c>
      <c r="EQ49">
        <v>1.8701700000000001</v>
      </c>
      <c r="ER49">
        <v>1.8694500000000001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-2.8000000000000001E-2</v>
      </c>
      <c r="FG49">
        <v>0.18410000000000001</v>
      </c>
      <c r="FH49">
        <v>0.49996858830924029</v>
      </c>
      <c r="FI49">
        <v>-6.1462078757559423E-4</v>
      </c>
      <c r="FJ49">
        <v>-1.8861989874597051E-7</v>
      </c>
      <c r="FK49">
        <v>1.1980462299894961E-10</v>
      </c>
      <c r="FL49">
        <v>0.18404795463265899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14.4</v>
      </c>
      <c r="FU49">
        <v>14.5</v>
      </c>
      <c r="FV49">
        <v>1.78833</v>
      </c>
      <c r="FW49">
        <v>2.5939899999999998</v>
      </c>
      <c r="FX49">
        <v>1.5490699999999999</v>
      </c>
      <c r="FY49">
        <v>2.3290999999999999</v>
      </c>
      <c r="FZ49">
        <v>1.50146</v>
      </c>
      <c r="GA49">
        <v>2.36694</v>
      </c>
      <c r="GB49">
        <v>34.054499999999997</v>
      </c>
      <c r="GC49">
        <v>23.973700000000001</v>
      </c>
      <c r="GD49">
        <v>19</v>
      </c>
      <c r="GE49">
        <v>262.95699999999999</v>
      </c>
      <c r="GF49">
        <v>598.06399999999996</v>
      </c>
      <c r="GG49">
        <v>19.6587</v>
      </c>
      <c r="GH49">
        <v>26.747800000000002</v>
      </c>
      <c r="GI49">
        <v>30</v>
      </c>
      <c r="GJ49">
        <v>26.794799999999999</v>
      </c>
      <c r="GK49">
        <v>26.742999999999999</v>
      </c>
      <c r="GL49">
        <v>35.758200000000002</v>
      </c>
      <c r="GM49">
        <v>31.3536</v>
      </c>
      <c r="GN49">
        <v>99.624799999999993</v>
      </c>
      <c r="GO49">
        <v>19.6389</v>
      </c>
      <c r="GP49">
        <v>800</v>
      </c>
      <c r="GQ49">
        <v>18.145299999999999</v>
      </c>
      <c r="GR49">
        <v>99.702799999999996</v>
      </c>
      <c r="GS49">
        <v>99.561999999999998</v>
      </c>
    </row>
    <row r="50" spans="1:201" x14ac:dyDescent="0.25">
      <c r="A50">
        <v>34</v>
      </c>
      <c r="B50">
        <v>1690307130</v>
      </c>
      <c r="C50">
        <v>511.40000009536737</v>
      </c>
      <c r="D50" t="s">
        <v>401</v>
      </c>
      <c r="E50" t="s">
        <v>402</v>
      </c>
      <c r="F50" t="s">
        <v>330</v>
      </c>
      <c r="H50">
        <v>1690307130</v>
      </c>
      <c r="I50">
        <f t="shared" si="0"/>
        <v>3.9459813313887543E-4</v>
      </c>
      <c r="J50">
        <f t="shared" si="1"/>
        <v>0.39459813313887543</v>
      </c>
      <c r="K50">
        <f t="shared" si="2"/>
        <v>3.1351500910087973</v>
      </c>
      <c r="L50">
        <f t="shared" si="3"/>
        <v>764.274</v>
      </c>
      <c r="M50">
        <f t="shared" si="4"/>
        <v>567.54355321634773</v>
      </c>
      <c r="N50">
        <f t="shared" si="5"/>
        <v>56.372750217060101</v>
      </c>
      <c r="O50">
        <f t="shared" si="6"/>
        <v>75.913517218597804</v>
      </c>
      <c r="P50">
        <f t="shared" si="7"/>
        <v>2.7801126084225955E-2</v>
      </c>
      <c r="Q50">
        <f t="shared" si="8"/>
        <v>2.2002770125105551</v>
      </c>
      <c r="R50">
        <f t="shared" si="9"/>
        <v>2.7607441042105756E-2</v>
      </c>
      <c r="S50">
        <f t="shared" si="10"/>
        <v>1.7271939888572105E-2</v>
      </c>
      <c r="T50">
        <f t="shared" si="11"/>
        <v>276.11356147724752</v>
      </c>
      <c r="U50">
        <f t="shared" si="12"/>
        <v>26.994099890551986</v>
      </c>
      <c r="V50">
        <f t="shared" si="13"/>
        <v>26.994099890551986</v>
      </c>
      <c r="W50">
        <f t="shared" si="14"/>
        <v>3.5779196011824941</v>
      </c>
      <c r="X50">
        <f t="shared" si="15"/>
        <v>69.155564329842562</v>
      </c>
      <c r="Y50">
        <f t="shared" si="16"/>
        <v>2.1995008778748297</v>
      </c>
      <c r="Z50">
        <f t="shared" si="17"/>
        <v>3.1805117913348928</v>
      </c>
      <c r="AA50">
        <f t="shared" si="18"/>
        <v>1.3784187233076644</v>
      </c>
      <c r="AB50">
        <f t="shared" si="19"/>
        <v>-17.401777671424405</v>
      </c>
      <c r="AC50">
        <f t="shared" si="20"/>
        <v>-236.02085587079441</v>
      </c>
      <c r="AD50">
        <f t="shared" si="21"/>
        <v>-22.919193528021186</v>
      </c>
      <c r="AE50">
        <f t="shared" si="22"/>
        <v>-0.22826559299249993</v>
      </c>
      <c r="AF50">
        <v>16</v>
      </c>
      <c r="AG50">
        <v>5</v>
      </c>
      <c r="AH50">
        <f t="shared" si="23"/>
        <v>1</v>
      </c>
      <c r="AI50">
        <f t="shared" si="24"/>
        <v>0</v>
      </c>
      <c r="AJ50">
        <f t="shared" si="25"/>
        <v>52994.347988061912</v>
      </c>
      <c r="AK50">
        <f t="shared" si="26"/>
        <v>1799.99</v>
      </c>
      <c r="AL50">
        <f t="shared" si="27"/>
        <v>1499.1033656016998</v>
      </c>
      <c r="AM50">
        <f t="shared" si="28"/>
        <v>0.83283982999999995</v>
      </c>
      <c r="AN50">
        <f t="shared" si="29"/>
        <v>0.15339727524999999</v>
      </c>
      <c r="AO50">
        <v>31.2</v>
      </c>
      <c r="AP50">
        <v>0.5</v>
      </c>
      <c r="AQ50" t="s">
        <v>331</v>
      </c>
      <c r="AR50">
        <v>2</v>
      </c>
      <c r="AS50">
        <v>1690307130</v>
      </c>
      <c r="AT50">
        <v>764.274</v>
      </c>
      <c r="AU50">
        <v>799.99599999999998</v>
      </c>
      <c r="AV50">
        <v>22.143899999999999</v>
      </c>
      <c r="AW50">
        <v>18.133199999999999</v>
      </c>
      <c r="AX50">
        <v>764.3</v>
      </c>
      <c r="AY50">
        <v>21.959900000000001</v>
      </c>
      <c r="AZ50">
        <v>300.16800000000001</v>
      </c>
      <c r="BA50">
        <v>99.227699999999999</v>
      </c>
      <c r="BB50">
        <v>9.99197E-2</v>
      </c>
      <c r="BC50">
        <v>25.0044</v>
      </c>
      <c r="BD50">
        <v>27.879899999999999</v>
      </c>
      <c r="BE50">
        <v>26.895399999999999</v>
      </c>
      <c r="BF50">
        <v>0</v>
      </c>
      <c r="BG50">
        <v>0</v>
      </c>
      <c r="BH50">
        <v>10034.4</v>
      </c>
      <c r="BI50">
        <v>1056.79</v>
      </c>
      <c r="BJ50">
        <v>1.62592</v>
      </c>
      <c r="BK50">
        <v>-35.722099999999998</v>
      </c>
      <c r="BL50">
        <v>781.58100000000002</v>
      </c>
      <c r="BM50">
        <v>814.77</v>
      </c>
      <c r="BN50">
        <v>4.0106900000000003</v>
      </c>
      <c r="BO50">
        <v>799.99599999999998</v>
      </c>
      <c r="BP50">
        <v>18.133199999999999</v>
      </c>
      <c r="BQ50">
        <v>2.1972900000000002</v>
      </c>
      <c r="BR50">
        <v>1.79932</v>
      </c>
      <c r="BS50">
        <v>18.942599999999999</v>
      </c>
      <c r="BT50">
        <v>15.780900000000001</v>
      </c>
      <c r="BU50">
        <v>1799.99</v>
      </c>
      <c r="BV50">
        <v>0.91000099999999995</v>
      </c>
      <c r="BW50">
        <v>3.4000099999999998E-2</v>
      </c>
      <c r="BX50">
        <v>2.1998500000000001E-2</v>
      </c>
      <c r="BY50">
        <v>3.4000299999999997E-2</v>
      </c>
      <c r="BZ50">
        <v>25.708300000000001</v>
      </c>
      <c r="CA50">
        <v>33528.300000000003</v>
      </c>
      <c r="CB50">
        <v>1690306253.5999999</v>
      </c>
      <c r="CC50" t="s">
        <v>332</v>
      </c>
      <c r="CD50">
        <v>1690306253.5999999</v>
      </c>
      <c r="CE50">
        <v>1690306251.5999999</v>
      </c>
      <c r="CF50">
        <v>9</v>
      </c>
      <c r="CG50">
        <v>0.19</v>
      </c>
      <c r="CH50">
        <v>-8.7999999999999995E-2</v>
      </c>
      <c r="CI50">
        <v>-5.0999999999999997E-2</v>
      </c>
      <c r="CJ50">
        <v>5.0999999999999997E-2</v>
      </c>
      <c r="CK50">
        <v>799</v>
      </c>
      <c r="CL50">
        <v>15</v>
      </c>
      <c r="CM50">
        <v>0.28000000000000003</v>
      </c>
      <c r="CN50">
        <v>0.03</v>
      </c>
      <c r="CO50">
        <v>-33.589585</v>
      </c>
      <c r="CP50">
        <v>-12.05204127579729</v>
      </c>
      <c r="CQ50">
        <v>1.1597577149021261</v>
      </c>
      <c r="CR50">
        <v>-1</v>
      </c>
      <c r="CS50">
        <v>3.9339080000000002</v>
      </c>
      <c r="CT50">
        <v>0.64270356472794821</v>
      </c>
      <c r="CU50">
        <v>6.3757428477001818E-2</v>
      </c>
      <c r="CV50">
        <v>-1</v>
      </c>
      <c r="CW50">
        <v>0</v>
      </c>
      <c r="CX50">
        <v>0</v>
      </c>
      <c r="CY50" t="s">
        <v>333</v>
      </c>
      <c r="CZ50">
        <v>2.3639100000000002</v>
      </c>
      <c r="DA50">
        <v>2.71374</v>
      </c>
      <c r="DB50">
        <v>0.14236599999999999</v>
      </c>
      <c r="DC50">
        <v>0.14641399999999999</v>
      </c>
      <c r="DD50">
        <v>0.107639</v>
      </c>
      <c r="DE50">
        <v>9.2076000000000005E-2</v>
      </c>
      <c r="DF50">
        <v>31302.5</v>
      </c>
      <c r="DG50">
        <v>27503</v>
      </c>
      <c r="DH50">
        <v>31160.7</v>
      </c>
      <c r="DI50">
        <v>28077</v>
      </c>
      <c r="DJ50">
        <v>37755.699999999997</v>
      </c>
      <c r="DK50">
        <v>36254.300000000003</v>
      </c>
      <c r="DL50">
        <v>44345.599999999999</v>
      </c>
      <c r="DM50">
        <v>42563.9</v>
      </c>
      <c r="DN50">
        <v>1.4232499999999999</v>
      </c>
      <c r="DO50">
        <v>2.0486800000000001</v>
      </c>
      <c r="DP50">
        <v>0.16084300000000001</v>
      </c>
      <c r="DQ50">
        <v>0.13486300000000001</v>
      </c>
      <c r="DR50">
        <v>25.247599999999998</v>
      </c>
      <c r="DS50">
        <v>24.685500000000001</v>
      </c>
      <c r="DT50">
        <v>56.5</v>
      </c>
      <c r="DU50">
        <v>29.4</v>
      </c>
      <c r="DV50">
        <v>23.434899999999999</v>
      </c>
      <c r="DW50">
        <v>61.832999999999998</v>
      </c>
      <c r="DX50">
        <v>35.056100000000001</v>
      </c>
      <c r="DY50">
        <v>1</v>
      </c>
      <c r="DZ50">
        <v>-4.7543200000000001E-2</v>
      </c>
      <c r="EA50">
        <v>3.0375800000000002</v>
      </c>
      <c r="EB50">
        <v>20.157800000000002</v>
      </c>
      <c r="EC50">
        <v>5.2401999999999997</v>
      </c>
      <c r="ED50">
        <v>12.039899999999999</v>
      </c>
      <c r="EE50">
        <v>5.0166500000000003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1.8689100000000001</v>
      </c>
      <c r="EL50">
        <v>1.8646400000000001</v>
      </c>
      <c r="EM50">
        <v>1.8692</v>
      </c>
      <c r="EN50">
        <v>1.8672500000000001</v>
      </c>
      <c r="EO50">
        <v>1.8633999999999999</v>
      </c>
      <c r="EP50">
        <v>1.8644700000000001</v>
      </c>
      <c r="EQ50">
        <v>1.87018</v>
      </c>
      <c r="ER50">
        <v>1.8694299999999999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-2.5999999999999999E-2</v>
      </c>
      <c r="FG50">
        <v>0.184</v>
      </c>
      <c r="FH50">
        <v>0.49996858830924029</v>
      </c>
      <c r="FI50">
        <v>-6.1462078757559423E-4</v>
      </c>
      <c r="FJ50">
        <v>-1.8861989874597051E-7</v>
      </c>
      <c r="FK50">
        <v>1.1980462299894961E-10</v>
      </c>
      <c r="FL50">
        <v>0.18404795463265899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14.6</v>
      </c>
      <c r="FU50">
        <v>14.6</v>
      </c>
      <c r="FV50">
        <v>1.78833</v>
      </c>
      <c r="FW50">
        <v>2.5903299999999998</v>
      </c>
      <c r="FX50">
        <v>1.5490699999999999</v>
      </c>
      <c r="FY50">
        <v>2.3303199999999999</v>
      </c>
      <c r="FZ50">
        <v>1.50146</v>
      </c>
      <c r="GA50">
        <v>2.4133300000000002</v>
      </c>
      <c r="GB50">
        <v>34.054499999999997</v>
      </c>
      <c r="GC50">
        <v>23.973700000000001</v>
      </c>
      <c r="GD50">
        <v>19</v>
      </c>
      <c r="GE50">
        <v>262.70999999999998</v>
      </c>
      <c r="GF50">
        <v>598.06899999999996</v>
      </c>
      <c r="GG50">
        <v>19.597100000000001</v>
      </c>
      <c r="GH50">
        <v>26.741599999999998</v>
      </c>
      <c r="GI50">
        <v>30</v>
      </c>
      <c r="GJ50">
        <v>26.793900000000001</v>
      </c>
      <c r="GK50">
        <v>26.7453</v>
      </c>
      <c r="GL50">
        <v>35.757199999999997</v>
      </c>
      <c r="GM50">
        <v>32.027299999999997</v>
      </c>
      <c r="GN50">
        <v>99.238900000000001</v>
      </c>
      <c r="GO50">
        <v>19.573399999999999</v>
      </c>
      <c r="GP50">
        <v>800</v>
      </c>
      <c r="GQ50">
        <v>17.9238</v>
      </c>
      <c r="GR50">
        <v>99.702100000000002</v>
      </c>
      <c r="GS50">
        <v>99.563400000000001</v>
      </c>
    </row>
    <row r="51" spans="1:201" x14ac:dyDescent="0.25">
      <c r="A51">
        <v>35</v>
      </c>
      <c r="B51">
        <v>1690307140</v>
      </c>
      <c r="C51">
        <v>521.40000009536743</v>
      </c>
      <c r="D51" t="s">
        <v>403</v>
      </c>
      <c r="E51" t="s">
        <v>404</v>
      </c>
      <c r="F51" t="s">
        <v>330</v>
      </c>
      <c r="H51">
        <v>1690307140</v>
      </c>
      <c r="I51">
        <f t="shared" si="0"/>
        <v>4.0261272854992368E-4</v>
      </c>
      <c r="J51">
        <f t="shared" si="1"/>
        <v>0.40261272854992369</v>
      </c>
      <c r="K51">
        <f t="shared" si="2"/>
        <v>3.3090437668962025</v>
      </c>
      <c r="L51">
        <f t="shared" si="3"/>
        <v>762.36199999999997</v>
      </c>
      <c r="M51">
        <f t="shared" si="4"/>
        <v>559.00215552729492</v>
      </c>
      <c r="N51">
        <f t="shared" si="5"/>
        <v>55.522147245987966</v>
      </c>
      <c r="O51">
        <f t="shared" si="6"/>
        <v>75.720593919389799</v>
      </c>
      <c r="P51">
        <f t="shared" si="7"/>
        <v>2.8299790407869646E-2</v>
      </c>
      <c r="Q51">
        <f t="shared" si="8"/>
        <v>2.2007665396343743</v>
      </c>
      <c r="R51">
        <f t="shared" si="9"/>
        <v>2.8099166212553772E-2</v>
      </c>
      <c r="S51">
        <f t="shared" si="10"/>
        <v>1.7579885499019947E-2</v>
      </c>
      <c r="T51">
        <f t="shared" si="11"/>
        <v>276.11510250599997</v>
      </c>
      <c r="U51">
        <f t="shared" si="12"/>
        <v>26.949962328600062</v>
      </c>
      <c r="V51">
        <f t="shared" si="13"/>
        <v>26.949962328600062</v>
      </c>
      <c r="W51">
        <f t="shared" si="14"/>
        <v>3.5686546106721715</v>
      </c>
      <c r="X51">
        <f t="shared" si="15"/>
        <v>68.923348470356061</v>
      </c>
      <c r="Y51">
        <f t="shared" si="16"/>
        <v>2.1867497120355597</v>
      </c>
      <c r="Z51">
        <f t="shared" si="17"/>
        <v>3.1727270374510037</v>
      </c>
      <c r="AA51">
        <f t="shared" si="18"/>
        <v>1.3819048986366118</v>
      </c>
      <c r="AB51">
        <f t="shared" si="19"/>
        <v>-17.755221329051633</v>
      </c>
      <c r="AC51">
        <f t="shared" si="20"/>
        <v>-235.71296699200332</v>
      </c>
      <c r="AD51">
        <f t="shared" si="21"/>
        <v>-22.874419177559037</v>
      </c>
      <c r="AE51">
        <f t="shared" si="22"/>
        <v>-0.22750499261402979</v>
      </c>
      <c r="AF51">
        <v>17</v>
      </c>
      <c r="AG51">
        <v>6</v>
      </c>
      <c r="AH51">
        <f t="shared" si="23"/>
        <v>1</v>
      </c>
      <c r="AI51">
        <f t="shared" si="24"/>
        <v>0</v>
      </c>
      <c r="AJ51">
        <f t="shared" si="25"/>
        <v>53021.790603629706</v>
      </c>
      <c r="AK51">
        <f t="shared" si="26"/>
        <v>1800</v>
      </c>
      <c r="AL51">
        <f t="shared" si="27"/>
        <v>1499.1104375999998</v>
      </c>
      <c r="AM51">
        <f t="shared" si="28"/>
        <v>0.83283913199999993</v>
      </c>
      <c r="AN51">
        <f t="shared" si="29"/>
        <v>0.15339727916999998</v>
      </c>
      <c r="AO51">
        <v>31.2</v>
      </c>
      <c r="AP51">
        <v>0.5</v>
      </c>
      <c r="AQ51" t="s">
        <v>331</v>
      </c>
      <c r="AR51">
        <v>2</v>
      </c>
      <c r="AS51">
        <v>1690307140</v>
      </c>
      <c r="AT51">
        <v>762.36199999999997</v>
      </c>
      <c r="AU51">
        <v>799.92700000000002</v>
      </c>
      <c r="AV51">
        <v>22.016400000000001</v>
      </c>
      <c r="AW51">
        <v>17.925899999999999</v>
      </c>
      <c r="AX51">
        <v>762.38800000000003</v>
      </c>
      <c r="AY51">
        <v>21.8323</v>
      </c>
      <c r="AZ51">
        <v>300.32900000000001</v>
      </c>
      <c r="BA51">
        <v>99.223699999999994</v>
      </c>
      <c r="BB51">
        <v>9.9972900000000003E-2</v>
      </c>
      <c r="BC51">
        <v>24.9633</v>
      </c>
      <c r="BD51">
        <v>27.8506</v>
      </c>
      <c r="BE51">
        <v>26.864999999999998</v>
      </c>
      <c r="BF51">
        <v>0</v>
      </c>
      <c r="BG51">
        <v>0</v>
      </c>
      <c r="BH51">
        <v>10038.799999999999</v>
      </c>
      <c r="BI51">
        <v>1056.1199999999999</v>
      </c>
      <c r="BJ51">
        <v>1.62592</v>
      </c>
      <c r="BK51">
        <v>-37.564999999999998</v>
      </c>
      <c r="BL51">
        <v>779.52499999999998</v>
      </c>
      <c r="BM51">
        <v>814.529</v>
      </c>
      <c r="BN51">
        <v>4.0904999999999996</v>
      </c>
      <c r="BO51">
        <v>799.92700000000002</v>
      </c>
      <c r="BP51">
        <v>17.925899999999999</v>
      </c>
      <c r="BQ51">
        <v>2.1845500000000002</v>
      </c>
      <c r="BR51">
        <v>1.77867</v>
      </c>
      <c r="BS51">
        <v>18.849399999999999</v>
      </c>
      <c r="BT51">
        <v>15.6006</v>
      </c>
      <c r="BU51">
        <v>1800</v>
      </c>
      <c r="BV51">
        <v>0.90999699999999994</v>
      </c>
      <c r="BW51">
        <v>3.4007999999999997E-2</v>
      </c>
      <c r="BX51">
        <v>2.1997099999999999E-2</v>
      </c>
      <c r="BY51">
        <v>3.3998100000000003E-2</v>
      </c>
      <c r="BZ51">
        <v>25.666699999999999</v>
      </c>
      <c r="CA51">
        <v>33528.300000000003</v>
      </c>
      <c r="CB51">
        <v>1690306253.5999999</v>
      </c>
      <c r="CC51" t="s">
        <v>332</v>
      </c>
      <c r="CD51">
        <v>1690306253.5999999</v>
      </c>
      <c r="CE51">
        <v>1690306251.5999999</v>
      </c>
      <c r="CF51">
        <v>9</v>
      </c>
      <c r="CG51">
        <v>0.19</v>
      </c>
      <c r="CH51">
        <v>-8.7999999999999995E-2</v>
      </c>
      <c r="CI51">
        <v>-5.0999999999999997E-2</v>
      </c>
      <c r="CJ51">
        <v>5.0999999999999997E-2</v>
      </c>
      <c r="CK51">
        <v>799</v>
      </c>
      <c r="CL51">
        <v>15</v>
      </c>
      <c r="CM51">
        <v>0.28000000000000003</v>
      </c>
      <c r="CN51">
        <v>0.03</v>
      </c>
      <c r="CO51">
        <v>-35.442821951219507</v>
      </c>
      <c r="CP51">
        <v>-12.00717491289193</v>
      </c>
      <c r="CQ51">
        <v>1.184528428657849</v>
      </c>
      <c r="CR51">
        <v>-1</v>
      </c>
      <c r="CS51">
        <v>4.0210434146341463</v>
      </c>
      <c r="CT51">
        <v>0.49469581881534441</v>
      </c>
      <c r="CU51">
        <v>5.1044865421521583E-2</v>
      </c>
      <c r="CV51">
        <v>-1</v>
      </c>
      <c r="CW51">
        <v>0</v>
      </c>
      <c r="CX51">
        <v>0</v>
      </c>
      <c r="CY51" t="s">
        <v>333</v>
      </c>
      <c r="CZ51">
        <v>2.3644799999999999</v>
      </c>
      <c r="DA51">
        <v>2.7138</v>
      </c>
      <c r="DB51">
        <v>0.14211799999999999</v>
      </c>
      <c r="DC51">
        <v>0.146395</v>
      </c>
      <c r="DD51">
        <v>0.107192</v>
      </c>
      <c r="DE51">
        <v>9.1314999999999993E-2</v>
      </c>
      <c r="DF51">
        <v>31312.1</v>
      </c>
      <c r="DG51">
        <v>27503.7</v>
      </c>
      <c r="DH51">
        <v>31161.200000000001</v>
      </c>
      <c r="DI51">
        <v>28077.1</v>
      </c>
      <c r="DJ51">
        <v>37775.4</v>
      </c>
      <c r="DK51">
        <v>36285</v>
      </c>
      <c r="DL51">
        <v>44346.3</v>
      </c>
      <c r="DM51">
        <v>42564.2</v>
      </c>
      <c r="DN51">
        <v>1.4235</v>
      </c>
      <c r="DO51">
        <v>2.0481799999999999</v>
      </c>
      <c r="DP51">
        <v>0.16125300000000001</v>
      </c>
      <c r="DQ51">
        <v>0.13528000000000001</v>
      </c>
      <c r="DR51">
        <v>25.211500000000001</v>
      </c>
      <c r="DS51">
        <v>24.648099999999999</v>
      </c>
      <c r="DT51">
        <v>56.5</v>
      </c>
      <c r="DU51">
        <v>29.3</v>
      </c>
      <c r="DV51">
        <v>23.301100000000002</v>
      </c>
      <c r="DW51">
        <v>61.133000000000003</v>
      </c>
      <c r="DX51">
        <v>34.739600000000003</v>
      </c>
      <c r="DY51">
        <v>1</v>
      </c>
      <c r="DZ51">
        <v>-4.80767E-2</v>
      </c>
      <c r="EA51">
        <v>3.0953599999999999</v>
      </c>
      <c r="EB51">
        <v>20.1568</v>
      </c>
      <c r="EC51">
        <v>5.2401999999999997</v>
      </c>
      <c r="ED51">
        <v>12.039899999999999</v>
      </c>
      <c r="EE51">
        <v>5.01675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1.86894</v>
      </c>
      <c r="EL51">
        <v>1.86463</v>
      </c>
      <c r="EM51">
        <v>1.8692</v>
      </c>
      <c r="EN51">
        <v>1.8672599999999999</v>
      </c>
      <c r="EO51">
        <v>1.8633999999999999</v>
      </c>
      <c r="EP51">
        <v>1.8644700000000001</v>
      </c>
      <c r="EQ51">
        <v>1.8702000000000001</v>
      </c>
      <c r="ER51">
        <v>1.86948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-2.5999999999999999E-2</v>
      </c>
      <c r="FG51">
        <v>0.18410000000000001</v>
      </c>
      <c r="FH51">
        <v>0.49996858830924029</v>
      </c>
      <c r="FI51">
        <v>-6.1462078757559423E-4</v>
      </c>
      <c r="FJ51">
        <v>-1.8861989874597051E-7</v>
      </c>
      <c r="FK51">
        <v>1.1980462299894961E-10</v>
      </c>
      <c r="FL51">
        <v>0.18404795463265899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14.8</v>
      </c>
      <c r="FU51">
        <v>14.8</v>
      </c>
      <c r="FV51">
        <v>1.78833</v>
      </c>
      <c r="FW51">
        <v>2.5878899999999998</v>
      </c>
      <c r="FX51">
        <v>1.5490699999999999</v>
      </c>
      <c r="FY51">
        <v>2.3303199999999999</v>
      </c>
      <c r="FZ51">
        <v>1.50146</v>
      </c>
      <c r="GA51">
        <v>2.4035600000000001</v>
      </c>
      <c r="GB51">
        <v>34.054499999999997</v>
      </c>
      <c r="GC51">
        <v>23.973700000000001</v>
      </c>
      <c r="GD51">
        <v>19</v>
      </c>
      <c r="GE51">
        <v>262.80599999999998</v>
      </c>
      <c r="GF51">
        <v>597.64700000000005</v>
      </c>
      <c r="GG51">
        <v>19.5243</v>
      </c>
      <c r="GH51">
        <v>26.7349</v>
      </c>
      <c r="GI51">
        <v>30</v>
      </c>
      <c r="GJ51">
        <v>26.7926</v>
      </c>
      <c r="GK51">
        <v>26.7453</v>
      </c>
      <c r="GL51">
        <v>35.756399999999999</v>
      </c>
      <c r="GM51">
        <v>32.601199999999999</v>
      </c>
      <c r="GN51">
        <v>99.238900000000001</v>
      </c>
      <c r="GO51">
        <v>19.496700000000001</v>
      </c>
      <c r="GP51">
        <v>800</v>
      </c>
      <c r="GQ51">
        <v>17.798100000000002</v>
      </c>
      <c r="GR51">
        <v>99.703800000000001</v>
      </c>
      <c r="GS51">
        <v>99.563999999999993</v>
      </c>
    </row>
    <row r="52" spans="1:201" x14ac:dyDescent="0.25">
      <c r="A52">
        <v>36</v>
      </c>
      <c r="B52">
        <v>1690307150</v>
      </c>
      <c r="C52">
        <v>531.40000009536743</v>
      </c>
      <c r="D52" t="s">
        <v>405</v>
      </c>
      <c r="E52" t="s">
        <v>406</v>
      </c>
      <c r="F52" t="s">
        <v>330</v>
      </c>
      <c r="H52">
        <v>1690307150</v>
      </c>
      <c r="I52">
        <f t="shared" si="0"/>
        <v>4.0261453127261236E-4</v>
      </c>
      <c r="J52">
        <f t="shared" si="1"/>
        <v>0.40261453127261237</v>
      </c>
      <c r="K52">
        <f t="shared" si="2"/>
        <v>3.5027221671331348</v>
      </c>
      <c r="L52">
        <f t="shared" si="3"/>
        <v>760.39400000000001</v>
      </c>
      <c r="M52">
        <f t="shared" si="4"/>
        <v>545.42716540274637</v>
      </c>
      <c r="N52">
        <f t="shared" si="5"/>
        <v>54.174875332911668</v>
      </c>
      <c r="O52">
        <f t="shared" si="6"/>
        <v>75.526583138696395</v>
      </c>
      <c r="P52">
        <f t="shared" si="7"/>
        <v>2.8198657716422257E-2</v>
      </c>
      <c r="Q52">
        <f t="shared" si="8"/>
        <v>2.1934922443376763</v>
      </c>
      <c r="R52">
        <f t="shared" si="9"/>
        <v>2.7998803871843836E-2</v>
      </c>
      <c r="S52">
        <f t="shared" si="10"/>
        <v>1.7517090310257954E-2</v>
      </c>
      <c r="T52">
        <f t="shared" si="11"/>
        <v>276.11322444711988</v>
      </c>
      <c r="U52">
        <f t="shared" si="12"/>
        <v>26.90714259955757</v>
      </c>
      <c r="V52">
        <f t="shared" si="13"/>
        <v>26.90714259955757</v>
      </c>
      <c r="W52">
        <f t="shared" si="14"/>
        <v>3.559686270441373</v>
      </c>
      <c r="X52">
        <f t="shared" si="15"/>
        <v>68.67827785296906</v>
      </c>
      <c r="Y52">
        <f t="shared" si="16"/>
        <v>2.17262810366628</v>
      </c>
      <c r="Z52">
        <f t="shared" si="17"/>
        <v>3.1634865806006145</v>
      </c>
      <c r="AA52">
        <f t="shared" si="18"/>
        <v>1.387058166775093</v>
      </c>
      <c r="AB52">
        <f t="shared" si="19"/>
        <v>-17.755300829122206</v>
      </c>
      <c r="AC52">
        <f t="shared" si="20"/>
        <v>-235.6528798444408</v>
      </c>
      <c r="AD52">
        <f t="shared" si="21"/>
        <v>-22.933871627643224</v>
      </c>
      <c r="AE52">
        <f t="shared" si="22"/>
        <v>-0.22882785408634732</v>
      </c>
      <c r="AF52">
        <v>17</v>
      </c>
      <c r="AG52">
        <v>6</v>
      </c>
      <c r="AH52">
        <f t="shared" si="23"/>
        <v>1</v>
      </c>
      <c r="AI52">
        <f t="shared" si="24"/>
        <v>0</v>
      </c>
      <c r="AJ52">
        <f t="shared" si="25"/>
        <v>52730.475190793441</v>
      </c>
      <c r="AK52">
        <f t="shared" si="26"/>
        <v>1799.99</v>
      </c>
      <c r="AL52">
        <f t="shared" si="27"/>
        <v>1499.10228740769</v>
      </c>
      <c r="AM52">
        <f t="shared" si="28"/>
        <v>0.83283923100000001</v>
      </c>
      <c r="AN52">
        <f t="shared" si="29"/>
        <v>0.15339708800999999</v>
      </c>
      <c r="AO52">
        <v>31.2</v>
      </c>
      <c r="AP52">
        <v>0.5</v>
      </c>
      <c r="AQ52" t="s">
        <v>331</v>
      </c>
      <c r="AR52">
        <v>2</v>
      </c>
      <c r="AS52">
        <v>1690307150</v>
      </c>
      <c r="AT52">
        <v>760.39400000000001</v>
      </c>
      <c r="AU52">
        <v>799.98299999999995</v>
      </c>
      <c r="AV52">
        <v>21.873799999999999</v>
      </c>
      <c r="AW52">
        <v>17.7806</v>
      </c>
      <c r="AX52">
        <v>760.41800000000001</v>
      </c>
      <c r="AY52">
        <v>21.689699999999998</v>
      </c>
      <c r="AZ52">
        <v>300.17599999999999</v>
      </c>
      <c r="BA52">
        <v>99.2256</v>
      </c>
      <c r="BB52">
        <v>9.9990599999999999E-2</v>
      </c>
      <c r="BC52">
        <v>24.914400000000001</v>
      </c>
      <c r="BD52">
        <v>27.8064</v>
      </c>
      <c r="BE52">
        <v>26.8093</v>
      </c>
      <c r="BF52">
        <v>0</v>
      </c>
      <c r="BG52">
        <v>0</v>
      </c>
      <c r="BH52">
        <v>9979.3799999999992</v>
      </c>
      <c r="BI52">
        <v>1055.43</v>
      </c>
      <c r="BJ52">
        <v>1.62592</v>
      </c>
      <c r="BK52">
        <v>-39.589300000000001</v>
      </c>
      <c r="BL52">
        <v>777.399</v>
      </c>
      <c r="BM52">
        <v>814.46500000000003</v>
      </c>
      <c r="BN52">
        <v>4.0931499999999996</v>
      </c>
      <c r="BO52">
        <v>799.98299999999995</v>
      </c>
      <c r="BP52">
        <v>17.7806</v>
      </c>
      <c r="BQ52">
        <v>2.1704400000000001</v>
      </c>
      <c r="BR52">
        <v>1.7642899999999999</v>
      </c>
      <c r="BS52">
        <v>18.745799999999999</v>
      </c>
      <c r="BT52">
        <v>15.474</v>
      </c>
      <c r="BU52">
        <v>1799.99</v>
      </c>
      <c r="BV52">
        <v>0.91000199999999998</v>
      </c>
      <c r="BW52">
        <v>3.4005899999999999E-2</v>
      </c>
      <c r="BX52">
        <v>2.1995799999999999E-2</v>
      </c>
      <c r="BY52">
        <v>3.3996100000000001E-2</v>
      </c>
      <c r="BZ52">
        <v>25.416699999999999</v>
      </c>
      <c r="CA52">
        <v>33528.199999999997</v>
      </c>
      <c r="CB52">
        <v>1690306253.5999999</v>
      </c>
      <c r="CC52" t="s">
        <v>332</v>
      </c>
      <c r="CD52">
        <v>1690306253.5999999</v>
      </c>
      <c r="CE52">
        <v>1690306251.5999999</v>
      </c>
      <c r="CF52">
        <v>9</v>
      </c>
      <c r="CG52">
        <v>0.19</v>
      </c>
      <c r="CH52">
        <v>-8.7999999999999995E-2</v>
      </c>
      <c r="CI52">
        <v>-5.0999999999999997E-2</v>
      </c>
      <c r="CJ52">
        <v>5.0999999999999997E-2</v>
      </c>
      <c r="CK52">
        <v>799</v>
      </c>
      <c r="CL52">
        <v>15</v>
      </c>
      <c r="CM52">
        <v>0.28000000000000003</v>
      </c>
      <c r="CN52">
        <v>0.03</v>
      </c>
      <c r="CO52">
        <v>-37.562558536585357</v>
      </c>
      <c r="CP52">
        <v>-11.4731811846691</v>
      </c>
      <c r="CQ52">
        <v>1.132874348181911</v>
      </c>
      <c r="CR52">
        <v>-1</v>
      </c>
      <c r="CS52">
        <v>4.0751424390243898</v>
      </c>
      <c r="CT52">
        <v>0.1661655052264901</v>
      </c>
      <c r="CU52">
        <v>2.9187403211767271E-2</v>
      </c>
      <c r="CV52">
        <v>-1</v>
      </c>
      <c r="CW52">
        <v>0</v>
      </c>
      <c r="CX52">
        <v>0</v>
      </c>
      <c r="CY52" t="s">
        <v>333</v>
      </c>
      <c r="CZ52">
        <v>2.3639800000000002</v>
      </c>
      <c r="DA52">
        <v>2.7137600000000002</v>
      </c>
      <c r="DB52">
        <v>0.141871</v>
      </c>
      <c r="DC52">
        <v>0.146402</v>
      </c>
      <c r="DD52">
        <v>0.106699</v>
      </c>
      <c r="DE52">
        <v>9.0784299999999998E-2</v>
      </c>
      <c r="DF52">
        <v>31321.3</v>
      </c>
      <c r="DG52">
        <v>27504</v>
      </c>
      <c r="DH52">
        <v>31161.4</v>
      </c>
      <c r="DI52">
        <v>28077.599999999999</v>
      </c>
      <c r="DJ52">
        <v>37796.6</v>
      </c>
      <c r="DK52">
        <v>36306.9</v>
      </c>
      <c r="DL52">
        <v>44346.6</v>
      </c>
      <c r="DM52">
        <v>42565</v>
      </c>
      <c r="DN52">
        <v>1.4231499999999999</v>
      </c>
      <c r="DO52">
        <v>2.04792</v>
      </c>
      <c r="DP52">
        <v>0.16076099999999999</v>
      </c>
      <c r="DQ52">
        <v>0.13414799999999999</v>
      </c>
      <c r="DR52">
        <v>25.1751</v>
      </c>
      <c r="DS52">
        <v>24.610800000000001</v>
      </c>
      <c r="DT52">
        <v>56.5</v>
      </c>
      <c r="DU52">
        <v>29.4</v>
      </c>
      <c r="DV52">
        <v>23.4358</v>
      </c>
      <c r="DW52">
        <v>61.933</v>
      </c>
      <c r="DX52">
        <v>35.5929</v>
      </c>
      <c r="DY52">
        <v>1</v>
      </c>
      <c r="DZ52">
        <v>-4.7972599999999997E-2</v>
      </c>
      <c r="EA52">
        <v>3.1526200000000002</v>
      </c>
      <c r="EB52">
        <v>20.154900000000001</v>
      </c>
      <c r="EC52">
        <v>5.2401999999999997</v>
      </c>
      <c r="ED52">
        <v>12.039899999999999</v>
      </c>
      <c r="EE52">
        <v>5.0166500000000003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1.8689100000000001</v>
      </c>
      <c r="EL52">
        <v>1.8646400000000001</v>
      </c>
      <c r="EM52">
        <v>1.8692</v>
      </c>
      <c r="EN52">
        <v>1.8672599999999999</v>
      </c>
      <c r="EO52">
        <v>1.8633999999999999</v>
      </c>
      <c r="EP52">
        <v>1.8644700000000001</v>
      </c>
      <c r="EQ52">
        <v>1.87018</v>
      </c>
      <c r="ER52">
        <v>1.86944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-2.4E-2</v>
      </c>
      <c r="FG52">
        <v>0.18410000000000001</v>
      </c>
      <c r="FH52">
        <v>0.49996858830924029</v>
      </c>
      <c r="FI52">
        <v>-6.1462078757559423E-4</v>
      </c>
      <c r="FJ52">
        <v>-1.8861989874597051E-7</v>
      </c>
      <c r="FK52">
        <v>1.1980462299894961E-10</v>
      </c>
      <c r="FL52">
        <v>0.18404795463265899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14.9</v>
      </c>
      <c r="FU52">
        <v>15</v>
      </c>
      <c r="FV52">
        <v>1.78833</v>
      </c>
      <c r="FW52">
        <v>2.5866699999999998</v>
      </c>
      <c r="FX52">
        <v>1.5490699999999999</v>
      </c>
      <c r="FY52">
        <v>2.3290999999999999</v>
      </c>
      <c r="FZ52">
        <v>1.50146</v>
      </c>
      <c r="GA52">
        <v>2.36816</v>
      </c>
      <c r="GB52">
        <v>34.054499999999997</v>
      </c>
      <c r="GC52">
        <v>23.973700000000001</v>
      </c>
      <c r="GD52">
        <v>19</v>
      </c>
      <c r="GE52">
        <v>262.65499999999997</v>
      </c>
      <c r="GF52">
        <v>597.43600000000004</v>
      </c>
      <c r="GG52">
        <v>19.440200000000001</v>
      </c>
      <c r="GH52">
        <v>26.727499999999999</v>
      </c>
      <c r="GI52">
        <v>30.0001</v>
      </c>
      <c r="GJ52">
        <v>26.790299999999998</v>
      </c>
      <c r="GK52">
        <v>26.7453</v>
      </c>
      <c r="GL52">
        <v>35.761099999999999</v>
      </c>
      <c r="GM52">
        <v>32.872399999999999</v>
      </c>
      <c r="GN52">
        <v>98.8673</v>
      </c>
      <c r="GO52">
        <v>19.410900000000002</v>
      </c>
      <c r="GP52">
        <v>800</v>
      </c>
      <c r="GQ52">
        <v>17.703099999999999</v>
      </c>
      <c r="GR52">
        <v>99.704400000000007</v>
      </c>
      <c r="GS52">
        <v>99.565899999999999</v>
      </c>
    </row>
    <row r="53" spans="1:201" x14ac:dyDescent="0.25">
      <c r="A53">
        <v>37</v>
      </c>
      <c r="B53">
        <v>1690307160</v>
      </c>
      <c r="C53">
        <v>541.40000009536743</v>
      </c>
      <c r="D53" t="s">
        <v>407</v>
      </c>
      <c r="E53" t="s">
        <v>408</v>
      </c>
      <c r="F53" t="s">
        <v>330</v>
      </c>
      <c r="H53">
        <v>1690307160</v>
      </c>
      <c r="I53">
        <f t="shared" si="0"/>
        <v>4.0277426804339358E-4</v>
      </c>
      <c r="J53">
        <f t="shared" si="1"/>
        <v>0.40277426804339356</v>
      </c>
      <c r="K53">
        <f t="shared" si="2"/>
        <v>3.68782375446929</v>
      </c>
      <c r="L53">
        <f t="shared" si="3"/>
        <v>758.50800000000004</v>
      </c>
      <c r="M53">
        <f t="shared" si="4"/>
        <v>532.78332187776198</v>
      </c>
      <c r="N53">
        <f t="shared" si="5"/>
        <v>52.920081755962414</v>
      </c>
      <c r="O53">
        <f t="shared" si="6"/>
        <v>75.340769360196006</v>
      </c>
      <c r="P53">
        <f t="shared" si="7"/>
        <v>2.8154249214657919E-2</v>
      </c>
      <c r="Q53">
        <f t="shared" si="8"/>
        <v>2.1955915719396435</v>
      </c>
      <c r="R53">
        <f t="shared" si="9"/>
        <v>2.7955210991096525E-2</v>
      </c>
      <c r="S53">
        <f t="shared" si="10"/>
        <v>1.7489772256232553E-2</v>
      </c>
      <c r="T53">
        <f t="shared" si="11"/>
        <v>276.1130749579504</v>
      </c>
      <c r="U53">
        <f t="shared" si="12"/>
        <v>26.853839915603515</v>
      </c>
      <c r="V53">
        <f t="shared" si="13"/>
        <v>26.853839915603515</v>
      </c>
      <c r="W53">
        <f t="shared" si="14"/>
        <v>3.5485498315526822</v>
      </c>
      <c r="X53">
        <f t="shared" si="15"/>
        <v>68.444215137140091</v>
      </c>
      <c r="Y53">
        <f t="shared" si="16"/>
        <v>2.1585672551666004</v>
      </c>
      <c r="Z53">
        <f t="shared" si="17"/>
        <v>3.1537614257706497</v>
      </c>
      <c r="AA53">
        <f t="shared" si="18"/>
        <v>1.3899825763860818</v>
      </c>
      <c r="AB53">
        <f t="shared" si="19"/>
        <v>-17.762345220713659</v>
      </c>
      <c r="AC53">
        <f t="shared" si="20"/>
        <v>-235.67687181679057</v>
      </c>
      <c r="AD53">
        <f t="shared" si="21"/>
        <v>-22.902215082449644</v>
      </c>
      <c r="AE53">
        <f t="shared" si="22"/>
        <v>-0.22835716200344791</v>
      </c>
      <c r="AF53">
        <v>16</v>
      </c>
      <c r="AG53">
        <v>5</v>
      </c>
      <c r="AH53">
        <f t="shared" si="23"/>
        <v>1</v>
      </c>
      <c r="AI53">
        <f t="shared" si="24"/>
        <v>0</v>
      </c>
      <c r="AJ53">
        <f t="shared" si="25"/>
        <v>52826.156202425831</v>
      </c>
      <c r="AK53">
        <f t="shared" si="26"/>
        <v>1799.99</v>
      </c>
      <c r="AL53">
        <f t="shared" si="27"/>
        <v>1499.1029804038401</v>
      </c>
      <c r="AM53">
        <f t="shared" si="28"/>
        <v>0.832839616</v>
      </c>
      <c r="AN53">
        <f t="shared" si="29"/>
        <v>0.15339700496</v>
      </c>
      <c r="AO53">
        <v>31.2</v>
      </c>
      <c r="AP53">
        <v>0.5</v>
      </c>
      <c r="AQ53" t="s">
        <v>331</v>
      </c>
      <c r="AR53">
        <v>2</v>
      </c>
      <c r="AS53">
        <v>1690307160</v>
      </c>
      <c r="AT53">
        <v>758.50800000000004</v>
      </c>
      <c r="AU53">
        <v>800.00599999999997</v>
      </c>
      <c r="AV53">
        <v>21.7318</v>
      </c>
      <c r="AW53">
        <v>17.6372</v>
      </c>
      <c r="AX53">
        <v>758.53</v>
      </c>
      <c r="AY53">
        <v>21.547699999999999</v>
      </c>
      <c r="AZ53">
        <v>300.23599999999999</v>
      </c>
      <c r="BA53">
        <v>99.227500000000006</v>
      </c>
      <c r="BB53">
        <v>0.100087</v>
      </c>
      <c r="BC53">
        <v>24.8628</v>
      </c>
      <c r="BD53">
        <v>27.772400000000001</v>
      </c>
      <c r="BE53">
        <v>26.750599999999999</v>
      </c>
      <c r="BF53">
        <v>0</v>
      </c>
      <c r="BG53">
        <v>0</v>
      </c>
      <c r="BH53">
        <v>9996.25</v>
      </c>
      <c r="BI53">
        <v>1054.71</v>
      </c>
      <c r="BJ53">
        <v>1.62592</v>
      </c>
      <c r="BK53">
        <v>-41.4983</v>
      </c>
      <c r="BL53">
        <v>775.35799999999995</v>
      </c>
      <c r="BM53">
        <v>814.36900000000003</v>
      </c>
      <c r="BN53">
        <v>4.0945299999999998</v>
      </c>
      <c r="BO53">
        <v>800.00599999999997</v>
      </c>
      <c r="BP53">
        <v>17.6372</v>
      </c>
      <c r="BQ53">
        <v>2.15639</v>
      </c>
      <c r="BR53">
        <v>1.7501</v>
      </c>
      <c r="BS53">
        <v>18.641999999999999</v>
      </c>
      <c r="BT53">
        <v>15.348100000000001</v>
      </c>
      <c r="BU53">
        <v>1799.99</v>
      </c>
      <c r="BV53">
        <v>0.91000599999999998</v>
      </c>
      <c r="BW53">
        <v>3.40045E-2</v>
      </c>
      <c r="BX53">
        <v>2.1994799999999998E-2</v>
      </c>
      <c r="BY53">
        <v>3.39946E-2</v>
      </c>
      <c r="BZ53">
        <v>25.5</v>
      </c>
      <c r="CA53">
        <v>33528.199999999997</v>
      </c>
      <c r="CB53">
        <v>1690306253.5999999</v>
      </c>
      <c r="CC53" t="s">
        <v>332</v>
      </c>
      <c r="CD53">
        <v>1690306253.5999999</v>
      </c>
      <c r="CE53">
        <v>1690306251.5999999</v>
      </c>
      <c r="CF53">
        <v>9</v>
      </c>
      <c r="CG53">
        <v>0.19</v>
      </c>
      <c r="CH53">
        <v>-8.7999999999999995E-2</v>
      </c>
      <c r="CI53">
        <v>-5.0999999999999997E-2</v>
      </c>
      <c r="CJ53">
        <v>5.0999999999999997E-2</v>
      </c>
      <c r="CK53">
        <v>799</v>
      </c>
      <c r="CL53">
        <v>15</v>
      </c>
      <c r="CM53">
        <v>0.28000000000000003</v>
      </c>
      <c r="CN53">
        <v>0.03</v>
      </c>
      <c r="CO53">
        <v>-39.471263414634137</v>
      </c>
      <c r="CP53">
        <v>-11.76681114982574</v>
      </c>
      <c r="CQ53">
        <v>1.1606993784775179</v>
      </c>
      <c r="CR53">
        <v>-1</v>
      </c>
      <c r="CS53">
        <v>4.0795185365853657</v>
      </c>
      <c r="CT53">
        <v>-3.526662020905276E-2</v>
      </c>
      <c r="CU53">
        <v>1.040396185347978E-2</v>
      </c>
      <c r="CV53">
        <v>-1</v>
      </c>
      <c r="CW53">
        <v>0</v>
      </c>
      <c r="CX53">
        <v>0</v>
      </c>
      <c r="CY53" t="s">
        <v>333</v>
      </c>
      <c r="CZ53">
        <v>2.3641700000000001</v>
      </c>
      <c r="DA53">
        <v>2.7138800000000001</v>
      </c>
      <c r="DB53">
        <v>0.14163500000000001</v>
      </c>
      <c r="DC53">
        <v>0.14640500000000001</v>
      </c>
      <c r="DD53">
        <v>0.10620599999999999</v>
      </c>
      <c r="DE53">
        <v>9.0259300000000001E-2</v>
      </c>
      <c r="DF53">
        <v>31330.3</v>
      </c>
      <c r="DG53">
        <v>27504.1</v>
      </c>
      <c r="DH53">
        <v>31161.7</v>
      </c>
      <c r="DI53">
        <v>28077.8</v>
      </c>
      <c r="DJ53">
        <v>37818.1</v>
      </c>
      <c r="DK53">
        <v>36328.1</v>
      </c>
      <c r="DL53">
        <v>44347.1</v>
      </c>
      <c r="DM53">
        <v>42565.1</v>
      </c>
      <c r="DN53">
        <v>1.42408</v>
      </c>
      <c r="DO53">
        <v>2.0478299999999998</v>
      </c>
      <c r="DP53">
        <v>0.16091</v>
      </c>
      <c r="DQ53">
        <v>0.132829</v>
      </c>
      <c r="DR53">
        <v>25.138500000000001</v>
      </c>
      <c r="DS53">
        <v>24.573499999999999</v>
      </c>
      <c r="DT53">
        <v>56.6</v>
      </c>
      <c r="DU53">
        <v>29.4</v>
      </c>
      <c r="DV53">
        <v>23.477900000000002</v>
      </c>
      <c r="DW53">
        <v>61.713000000000001</v>
      </c>
      <c r="DX53">
        <v>36.037700000000001</v>
      </c>
      <c r="DY53">
        <v>1</v>
      </c>
      <c r="DZ53">
        <v>-4.8180899999999999E-2</v>
      </c>
      <c r="EA53">
        <v>3.2120099999999998</v>
      </c>
      <c r="EB53">
        <v>20.154199999999999</v>
      </c>
      <c r="EC53">
        <v>5.2398999999999996</v>
      </c>
      <c r="ED53">
        <v>12.039899999999999</v>
      </c>
      <c r="EE53">
        <v>5.0167999999999999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1.8689100000000001</v>
      </c>
      <c r="EL53">
        <v>1.86463</v>
      </c>
      <c r="EM53">
        <v>1.8692</v>
      </c>
      <c r="EN53">
        <v>1.8672599999999999</v>
      </c>
      <c r="EO53">
        <v>1.8633999999999999</v>
      </c>
      <c r="EP53">
        <v>1.8644700000000001</v>
      </c>
      <c r="EQ53">
        <v>1.87016</v>
      </c>
      <c r="ER53">
        <v>1.8694299999999999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-2.1999999999999999E-2</v>
      </c>
      <c r="FG53">
        <v>0.18410000000000001</v>
      </c>
      <c r="FH53">
        <v>0.49996858830924029</v>
      </c>
      <c r="FI53">
        <v>-6.1462078757559423E-4</v>
      </c>
      <c r="FJ53">
        <v>-1.8861989874597051E-7</v>
      </c>
      <c r="FK53">
        <v>1.1980462299894961E-10</v>
      </c>
      <c r="FL53">
        <v>0.18404795463265899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15.1</v>
      </c>
      <c r="FU53">
        <v>15.1</v>
      </c>
      <c r="FV53">
        <v>1.78833</v>
      </c>
      <c r="FW53">
        <v>2.5976599999999999</v>
      </c>
      <c r="FX53">
        <v>1.5490699999999999</v>
      </c>
      <c r="FY53">
        <v>2.3290999999999999</v>
      </c>
      <c r="FZ53">
        <v>1.50146</v>
      </c>
      <c r="GA53">
        <v>2.2827099999999998</v>
      </c>
      <c r="GB53">
        <v>34.077100000000002</v>
      </c>
      <c r="GC53">
        <v>23.9649</v>
      </c>
      <c r="GD53">
        <v>19</v>
      </c>
      <c r="GE53">
        <v>263.01799999999997</v>
      </c>
      <c r="GF53">
        <v>597.33699999999999</v>
      </c>
      <c r="GG53">
        <v>19.3461</v>
      </c>
      <c r="GH53">
        <v>26.720300000000002</v>
      </c>
      <c r="GI53">
        <v>29.9999</v>
      </c>
      <c r="GJ53">
        <v>26.787199999999999</v>
      </c>
      <c r="GK53">
        <v>26.7439</v>
      </c>
      <c r="GL53">
        <v>35.76</v>
      </c>
      <c r="GM53">
        <v>33.484000000000002</v>
      </c>
      <c r="GN53">
        <v>98.8673</v>
      </c>
      <c r="GO53">
        <v>19.314</v>
      </c>
      <c r="GP53">
        <v>800</v>
      </c>
      <c r="GQ53">
        <v>17.530899999999999</v>
      </c>
      <c r="GR53">
        <v>99.705600000000004</v>
      </c>
      <c r="GS53">
        <v>99.566299999999998</v>
      </c>
    </row>
    <row r="54" spans="1:201" x14ac:dyDescent="0.25">
      <c r="A54">
        <v>38</v>
      </c>
      <c r="B54">
        <v>1690307170</v>
      </c>
      <c r="C54">
        <v>551.40000009536743</v>
      </c>
      <c r="D54" t="s">
        <v>409</v>
      </c>
      <c r="E54" t="s">
        <v>410</v>
      </c>
      <c r="F54" t="s">
        <v>330</v>
      </c>
      <c r="H54">
        <v>1690307170</v>
      </c>
      <c r="I54">
        <f t="shared" si="0"/>
        <v>3.9465768740022325E-4</v>
      </c>
      <c r="J54">
        <f t="shared" si="1"/>
        <v>0.39465768740022322</v>
      </c>
      <c r="K54">
        <f t="shared" si="2"/>
        <v>3.8636149264130677</v>
      </c>
      <c r="L54">
        <f t="shared" si="3"/>
        <v>756.61800000000005</v>
      </c>
      <c r="M54">
        <f t="shared" si="4"/>
        <v>515.81838993161875</v>
      </c>
      <c r="N54">
        <f t="shared" si="5"/>
        <v>51.234611923759644</v>
      </c>
      <c r="O54">
        <f t="shared" si="6"/>
        <v>75.152476843003214</v>
      </c>
      <c r="P54">
        <f t="shared" si="7"/>
        <v>2.7503195720798321E-2</v>
      </c>
      <c r="Q54">
        <f t="shared" si="8"/>
        <v>2.1943540427206196</v>
      </c>
      <c r="R54">
        <f t="shared" si="9"/>
        <v>2.7313116535087147E-2</v>
      </c>
      <c r="S54">
        <f t="shared" si="10"/>
        <v>1.7087666075338511E-2</v>
      </c>
      <c r="T54">
        <f t="shared" si="11"/>
        <v>276.11290498489473</v>
      </c>
      <c r="U54">
        <f t="shared" si="12"/>
        <v>26.804117400006138</v>
      </c>
      <c r="V54">
        <f t="shared" si="13"/>
        <v>26.804117400006138</v>
      </c>
      <c r="W54">
        <f t="shared" si="14"/>
        <v>3.5381888229840466</v>
      </c>
      <c r="X54">
        <f t="shared" si="15"/>
        <v>68.201111842060712</v>
      </c>
      <c r="Y54">
        <f t="shared" si="16"/>
        <v>2.1440294893094403</v>
      </c>
      <c r="Z54">
        <f t="shared" si="17"/>
        <v>3.1436870036291449</v>
      </c>
      <c r="AA54">
        <f t="shared" si="18"/>
        <v>1.3941593336746063</v>
      </c>
      <c r="AB54">
        <f t="shared" si="19"/>
        <v>-17.404404014349844</v>
      </c>
      <c r="AC54">
        <f t="shared" si="20"/>
        <v>-236.00274848082694</v>
      </c>
      <c r="AD54">
        <f t="shared" si="21"/>
        <v>-22.934919626272126</v>
      </c>
      <c r="AE54">
        <f t="shared" si="22"/>
        <v>-0.22916713655416743</v>
      </c>
      <c r="AF54">
        <v>16</v>
      </c>
      <c r="AG54">
        <v>5</v>
      </c>
      <c r="AH54">
        <f t="shared" si="23"/>
        <v>1</v>
      </c>
      <c r="AI54">
        <f t="shared" si="24"/>
        <v>0</v>
      </c>
      <c r="AJ54">
        <f t="shared" si="25"/>
        <v>52784.637419568608</v>
      </c>
      <c r="AK54">
        <f t="shared" si="26"/>
        <v>1799.99</v>
      </c>
      <c r="AL54">
        <f t="shared" si="27"/>
        <v>1499.1042529967699</v>
      </c>
      <c r="AM54">
        <f t="shared" si="28"/>
        <v>0.83284032299999999</v>
      </c>
      <c r="AN54">
        <f t="shared" si="29"/>
        <v>0.15339691053000001</v>
      </c>
      <c r="AO54">
        <v>31.2</v>
      </c>
      <c r="AP54">
        <v>0.5</v>
      </c>
      <c r="AQ54" t="s">
        <v>331</v>
      </c>
      <c r="AR54">
        <v>2</v>
      </c>
      <c r="AS54">
        <v>1690307170</v>
      </c>
      <c r="AT54">
        <v>756.61800000000005</v>
      </c>
      <c r="AU54">
        <v>799.89599999999996</v>
      </c>
      <c r="AV54">
        <v>21.585599999999999</v>
      </c>
      <c r="AW54">
        <v>17.570599999999999</v>
      </c>
      <c r="AX54">
        <v>756.63900000000001</v>
      </c>
      <c r="AY54">
        <v>21.401499999999999</v>
      </c>
      <c r="AZ54">
        <v>300.06299999999999</v>
      </c>
      <c r="BA54">
        <v>99.226900000000001</v>
      </c>
      <c r="BB54">
        <v>9.9942400000000001E-2</v>
      </c>
      <c r="BC54">
        <v>24.809200000000001</v>
      </c>
      <c r="BD54">
        <v>27.7226</v>
      </c>
      <c r="BE54">
        <v>26.714200000000002</v>
      </c>
      <c r="BF54">
        <v>0</v>
      </c>
      <c r="BG54">
        <v>0</v>
      </c>
      <c r="BH54">
        <v>9986.25</v>
      </c>
      <c r="BI54">
        <v>1053.8399999999999</v>
      </c>
      <c r="BJ54">
        <v>1.62592</v>
      </c>
      <c r="BK54">
        <v>-43.2776</v>
      </c>
      <c r="BL54">
        <v>773.31</v>
      </c>
      <c r="BM54">
        <v>814.20100000000002</v>
      </c>
      <c r="BN54">
        <v>4.0150199999999998</v>
      </c>
      <c r="BO54">
        <v>799.89599999999996</v>
      </c>
      <c r="BP54">
        <v>17.570599999999999</v>
      </c>
      <c r="BQ54">
        <v>2.1418699999999999</v>
      </c>
      <c r="BR54">
        <v>1.7434700000000001</v>
      </c>
      <c r="BS54">
        <v>18.533999999999999</v>
      </c>
      <c r="BT54">
        <v>15.289</v>
      </c>
      <c r="BU54">
        <v>1799.99</v>
      </c>
      <c r="BV54">
        <v>0.91001200000000004</v>
      </c>
      <c r="BW54">
        <v>3.4002299999999999E-2</v>
      </c>
      <c r="BX54">
        <v>2.19934E-2</v>
      </c>
      <c r="BY54">
        <v>3.3992500000000002E-2</v>
      </c>
      <c r="BZ54">
        <v>25.708300000000001</v>
      </c>
      <c r="CA54">
        <v>33528.400000000001</v>
      </c>
      <c r="CB54">
        <v>1690306253.5999999</v>
      </c>
      <c r="CC54" t="s">
        <v>332</v>
      </c>
      <c r="CD54">
        <v>1690306253.5999999</v>
      </c>
      <c r="CE54">
        <v>1690306251.5999999</v>
      </c>
      <c r="CF54">
        <v>9</v>
      </c>
      <c r="CG54">
        <v>0.19</v>
      </c>
      <c r="CH54">
        <v>-8.7999999999999995E-2</v>
      </c>
      <c r="CI54">
        <v>-5.0999999999999997E-2</v>
      </c>
      <c r="CJ54">
        <v>5.0999999999999997E-2</v>
      </c>
      <c r="CK54">
        <v>799</v>
      </c>
      <c r="CL54">
        <v>15</v>
      </c>
      <c r="CM54">
        <v>0.28000000000000003</v>
      </c>
      <c r="CN54">
        <v>0.03</v>
      </c>
      <c r="CO54">
        <v>-41.190321951219509</v>
      </c>
      <c r="CP54">
        <v>-11.18510801393731</v>
      </c>
      <c r="CQ54">
        <v>1.103064737837089</v>
      </c>
      <c r="CR54">
        <v>-1</v>
      </c>
      <c r="CS54">
        <v>4.071469756097561</v>
      </c>
      <c r="CT54">
        <v>-0.10413198606272681</v>
      </c>
      <c r="CU54">
        <v>1.6692738232435399E-2</v>
      </c>
      <c r="CV54">
        <v>-1</v>
      </c>
      <c r="CW54">
        <v>0</v>
      </c>
      <c r="CX54">
        <v>0</v>
      </c>
      <c r="CY54" t="s">
        <v>333</v>
      </c>
      <c r="CZ54">
        <v>2.3636400000000002</v>
      </c>
      <c r="DA54">
        <v>2.7137199999999999</v>
      </c>
      <c r="DB54">
        <v>0.14139299999999999</v>
      </c>
      <c r="DC54">
        <v>0.14638899999999999</v>
      </c>
      <c r="DD54">
        <v>0.105695</v>
      </c>
      <c r="DE54">
        <v>9.0012800000000004E-2</v>
      </c>
      <c r="DF54">
        <v>31339.5</v>
      </c>
      <c r="DG54">
        <v>27504.799999999999</v>
      </c>
      <c r="DH54">
        <v>31162.1</v>
      </c>
      <c r="DI54">
        <v>28078</v>
      </c>
      <c r="DJ54">
        <v>37840.400000000001</v>
      </c>
      <c r="DK54">
        <v>36338.1</v>
      </c>
      <c r="DL54">
        <v>44347.7</v>
      </c>
      <c r="DM54">
        <v>42565.2</v>
      </c>
      <c r="DN54">
        <v>1.4231499999999999</v>
      </c>
      <c r="DO54">
        <v>2.0479500000000002</v>
      </c>
      <c r="DP54">
        <v>0.160083</v>
      </c>
      <c r="DQ54">
        <v>0.13280700000000001</v>
      </c>
      <c r="DR54">
        <v>25.102</v>
      </c>
      <c r="DS54">
        <v>24.537299999999998</v>
      </c>
      <c r="DT54">
        <v>56.6</v>
      </c>
      <c r="DU54">
        <v>29.3</v>
      </c>
      <c r="DV54">
        <v>23.345800000000001</v>
      </c>
      <c r="DW54">
        <v>61.703000000000003</v>
      </c>
      <c r="DX54">
        <v>36.045699999999997</v>
      </c>
      <c r="DY54">
        <v>1</v>
      </c>
      <c r="DZ54">
        <v>-4.8554399999999998E-2</v>
      </c>
      <c r="EA54">
        <v>3.2822800000000001</v>
      </c>
      <c r="EB54">
        <v>20.152100000000001</v>
      </c>
      <c r="EC54">
        <v>5.2394499999999997</v>
      </c>
      <c r="ED54">
        <v>12.039899999999999</v>
      </c>
      <c r="EE54">
        <v>5.0163500000000001</v>
      </c>
      <c r="EF54">
        <v>3.2879499999999999</v>
      </c>
      <c r="EG54">
        <v>9999</v>
      </c>
      <c r="EH54">
        <v>9999</v>
      </c>
      <c r="EI54">
        <v>9999</v>
      </c>
      <c r="EJ54">
        <v>999.9</v>
      </c>
      <c r="EK54">
        <v>1.8689100000000001</v>
      </c>
      <c r="EL54">
        <v>1.8646199999999999</v>
      </c>
      <c r="EM54">
        <v>1.8692</v>
      </c>
      <c r="EN54">
        <v>1.86724</v>
      </c>
      <c r="EO54">
        <v>1.8633999999999999</v>
      </c>
      <c r="EP54">
        <v>1.8644700000000001</v>
      </c>
      <c r="EQ54">
        <v>1.8701700000000001</v>
      </c>
      <c r="ER54">
        <v>1.8694200000000001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-2.1000000000000001E-2</v>
      </c>
      <c r="FG54">
        <v>0.18410000000000001</v>
      </c>
      <c r="FH54">
        <v>0.49996858830924029</v>
      </c>
      <c r="FI54">
        <v>-6.1462078757559423E-4</v>
      </c>
      <c r="FJ54">
        <v>-1.8861989874597051E-7</v>
      </c>
      <c r="FK54">
        <v>1.1980462299894961E-10</v>
      </c>
      <c r="FL54">
        <v>0.18404795463265899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15.3</v>
      </c>
      <c r="FU54">
        <v>15.3</v>
      </c>
      <c r="FV54">
        <v>1.78833</v>
      </c>
      <c r="FW54">
        <v>2.5976599999999999</v>
      </c>
      <c r="FX54">
        <v>1.5490699999999999</v>
      </c>
      <c r="FY54">
        <v>2.3303199999999999</v>
      </c>
      <c r="FZ54">
        <v>1.50146</v>
      </c>
      <c r="GA54">
        <v>2.32056</v>
      </c>
      <c r="GB54">
        <v>34.054499999999997</v>
      </c>
      <c r="GC54">
        <v>23.9649</v>
      </c>
      <c r="GD54">
        <v>19</v>
      </c>
      <c r="GE54">
        <v>262.62900000000002</v>
      </c>
      <c r="GF54">
        <v>597.43100000000004</v>
      </c>
      <c r="GG54">
        <v>19.243500000000001</v>
      </c>
      <c r="GH54">
        <v>26.712900000000001</v>
      </c>
      <c r="GI54">
        <v>30.0001</v>
      </c>
      <c r="GJ54">
        <v>26.783799999999999</v>
      </c>
      <c r="GK54">
        <v>26.742999999999999</v>
      </c>
      <c r="GL54">
        <v>35.763599999999997</v>
      </c>
      <c r="GM54">
        <v>34.055399999999999</v>
      </c>
      <c r="GN54">
        <v>98.495199999999997</v>
      </c>
      <c r="GO54">
        <v>19.210100000000001</v>
      </c>
      <c r="GP54">
        <v>800</v>
      </c>
      <c r="GQ54">
        <v>17.385899999999999</v>
      </c>
      <c r="GR54">
        <v>99.706800000000001</v>
      </c>
      <c r="GS54">
        <v>99.566699999999997</v>
      </c>
    </row>
    <row r="55" spans="1:201" x14ac:dyDescent="0.25">
      <c r="A55">
        <v>39</v>
      </c>
      <c r="B55">
        <v>1690307180</v>
      </c>
      <c r="C55">
        <v>561.40000009536743</v>
      </c>
      <c r="D55" t="s">
        <v>411</v>
      </c>
      <c r="E55" t="s">
        <v>412</v>
      </c>
      <c r="F55" t="s">
        <v>330</v>
      </c>
      <c r="H55">
        <v>1690307180</v>
      </c>
      <c r="I55">
        <f t="shared" si="0"/>
        <v>3.9492330516011439E-4</v>
      </c>
      <c r="J55">
        <f t="shared" si="1"/>
        <v>0.39492330516011437</v>
      </c>
      <c r="K55">
        <f t="shared" si="2"/>
        <v>4.0533110618898913</v>
      </c>
      <c r="L55">
        <f t="shared" si="3"/>
        <v>754.75900000000001</v>
      </c>
      <c r="M55">
        <f t="shared" si="4"/>
        <v>502.46492356497833</v>
      </c>
      <c r="N55">
        <f t="shared" si="5"/>
        <v>49.908022788876359</v>
      </c>
      <c r="O55">
        <f t="shared" si="6"/>
        <v>74.967480525510297</v>
      </c>
      <c r="P55">
        <f t="shared" si="7"/>
        <v>2.7441768211692693E-2</v>
      </c>
      <c r="Q55">
        <f t="shared" si="8"/>
        <v>2.1960389558338931</v>
      </c>
      <c r="R55">
        <f t="shared" si="9"/>
        <v>2.7252678107477134E-2</v>
      </c>
      <c r="S55">
        <f t="shared" si="10"/>
        <v>1.7049804086890982E-2</v>
      </c>
      <c r="T55">
        <f t="shared" si="11"/>
        <v>276.11282456134154</v>
      </c>
      <c r="U55">
        <f t="shared" si="12"/>
        <v>26.754814507011538</v>
      </c>
      <c r="V55">
        <f t="shared" si="13"/>
        <v>26.754814507011538</v>
      </c>
      <c r="W55">
        <f t="shared" si="14"/>
        <v>3.5279413408233062</v>
      </c>
      <c r="X55">
        <f t="shared" si="15"/>
        <v>67.935439810231941</v>
      </c>
      <c r="Y55">
        <f t="shared" si="16"/>
        <v>2.12957748892434</v>
      </c>
      <c r="Z55">
        <f t="shared" si="17"/>
        <v>3.1347077385132325</v>
      </c>
      <c r="AA55">
        <f t="shared" si="18"/>
        <v>1.3983638518989663</v>
      </c>
      <c r="AB55">
        <f t="shared" si="19"/>
        <v>-17.416117757561043</v>
      </c>
      <c r="AC55">
        <f t="shared" si="20"/>
        <v>-236.01786836109162</v>
      </c>
      <c r="AD55">
        <f t="shared" si="21"/>
        <v>-22.907609213420361</v>
      </c>
      <c r="AE55">
        <f t="shared" si="22"/>
        <v>-0.22877077073147234</v>
      </c>
      <c r="AF55">
        <v>16</v>
      </c>
      <c r="AG55">
        <v>5</v>
      </c>
      <c r="AH55">
        <f t="shared" si="23"/>
        <v>1</v>
      </c>
      <c r="AI55">
        <f t="shared" si="24"/>
        <v>0</v>
      </c>
      <c r="AJ55">
        <f t="shared" si="25"/>
        <v>52862.591890157069</v>
      </c>
      <c r="AK55">
        <f t="shared" si="26"/>
        <v>1799.99</v>
      </c>
      <c r="AL55">
        <f t="shared" si="27"/>
        <v>1499.1052375913</v>
      </c>
      <c r="AM55">
        <f t="shared" si="28"/>
        <v>0.83284086999999996</v>
      </c>
      <c r="AN55">
        <f t="shared" si="29"/>
        <v>0.15339686585000004</v>
      </c>
      <c r="AO55">
        <v>31.2</v>
      </c>
      <c r="AP55">
        <v>0.5</v>
      </c>
      <c r="AQ55" t="s">
        <v>331</v>
      </c>
      <c r="AR55">
        <v>2</v>
      </c>
      <c r="AS55">
        <v>1690307180</v>
      </c>
      <c r="AT55">
        <v>754.75900000000001</v>
      </c>
      <c r="AU55">
        <v>799.98699999999997</v>
      </c>
      <c r="AV55">
        <v>21.440200000000001</v>
      </c>
      <c r="AW55">
        <v>17.423400000000001</v>
      </c>
      <c r="AX55">
        <v>754.779</v>
      </c>
      <c r="AY55">
        <v>21.2561</v>
      </c>
      <c r="AZ55">
        <v>300.17500000000001</v>
      </c>
      <c r="BA55">
        <v>99.226399999999998</v>
      </c>
      <c r="BB55">
        <v>9.9981700000000007E-2</v>
      </c>
      <c r="BC55">
        <v>24.761299999999999</v>
      </c>
      <c r="BD55">
        <v>27.626799999999999</v>
      </c>
      <c r="BE55">
        <v>26.6692</v>
      </c>
      <c r="BF55">
        <v>0</v>
      </c>
      <c r="BG55">
        <v>0</v>
      </c>
      <c r="BH55">
        <v>10000</v>
      </c>
      <c r="BI55">
        <v>1053.1300000000001</v>
      </c>
      <c r="BJ55">
        <v>1.62592</v>
      </c>
      <c r="BK55">
        <v>-45.228099999999998</v>
      </c>
      <c r="BL55">
        <v>771.29600000000005</v>
      </c>
      <c r="BM55">
        <v>814.173</v>
      </c>
      <c r="BN55">
        <v>4.0167900000000003</v>
      </c>
      <c r="BO55">
        <v>799.98699999999997</v>
      </c>
      <c r="BP55">
        <v>17.423400000000001</v>
      </c>
      <c r="BQ55">
        <v>2.1274299999999999</v>
      </c>
      <c r="BR55">
        <v>1.7288600000000001</v>
      </c>
      <c r="BS55">
        <v>18.426100000000002</v>
      </c>
      <c r="BT55">
        <v>15.157999999999999</v>
      </c>
      <c r="BU55">
        <v>1799.99</v>
      </c>
      <c r="BV55">
        <v>0.91001600000000005</v>
      </c>
      <c r="BW55">
        <v>3.4000900000000001E-2</v>
      </c>
      <c r="BX55">
        <v>2.1992500000000002E-2</v>
      </c>
      <c r="BY55">
        <v>3.3991100000000003E-2</v>
      </c>
      <c r="BZ55">
        <v>25.541699999999999</v>
      </c>
      <c r="CA55">
        <v>33528.400000000001</v>
      </c>
      <c r="CB55">
        <v>1690306253.5999999</v>
      </c>
      <c r="CC55" t="s">
        <v>332</v>
      </c>
      <c r="CD55">
        <v>1690306253.5999999</v>
      </c>
      <c r="CE55">
        <v>1690306251.5999999</v>
      </c>
      <c r="CF55">
        <v>9</v>
      </c>
      <c r="CG55">
        <v>0.19</v>
      </c>
      <c r="CH55">
        <v>-8.7999999999999995E-2</v>
      </c>
      <c r="CI55">
        <v>-5.0999999999999997E-2</v>
      </c>
      <c r="CJ55">
        <v>5.0999999999999997E-2</v>
      </c>
      <c r="CK55">
        <v>799</v>
      </c>
      <c r="CL55">
        <v>15</v>
      </c>
      <c r="CM55">
        <v>0.28000000000000003</v>
      </c>
      <c r="CN55">
        <v>0.03</v>
      </c>
      <c r="CO55">
        <v>-43.078341463414631</v>
      </c>
      <c r="CP55">
        <v>-11.436236236933899</v>
      </c>
      <c r="CQ55">
        <v>1.128692393873594</v>
      </c>
      <c r="CR55">
        <v>-1</v>
      </c>
      <c r="CS55">
        <v>4.0513629268292686</v>
      </c>
      <c r="CT55">
        <v>-0.1686330313588926</v>
      </c>
      <c r="CU55">
        <v>2.4029292717573741E-2</v>
      </c>
      <c r="CV55">
        <v>-1</v>
      </c>
      <c r="CW55">
        <v>0</v>
      </c>
      <c r="CX55">
        <v>0</v>
      </c>
      <c r="CY55" t="s">
        <v>333</v>
      </c>
      <c r="CZ55">
        <v>2.3640099999999999</v>
      </c>
      <c r="DA55">
        <v>2.7137699999999998</v>
      </c>
      <c r="DB55">
        <v>0.141157</v>
      </c>
      <c r="DC55">
        <v>0.146397</v>
      </c>
      <c r="DD55">
        <v>0.105185</v>
      </c>
      <c r="DE55">
        <v>8.9469000000000007E-2</v>
      </c>
      <c r="DF55">
        <v>31348.1</v>
      </c>
      <c r="DG55">
        <v>27504.9</v>
      </c>
      <c r="DH55">
        <v>31162</v>
      </c>
      <c r="DI55">
        <v>28078.3</v>
      </c>
      <c r="DJ55">
        <v>37862</v>
      </c>
      <c r="DK55">
        <v>36360.300000000003</v>
      </c>
      <c r="DL55">
        <v>44347.5</v>
      </c>
      <c r="DM55">
        <v>42565.8</v>
      </c>
      <c r="DN55">
        <v>1.4233800000000001</v>
      </c>
      <c r="DO55">
        <v>2.0476000000000001</v>
      </c>
      <c r="DP55">
        <v>0.15650700000000001</v>
      </c>
      <c r="DQ55">
        <v>0.13233700000000001</v>
      </c>
      <c r="DR55">
        <v>25.064499999999999</v>
      </c>
      <c r="DS55">
        <v>24.4999</v>
      </c>
      <c r="DT55">
        <v>56.6</v>
      </c>
      <c r="DU55">
        <v>29.3</v>
      </c>
      <c r="DV55">
        <v>23.345199999999998</v>
      </c>
      <c r="DW55">
        <v>61.482999999999997</v>
      </c>
      <c r="DX55">
        <v>35.472799999999999</v>
      </c>
      <c r="DY55">
        <v>1</v>
      </c>
      <c r="DZ55">
        <v>-4.88694E-2</v>
      </c>
      <c r="EA55">
        <v>3.3388100000000001</v>
      </c>
      <c r="EB55">
        <v>20.1511</v>
      </c>
      <c r="EC55">
        <v>5.2404999999999999</v>
      </c>
      <c r="ED55">
        <v>12.039899999999999</v>
      </c>
      <c r="EE55">
        <v>5.0164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1.8689100000000001</v>
      </c>
      <c r="EL55">
        <v>1.8646400000000001</v>
      </c>
      <c r="EM55">
        <v>1.8692</v>
      </c>
      <c r="EN55">
        <v>1.8672500000000001</v>
      </c>
      <c r="EO55">
        <v>1.8633999999999999</v>
      </c>
      <c r="EP55">
        <v>1.8644700000000001</v>
      </c>
      <c r="EQ55">
        <v>1.87015</v>
      </c>
      <c r="ER55">
        <v>1.8694299999999999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-0.02</v>
      </c>
      <c r="FG55">
        <v>0.18410000000000001</v>
      </c>
      <c r="FH55">
        <v>0.49996858830924029</v>
      </c>
      <c r="FI55">
        <v>-6.1462078757559423E-4</v>
      </c>
      <c r="FJ55">
        <v>-1.8861989874597051E-7</v>
      </c>
      <c r="FK55">
        <v>1.1980462299894961E-10</v>
      </c>
      <c r="FL55">
        <v>0.18404795463265899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15.4</v>
      </c>
      <c r="FU55">
        <v>15.5</v>
      </c>
      <c r="FV55">
        <v>1.78833</v>
      </c>
      <c r="FW55">
        <v>2.5891099999999998</v>
      </c>
      <c r="FX55">
        <v>1.5490699999999999</v>
      </c>
      <c r="FY55">
        <v>2.3290999999999999</v>
      </c>
      <c r="FZ55">
        <v>1.50146</v>
      </c>
      <c r="GA55">
        <v>2.3779300000000001</v>
      </c>
      <c r="GB55">
        <v>34.077100000000002</v>
      </c>
      <c r="GC55">
        <v>23.9649</v>
      </c>
      <c r="GD55">
        <v>19</v>
      </c>
      <c r="GE55">
        <v>262.70999999999998</v>
      </c>
      <c r="GF55">
        <v>597.13699999999994</v>
      </c>
      <c r="GG55">
        <v>19.138300000000001</v>
      </c>
      <c r="GH55">
        <v>26.705100000000002</v>
      </c>
      <c r="GI55">
        <v>29.9998</v>
      </c>
      <c r="GJ55">
        <v>26.781300000000002</v>
      </c>
      <c r="GK55">
        <v>26.742999999999999</v>
      </c>
      <c r="GL55">
        <v>35.760199999999998</v>
      </c>
      <c r="GM55">
        <v>34.375399999999999</v>
      </c>
      <c r="GN55">
        <v>98.495199999999997</v>
      </c>
      <c r="GO55">
        <v>19.104099999999999</v>
      </c>
      <c r="GP55">
        <v>800</v>
      </c>
      <c r="GQ55">
        <v>17.331600000000002</v>
      </c>
      <c r="GR55">
        <v>99.706400000000002</v>
      </c>
      <c r="GS55">
        <v>99.568100000000001</v>
      </c>
    </row>
    <row r="56" spans="1:201" x14ac:dyDescent="0.25">
      <c r="A56">
        <v>40</v>
      </c>
      <c r="B56">
        <v>1690307190</v>
      </c>
      <c r="C56">
        <v>571.40000009536743</v>
      </c>
      <c r="D56" t="s">
        <v>413</v>
      </c>
      <c r="E56" t="s">
        <v>414</v>
      </c>
      <c r="F56" t="s">
        <v>330</v>
      </c>
      <c r="H56">
        <v>1690307190</v>
      </c>
      <c r="I56">
        <f t="shared" si="0"/>
        <v>3.9075366166789059E-4</v>
      </c>
      <c r="J56">
        <f t="shared" si="1"/>
        <v>0.39075366166789061</v>
      </c>
      <c r="K56">
        <f t="shared" si="2"/>
        <v>4.2245466319031646</v>
      </c>
      <c r="L56">
        <f t="shared" si="3"/>
        <v>752.92</v>
      </c>
      <c r="M56">
        <f t="shared" si="4"/>
        <v>487.67489262494161</v>
      </c>
      <c r="N56">
        <f t="shared" si="5"/>
        <v>48.438916938098401</v>
      </c>
      <c r="O56">
        <f t="shared" si="6"/>
        <v>74.784718041823993</v>
      </c>
      <c r="P56">
        <f t="shared" si="7"/>
        <v>2.7103571299377245E-2</v>
      </c>
      <c r="Q56">
        <f t="shared" si="8"/>
        <v>2.1928850936418103</v>
      </c>
      <c r="R56">
        <f t="shared" si="9"/>
        <v>2.6918832959400313E-2</v>
      </c>
      <c r="S56">
        <f t="shared" si="10"/>
        <v>1.684076352841726E-2</v>
      </c>
      <c r="T56">
        <f t="shared" si="11"/>
        <v>276.11414146800001</v>
      </c>
      <c r="U56">
        <f t="shared" si="12"/>
        <v>26.698066532309568</v>
      </c>
      <c r="V56">
        <f t="shared" si="13"/>
        <v>26.698066532309568</v>
      </c>
      <c r="W56">
        <f t="shared" si="14"/>
        <v>3.5161785013000384</v>
      </c>
      <c r="X56">
        <f t="shared" si="15"/>
        <v>67.723744762177972</v>
      </c>
      <c r="Y56">
        <f t="shared" si="16"/>
        <v>2.1152318951217599</v>
      </c>
      <c r="Z56">
        <f t="shared" si="17"/>
        <v>3.123323883742271</v>
      </c>
      <c r="AA56">
        <f t="shared" si="18"/>
        <v>1.4009466061782785</v>
      </c>
      <c r="AB56">
        <f t="shared" si="19"/>
        <v>-17.232236479553976</v>
      </c>
      <c r="AC56">
        <f t="shared" si="20"/>
        <v>-236.16977320336653</v>
      </c>
      <c r="AD56">
        <f t="shared" si="21"/>
        <v>-22.941764882711706</v>
      </c>
      <c r="AE56">
        <f t="shared" si="22"/>
        <v>-0.22963309763221673</v>
      </c>
      <c r="AF56">
        <v>17</v>
      </c>
      <c r="AG56">
        <v>6</v>
      </c>
      <c r="AH56">
        <f t="shared" si="23"/>
        <v>1</v>
      </c>
      <c r="AI56">
        <f t="shared" si="24"/>
        <v>0</v>
      </c>
      <c r="AJ56">
        <f t="shared" si="25"/>
        <v>52743.379152981113</v>
      </c>
      <c r="AK56">
        <f t="shared" si="26"/>
        <v>1800</v>
      </c>
      <c r="AL56">
        <f t="shared" si="27"/>
        <v>1499.1142877999996</v>
      </c>
      <c r="AM56">
        <f t="shared" si="28"/>
        <v>0.83284127099999983</v>
      </c>
      <c r="AN56">
        <f t="shared" si="29"/>
        <v>0.15339674526000002</v>
      </c>
      <c r="AO56">
        <v>31.2</v>
      </c>
      <c r="AP56">
        <v>0.5</v>
      </c>
      <c r="AQ56" t="s">
        <v>331</v>
      </c>
      <c r="AR56">
        <v>2</v>
      </c>
      <c r="AS56">
        <v>1690307190</v>
      </c>
      <c r="AT56">
        <v>752.92</v>
      </c>
      <c r="AU56">
        <v>799.88199999999995</v>
      </c>
      <c r="AV56">
        <v>21.2958</v>
      </c>
      <c r="AW56">
        <v>17.321300000000001</v>
      </c>
      <c r="AX56">
        <v>752.93899999999996</v>
      </c>
      <c r="AY56">
        <v>21.111699999999999</v>
      </c>
      <c r="AZ56">
        <v>300.21100000000001</v>
      </c>
      <c r="BA56">
        <v>99.226299999999995</v>
      </c>
      <c r="BB56">
        <v>9.99472E-2</v>
      </c>
      <c r="BC56">
        <v>24.700399999999998</v>
      </c>
      <c r="BD56">
        <v>27.609100000000002</v>
      </c>
      <c r="BE56">
        <v>26.608599999999999</v>
      </c>
      <c r="BF56">
        <v>0</v>
      </c>
      <c r="BG56">
        <v>0</v>
      </c>
      <c r="BH56">
        <v>9974.3799999999992</v>
      </c>
      <c r="BI56">
        <v>1052.4000000000001</v>
      </c>
      <c r="BJ56">
        <v>1.62592</v>
      </c>
      <c r="BK56">
        <v>-46.962299999999999</v>
      </c>
      <c r="BL56">
        <v>769.303</v>
      </c>
      <c r="BM56">
        <v>813.98199999999997</v>
      </c>
      <c r="BN56">
        <v>3.97451</v>
      </c>
      <c r="BO56">
        <v>799.88199999999995</v>
      </c>
      <c r="BP56">
        <v>17.321300000000001</v>
      </c>
      <c r="BQ56">
        <v>2.1131000000000002</v>
      </c>
      <c r="BR56">
        <v>1.7187300000000001</v>
      </c>
      <c r="BS56">
        <v>18.318300000000001</v>
      </c>
      <c r="BT56">
        <v>15.066599999999999</v>
      </c>
      <c r="BU56">
        <v>1800</v>
      </c>
      <c r="BV56">
        <v>0.91002099999999997</v>
      </c>
      <c r="BW56">
        <v>3.3999000000000001E-2</v>
      </c>
      <c r="BX56">
        <v>2.1991299999999998E-2</v>
      </c>
      <c r="BY56">
        <v>3.3989199999999997E-2</v>
      </c>
      <c r="BZ56">
        <v>25.583300000000001</v>
      </c>
      <c r="CA56">
        <v>33528.5</v>
      </c>
      <c r="CB56">
        <v>1690306253.5999999</v>
      </c>
      <c r="CC56" t="s">
        <v>332</v>
      </c>
      <c r="CD56">
        <v>1690306253.5999999</v>
      </c>
      <c r="CE56">
        <v>1690306251.5999999</v>
      </c>
      <c r="CF56">
        <v>9</v>
      </c>
      <c r="CG56">
        <v>0.19</v>
      </c>
      <c r="CH56">
        <v>-8.7999999999999995E-2</v>
      </c>
      <c r="CI56">
        <v>-5.0999999999999997E-2</v>
      </c>
      <c r="CJ56">
        <v>5.0999999999999997E-2</v>
      </c>
      <c r="CK56">
        <v>799</v>
      </c>
      <c r="CL56">
        <v>15</v>
      </c>
      <c r="CM56">
        <v>0.28000000000000003</v>
      </c>
      <c r="CN56">
        <v>0.03</v>
      </c>
      <c r="CO56">
        <v>-45.105287500000003</v>
      </c>
      <c r="CP56">
        <v>-11.24010619136943</v>
      </c>
      <c r="CQ56">
        <v>1.082424961876689</v>
      </c>
      <c r="CR56">
        <v>-1</v>
      </c>
      <c r="CS56">
        <v>4.0154112499999997</v>
      </c>
      <c r="CT56">
        <v>-0.15772649155723209</v>
      </c>
      <c r="CU56">
        <v>2.303017848253678E-2</v>
      </c>
      <c r="CV56">
        <v>-1</v>
      </c>
      <c r="CW56">
        <v>0</v>
      </c>
      <c r="CX56">
        <v>0</v>
      </c>
      <c r="CY56" t="s">
        <v>333</v>
      </c>
      <c r="CZ56">
        <v>2.36415</v>
      </c>
      <c r="DA56">
        <v>2.7137199999999999</v>
      </c>
      <c r="DB56">
        <v>0.14092299999999999</v>
      </c>
      <c r="DC56">
        <v>0.14638300000000001</v>
      </c>
      <c r="DD56">
        <v>0.10467799999999999</v>
      </c>
      <c r="DE56">
        <v>8.9091600000000007E-2</v>
      </c>
      <c r="DF56">
        <v>31357</v>
      </c>
      <c r="DG56">
        <v>27505.7</v>
      </c>
      <c r="DH56">
        <v>31162.3</v>
      </c>
      <c r="DI56">
        <v>28078.6</v>
      </c>
      <c r="DJ56">
        <v>37884.1</v>
      </c>
      <c r="DK56">
        <v>36376</v>
      </c>
      <c r="DL56">
        <v>44348.1</v>
      </c>
      <c r="DM56">
        <v>42566.5</v>
      </c>
      <c r="DN56">
        <v>1.4229499999999999</v>
      </c>
      <c r="DO56">
        <v>2.0477300000000001</v>
      </c>
      <c r="DP56">
        <v>0.15770600000000001</v>
      </c>
      <c r="DQ56">
        <v>0.130907</v>
      </c>
      <c r="DR56">
        <v>25.027100000000001</v>
      </c>
      <c r="DS56">
        <v>24.462599999999998</v>
      </c>
      <c r="DT56">
        <v>56.6</v>
      </c>
      <c r="DU56">
        <v>29.3</v>
      </c>
      <c r="DV56">
        <v>23.341999999999999</v>
      </c>
      <c r="DW56">
        <v>61.563000000000002</v>
      </c>
      <c r="DX56">
        <v>35.040100000000002</v>
      </c>
      <c r="DY56">
        <v>1</v>
      </c>
      <c r="DZ56">
        <v>-4.9377499999999998E-2</v>
      </c>
      <c r="EA56">
        <v>3.3930899999999999</v>
      </c>
      <c r="EB56">
        <v>20.149899999999999</v>
      </c>
      <c r="EC56">
        <v>5.2398999999999996</v>
      </c>
      <c r="ED56">
        <v>12.039899999999999</v>
      </c>
      <c r="EE56">
        <v>5.0166000000000004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1.8689199999999999</v>
      </c>
      <c r="EL56">
        <v>1.8646199999999999</v>
      </c>
      <c r="EM56">
        <v>1.8692</v>
      </c>
      <c r="EN56">
        <v>1.8672299999999999</v>
      </c>
      <c r="EO56">
        <v>1.8633999999999999</v>
      </c>
      <c r="EP56">
        <v>1.8644700000000001</v>
      </c>
      <c r="EQ56">
        <v>1.8702000000000001</v>
      </c>
      <c r="ER56">
        <v>1.8694599999999999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-1.9E-2</v>
      </c>
      <c r="FG56">
        <v>0.18410000000000001</v>
      </c>
      <c r="FH56">
        <v>0.49996858830924029</v>
      </c>
      <c r="FI56">
        <v>-6.1462078757559423E-4</v>
      </c>
      <c r="FJ56">
        <v>-1.8861989874597051E-7</v>
      </c>
      <c r="FK56">
        <v>1.1980462299894961E-10</v>
      </c>
      <c r="FL56">
        <v>0.18404795463265899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15.6</v>
      </c>
      <c r="FU56">
        <v>15.6</v>
      </c>
      <c r="FV56">
        <v>1.78833</v>
      </c>
      <c r="FW56">
        <v>2.5891099999999998</v>
      </c>
      <c r="FX56">
        <v>1.5490699999999999</v>
      </c>
      <c r="FY56">
        <v>2.3290999999999999</v>
      </c>
      <c r="FZ56">
        <v>1.50146</v>
      </c>
      <c r="GA56">
        <v>2.4072300000000002</v>
      </c>
      <c r="GB56">
        <v>34.077100000000002</v>
      </c>
      <c r="GC56">
        <v>23.973700000000001</v>
      </c>
      <c r="GD56">
        <v>19</v>
      </c>
      <c r="GE56">
        <v>262.52600000000001</v>
      </c>
      <c r="GF56">
        <v>597.221</v>
      </c>
      <c r="GG56">
        <v>19.029800000000002</v>
      </c>
      <c r="GH56">
        <v>26.696999999999999</v>
      </c>
      <c r="GI56">
        <v>29.9999</v>
      </c>
      <c r="GJ56">
        <v>26.778199999999998</v>
      </c>
      <c r="GK56">
        <v>26.741099999999999</v>
      </c>
      <c r="GL56">
        <v>35.763800000000003</v>
      </c>
      <c r="GM56">
        <v>34.933100000000003</v>
      </c>
      <c r="GN56">
        <v>98.105699999999999</v>
      </c>
      <c r="GO56">
        <v>18.995200000000001</v>
      </c>
      <c r="GP56">
        <v>800</v>
      </c>
      <c r="GQ56">
        <v>17.209</v>
      </c>
      <c r="GR56">
        <v>99.707700000000003</v>
      </c>
      <c r="GS56">
        <v>99.569400000000002</v>
      </c>
    </row>
    <row r="57" spans="1:201" x14ac:dyDescent="0.25">
      <c r="A57">
        <v>41</v>
      </c>
      <c r="B57">
        <v>1690307200</v>
      </c>
      <c r="C57">
        <v>581.40000009536743</v>
      </c>
      <c r="D57" t="s">
        <v>415</v>
      </c>
      <c r="E57" t="s">
        <v>416</v>
      </c>
      <c r="F57" t="s">
        <v>330</v>
      </c>
      <c r="H57">
        <v>1690307200</v>
      </c>
      <c r="I57">
        <f t="shared" si="0"/>
        <v>3.8400948236712047E-4</v>
      </c>
      <c r="J57">
        <f t="shared" si="1"/>
        <v>0.38400948236712046</v>
      </c>
      <c r="K57">
        <f t="shared" si="2"/>
        <v>4.4152150214979748</v>
      </c>
      <c r="L57">
        <f t="shared" si="3"/>
        <v>751.11500000000001</v>
      </c>
      <c r="M57">
        <f t="shared" si="4"/>
        <v>469.55381834016549</v>
      </c>
      <c r="N57">
        <f t="shared" si="5"/>
        <v>46.637205686866558</v>
      </c>
      <c r="O57">
        <f t="shared" si="6"/>
        <v>74.602534110612993</v>
      </c>
      <c r="P57">
        <f t="shared" si="7"/>
        <v>2.6573915936243954E-2</v>
      </c>
      <c r="Q57">
        <f t="shared" si="8"/>
        <v>2.1941444716083076</v>
      </c>
      <c r="R57">
        <f t="shared" si="9"/>
        <v>2.6396403003325387E-2</v>
      </c>
      <c r="S57">
        <f t="shared" si="10"/>
        <v>1.6513601749447049E-2</v>
      </c>
      <c r="T57">
        <f t="shared" si="11"/>
        <v>276.11274671177404</v>
      </c>
      <c r="U57">
        <f t="shared" si="12"/>
        <v>26.64769484818887</v>
      </c>
      <c r="V57">
        <f t="shared" si="13"/>
        <v>26.64769484818887</v>
      </c>
      <c r="W57">
        <f t="shared" si="14"/>
        <v>3.5057660538403432</v>
      </c>
      <c r="X57">
        <f t="shared" si="15"/>
        <v>67.496544499526976</v>
      </c>
      <c r="Y57">
        <f t="shared" si="16"/>
        <v>2.1016318952761397</v>
      </c>
      <c r="Z57">
        <f t="shared" si="17"/>
        <v>3.1136881315322271</v>
      </c>
      <c r="AA57">
        <f t="shared" si="18"/>
        <v>1.4041341585642035</v>
      </c>
      <c r="AB57">
        <f t="shared" si="19"/>
        <v>-16.934818172390013</v>
      </c>
      <c r="AC57">
        <f t="shared" si="20"/>
        <v>-236.46253337850945</v>
      </c>
      <c r="AD57">
        <f t="shared" si="21"/>
        <v>-22.945254745710081</v>
      </c>
      <c r="AE57">
        <f t="shared" si="22"/>
        <v>-0.22985958483550917</v>
      </c>
      <c r="AF57">
        <v>17</v>
      </c>
      <c r="AG57">
        <v>6</v>
      </c>
      <c r="AH57">
        <f t="shared" si="23"/>
        <v>1</v>
      </c>
      <c r="AI57">
        <f t="shared" si="24"/>
        <v>0</v>
      </c>
      <c r="AJ57">
        <f t="shared" si="25"/>
        <v>52804.36262951012</v>
      </c>
      <c r="AK57">
        <f t="shared" si="26"/>
        <v>1799.99</v>
      </c>
      <c r="AL57">
        <f t="shared" si="27"/>
        <v>1499.1055435896001</v>
      </c>
      <c r="AM57">
        <f t="shared" si="28"/>
        <v>0.83284104000000003</v>
      </c>
      <c r="AN57">
        <f t="shared" si="29"/>
        <v>0.15339682260000001</v>
      </c>
      <c r="AO57">
        <v>31.2</v>
      </c>
      <c r="AP57">
        <v>0.5</v>
      </c>
      <c r="AQ57" t="s">
        <v>331</v>
      </c>
      <c r="AR57">
        <v>2</v>
      </c>
      <c r="AS57">
        <v>1690307200</v>
      </c>
      <c r="AT57">
        <v>751.11500000000001</v>
      </c>
      <c r="AU57">
        <v>799.98800000000006</v>
      </c>
      <c r="AV57">
        <v>21.159700000000001</v>
      </c>
      <c r="AW57">
        <v>17.254100000000001</v>
      </c>
      <c r="AX57">
        <v>751.13300000000004</v>
      </c>
      <c r="AY57">
        <v>20.9756</v>
      </c>
      <c r="AZ57">
        <v>300.27600000000001</v>
      </c>
      <c r="BA57">
        <v>99.222399999999993</v>
      </c>
      <c r="BB57">
        <v>9.9986199999999997E-2</v>
      </c>
      <c r="BC57">
        <v>24.648700000000002</v>
      </c>
      <c r="BD57">
        <v>27.526499999999999</v>
      </c>
      <c r="BE57">
        <v>26.541499999999999</v>
      </c>
      <c r="BF57">
        <v>0</v>
      </c>
      <c r="BG57">
        <v>0</v>
      </c>
      <c r="BH57">
        <v>9985</v>
      </c>
      <c r="BI57">
        <v>1051.77</v>
      </c>
      <c r="BJ57">
        <v>1.62592</v>
      </c>
      <c r="BK57">
        <v>-48.8733</v>
      </c>
      <c r="BL57">
        <v>767.35199999999998</v>
      </c>
      <c r="BM57">
        <v>814.03399999999999</v>
      </c>
      <c r="BN57">
        <v>3.9055599999999999</v>
      </c>
      <c r="BO57">
        <v>799.98800000000006</v>
      </c>
      <c r="BP57">
        <v>17.254100000000001</v>
      </c>
      <c r="BQ57">
        <v>2.09951</v>
      </c>
      <c r="BR57">
        <v>1.7119899999999999</v>
      </c>
      <c r="BS57">
        <v>18.215499999999999</v>
      </c>
      <c r="BT57">
        <v>15.005599999999999</v>
      </c>
      <c r="BU57">
        <v>1799.99</v>
      </c>
      <c r="BV57">
        <v>0.91002000000000005</v>
      </c>
      <c r="BW57">
        <v>3.3997800000000002E-2</v>
      </c>
      <c r="BX57">
        <v>2.1994E-2</v>
      </c>
      <c r="BY57">
        <v>3.3987999999999997E-2</v>
      </c>
      <c r="BZ57">
        <v>25.208300000000001</v>
      </c>
      <c r="CA57">
        <v>33528.400000000001</v>
      </c>
      <c r="CB57">
        <v>1690306253.5999999</v>
      </c>
      <c r="CC57" t="s">
        <v>332</v>
      </c>
      <c r="CD57">
        <v>1690306253.5999999</v>
      </c>
      <c r="CE57">
        <v>1690306251.5999999</v>
      </c>
      <c r="CF57">
        <v>9</v>
      </c>
      <c r="CG57">
        <v>0.19</v>
      </c>
      <c r="CH57">
        <v>-8.7999999999999995E-2</v>
      </c>
      <c r="CI57">
        <v>-5.0999999999999997E-2</v>
      </c>
      <c r="CJ57">
        <v>5.0999999999999997E-2</v>
      </c>
      <c r="CK57">
        <v>799</v>
      </c>
      <c r="CL57">
        <v>15</v>
      </c>
      <c r="CM57">
        <v>0.28000000000000003</v>
      </c>
      <c r="CN57">
        <v>0.03</v>
      </c>
      <c r="CO57">
        <v>-46.815658536585367</v>
      </c>
      <c r="CP57">
        <v>-11.18591707317071</v>
      </c>
      <c r="CQ57">
        <v>1.103933256858338</v>
      </c>
      <c r="CR57">
        <v>-1</v>
      </c>
      <c r="CS57">
        <v>3.9778180487804868</v>
      </c>
      <c r="CT57">
        <v>-0.26234216027874058</v>
      </c>
      <c r="CU57">
        <v>2.7449325303318079E-2</v>
      </c>
      <c r="CV57">
        <v>-1</v>
      </c>
      <c r="CW57">
        <v>0</v>
      </c>
      <c r="CX57">
        <v>0</v>
      </c>
      <c r="CY57" t="s">
        <v>333</v>
      </c>
      <c r="CZ57">
        <v>2.36435</v>
      </c>
      <c r="DA57">
        <v>2.7137699999999998</v>
      </c>
      <c r="DB57">
        <v>0.14068700000000001</v>
      </c>
      <c r="DC57">
        <v>0.14638899999999999</v>
      </c>
      <c r="DD57">
        <v>0.104195</v>
      </c>
      <c r="DE57">
        <v>8.8838500000000001E-2</v>
      </c>
      <c r="DF57">
        <v>31365.5</v>
      </c>
      <c r="DG57">
        <v>27506.6</v>
      </c>
      <c r="DH57">
        <v>31162.2</v>
      </c>
      <c r="DI57">
        <v>28079.7</v>
      </c>
      <c r="DJ57">
        <v>37904.5</v>
      </c>
      <c r="DK57">
        <v>36387.5</v>
      </c>
      <c r="DL57">
        <v>44347.9</v>
      </c>
      <c r="DM57">
        <v>42568.1</v>
      </c>
      <c r="DN57">
        <v>1.4234199999999999</v>
      </c>
      <c r="DO57">
        <v>2.0477799999999999</v>
      </c>
      <c r="DP57">
        <v>0.15489800000000001</v>
      </c>
      <c r="DQ57">
        <v>0.12917100000000001</v>
      </c>
      <c r="DR57">
        <v>24.990200000000002</v>
      </c>
      <c r="DS57">
        <v>24.4238</v>
      </c>
      <c r="DT57">
        <v>56.6</v>
      </c>
      <c r="DU57">
        <v>29.3</v>
      </c>
      <c r="DV57">
        <v>23.342600000000001</v>
      </c>
      <c r="DW57">
        <v>61.343000000000004</v>
      </c>
      <c r="DX57">
        <v>35.1402</v>
      </c>
      <c r="DY57">
        <v>1</v>
      </c>
      <c r="DZ57">
        <v>-4.9733199999999998E-2</v>
      </c>
      <c r="EA57">
        <v>3.4378099999999998</v>
      </c>
      <c r="EB57">
        <v>20.148900000000001</v>
      </c>
      <c r="EC57">
        <v>5.2403500000000003</v>
      </c>
      <c r="ED57">
        <v>12.039899999999999</v>
      </c>
      <c r="EE57">
        <v>5.0166500000000003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1.8689100000000001</v>
      </c>
      <c r="EL57">
        <v>1.8646199999999999</v>
      </c>
      <c r="EM57">
        <v>1.8692</v>
      </c>
      <c r="EN57">
        <v>1.86724</v>
      </c>
      <c r="EO57">
        <v>1.8633999999999999</v>
      </c>
      <c r="EP57">
        <v>1.8644700000000001</v>
      </c>
      <c r="EQ57">
        <v>1.8701700000000001</v>
      </c>
      <c r="ER57">
        <v>1.8694299999999999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-1.7999999999999999E-2</v>
      </c>
      <c r="FG57">
        <v>0.18410000000000001</v>
      </c>
      <c r="FH57">
        <v>0.49996858830924029</v>
      </c>
      <c r="FI57">
        <v>-6.1462078757559423E-4</v>
      </c>
      <c r="FJ57">
        <v>-1.8861989874597051E-7</v>
      </c>
      <c r="FK57">
        <v>1.1980462299894961E-10</v>
      </c>
      <c r="FL57">
        <v>0.18404795463265899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15.8</v>
      </c>
      <c r="FU57">
        <v>15.8</v>
      </c>
      <c r="FV57">
        <v>1.78833</v>
      </c>
      <c r="FW57">
        <v>2.5866699999999998</v>
      </c>
      <c r="FX57">
        <v>1.5490699999999999</v>
      </c>
      <c r="FY57">
        <v>2.3303199999999999</v>
      </c>
      <c r="FZ57">
        <v>1.50146</v>
      </c>
      <c r="GA57">
        <v>2.4133300000000002</v>
      </c>
      <c r="GB57">
        <v>34.054499999999997</v>
      </c>
      <c r="GC57">
        <v>23.973700000000001</v>
      </c>
      <c r="GD57">
        <v>19</v>
      </c>
      <c r="GE57">
        <v>262.70400000000001</v>
      </c>
      <c r="GF57">
        <v>597.25800000000004</v>
      </c>
      <c r="GG57">
        <v>18.921299999999999</v>
      </c>
      <c r="GH57">
        <v>26.689299999999999</v>
      </c>
      <c r="GI57">
        <v>30</v>
      </c>
      <c r="GJ57">
        <v>26.7746</v>
      </c>
      <c r="GK57">
        <v>26.7408</v>
      </c>
      <c r="GL57">
        <v>35.760199999999998</v>
      </c>
      <c r="GM57">
        <v>34.933100000000003</v>
      </c>
      <c r="GN57">
        <v>98.105699999999999</v>
      </c>
      <c r="GO57">
        <v>18.888400000000001</v>
      </c>
      <c r="GP57">
        <v>800</v>
      </c>
      <c r="GQ57">
        <v>17.176100000000002</v>
      </c>
      <c r="GR57">
        <v>99.707300000000004</v>
      </c>
      <c r="GS57">
        <v>99.5732</v>
      </c>
    </row>
    <row r="58" spans="1:201" x14ac:dyDescent="0.25">
      <c r="A58">
        <v>42</v>
      </c>
      <c r="B58">
        <v>1690307210</v>
      </c>
      <c r="C58">
        <v>591.40000009536743</v>
      </c>
      <c r="D58" t="s">
        <v>417</v>
      </c>
      <c r="E58" t="s">
        <v>418</v>
      </c>
      <c r="F58" t="s">
        <v>330</v>
      </c>
      <c r="H58">
        <v>1690307210</v>
      </c>
      <c r="I58">
        <f t="shared" si="0"/>
        <v>3.806267477631188E-4</v>
      </c>
      <c r="J58">
        <f t="shared" si="1"/>
        <v>0.38062674776311878</v>
      </c>
      <c r="K58">
        <f t="shared" si="2"/>
        <v>4.5904383149386918</v>
      </c>
      <c r="L58">
        <f t="shared" si="3"/>
        <v>749.31700000000001</v>
      </c>
      <c r="M58">
        <f t="shared" si="4"/>
        <v>454.8279786876364</v>
      </c>
      <c r="N58">
        <f t="shared" si="5"/>
        <v>45.17526138269421</v>
      </c>
      <c r="O58">
        <f t="shared" si="6"/>
        <v>74.425041817280004</v>
      </c>
      <c r="P58">
        <f t="shared" si="7"/>
        <v>2.6334778358378136E-2</v>
      </c>
      <c r="Q58">
        <f t="shared" si="8"/>
        <v>2.1976160170755388</v>
      </c>
      <c r="R58">
        <f t="shared" si="9"/>
        <v>2.6160708046636349E-2</v>
      </c>
      <c r="S58">
        <f t="shared" si="10"/>
        <v>1.6365986028943114E-2</v>
      </c>
      <c r="T58">
        <f t="shared" si="11"/>
        <v>276.116260608</v>
      </c>
      <c r="U58">
        <f t="shared" si="12"/>
        <v>26.589688768598258</v>
      </c>
      <c r="V58">
        <f t="shared" si="13"/>
        <v>26.589688768598258</v>
      </c>
      <c r="W58">
        <f t="shared" si="14"/>
        <v>3.4938088423594578</v>
      </c>
      <c r="X58">
        <f t="shared" si="15"/>
        <v>67.327362140323871</v>
      </c>
      <c r="Y58">
        <f t="shared" si="16"/>
        <v>2.0893067715520002</v>
      </c>
      <c r="Z58">
        <f t="shared" si="17"/>
        <v>3.1032060445164351</v>
      </c>
      <c r="AA58">
        <f t="shared" si="18"/>
        <v>1.4045020708074576</v>
      </c>
      <c r="AB58">
        <f t="shared" si="19"/>
        <v>-16.785639576353539</v>
      </c>
      <c r="AC58">
        <f t="shared" si="20"/>
        <v>-236.64637627829154</v>
      </c>
      <c r="AD58">
        <f t="shared" si="21"/>
        <v>-22.913647536355182</v>
      </c>
      <c r="AE58">
        <f t="shared" si="22"/>
        <v>-0.2294027830002392</v>
      </c>
      <c r="AF58">
        <v>17</v>
      </c>
      <c r="AG58">
        <v>6</v>
      </c>
      <c r="AH58">
        <f t="shared" si="23"/>
        <v>1</v>
      </c>
      <c r="AI58">
        <f t="shared" si="24"/>
        <v>0</v>
      </c>
      <c r="AJ58">
        <f t="shared" si="25"/>
        <v>52957.668986326542</v>
      </c>
      <c r="AK58">
        <f t="shared" si="26"/>
        <v>1800</v>
      </c>
      <c r="AL58">
        <f t="shared" si="27"/>
        <v>1499.1161867999999</v>
      </c>
      <c r="AM58">
        <f t="shared" si="28"/>
        <v>0.83284232599999997</v>
      </c>
      <c r="AN58">
        <f t="shared" si="29"/>
        <v>0.15339792256000001</v>
      </c>
      <c r="AO58">
        <v>31.2</v>
      </c>
      <c r="AP58">
        <v>0.5</v>
      </c>
      <c r="AQ58" t="s">
        <v>331</v>
      </c>
      <c r="AR58">
        <v>2</v>
      </c>
      <c r="AS58">
        <v>1690307210</v>
      </c>
      <c r="AT58">
        <v>749.31700000000001</v>
      </c>
      <c r="AU58">
        <v>799.99300000000005</v>
      </c>
      <c r="AV58">
        <v>21.035299999999999</v>
      </c>
      <c r="AW58">
        <v>17.162400000000002</v>
      </c>
      <c r="AX58">
        <v>749.33299999999997</v>
      </c>
      <c r="AY58">
        <v>20.851299999999998</v>
      </c>
      <c r="AZ58">
        <v>300.18200000000002</v>
      </c>
      <c r="BA58">
        <v>99.223799999999997</v>
      </c>
      <c r="BB58">
        <v>0.10004</v>
      </c>
      <c r="BC58">
        <v>24.592300000000002</v>
      </c>
      <c r="BD58">
        <v>27.474699999999999</v>
      </c>
      <c r="BE58">
        <v>26.491700000000002</v>
      </c>
      <c r="BF58">
        <v>0</v>
      </c>
      <c r="BG58">
        <v>0</v>
      </c>
      <c r="BH58">
        <v>10013.1</v>
      </c>
      <c r="BI58">
        <v>1050.9000000000001</v>
      </c>
      <c r="BJ58">
        <v>1.62592</v>
      </c>
      <c r="BK58">
        <v>-50.676099999999998</v>
      </c>
      <c r="BL58">
        <v>765.41800000000001</v>
      </c>
      <c r="BM58">
        <v>813.96299999999997</v>
      </c>
      <c r="BN58">
        <v>3.87296</v>
      </c>
      <c r="BO58">
        <v>799.99300000000005</v>
      </c>
      <c r="BP58">
        <v>17.162400000000002</v>
      </c>
      <c r="BQ58">
        <v>2.0872099999999998</v>
      </c>
      <c r="BR58">
        <v>1.70292</v>
      </c>
      <c r="BS58">
        <v>18.1219</v>
      </c>
      <c r="BT58">
        <v>14.923</v>
      </c>
      <c r="BU58">
        <v>1800</v>
      </c>
      <c r="BV58">
        <v>0.91000999999999999</v>
      </c>
      <c r="BW58">
        <v>3.3996199999999997E-2</v>
      </c>
      <c r="BX58">
        <v>2.2007800000000001E-2</v>
      </c>
      <c r="BY58">
        <v>3.39864E-2</v>
      </c>
      <c r="BZ58">
        <v>25.375</v>
      </c>
      <c r="CA58">
        <v>33528.199999999997</v>
      </c>
      <c r="CB58">
        <v>1690306253.5999999</v>
      </c>
      <c r="CC58" t="s">
        <v>332</v>
      </c>
      <c r="CD58">
        <v>1690306253.5999999</v>
      </c>
      <c r="CE58">
        <v>1690306251.5999999</v>
      </c>
      <c r="CF58">
        <v>9</v>
      </c>
      <c r="CG58">
        <v>0.19</v>
      </c>
      <c r="CH58">
        <v>-8.7999999999999995E-2</v>
      </c>
      <c r="CI58">
        <v>-5.0999999999999997E-2</v>
      </c>
      <c r="CJ58">
        <v>5.0999999999999997E-2</v>
      </c>
      <c r="CK58">
        <v>799</v>
      </c>
      <c r="CL58">
        <v>15</v>
      </c>
      <c r="CM58">
        <v>0.28000000000000003</v>
      </c>
      <c r="CN58">
        <v>0.03</v>
      </c>
      <c r="CO58">
        <v>-48.765302499999997</v>
      </c>
      <c r="CP58">
        <v>-10.89862176360216</v>
      </c>
      <c r="CQ58">
        <v>1.0501800763410769</v>
      </c>
      <c r="CR58">
        <v>-1</v>
      </c>
      <c r="CS58">
        <v>3.91260925</v>
      </c>
      <c r="CT58">
        <v>-0.4153788742964406</v>
      </c>
      <c r="CU58">
        <v>4.1682048797264018E-2</v>
      </c>
      <c r="CV58">
        <v>-1</v>
      </c>
      <c r="CW58">
        <v>0</v>
      </c>
      <c r="CX58">
        <v>0</v>
      </c>
      <c r="CY58" t="s">
        <v>333</v>
      </c>
      <c r="CZ58">
        <v>2.3640599999999998</v>
      </c>
      <c r="DA58">
        <v>2.7138399999999998</v>
      </c>
      <c r="DB58">
        <v>0.14046</v>
      </c>
      <c r="DC58">
        <v>0.14638999999999999</v>
      </c>
      <c r="DD58">
        <v>0.103757</v>
      </c>
      <c r="DE58">
        <v>8.8499099999999997E-2</v>
      </c>
      <c r="DF58">
        <v>31374.6</v>
      </c>
      <c r="DG58">
        <v>27506.6</v>
      </c>
      <c r="DH58">
        <v>31163</v>
      </c>
      <c r="DI58">
        <v>28079.8</v>
      </c>
      <c r="DJ58">
        <v>37924.199999999997</v>
      </c>
      <c r="DK58">
        <v>36401.1</v>
      </c>
      <c r="DL58">
        <v>44349.1</v>
      </c>
      <c r="DM58">
        <v>42568.1</v>
      </c>
      <c r="DN58">
        <v>1.4233</v>
      </c>
      <c r="DO58">
        <v>2.0475699999999999</v>
      </c>
      <c r="DP58">
        <v>0.15406300000000001</v>
      </c>
      <c r="DQ58">
        <v>0.128634</v>
      </c>
      <c r="DR58">
        <v>24.951899999999998</v>
      </c>
      <c r="DS58">
        <v>24.3827</v>
      </c>
      <c r="DT58">
        <v>56.6</v>
      </c>
      <c r="DU58">
        <v>29.3</v>
      </c>
      <c r="DV58">
        <v>23.3414</v>
      </c>
      <c r="DW58">
        <v>61.363</v>
      </c>
      <c r="DX58">
        <v>35.869399999999999</v>
      </c>
      <c r="DY58">
        <v>1</v>
      </c>
      <c r="DZ58">
        <v>-4.9921199999999999E-2</v>
      </c>
      <c r="EA58">
        <v>3.4843899999999999</v>
      </c>
      <c r="EB58">
        <v>20.148099999999999</v>
      </c>
      <c r="EC58">
        <v>5.2400500000000001</v>
      </c>
      <c r="ED58">
        <v>12.039899999999999</v>
      </c>
      <c r="EE58">
        <v>5.0165499999999996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1.8689100000000001</v>
      </c>
      <c r="EL58">
        <v>1.8646199999999999</v>
      </c>
      <c r="EM58">
        <v>1.8692</v>
      </c>
      <c r="EN58">
        <v>1.8672800000000001</v>
      </c>
      <c r="EO58">
        <v>1.8633999999999999</v>
      </c>
      <c r="EP58">
        <v>1.8644700000000001</v>
      </c>
      <c r="EQ58">
        <v>1.8701700000000001</v>
      </c>
      <c r="ER58">
        <v>1.86944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-1.6E-2</v>
      </c>
      <c r="FG58">
        <v>0.184</v>
      </c>
      <c r="FH58">
        <v>0.49996858830924029</v>
      </c>
      <c r="FI58">
        <v>-6.1462078757559423E-4</v>
      </c>
      <c r="FJ58">
        <v>-1.8861989874597051E-7</v>
      </c>
      <c r="FK58">
        <v>1.1980462299894961E-10</v>
      </c>
      <c r="FL58">
        <v>0.18404795463265899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15.9</v>
      </c>
      <c r="FU58">
        <v>16</v>
      </c>
      <c r="FV58">
        <v>1.78833</v>
      </c>
      <c r="FW58">
        <v>2.5878899999999998</v>
      </c>
      <c r="FX58">
        <v>1.5490699999999999</v>
      </c>
      <c r="FY58">
        <v>2.3290999999999999</v>
      </c>
      <c r="FZ58">
        <v>1.50146</v>
      </c>
      <c r="GA58">
        <v>2.34985</v>
      </c>
      <c r="GB58">
        <v>34.054499999999997</v>
      </c>
      <c r="GC58">
        <v>23.973700000000001</v>
      </c>
      <c r="GD58">
        <v>19</v>
      </c>
      <c r="GE58">
        <v>262.64</v>
      </c>
      <c r="GF58">
        <v>597.06399999999996</v>
      </c>
      <c r="GG58">
        <v>18.813700000000001</v>
      </c>
      <c r="GH58">
        <v>26.6812</v>
      </c>
      <c r="GI58">
        <v>30</v>
      </c>
      <c r="GJ58">
        <v>26.7714</v>
      </c>
      <c r="GK58">
        <v>26.738600000000002</v>
      </c>
      <c r="GL58">
        <v>35.759500000000003</v>
      </c>
      <c r="GM58">
        <v>35.488</v>
      </c>
      <c r="GN58">
        <v>97.729200000000006</v>
      </c>
      <c r="GO58">
        <v>18.782399999999999</v>
      </c>
      <c r="GP58">
        <v>800</v>
      </c>
      <c r="GQ58">
        <v>17.063800000000001</v>
      </c>
      <c r="GR58">
        <v>99.709900000000005</v>
      </c>
      <c r="GS58">
        <v>99.573300000000003</v>
      </c>
    </row>
    <row r="59" spans="1:201" x14ac:dyDescent="0.25">
      <c r="A59">
        <v>43</v>
      </c>
      <c r="B59">
        <v>1690307220</v>
      </c>
      <c r="C59">
        <v>601.40000009536743</v>
      </c>
      <c r="D59" t="s">
        <v>419</v>
      </c>
      <c r="E59" t="s">
        <v>420</v>
      </c>
      <c r="F59" t="s">
        <v>330</v>
      </c>
      <c r="H59">
        <v>1690307220</v>
      </c>
      <c r="I59">
        <f t="shared" si="0"/>
        <v>3.7522211146787831E-4</v>
      </c>
      <c r="J59">
        <f t="shared" si="1"/>
        <v>0.37522211146787832</v>
      </c>
      <c r="K59">
        <f t="shared" si="2"/>
        <v>4.7622088311751058</v>
      </c>
      <c r="L59">
        <f t="shared" si="3"/>
        <v>747.476</v>
      </c>
      <c r="M59">
        <f t="shared" si="4"/>
        <v>438.09103067006436</v>
      </c>
      <c r="N59">
        <f t="shared" si="5"/>
        <v>43.513265889178342</v>
      </c>
      <c r="O59">
        <f t="shared" si="6"/>
        <v>74.24283917438801</v>
      </c>
      <c r="P59">
        <f t="shared" si="7"/>
        <v>2.5922880814432041E-2</v>
      </c>
      <c r="Q59">
        <f t="shared" si="8"/>
        <v>2.1974810692736595</v>
      </c>
      <c r="R59">
        <f t="shared" si="9"/>
        <v>2.5754184016146042E-2</v>
      </c>
      <c r="S59">
        <f t="shared" si="10"/>
        <v>1.6111430119692509E-2</v>
      </c>
      <c r="T59">
        <f t="shared" si="11"/>
        <v>276.11648877599998</v>
      </c>
      <c r="U59">
        <f t="shared" si="12"/>
        <v>26.543123987543083</v>
      </c>
      <c r="V59">
        <f t="shared" si="13"/>
        <v>26.543123987543083</v>
      </c>
      <c r="W59">
        <f t="shared" si="14"/>
        <v>3.4842358893240784</v>
      </c>
      <c r="X59">
        <f t="shared" si="15"/>
        <v>67.146777258695394</v>
      </c>
      <c r="Y59">
        <f t="shared" si="16"/>
        <v>2.0776544815914</v>
      </c>
      <c r="Z59">
        <f t="shared" si="17"/>
        <v>3.0941983612807675</v>
      </c>
      <c r="AA59">
        <f t="shared" si="18"/>
        <v>1.4065814077326784</v>
      </c>
      <c r="AB59">
        <f t="shared" si="19"/>
        <v>-16.547295115733434</v>
      </c>
      <c r="AC59">
        <f t="shared" si="20"/>
        <v>-236.87295827232629</v>
      </c>
      <c r="AD59">
        <f t="shared" si="21"/>
        <v>-22.926032044351235</v>
      </c>
      <c r="AE59">
        <f t="shared" si="22"/>
        <v>-0.229796656410997</v>
      </c>
      <c r="AF59">
        <v>17</v>
      </c>
      <c r="AG59">
        <v>6</v>
      </c>
      <c r="AH59">
        <f t="shared" si="23"/>
        <v>1</v>
      </c>
      <c r="AI59">
        <f t="shared" si="24"/>
        <v>0</v>
      </c>
      <c r="AJ59">
        <f t="shared" si="25"/>
        <v>52960.766393552723</v>
      </c>
      <c r="AK59">
        <f t="shared" si="26"/>
        <v>1800</v>
      </c>
      <c r="AL59">
        <f t="shared" si="27"/>
        <v>1499.1144245999999</v>
      </c>
      <c r="AM59">
        <f t="shared" si="28"/>
        <v>0.8328413469999999</v>
      </c>
      <c r="AN59">
        <f t="shared" si="29"/>
        <v>0.15339804931999998</v>
      </c>
      <c r="AO59">
        <v>31.2</v>
      </c>
      <c r="AP59">
        <v>0.5</v>
      </c>
      <c r="AQ59" t="s">
        <v>331</v>
      </c>
      <c r="AR59">
        <v>2</v>
      </c>
      <c r="AS59">
        <v>1690307220</v>
      </c>
      <c r="AT59">
        <v>747.476</v>
      </c>
      <c r="AU59">
        <v>799.90499999999997</v>
      </c>
      <c r="AV59">
        <v>20.9178</v>
      </c>
      <c r="AW59">
        <v>17.098199999999999</v>
      </c>
      <c r="AX59">
        <v>747.49099999999999</v>
      </c>
      <c r="AY59">
        <v>20.733699999999999</v>
      </c>
      <c r="AZ59">
        <v>300.08499999999998</v>
      </c>
      <c r="BA59">
        <v>99.224800000000002</v>
      </c>
      <c r="BB59">
        <v>9.9913000000000002E-2</v>
      </c>
      <c r="BC59">
        <v>24.543700000000001</v>
      </c>
      <c r="BD59">
        <v>27.4283</v>
      </c>
      <c r="BE59">
        <v>26.4468</v>
      </c>
      <c r="BF59">
        <v>0</v>
      </c>
      <c r="BG59">
        <v>0</v>
      </c>
      <c r="BH59">
        <v>10011.9</v>
      </c>
      <c r="BI59">
        <v>1050.04</v>
      </c>
      <c r="BJ59">
        <v>1.62592</v>
      </c>
      <c r="BK59">
        <v>-52.4285</v>
      </c>
      <c r="BL59">
        <v>763.44600000000003</v>
      </c>
      <c r="BM59">
        <v>813.82</v>
      </c>
      <c r="BN59">
        <v>3.8195700000000001</v>
      </c>
      <c r="BO59">
        <v>799.90499999999997</v>
      </c>
      <c r="BP59">
        <v>17.098199999999999</v>
      </c>
      <c r="BQ59">
        <v>2.0755599999999998</v>
      </c>
      <c r="BR59">
        <v>1.6965699999999999</v>
      </c>
      <c r="BS59">
        <v>18.032900000000001</v>
      </c>
      <c r="BT59">
        <v>14.8651</v>
      </c>
      <c r="BU59">
        <v>1800</v>
      </c>
      <c r="BV59">
        <v>0.90999799999999997</v>
      </c>
      <c r="BW59">
        <v>3.3994299999999998E-2</v>
      </c>
      <c r="BX59">
        <v>2.20091E-2</v>
      </c>
      <c r="BY59">
        <v>3.3998800000000003E-2</v>
      </c>
      <c r="BZ59">
        <v>25.666699999999999</v>
      </c>
      <c r="CA59">
        <v>33528.199999999997</v>
      </c>
      <c r="CB59">
        <v>1690306253.5999999</v>
      </c>
      <c r="CC59" t="s">
        <v>332</v>
      </c>
      <c r="CD59">
        <v>1690306253.5999999</v>
      </c>
      <c r="CE59">
        <v>1690306251.5999999</v>
      </c>
      <c r="CF59">
        <v>9</v>
      </c>
      <c r="CG59">
        <v>0.19</v>
      </c>
      <c r="CH59">
        <v>-8.7999999999999995E-2</v>
      </c>
      <c r="CI59">
        <v>-5.0999999999999997E-2</v>
      </c>
      <c r="CJ59">
        <v>5.0999999999999997E-2</v>
      </c>
      <c r="CK59">
        <v>799</v>
      </c>
      <c r="CL59">
        <v>15</v>
      </c>
      <c r="CM59">
        <v>0.28000000000000003</v>
      </c>
      <c r="CN59">
        <v>0.03</v>
      </c>
      <c r="CO59">
        <v>-50.557257500000013</v>
      </c>
      <c r="CP59">
        <v>-10.887132833020591</v>
      </c>
      <c r="CQ59">
        <v>1.0481068122780961</v>
      </c>
      <c r="CR59">
        <v>-1</v>
      </c>
      <c r="CS59">
        <v>3.86579125</v>
      </c>
      <c r="CT59">
        <v>-0.1388072420262737</v>
      </c>
      <c r="CU59">
        <v>1.7232650432754109E-2</v>
      </c>
      <c r="CV59">
        <v>-1</v>
      </c>
      <c r="CW59">
        <v>0</v>
      </c>
      <c r="CX59">
        <v>0</v>
      </c>
      <c r="CY59" t="s">
        <v>333</v>
      </c>
      <c r="CZ59">
        <v>2.36374</v>
      </c>
      <c r="DA59">
        <v>2.7137099999999998</v>
      </c>
      <c r="DB59">
        <v>0.14022699999999999</v>
      </c>
      <c r="DC59">
        <v>0.14638000000000001</v>
      </c>
      <c r="DD59">
        <v>0.103343</v>
      </c>
      <c r="DE59">
        <v>8.8261500000000007E-2</v>
      </c>
      <c r="DF59">
        <v>31383.7</v>
      </c>
      <c r="DG59">
        <v>27507.5</v>
      </c>
      <c r="DH59">
        <v>31163.599999999999</v>
      </c>
      <c r="DI59">
        <v>28080.3</v>
      </c>
      <c r="DJ59">
        <v>37942.699999999997</v>
      </c>
      <c r="DK59">
        <v>36411.4</v>
      </c>
      <c r="DL59">
        <v>44350.1</v>
      </c>
      <c r="DM59">
        <v>42569</v>
      </c>
      <c r="DN59">
        <v>1.42317</v>
      </c>
      <c r="DO59">
        <v>2.04772</v>
      </c>
      <c r="DP59">
        <v>0.15367600000000001</v>
      </c>
      <c r="DQ59">
        <v>0.128306</v>
      </c>
      <c r="DR59">
        <v>24.9117</v>
      </c>
      <c r="DS59">
        <v>24.343</v>
      </c>
      <c r="DT59">
        <v>56.6</v>
      </c>
      <c r="DU59">
        <v>29.3</v>
      </c>
      <c r="DV59">
        <v>23.343</v>
      </c>
      <c r="DW59">
        <v>61.203000000000003</v>
      </c>
      <c r="DX59">
        <v>36.298099999999998</v>
      </c>
      <c r="DY59">
        <v>1</v>
      </c>
      <c r="DZ59">
        <v>-5.0647900000000003E-2</v>
      </c>
      <c r="EA59">
        <v>3.5181</v>
      </c>
      <c r="EB59">
        <v>20.147500000000001</v>
      </c>
      <c r="EC59">
        <v>5.2403500000000003</v>
      </c>
      <c r="ED59">
        <v>12.039899999999999</v>
      </c>
      <c r="EE59">
        <v>5.0164499999999999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1.86463</v>
      </c>
      <c r="EM59">
        <v>1.8692</v>
      </c>
      <c r="EN59">
        <v>1.86724</v>
      </c>
      <c r="EO59">
        <v>1.8633999999999999</v>
      </c>
      <c r="EP59">
        <v>1.8644700000000001</v>
      </c>
      <c r="EQ59">
        <v>1.87016</v>
      </c>
      <c r="ER59">
        <v>1.86941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-1.4999999999999999E-2</v>
      </c>
      <c r="FG59">
        <v>0.18410000000000001</v>
      </c>
      <c r="FH59">
        <v>0.49996858830924029</v>
      </c>
      <c r="FI59">
        <v>-6.1462078757559423E-4</v>
      </c>
      <c r="FJ59">
        <v>-1.8861989874597051E-7</v>
      </c>
      <c r="FK59">
        <v>1.1980462299894961E-10</v>
      </c>
      <c r="FL59">
        <v>0.18404795463265899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16.100000000000001</v>
      </c>
      <c r="FU59">
        <v>16.100000000000001</v>
      </c>
      <c r="FV59">
        <v>1.78833</v>
      </c>
      <c r="FW59">
        <v>2.5964399999999999</v>
      </c>
      <c r="FX59">
        <v>1.5490699999999999</v>
      </c>
      <c r="FY59">
        <v>2.3290999999999999</v>
      </c>
      <c r="FZ59">
        <v>1.50146</v>
      </c>
      <c r="GA59">
        <v>2.2827099999999998</v>
      </c>
      <c r="GB59">
        <v>34.054499999999997</v>
      </c>
      <c r="GC59">
        <v>23.9649</v>
      </c>
      <c r="GD59">
        <v>19</v>
      </c>
      <c r="GE59">
        <v>262.57600000000002</v>
      </c>
      <c r="GF59">
        <v>597.16499999999996</v>
      </c>
      <c r="GG59">
        <v>18.71</v>
      </c>
      <c r="GH59">
        <v>26.673500000000001</v>
      </c>
      <c r="GI59">
        <v>29.999700000000001</v>
      </c>
      <c r="GJ59">
        <v>26.767800000000001</v>
      </c>
      <c r="GK59">
        <v>26.7363</v>
      </c>
      <c r="GL59">
        <v>35.760100000000001</v>
      </c>
      <c r="GM59">
        <v>35.488</v>
      </c>
      <c r="GN59">
        <v>97.729200000000006</v>
      </c>
      <c r="GO59">
        <v>18.681999999999999</v>
      </c>
      <c r="GP59">
        <v>800</v>
      </c>
      <c r="GQ59">
        <v>17.042100000000001</v>
      </c>
      <c r="GR59">
        <v>99.712000000000003</v>
      </c>
      <c r="GS59">
        <v>99.575400000000002</v>
      </c>
    </row>
    <row r="60" spans="1:201" x14ac:dyDescent="0.25">
      <c r="A60">
        <v>44</v>
      </c>
      <c r="B60">
        <v>1690307230</v>
      </c>
      <c r="C60">
        <v>611.40000009536743</v>
      </c>
      <c r="D60" t="s">
        <v>421</v>
      </c>
      <c r="E60" t="s">
        <v>422</v>
      </c>
      <c r="F60" t="s">
        <v>330</v>
      </c>
      <c r="H60">
        <v>1690307230</v>
      </c>
      <c r="I60">
        <f t="shared" si="0"/>
        <v>3.7387714058783179E-4</v>
      </c>
      <c r="J60">
        <f t="shared" si="1"/>
        <v>0.37387714058783178</v>
      </c>
      <c r="K60">
        <f t="shared" si="2"/>
        <v>4.9526502303768547</v>
      </c>
      <c r="L60">
        <f t="shared" si="3"/>
        <v>745.71</v>
      </c>
      <c r="M60">
        <f t="shared" si="4"/>
        <v>423.92576101072746</v>
      </c>
      <c r="N60">
        <f t="shared" si="5"/>
        <v>42.105993299403366</v>
      </c>
      <c r="O60">
        <f t="shared" si="6"/>
        <v>74.066884230948006</v>
      </c>
      <c r="P60">
        <f t="shared" si="7"/>
        <v>2.5857094095064426E-2</v>
      </c>
      <c r="Q60">
        <f t="shared" si="8"/>
        <v>2.1959330162107231</v>
      </c>
      <c r="R60">
        <f t="shared" si="9"/>
        <v>2.5689131956503995E-2</v>
      </c>
      <c r="S60">
        <f t="shared" si="10"/>
        <v>1.6070707140747299E-2</v>
      </c>
      <c r="T60">
        <f t="shared" si="11"/>
        <v>276.11491177574578</v>
      </c>
      <c r="U60">
        <f t="shared" si="12"/>
        <v>26.484062697236055</v>
      </c>
      <c r="V60">
        <f t="shared" si="13"/>
        <v>26.484062697236055</v>
      </c>
      <c r="W60">
        <f t="shared" si="14"/>
        <v>3.4721268112600203</v>
      </c>
      <c r="X60">
        <f t="shared" si="15"/>
        <v>67.04250407631352</v>
      </c>
      <c r="Y60">
        <f t="shared" si="16"/>
        <v>2.0668823368386002</v>
      </c>
      <c r="Z60">
        <f t="shared" si="17"/>
        <v>3.0829432243251205</v>
      </c>
      <c r="AA60">
        <f t="shared" si="18"/>
        <v>1.4052444744214201</v>
      </c>
      <c r="AB60">
        <f t="shared" si="19"/>
        <v>-16.487981899923383</v>
      </c>
      <c r="AC60">
        <f t="shared" si="20"/>
        <v>-236.92376865533961</v>
      </c>
      <c r="AD60">
        <f t="shared" si="21"/>
        <v>-22.933287649216275</v>
      </c>
      <c r="AE60">
        <f t="shared" si="22"/>
        <v>-0.23012642873348454</v>
      </c>
      <c r="AF60">
        <v>16</v>
      </c>
      <c r="AG60">
        <v>5</v>
      </c>
      <c r="AH60">
        <f t="shared" si="23"/>
        <v>1</v>
      </c>
      <c r="AI60">
        <f t="shared" si="24"/>
        <v>0</v>
      </c>
      <c r="AJ60">
        <f t="shared" si="25"/>
        <v>52907.655038117926</v>
      </c>
      <c r="AK60">
        <f t="shared" si="26"/>
        <v>1799.99</v>
      </c>
      <c r="AL60">
        <f t="shared" si="27"/>
        <v>1499.10364820013</v>
      </c>
      <c r="AM60">
        <f t="shared" si="28"/>
        <v>0.83283998700000006</v>
      </c>
      <c r="AN60">
        <f t="shared" si="29"/>
        <v>0.15339802542</v>
      </c>
      <c r="AO60">
        <v>31.2</v>
      </c>
      <c r="AP60">
        <v>0.5</v>
      </c>
      <c r="AQ60" t="s">
        <v>331</v>
      </c>
      <c r="AR60">
        <v>2</v>
      </c>
      <c r="AS60">
        <v>1690307230</v>
      </c>
      <c r="AT60">
        <v>745.71</v>
      </c>
      <c r="AU60">
        <v>800.09699999999998</v>
      </c>
      <c r="AV60">
        <v>20.8095</v>
      </c>
      <c r="AW60">
        <v>17.003499999999999</v>
      </c>
      <c r="AX60">
        <v>745.72400000000005</v>
      </c>
      <c r="AY60">
        <v>20.625499999999999</v>
      </c>
      <c r="AZ60">
        <v>300.11099999999999</v>
      </c>
      <c r="BA60">
        <v>99.224000000000004</v>
      </c>
      <c r="BB60">
        <v>9.9978800000000007E-2</v>
      </c>
      <c r="BC60">
        <v>24.482800000000001</v>
      </c>
      <c r="BD60">
        <v>27.333500000000001</v>
      </c>
      <c r="BE60">
        <v>26.3857</v>
      </c>
      <c r="BF60">
        <v>0</v>
      </c>
      <c r="BG60">
        <v>0</v>
      </c>
      <c r="BH60">
        <v>9999.3799999999992</v>
      </c>
      <c r="BI60">
        <v>1049.23</v>
      </c>
      <c r="BJ60">
        <v>1.62592</v>
      </c>
      <c r="BK60">
        <v>-54.3874</v>
      </c>
      <c r="BL60">
        <v>761.55799999999999</v>
      </c>
      <c r="BM60">
        <v>813.93700000000001</v>
      </c>
      <c r="BN60">
        <v>3.8060999999999998</v>
      </c>
      <c r="BO60">
        <v>800.09699999999998</v>
      </c>
      <c r="BP60">
        <v>17.003499999999999</v>
      </c>
      <c r="BQ60">
        <v>2.06481</v>
      </c>
      <c r="BR60">
        <v>1.6871499999999999</v>
      </c>
      <c r="BS60">
        <v>17.950299999999999</v>
      </c>
      <c r="BT60">
        <v>14.778700000000001</v>
      </c>
      <c r="BU60">
        <v>1799.99</v>
      </c>
      <c r="BV60">
        <v>0.90998500000000004</v>
      </c>
      <c r="BW60">
        <v>3.3992700000000001E-2</v>
      </c>
      <c r="BX60">
        <v>2.2008099999999999E-2</v>
      </c>
      <c r="BY60">
        <v>3.4014200000000001E-2</v>
      </c>
      <c r="BZ60">
        <v>25.666699999999999</v>
      </c>
      <c r="CA60">
        <v>33528.199999999997</v>
      </c>
      <c r="CB60">
        <v>1690306253.5999999</v>
      </c>
      <c r="CC60" t="s">
        <v>332</v>
      </c>
      <c r="CD60">
        <v>1690306253.5999999</v>
      </c>
      <c r="CE60">
        <v>1690306251.5999999</v>
      </c>
      <c r="CF60">
        <v>9</v>
      </c>
      <c r="CG60">
        <v>0.19</v>
      </c>
      <c r="CH60">
        <v>-8.7999999999999995E-2</v>
      </c>
      <c r="CI60">
        <v>-5.0999999999999997E-2</v>
      </c>
      <c r="CJ60">
        <v>5.0999999999999997E-2</v>
      </c>
      <c r="CK60">
        <v>799</v>
      </c>
      <c r="CL60">
        <v>15</v>
      </c>
      <c r="CM60">
        <v>0.28000000000000003</v>
      </c>
      <c r="CN60">
        <v>0.03</v>
      </c>
      <c r="CO60">
        <v>-52.371997499999999</v>
      </c>
      <c r="CP60">
        <v>-10.984109943714669</v>
      </c>
      <c r="CQ60">
        <v>1.0572740989184159</v>
      </c>
      <c r="CR60">
        <v>-1</v>
      </c>
      <c r="CS60">
        <v>3.8240755000000002</v>
      </c>
      <c r="CT60">
        <v>-0.35868225140713522</v>
      </c>
      <c r="CU60">
        <v>3.6219035944514012E-2</v>
      </c>
      <c r="CV60">
        <v>-1</v>
      </c>
      <c r="CW60">
        <v>0</v>
      </c>
      <c r="CX60">
        <v>0</v>
      </c>
      <c r="CY60" t="s">
        <v>333</v>
      </c>
      <c r="CZ60">
        <v>2.3638300000000001</v>
      </c>
      <c r="DA60">
        <v>2.7137699999999998</v>
      </c>
      <c r="DB60">
        <v>0.14000099999999999</v>
      </c>
      <c r="DC60">
        <v>0.146401</v>
      </c>
      <c r="DD60">
        <v>0.10295799999999999</v>
      </c>
      <c r="DE60">
        <v>8.7907399999999997E-2</v>
      </c>
      <c r="DF60">
        <v>31392.2</v>
      </c>
      <c r="DG60">
        <v>27507.1</v>
      </c>
      <c r="DH60">
        <v>31163.8</v>
      </c>
      <c r="DI60">
        <v>28080.5</v>
      </c>
      <c r="DJ60">
        <v>37959.300000000003</v>
      </c>
      <c r="DK60">
        <v>36425.699999999997</v>
      </c>
      <c r="DL60">
        <v>44350.400000000001</v>
      </c>
      <c r="DM60">
        <v>42569.2</v>
      </c>
      <c r="DN60">
        <v>1.4237500000000001</v>
      </c>
      <c r="DO60">
        <v>2.0478700000000001</v>
      </c>
      <c r="DP60">
        <v>0.150286</v>
      </c>
      <c r="DQ60">
        <v>0.12701699999999999</v>
      </c>
      <c r="DR60">
        <v>24.872199999999999</v>
      </c>
      <c r="DS60">
        <v>24.302800000000001</v>
      </c>
      <c r="DT60">
        <v>56.6</v>
      </c>
      <c r="DU60">
        <v>29.3</v>
      </c>
      <c r="DV60">
        <v>23.341200000000001</v>
      </c>
      <c r="DW60">
        <v>61.103000000000002</v>
      </c>
      <c r="DX60">
        <v>36.037700000000001</v>
      </c>
      <c r="DY60">
        <v>1</v>
      </c>
      <c r="DZ60">
        <v>-5.1145799999999998E-2</v>
      </c>
      <c r="EA60">
        <v>3.5279400000000001</v>
      </c>
      <c r="EB60">
        <v>20.146999999999998</v>
      </c>
      <c r="EC60">
        <v>5.2403500000000003</v>
      </c>
      <c r="ED60">
        <v>12.039899999999999</v>
      </c>
      <c r="EE60">
        <v>5.01675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1.8646199999999999</v>
      </c>
      <c r="EM60">
        <v>1.8692</v>
      </c>
      <c r="EN60">
        <v>1.8672500000000001</v>
      </c>
      <c r="EO60">
        <v>1.8633999999999999</v>
      </c>
      <c r="EP60">
        <v>1.8644700000000001</v>
      </c>
      <c r="EQ60">
        <v>1.87016</v>
      </c>
      <c r="ER60">
        <v>1.8694200000000001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-1.4E-2</v>
      </c>
      <c r="FG60">
        <v>0.184</v>
      </c>
      <c r="FH60">
        <v>0.49996858830924029</v>
      </c>
      <c r="FI60">
        <v>-6.1462078757559423E-4</v>
      </c>
      <c r="FJ60">
        <v>-1.8861989874597051E-7</v>
      </c>
      <c r="FK60">
        <v>1.1980462299894961E-10</v>
      </c>
      <c r="FL60">
        <v>0.18404795463265899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16.3</v>
      </c>
      <c r="FU60">
        <v>16.3</v>
      </c>
      <c r="FV60">
        <v>1.78833</v>
      </c>
      <c r="FW60">
        <v>2.5952099999999998</v>
      </c>
      <c r="FX60">
        <v>1.5490699999999999</v>
      </c>
      <c r="FY60">
        <v>2.3290999999999999</v>
      </c>
      <c r="FZ60">
        <v>1.50146</v>
      </c>
      <c r="GA60">
        <v>2.323</v>
      </c>
      <c r="GB60">
        <v>34.077100000000002</v>
      </c>
      <c r="GC60">
        <v>23.9649</v>
      </c>
      <c r="GD60">
        <v>19</v>
      </c>
      <c r="GE60">
        <v>262.79399999999998</v>
      </c>
      <c r="GF60">
        <v>597.27599999999995</v>
      </c>
      <c r="GG60">
        <v>18.615300000000001</v>
      </c>
      <c r="GH60">
        <v>26.665500000000002</v>
      </c>
      <c r="GI60">
        <v>29.9999</v>
      </c>
      <c r="GJ60">
        <v>26.764099999999999</v>
      </c>
      <c r="GK60">
        <v>26.734999999999999</v>
      </c>
      <c r="GL60">
        <v>35.755600000000001</v>
      </c>
      <c r="GM60">
        <v>35.781300000000002</v>
      </c>
      <c r="GN60">
        <v>97.356800000000007</v>
      </c>
      <c r="GO60">
        <v>18.590399999999999</v>
      </c>
      <c r="GP60">
        <v>800</v>
      </c>
      <c r="GQ60">
        <v>16.933800000000002</v>
      </c>
      <c r="GR60">
        <v>99.712599999999995</v>
      </c>
      <c r="GS60">
        <v>99.575900000000004</v>
      </c>
    </row>
    <row r="61" spans="1:201" x14ac:dyDescent="0.25">
      <c r="A61">
        <v>45</v>
      </c>
      <c r="B61">
        <v>1690307240</v>
      </c>
      <c r="C61">
        <v>621.40000009536743</v>
      </c>
      <c r="D61" t="s">
        <v>423</v>
      </c>
      <c r="E61" t="s">
        <v>424</v>
      </c>
      <c r="F61" t="s">
        <v>330</v>
      </c>
      <c r="H61">
        <v>1690307240</v>
      </c>
      <c r="I61">
        <f t="shared" si="0"/>
        <v>3.6719826235808968E-4</v>
      </c>
      <c r="J61">
        <f t="shared" si="1"/>
        <v>0.36719826235808967</v>
      </c>
      <c r="K61">
        <f t="shared" si="2"/>
        <v>5.1169544730831946</v>
      </c>
      <c r="L61">
        <f t="shared" si="3"/>
        <v>743.93399999999997</v>
      </c>
      <c r="M61">
        <f t="shared" si="4"/>
        <v>406.6963375116319</v>
      </c>
      <c r="N61">
        <f t="shared" si="5"/>
        <v>40.393730630438228</v>
      </c>
      <c r="O61">
        <f t="shared" si="6"/>
        <v>73.888714579252792</v>
      </c>
      <c r="P61">
        <f t="shared" si="7"/>
        <v>2.5418360587735632E-2</v>
      </c>
      <c r="Q61">
        <f t="shared" si="8"/>
        <v>2.1972081075703409</v>
      </c>
      <c r="R61">
        <f t="shared" si="9"/>
        <v>2.5256124175586401E-2</v>
      </c>
      <c r="S61">
        <f t="shared" si="10"/>
        <v>1.5799567474295256E-2</v>
      </c>
      <c r="T61">
        <f t="shared" si="11"/>
        <v>276.11474291868387</v>
      </c>
      <c r="U61">
        <f t="shared" si="12"/>
        <v>26.431266157797491</v>
      </c>
      <c r="V61">
        <f t="shared" si="13"/>
        <v>26.431266157797491</v>
      </c>
      <c r="W61">
        <f t="shared" si="14"/>
        <v>3.4613332905213494</v>
      </c>
      <c r="X61">
        <f t="shared" si="15"/>
        <v>66.951967732711609</v>
      </c>
      <c r="Y61">
        <f t="shared" si="16"/>
        <v>2.0574171309482399</v>
      </c>
      <c r="Z61">
        <f t="shared" si="17"/>
        <v>3.0729748514068249</v>
      </c>
      <c r="AA61">
        <f t="shared" si="18"/>
        <v>1.4039161595731096</v>
      </c>
      <c r="AB61">
        <f t="shared" si="19"/>
        <v>-16.193443369991755</v>
      </c>
      <c r="AC61">
        <f t="shared" si="20"/>
        <v>-237.21574347975482</v>
      </c>
      <c r="AD61">
        <f t="shared" si="21"/>
        <v>-22.935899423982594</v>
      </c>
      <c r="AE61">
        <f t="shared" si="22"/>
        <v>-0.23034335504527803</v>
      </c>
      <c r="AF61">
        <v>16</v>
      </c>
      <c r="AG61">
        <v>5</v>
      </c>
      <c r="AH61">
        <f t="shared" si="23"/>
        <v>1</v>
      </c>
      <c r="AI61">
        <f t="shared" si="24"/>
        <v>0</v>
      </c>
      <c r="AJ61">
        <f t="shared" si="25"/>
        <v>52969.894289529271</v>
      </c>
      <c r="AK61">
        <f t="shared" si="26"/>
        <v>1799.99</v>
      </c>
      <c r="AL61">
        <f t="shared" si="27"/>
        <v>1499.1039343985399</v>
      </c>
      <c r="AM61">
        <f t="shared" si="28"/>
        <v>0.83284014599999989</v>
      </c>
      <c r="AN61">
        <f t="shared" si="29"/>
        <v>0.15339793160999998</v>
      </c>
      <c r="AO61">
        <v>31.2</v>
      </c>
      <c r="AP61">
        <v>0.5</v>
      </c>
      <c r="AQ61" t="s">
        <v>331</v>
      </c>
      <c r="AR61">
        <v>2</v>
      </c>
      <c r="AS61">
        <v>1690307240</v>
      </c>
      <c r="AT61">
        <v>743.93399999999997</v>
      </c>
      <c r="AU61">
        <v>799.95899999999995</v>
      </c>
      <c r="AV61">
        <v>20.714700000000001</v>
      </c>
      <c r="AW61">
        <v>16.9771</v>
      </c>
      <c r="AX61">
        <v>743.947</v>
      </c>
      <c r="AY61">
        <v>20.5307</v>
      </c>
      <c r="AZ61">
        <v>300.173</v>
      </c>
      <c r="BA61">
        <v>99.221599999999995</v>
      </c>
      <c r="BB61">
        <v>9.9999199999999996E-2</v>
      </c>
      <c r="BC61">
        <v>24.428699999999999</v>
      </c>
      <c r="BD61">
        <v>27.277100000000001</v>
      </c>
      <c r="BE61">
        <v>26.308599999999998</v>
      </c>
      <c r="BF61">
        <v>0</v>
      </c>
      <c r="BG61">
        <v>0</v>
      </c>
      <c r="BH61">
        <v>10010</v>
      </c>
      <c r="BI61">
        <v>1048.45</v>
      </c>
      <c r="BJ61">
        <v>1.62592</v>
      </c>
      <c r="BK61">
        <v>-56.0244</v>
      </c>
      <c r="BL61">
        <v>759.67100000000005</v>
      </c>
      <c r="BM61">
        <v>813.774</v>
      </c>
      <c r="BN61">
        <v>3.7376399999999999</v>
      </c>
      <c r="BO61">
        <v>799.95899999999995</v>
      </c>
      <c r="BP61">
        <v>16.9771</v>
      </c>
      <c r="BQ61">
        <v>2.0553499999999998</v>
      </c>
      <c r="BR61">
        <v>1.68449</v>
      </c>
      <c r="BS61">
        <v>17.877300000000002</v>
      </c>
      <c r="BT61">
        <v>14.754300000000001</v>
      </c>
      <c r="BU61">
        <v>1799.99</v>
      </c>
      <c r="BV61">
        <v>0.90998800000000002</v>
      </c>
      <c r="BW61">
        <v>3.3991500000000001E-2</v>
      </c>
      <c r="BX61">
        <v>2.20073E-2</v>
      </c>
      <c r="BY61">
        <v>3.4013099999999998E-2</v>
      </c>
      <c r="BZ61">
        <v>25.541699999999999</v>
      </c>
      <c r="CA61">
        <v>33528.199999999997</v>
      </c>
      <c r="CB61">
        <v>1690306253.5999999</v>
      </c>
      <c r="CC61" t="s">
        <v>332</v>
      </c>
      <c r="CD61">
        <v>1690306253.5999999</v>
      </c>
      <c r="CE61">
        <v>1690306251.5999999</v>
      </c>
      <c r="CF61">
        <v>9</v>
      </c>
      <c r="CG61">
        <v>0.19</v>
      </c>
      <c r="CH61">
        <v>-8.7999999999999995E-2</v>
      </c>
      <c r="CI61">
        <v>-5.0999999999999997E-2</v>
      </c>
      <c r="CJ61">
        <v>5.0999999999999997E-2</v>
      </c>
      <c r="CK61">
        <v>799</v>
      </c>
      <c r="CL61">
        <v>15</v>
      </c>
      <c r="CM61">
        <v>0.28000000000000003</v>
      </c>
      <c r="CN61">
        <v>0.03</v>
      </c>
      <c r="CO61">
        <v>-54.220443902439023</v>
      </c>
      <c r="CP61">
        <v>-10.69988362369339</v>
      </c>
      <c r="CQ61">
        <v>1.056121510250615</v>
      </c>
      <c r="CR61">
        <v>-1</v>
      </c>
      <c r="CS61">
        <v>3.7841968292682928</v>
      </c>
      <c r="CT61">
        <v>-0.14379554006968751</v>
      </c>
      <c r="CU61">
        <v>2.0591124590407382E-2</v>
      </c>
      <c r="CV61">
        <v>-1</v>
      </c>
      <c r="CW61">
        <v>0</v>
      </c>
      <c r="CX61">
        <v>0</v>
      </c>
      <c r="CY61" t="s">
        <v>333</v>
      </c>
      <c r="CZ61">
        <v>2.3640599999999998</v>
      </c>
      <c r="DA61">
        <v>2.7138</v>
      </c>
      <c r="DB61">
        <v>0.13977100000000001</v>
      </c>
      <c r="DC61">
        <v>0.14638000000000001</v>
      </c>
      <c r="DD61">
        <v>0.102619</v>
      </c>
      <c r="DE61">
        <v>8.7807099999999999E-2</v>
      </c>
      <c r="DF61">
        <v>31400.799999999999</v>
      </c>
      <c r="DG61">
        <v>27507.4</v>
      </c>
      <c r="DH61">
        <v>31163.9</v>
      </c>
      <c r="DI61">
        <v>28080.2</v>
      </c>
      <c r="DJ61">
        <v>37974</v>
      </c>
      <c r="DK61">
        <v>36429.300000000003</v>
      </c>
      <c r="DL61">
        <v>44350.7</v>
      </c>
      <c r="DM61">
        <v>42568.7</v>
      </c>
      <c r="DN61">
        <v>1.4234800000000001</v>
      </c>
      <c r="DO61">
        <v>2.0477500000000002</v>
      </c>
      <c r="DP61">
        <v>0.14916099999999999</v>
      </c>
      <c r="DQ61">
        <v>0.12479700000000001</v>
      </c>
      <c r="DR61">
        <v>24.834</v>
      </c>
      <c r="DS61">
        <v>24.261900000000001</v>
      </c>
      <c r="DT61">
        <v>56.6</v>
      </c>
      <c r="DU61">
        <v>29.3</v>
      </c>
      <c r="DV61">
        <v>23.3445</v>
      </c>
      <c r="DW61">
        <v>61.722999999999999</v>
      </c>
      <c r="DX61">
        <v>35.504800000000003</v>
      </c>
      <c r="DY61">
        <v>1</v>
      </c>
      <c r="DZ61">
        <v>-5.1272900000000003E-2</v>
      </c>
      <c r="EA61">
        <v>3.5472999999999999</v>
      </c>
      <c r="EB61">
        <v>20.1463</v>
      </c>
      <c r="EC61">
        <v>5.2401999999999997</v>
      </c>
      <c r="ED61">
        <v>12.039899999999999</v>
      </c>
      <c r="EE61">
        <v>5.0166000000000004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</v>
      </c>
      <c r="EL61">
        <v>1.8646199999999999</v>
      </c>
      <c r="EM61">
        <v>1.8692</v>
      </c>
      <c r="EN61">
        <v>1.8672299999999999</v>
      </c>
      <c r="EO61">
        <v>1.8633999999999999</v>
      </c>
      <c r="EP61">
        <v>1.8644700000000001</v>
      </c>
      <c r="EQ61">
        <v>1.8701700000000001</v>
      </c>
      <c r="ER61">
        <v>1.8694299999999999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-1.2999999999999999E-2</v>
      </c>
      <c r="FG61">
        <v>0.184</v>
      </c>
      <c r="FH61">
        <v>0.49996858830924029</v>
      </c>
      <c r="FI61">
        <v>-6.1462078757559423E-4</v>
      </c>
      <c r="FJ61">
        <v>-1.8861989874597051E-7</v>
      </c>
      <c r="FK61">
        <v>1.1980462299894961E-10</v>
      </c>
      <c r="FL61">
        <v>0.18404795463265899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16.399999999999999</v>
      </c>
      <c r="FU61">
        <v>16.5</v>
      </c>
      <c r="FV61">
        <v>1.78833</v>
      </c>
      <c r="FW61">
        <v>2.5939899999999998</v>
      </c>
      <c r="FX61">
        <v>1.5490699999999999</v>
      </c>
      <c r="FY61">
        <v>2.3290999999999999</v>
      </c>
      <c r="FZ61">
        <v>1.50146</v>
      </c>
      <c r="GA61">
        <v>2.3596200000000001</v>
      </c>
      <c r="GB61">
        <v>34.077100000000002</v>
      </c>
      <c r="GC61">
        <v>23.9649</v>
      </c>
      <c r="GD61">
        <v>19</v>
      </c>
      <c r="GE61">
        <v>262.67</v>
      </c>
      <c r="GF61">
        <v>597.16</v>
      </c>
      <c r="GG61">
        <v>18.527999999999999</v>
      </c>
      <c r="GH61">
        <v>26.6571</v>
      </c>
      <c r="GI61">
        <v>29.9999</v>
      </c>
      <c r="GJ61">
        <v>26.760999999999999</v>
      </c>
      <c r="GK61">
        <v>26.734100000000002</v>
      </c>
      <c r="GL61">
        <v>35.755699999999997</v>
      </c>
      <c r="GM61">
        <v>35.781300000000002</v>
      </c>
      <c r="GN61">
        <v>96.979699999999994</v>
      </c>
      <c r="GO61">
        <v>18.503699999999998</v>
      </c>
      <c r="GP61">
        <v>800</v>
      </c>
      <c r="GQ61">
        <v>16.908899999999999</v>
      </c>
      <c r="GR61">
        <v>99.713200000000001</v>
      </c>
      <c r="GS61">
        <v>99.574700000000007</v>
      </c>
    </row>
    <row r="62" spans="1:201" x14ac:dyDescent="0.25">
      <c r="A62">
        <v>46</v>
      </c>
      <c r="B62">
        <v>1690307250</v>
      </c>
      <c r="C62">
        <v>631.40000009536743</v>
      </c>
      <c r="D62" t="s">
        <v>425</v>
      </c>
      <c r="E62" t="s">
        <v>426</v>
      </c>
      <c r="F62" t="s">
        <v>330</v>
      </c>
      <c r="H62">
        <v>1690307250</v>
      </c>
      <c r="I62">
        <f t="shared" si="0"/>
        <v>3.6909425050011727E-4</v>
      </c>
      <c r="J62">
        <f t="shared" si="1"/>
        <v>0.36909425050011729</v>
      </c>
      <c r="K62">
        <f t="shared" si="2"/>
        <v>5.2958334598556016</v>
      </c>
      <c r="L62">
        <f t="shared" si="3"/>
        <v>742.10900000000004</v>
      </c>
      <c r="M62">
        <f t="shared" si="4"/>
        <v>396.38787052501152</v>
      </c>
      <c r="N62">
        <f t="shared" si="5"/>
        <v>39.371663050299766</v>
      </c>
      <c r="O62">
        <f t="shared" si="6"/>
        <v>73.710796084390509</v>
      </c>
      <c r="P62">
        <f t="shared" si="7"/>
        <v>2.5622724872263566E-2</v>
      </c>
      <c r="Q62">
        <f t="shared" si="8"/>
        <v>2.1987257562379372</v>
      </c>
      <c r="R62">
        <f t="shared" si="9"/>
        <v>2.5457991326871515E-2</v>
      </c>
      <c r="S62">
        <f t="shared" si="10"/>
        <v>1.5925956833412205E-2</v>
      </c>
      <c r="T62">
        <f t="shared" si="11"/>
        <v>276.116275782</v>
      </c>
      <c r="U62">
        <f t="shared" si="12"/>
        <v>26.371973871217826</v>
      </c>
      <c r="V62">
        <f t="shared" si="13"/>
        <v>26.371973871217826</v>
      </c>
      <c r="W62">
        <f t="shared" si="14"/>
        <v>3.4492467417440085</v>
      </c>
      <c r="X62">
        <f t="shared" si="15"/>
        <v>66.909956682148703</v>
      </c>
      <c r="Y62">
        <f t="shared" si="16"/>
        <v>2.0490578053932</v>
      </c>
      <c r="Z62">
        <f t="shared" si="17"/>
        <v>3.0624108981673874</v>
      </c>
      <c r="AA62">
        <f t="shared" si="18"/>
        <v>1.4001889363508084</v>
      </c>
      <c r="AB62">
        <f t="shared" si="19"/>
        <v>-16.277056447055173</v>
      </c>
      <c r="AC62">
        <f t="shared" si="20"/>
        <v>-237.16713885715501</v>
      </c>
      <c r="AD62">
        <f t="shared" si="21"/>
        <v>-22.901922088156066</v>
      </c>
      <c r="AE62">
        <f t="shared" si="22"/>
        <v>-0.22984161036623618</v>
      </c>
      <c r="AF62">
        <v>17</v>
      </c>
      <c r="AG62">
        <v>6</v>
      </c>
      <c r="AH62">
        <f t="shared" si="23"/>
        <v>1</v>
      </c>
      <c r="AI62">
        <f t="shared" si="24"/>
        <v>0</v>
      </c>
      <c r="AJ62">
        <f t="shared" si="25"/>
        <v>53042.979042459949</v>
      </c>
      <c r="AK62">
        <f t="shared" si="26"/>
        <v>1800</v>
      </c>
      <c r="AL62">
        <f t="shared" si="27"/>
        <v>1499.1132491999999</v>
      </c>
      <c r="AM62">
        <f t="shared" si="28"/>
        <v>0.83284069399999994</v>
      </c>
      <c r="AN62">
        <f t="shared" si="29"/>
        <v>0.15339793098999999</v>
      </c>
      <c r="AO62">
        <v>31.2</v>
      </c>
      <c r="AP62">
        <v>0.5</v>
      </c>
      <c r="AQ62" t="s">
        <v>331</v>
      </c>
      <c r="AR62">
        <v>2</v>
      </c>
      <c r="AS62">
        <v>1690307250</v>
      </c>
      <c r="AT62">
        <v>742.10900000000004</v>
      </c>
      <c r="AU62">
        <v>799.99900000000002</v>
      </c>
      <c r="AV62">
        <v>20.6296</v>
      </c>
      <c r="AW62">
        <v>16.872499999999999</v>
      </c>
      <c r="AX62">
        <v>742.12</v>
      </c>
      <c r="AY62">
        <v>20.445599999999999</v>
      </c>
      <c r="AZ62">
        <v>300.18299999999999</v>
      </c>
      <c r="BA62">
        <v>99.226200000000006</v>
      </c>
      <c r="BB62">
        <v>9.9904499999999993E-2</v>
      </c>
      <c r="BC62">
        <v>24.371200000000002</v>
      </c>
      <c r="BD62">
        <v>27.257200000000001</v>
      </c>
      <c r="BE62">
        <v>26.240200000000002</v>
      </c>
      <c r="BF62">
        <v>0</v>
      </c>
      <c r="BG62">
        <v>0</v>
      </c>
      <c r="BH62">
        <v>10021.9</v>
      </c>
      <c r="BI62">
        <v>1047.69</v>
      </c>
      <c r="BJ62">
        <v>1.62592</v>
      </c>
      <c r="BK62">
        <v>-57.89</v>
      </c>
      <c r="BL62">
        <v>757.74099999999999</v>
      </c>
      <c r="BM62">
        <v>813.72799999999995</v>
      </c>
      <c r="BN62">
        <v>3.7570800000000002</v>
      </c>
      <c r="BO62">
        <v>799.99900000000002</v>
      </c>
      <c r="BP62">
        <v>16.872499999999999</v>
      </c>
      <c r="BQ62">
        <v>2.0470000000000002</v>
      </c>
      <c r="BR62">
        <v>1.6741999999999999</v>
      </c>
      <c r="BS62">
        <v>17.8126</v>
      </c>
      <c r="BT62">
        <v>14.6592</v>
      </c>
      <c r="BU62">
        <v>1800</v>
      </c>
      <c r="BV62">
        <v>0.90999099999999999</v>
      </c>
      <c r="BW62">
        <v>3.39905E-2</v>
      </c>
      <c r="BX62">
        <v>2.2006700000000001E-2</v>
      </c>
      <c r="BY62">
        <v>3.4012100000000003E-2</v>
      </c>
      <c r="BZ62">
        <v>25.375</v>
      </c>
      <c r="CA62">
        <v>33528.300000000003</v>
      </c>
      <c r="CB62">
        <v>1690306253.5999999</v>
      </c>
      <c r="CC62" t="s">
        <v>332</v>
      </c>
      <c r="CD62">
        <v>1690306253.5999999</v>
      </c>
      <c r="CE62">
        <v>1690306251.5999999</v>
      </c>
      <c r="CF62">
        <v>9</v>
      </c>
      <c r="CG62">
        <v>0.19</v>
      </c>
      <c r="CH62">
        <v>-8.7999999999999995E-2</v>
      </c>
      <c r="CI62">
        <v>-5.0999999999999997E-2</v>
      </c>
      <c r="CJ62">
        <v>5.0999999999999997E-2</v>
      </c>
      <c r="CK62">
        <v>799</v>
      </c>
      <c r="CL62">
        <v>15</v>
      </c>
      <c r="CM62">
        <v>0.28000000000000003</v>
      </c>
      <c r="CN62">
        <v>0.03</v>
      </c>
      <c r="CO62">
        <v>-55.97225000000001</v>
      </c>
      <c r="CP62">
        <v>-10.79399099437132</v>
      </c>
      <c r="CQ62">
        <v>1.039944725694592</v>
      </c>
      <c r="CR62">
        <v>-1</v>
      </c>
      <c r="CS62">
        <v>3.76124225</v>
      </c>
      <c r="CT62">
        <v>-0.1863072045028219</v>
      </c>
      <c r="CU62">
        <v>2.5877272024645469E-2</v>
      </c>
      <c r="CV62">
        <v>-1</v>
      </c>
      <c r="CW62">
        <v>0</v>
      </c>
      <c r="CX62">
        <v>0</v>
      </c>
      <c r="CY62" t="s">
        <v>333</v>
      </c>
      <c r="CZ62">
        <v>2.36408</v>
      </c>
      <c r="DA62">
        <v>2.7137099999999998</v>
      </c>
      <c r="DB62">
        <v>0.139545</v>
      </c>
      <c r="DC62">
        <v>0.14639099999999999</v>
      </c>
      <c r="DD62">
        <v>0.102322</v>
      </c>
      <c r="DE62">
        <v>8.7420399999999995E-2</v>
      </c>
      <c r="DF62">
        <v>31409.4</v>
      </c>
      <c r="DG62">
        <v>27508.1</v>
      </c>
      <c r="DH62">
        <v>31164.2</v>
      </c>
      <c r="DI62">
        <v>28081.1</v>
      </c>
      <c r="DJ62">
        <v>37987.1</v>
      </c>
      <c r="DK62">
        <v>36445.9</v>
      </c>
      <c r="DL62">
        <v>44351.199999999997</v>
      </c>
      <c r="DM62">
        <v>42570</v>
      </c>
      <c r="DN62">
        <v>1.4233800000000001</v>
      </c>
      <c r="DO62">
        <v>2.0476999999999999</v>
      </c>
      <c r="DP62">
        <v>0.15032999999999999</v>
      </c>
      <c r="DQ62">
        <v>0.12310599999999999</v>
      </c>
      <c r="DR62">
        <v>24.794799999999999</v>
      </c>
      <c r="DS62">
        <v>24.2211</v>
      </c>
      <c r="DT62">
        <v>56.6</v>
      </c>
      <c r="DU62">
        <v>29.3</v>
      </c>
      <c r="DV62">
        <v>23.339400000000001</v>
      </c>
      <c r="DW62">
        <v>61.472999999999999</v>
      </c>
      <c r="DX62">
        <v>35.1402</v>
      </c>
      <c r="DY62">
        <v>1</v>
      </c>
      <c r="DZ62">
        <v>-5.1793699999999998E-2</v>
      </c>
      <c r="EA62">
        <v>3.5578400000000001</v>
      </c>
      <c r="EB62">
        <v>20.1464</v>
      </c>
      <c r="EC62">
        <v>5.2398999999999996</v>
      </c>
      <c r="ED62">
        <v>12.039899999999999</v>
      </c>
      <c r="EE62">
        <v>5.0165499999999996</v>
      </c>
      <c r="EF62">
        <v>3.2879299999999998</v>
      </c>
      <c r="EG62">
        <v>9999</v>
      </c>
      <c r="EH62">
        <v>9999</v>
      </c>
      <c r="EI62">
        <v>9999</v>
      </c>
      <c r="EJ62">
        <v>999.9</v>
      </c>
      <c r="EK62">
        <v>1.8689100000000001</v>
      </c>
      <c r="EL62">
        <v>1.8646199999999999</v>
      </c>
      <c r="EM62">
        <v>1.8692</v>
      </c>
      <c r="EN62">
        <v>1.8672500000000001</v>
      </c>
      <c r="EO62">
        <v>1.8633999999999999</v>
      </c>
      <c r="EP62">
        <v>1.8644700000000001</v>
      </c>
      <c r="EQ62">
        <v>1.8701700000000001</v>
      </c>
      <c r="ER62">
        <v>1.86944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-1.0999999999999999E-2</v>
      </c>
      <c r="FG62">
        <v>0.184</v>
      </c>
      <c r="FH62">
        <v>0.49996858830924029</v>
      </c>
      <c r="FI62">
        <v>-6.1462078757559423E-4</v>
      </c>
      <c r="FJ62">
        <v>-1.8861989874597051E-7</v>
      </c>
      <c r="FK62">
        <v>1.1980462299894961E-10</v>
      </c>
      <c r="FL62">
        <v>0.18404795463265899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16.600000000000001</v>
      </c>
      <c r="FU62">
        <v>16.600000000000001</v>
      </c>
      <c r="FV62">
        <v>1.78833</v>
      </c>
      <c r="FW62">
        <v>2.5915499999999998</v>
      </c>
      <c r="FX62">
        <v>1.5490699999999999</v>
      </c>
      <c r="FY62">
        <v>2.3303199999999999</v>
      </c>
      <c r="FZ62">
        <v>1.50146</v>
      </c>
      <c r="GA62">
        <v>2.3852500000000001</v>
      </c>
      <c r="GB62">
        <v>34.077100000000002</v>
      </c>
      <c r="GC62">
        <v>23.973700000000001</v>
      </c>
      <c r="GD62">
        <v>19</v>
      </c>
      <c r="GE62">
        <v>262.613</v>
      </c>
      <c r="GF62">
        <v>597.08399999999995</v>
      </c>
      <c r="GG62">
        <v>18.444600000000001</v>
      </c>
      <c r="GH62">
        <v>26.649699999999999</v>
      </c>
      <c r="GI62">
        <v>29.9999</v>
      </c>
      <c r="GJ62">
        <v>26.756799999999998</v>
      </c>
      <c r="GK62">
        <v>26.731100000000001</v>
      </c>
      <c r="GL62">
        <v>35.754100000000001</v>
      </c>
      <c r="GM62">
        <v>36.457299999999996</v>
      </c>
      <c r="GN62">
        <v>96.979699999999994</v>
      </c>
      <c r="GO62">
        <v>18.424499999999998</v>
      </c>
      <c r="GP62">
        <v>800</v>
      </c>
      <c r="GQ62">
        <v>16.788499999999999</v>
      </c>
      <c r="GR62">
        <v>99.714299999999994</v>
      </c>
      <c r="GS62">
        <v>99.578000000000003</v>
      </c>
    </row>
    <row r="63" spans="1:201" x14ac:dyDescent="0.25">
      <c r="A63">
        <v>47</v>
      </c>
      <c r="B63">
        <v>1690307260</v>
      </c>
      <c r="C63">
        <v>641.40000009536743</v>
      </c>
      <c r="D63" t="s">
        <v>427</v>
      </c>
      <c r="E63" t="s">
        <v>428</v>
      </c>
      <c r="F63" t="s">
        <v>330</v>
      </c>
      <c r="H63">
        <v>1690307260</v>
      </c>
      <c r="I63">
        <f t="shared" si="0"/>
        <v>3.6765521629821652E-4</v>
      </c>
      <c r="J63">
        <f t="shared" si="1"/>
        <v>0.36765521629821651</v>
      </c>
      <c r="K63">
        <f t="shared" si="2"/>
        <v>5.4763587376051959</v>
      </c>
      <c r="L63">
        <f t="shared" si="3"/>
        <v>740.3</v>
      </c>
      <c r="M63">
        <f t="shared" si="4"/>
        <v>382.83533609572265</v>
      </c>
      <c r="N63">
        <f t="shared" si="5"/>
        <v>38.025236905320497</v>
      </c>
      <c r="O63">
        <f t="shared" si="6"/>
        <v>73.530524031799999</v>
      </c>
      <c r="P63">
        <f t="shared" si="7"/>
        <v>2.5576967181603981E-2</v>
      </c>
      <c r="Q63">
        <f t="shared" si="8"/>
        <v>2.1963325848581881</v>
      </c>
      <c r="R63">
        <f t="shared" si="9"/>
        <v>2.5412641828524166E-2</v>
      </c>
      <c r="S63">
        <f t="shared" si="10"/>
        <v>1.5897577002433945E-2</v>
      </c>
      <c r="T63">
        <f t="shared" si="11"/>
        <v>276.11620394399995</v>
      </c>
      <c r="U63">
        <f t="shared" si="12"/>
        <v>26.320148144605284</v>
      </c>
      <c r="V63">
        <f t="shared" si="13"/>
        <v>26.320148144605284</v>
      </c>
      <c r="W63">
        <f t="shared" si="14"/>
        <v>3.4387124295524298</v>
      </c>
      <c r="X63">
        <f t="shared" si="15"/>
        <v>66.876649321941557</v>
      </c>
      <c r="Y63">
        <f t="shared" si="16"/>
        <v>2.0413734190343997</v>
      </c>
      <c r="Z63">
        <f t="shared" si="17"/>
        <v>3.0524457186951883</v>
      </c>
      <c r="AA63">
        <f t="shared" si="18"/>
        <v>1.3973390105180301</v>
      </c>
      <c r="AB63">
        <f t="shared" si="19"/>
        <v>-16.21359503875135</v>
      </c>
      <c r="AC63">
        <f t="shared" si="20"/>
        <v>-237.21381402066052</v>
      </c>
      <c r="AD63">
        <f t="shared" si="21"/>
        <v>-22.919145537117853</v>
      </c>
      <c r="AE63">
        <f t="shared" si="22"/>
        <v>-0.23035065252977915</v>
      </c>
      <c r="AF63">
        <v>17</v>
      </c>
      <c r="AG63">
        <v>6</v>
      </c>
      <c r="AH63">
        <f t="shared" si="23"/>
        <v>1</v>
      </c>
      <c r="AI63">
        <f t="shared" si="24"/>
        <v>0</v>
      </c>
      <c r="AJ63">
        <f t="shared" si="25"/>
        <v>52953.73042593275</v>
      </c>
      <c r="AK63">
        <f t="shared" si="26"/>
        <v>1800</v>
      </c>
      <c r="AL63">
        <f t="shared" si="27"/>
        <v>1499.1099893999999</v>
      </c>
      <c r="AM63">
        <f t="shared" si="28"/>
        <v>0.83283888299999997</v>
      </c>
      <c r="AN63">
        <f t="shared" si="29"/>
        <v>0.15339789107999999</v>
      </c>
      <c r="AO63">
        <v>31.2</v>
      </c>
      <c r="AP63">
        <v>0.5</v>
      </c>
      <c r="AQ63" t="s">
        <v>331</v>
      </c>
      <c r="AR63">
        <v>2</v>
      </c>
      <c r="AS63">
        <v>1690307260</v>
      </c>
      <c r="AT63">
        <v>740.3</v>
      </c>
      <c r="AU63">
        <v>800.03</v>
      </c>
      <c r="AV63">
        <v>20.552399999999999</v>
      </c>
      <c r="AW63">
        <v>16.8108</v>
      </c>
      <c r="AX63">
        <v>740.31</v>
      </c>
      <c r="AY63">
        <v>20.368400000000001</v>
      </c>
      <c r="AZ63">
        <v>300.27499999999998</v>
      </c>
      <c r="BA63">
        <v>99.225300000000004</v>
      </c>
      <c r="BB63">
        <v>0.100006</v>
      </c>
      <c r="BC63">
        <v>24.316800000000001</v>
      </c>
      <c r="BD63">
        <v>27.180800000000001</v>
      </c>
      <c r="BE63">
        <v>26.204499999999999</v>
      </c>
      <c r="BF63">
        <v>0</v>
      </c>
      <c r="BG63">
        <v>0</v>
      </c>
      <c r="BH63">
        <v>10002.5</v>
      </c>
      <c r="BI63">
        <v>1046.98</v>
      </c>
      <c r="BJ63">
        <v>1.62592</v>
      </c>
      <c r="BK63">
        <v>-59.729599999999998</v>
      </c>
      <c r="BL63">
        <v>755.83399999999995</v>
      </c>
      <c r="BM63">
        <v>813.70899999999995</v>
      </c>
      <c r="BN63">
        <v>3.7415799999999999</v>
      </c>
      <c r="BO63">
        <v>800.03</v>
      </c>
      <c r="BP63">
        <v>16.8108</v>
      </c>
      <c r="BQ63">
        <v>2.03932</v>
      </c>
      <c r="BR63">
        <v>1.6680600000000001</v>
      </c>
      <c r="BS63">
        <v>17.753</v>
      </c>
      <c r="BT63">
        <v>14.6023</v>
      </c>
      <c r="BU63">
        <v>1800</v>
      </c>
      <c r="BV63">
        <v>0.90998199999999996</v>
      </c>
      <c r="BW63">
        <v>3.4001099999999999E-2</v>
      </c>
      <c r="BX63">
        <v>2.2005899999999998E-2</v>
      </c>
      <c r="BY63">
        <v>3.4010800000000001E-2</v>
      </c>
      <c r="BZ63">
        <v>25.625</v>
      </c>
      <c r="CA63">
        <v>33528.300000000003</v>
      </c>
      <c r="CB63">
        <v>1690306253.5999999</v>
      </c>
      <c r="CC63" t="s">
        <v>332</v>
      </c>
      <c r="CD63">
        <v>1690306253.5999999</v>
      </c>
      <c r="CE63">
        <v>1690306251.5999999</v>
      </c>
      <c r="CF63">
        <v>9</v>
      </c>
      <c r="CG63">
        <v>0.19</v>
      </c>
      <c r="CH63">
        <v>-8.7999999999999995E-2</v>
      </c>
      <c r="CI63">
        <v>-5.0999999999999997E-2</v>
      </c>
      <c r="CJ63">
        <v>5.0999999999999997E-2</v>
      </c>
      <c r="CK63">
        <v>799</v>
      </c>
      <c r="CL63">
        <v>15</v>
      </c>
      <c r="CM63">
        <v>0.28000000000000003</v>
      </c>
      <c r="CN63">
        <v>0.03</v>
      </c>
      <c r="CO63">
        <v>-57.617604878048787</v>
      </c>
      <c r="CP63">
        <v>-10.85612822299648</v>
      </c>
      <c r="CQ63">
        <v>1.071850518325546</v>
      </c>
      <c r="CR63">
        <v>-1</v>
      </c>
      <c r="CS63">
        <v>3.7476778048780481</v>
      </c>
      <c r="CT63">
        <v>7.2704111498265875E-2</v>
      </c>
      <c r="CU63">
        <v>1.2341866979808731E-2</v>
      </c>
      <c r="CV63">
        <v>-1</v>
      </c>
      <c r="CW63">
        <v>0</v>
      </c>
      <c r="CX63">
        <v>0</v>
      </c>
      <c r="CY63" t="s">
        <v>333</v>
      </c>
      <c r="CZ63">
        <v>2.3643900000000002</v>
      </c>
      <c r="DA63">
        <v>2.7138</v>
      </c>
      <c r="DB63">
        <v>0.13931299999999999</v>
      </c>
      <c r="DC63">
        <v>0.146393</v>
      </c>
      <c r="DD63">
        <v>0.102046</v>
      </c>
      <c r="DE63">
        <v>8.7188699999999994E-2</v>
      </c>
      <c r="DF63">
        <v>31418.3</v>
      </c>
      <c r="DG63">
        <v>27508.400000000001</v>
      </c>
      <c r="DH63">
        <v>31164.7</v>
      </c>
      <c r="DI63">
        <v>28081.5</v>
      </c>
      <c r="DJ63">
        <v>37999.5</v>
      </c>
      <c r="DK63">
        <v>36455.599999999999</v>
      </c>
      <c r="DL63">
        <v>44351.9</v>
      </c>
      <c r="DM63">
        <v>42570.6</v>
      </c>
      <c r="DN63">
        <v>1.4237</v>
      </c>
      <c r="DO63">
        <v>2.0479799999999999</v>
      </c>
      <c r="DP63">
        <v>0.148088</v>
      </c>
      <c r="DQ63">
        <v>0.123404</v>
      </c>
      <c r="DR63">
        <v>24.754899999999999</v>
      </c>
      <c r="DS63">
        <v>24.180399999999999</v>
      </c>
      <c r="DT63">
        <v>56.6</v>
      </c>
      <c r="DU63">
        <v>29.3</v>
      </c>
      <c r="DV63">
        <v>23.343</v>
      </c>
      <c r="DW63">
        <v>61.703000000000003</v>
      </c>
      <c r="DX63">
        <v>35.120199999999997</v>
      </c>
      <c r="DY63">
        <v>1</v>
      </c>
      <c r="DZ63">
        <v>-5.2327199999999997E-2</v>
      </c>
      <c r="EA63">
        <v>3.5522399999999998</v>
      </c>
      <c r="EB63">
        <v>20.1464</v>
      </c>
      <c r="EC63">
        <v>5.2400500000000001</v>
      </c>
      <c r="ED63">
        <v>12.039899999999999</v>
      </c>
      <c r="EE63">
        <v>5.0163500000000001</v>
      </c>
      <c r="EF63">
        <v>3.2879499999999999</v>
      </c>
      <c r="EG63">
        <v>9999</v>
      </c>
      <c r="EH63">
        <v>9999</v>
      </c>
      <c r="EI63">
        <v>9999</v>
      </c>
      <c r="EJ63">
        <v>999.9</v>
      </c>
      <c r="EK63">
        <v>1.8689100000000001</v>
      </c>
      <c r="EL63">
        <v>1.8646199999999999</v>
      </c>
      <c r="EM63">
        <v>1.8692</v>
      </c>
      <c r="EN63">
        <v>1.86724</v>
      </c>
      <c r="EO63">
        <v>1.8633999999999999</v>
      </c>
      <c r="EP63">
        <v>1.86449</v>
      </c>
      <c r="EQ63">
        <v>1.87016</v>
      </c>
      <c r="ER63">
        <v>1.8694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-0.01</v>
      </c>
      <c r="FG63">
        <v>0.184</v>
      </c>
      <c r="FH63">
        <v>0.49996858830924029</v>
      </c>
      <c r="FI63">
        <v>-6.1462078757559423E-4</v>
      </c>
      <c r="FJ63">
        <v>-1.8861989874597051E-7</v>
      </c>
      <c r="FK63">
        <v>1.1980462299894961E-10</v>
      </c>
      <c r="FL63">
        <v>0.18404795463265899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16.8</v>
      </c>
      <c r="FU63">
        <v>16.8</v>
      </c>
      <c r="FV63">
        <v>1.78833</v>
      </c>
      <c r="FW63">
        <v>2.5866699999999998</v>
      </c>
      <c r="FX63">
        <v>1.5490699999999999</v>
      </c>
      <c r="FY63">
        <v>2.3290999999999999</v>
      </c>
      <c r="FZ63">
        <v>1.50146</v>
      </c>
      <c r="GA63">
        <v>2.4072300000000002</v>
      </c>
      <c r="GB63">
        <v>34.077100000000002</v>
      </c>
      <c r="GC63">
        <v>23.973700000000001</v>
      </c>
      <c r="GD63">
        <v>19</v>
      </c>
      <c r="GE63">
        <v>262.73200000000003</v>
      </c>
      <c r="GF63">
        <v>597.29</v>
      </c>
      <c r="GG63">
        <v>18.3705</v>
      </c>
      <c r="GH63">
        <v>26.642399999999999</v>
      </c>
      <c r="GI63">
        <v>29.9999</v>
      </c>
      <c r="GJ63">
        <v>26.753399999999999</v>
      </c>
      <c r="GK63">
        <v>26.7288</v>
      </c>
      <c r="GL63">
        <v>35.7545</v>
      </c>
      <c r="GM63">
        <v>36.457299999999996</v>
      </c>
      <c r="GN63">
        <v>96.606999999999999</v>
      </c>
      <c r="GO63">
        <v>18.354500000000002</v>
      </c>
      <c r="GP63">
        <v>800</v>
      </c>
      <c r="GQ63">
        <v>16.673300000000001</v>
      </c>
      <c r="GR63">
        <v>99.715900000000005</v>
      </c>
      <c r="GS63">
        <v>99.5792</v>
      </c>
    </row>
    <row r="64" spans="1:201" x14ac:dyDescent="0.25">
      <c r="A64">
        <v>48</v>
      </c>
      <c r="B64">
        <v>1690307270</v>
      </c>
      <c r="C64">
        <v>651.40000009536743</v>
      </c>
      <c r="D64" t="s">
        <v>429</v>
      </c>
      <c r="E64" t="s">
        <v>430</v>
      </c>
      <c r="F64" t="s">
        <v>330</v>
      </c>
      <c r="H64">
        <v>1690307270</v>
      </c>
      <c r="I64">
        <f t="shared" si="0"/>
        <v>3.726164122066219E-4</v>
      </c>
      <c r="J64">
        <f t="shared" si="1"/>
        <v>0.37261641220662189</v>
      </c>
      <c r="K64">
        <f t="shared" si="2"/>
        <v>5.6486409033768021</v>
      </c>
      <c r="L64">
        <f t="shared" si="3"/>
        <v>738.44100000000003</v>
      </c>
      <c r="M64">
        <f t="shared" si="4"/>
        <v>375.99136248170254</v>
      </c>
      <c r="N64">
        <f t="shared" si="5"/>
        <v>37.344952551443576</v>
      </c>
      <c r="O64">
        <f t="shared" si="6"/>
        <v>73.344887300124</v>
      </c>
      <c r="P64">
        <f t="shared" si="7"/>
        <v>2.599750661901461E-2</v>
      </c>
      <c r="Q64">
        <f t="shared" si="8"/>
        <v>2.1954707537195968</v>
      </c>
      <c r="R64">
        <f t="shared" si="9"/>
        <v>2.5827686315233529E-2</v>
      </c>
      <c r="S64">
        <f t="shared" si="10"/>
        <v>1.6157469042464144E-2</v>
      </c>
      <c r="T64">
        <f t="shared" si="11"/>
        <v>276.11639017200002</v>
      </c>
      <c r="U64">
        <f t="shared" si="12"/>
        <v>26.269468131850427</v>
      </c>
      <c r="V64">
        <f t="shared" si="13"/>
        <v>26.269468131850427</v>
      </c>
      <c r="W64">
        <f t="shared" si="14"/>
        <v>3.4284381808321847</v>
      </c>
      <c r="X64">
        <f t="shared" si="15"/>
        <v>66.863851263914725</v>
      </c>
      <c r="Y64">
        <f t="shared" si="16"/>
        <v>2.0348997124500001</v>
      </c>
      <c r="Z64">
        <f t="shared" si="17"/>
        <v>3.0433480482871929</v>
      </c>
      <c r="AA64">
        <f t="shared" si="18"/>
        <v>1.3935384683821845</v>
      </c>
      <c r="AB64">
        <f t="shared" si="19"/>
        <v>-16.432383778312026</v>
      </c>
      <c r="AC64">
        <f t="shared" si="20"/>
        <v>-237.01657211234061</v>
      </c>
      <c r="AD64">
        <f t="shared" si="21"/>
        <v>-22.897505232634995</v>
      </c>
      <c r="AE64">
        <f t="shared" si="22"/>
        <v>-0.23007095128758692</v>
      </c>
      <c r="AF64">
        <v>16</v>
      </c>
      <c r="AG64">
        <v>5</v>
      </c>
      <c r="AH64">
        <f t="shared" si="23"/>
        <v>1</v>
      </c>
      <c r="AI64">
        <f t="shared" si="24"/>
        <v>0</v>
      </c>
      <c r="AJ64">
        <f t="shared" si="25"/>
        <v>52926.966609844443</v>
      </c>
      <c r="AK64">
        <f t="shared" si="26"/>
        <v>1800</v>
      </c>
      <c r="AL64">
        <f t="shared" si="27"/>
        <v>1499.1091812</v>
      </c>
      <c r="AM64">
        <f t="shared" si="28"/>
        <v>0.83283843400000002</v>
      </c>
      <c r="AN64">
        <f t="shared" si="29"/>
        <v>0.15339799454</v>
      </c>
      <c r="AO64">
        <v>31.2</v>
      </c>
      <c r="AP64">
        <v>0.5</v>
      </c>
      <c r="AQ64" t="s">
        <v>331</v>
      </c>
      <c r="AR64">
        <v>2</v>
      </c>
      <c r="AS64">
        <v>1690307270</v>
      </c>
      <c r="AT64">
        <v>738.44100000000003</v>
      </c>
      <c r="AU64">
        <v>800.00599999999997</v>
      </c>
      <c r="AV64">
        <v>20.487500000000001</v>
      </c>
      <c r="AW64">
        <v>16.694299999999998</v>
      </c>
      <c r="AX64">
        <v>738.45</v>
      </c>
      <c r="AY64">
        <v>20.3035</v>
      </c>
      <c r="AZ64">
        <v>300.20699999999999</v>
      </c>
      <c r="BA64">
        <v>99.224000000000004</v>
      </c>
      <c r="BB64">
        <v>9.9963999999999997E-2</v>
      </c>
      <c r="BC64">
        <v>24.266999999999999</v>
      </c>
      <c r="BD64">
        <v>27.125800000000002</v>
      </c>
      <c r="BE64">
        <v>26.1691</v>
      </c>
      <c r="BF64">
        <v>0</v>
      </c>
      <c r="BG64">
        <v>0</v>
      </c>
      <c r="BH64">
        <v>9995.6200000000008</v>
      </c>
      <c r="BI64">
        <v>1046.17</v>
      </c>
      <c r="BJ64">
        <v>1.62592</v>
      </c>
      <c r="BK64">
        <v>-61.565199999999997</v>
      </c>
      <c r="BL64">
        <v>753.88599999999997</v>
      </c>
      <c r="BM64">
        <v>813.58900000000006</v>
      </c>
      <c r="BN64">
        <v>3.7932399999999999</v>
      </c>
      <c r="BO64">
        <v>800.00599999999997</v>
      </c>
      <c r="BP64">
        <v>16.694299999999998</v>
      </c>
      <c r="BQ64">
        <v>2.0328499999999998</v>
      </c>
      <c r="BR64">
        <v>1.6564700000000001</v>
      </c>
      <c r="BS64">
        <v>17.7026</v>
      </c>
      <c r="BT64">
        <v>14.494400000000001</v>
      </c>
      <c r="BU64">
        <v>1800</v>
      </c>
      <c r="BV64">
        <v>0.90997700000000004</v>
      </c>
      <c r="BW64">
        <v>3.4008400000000001E-2</v>
      </c>
      <c r="BX64">
        <v>2.2005199999999999E-2</v>
      </c>
      <c r="BY64">
        <v>3.40098E-2</v>
      </c>
      <c r="BZ64">
        <v>25.333300000000001</v>
      </c>
      <c r="CA64">
        <v>33528.199999999997</v>
      </c>
      <c r="CB64">
        <v>1690306253.5999999</v>
      </c>
      <c r="CC64" t="s">
        <v>332</v>
      </c>
      <c r="CD64">
        <v>1690306253.5999999</v>
      </c>
      <c r="CE64">
        <v>1690306251.5999999</v>
      </c>
      <c r="CF64">
        <v>9</v>
      </c>
      <c r="CG64">
        <v>0.19</v>
      </c>
      <c r="CH64">
        <v>-8.7999999999999995E-2</v>
      </c>
      <c r="CI64">
        <v>-5.0999999999999997E-2</v>
      </c>
      <c r="CJ64">
        <v>5.0999999999999997E-2</v>
      </c>
      <c r="CK64">
        <v>799</v>
      </c>
      <c r="CL64">
        <v>15</v>
      </c>
      <c r="CM64">
        <v>0.28000000000000003</v>
      </c>
      <c r="CN64">
        <v>0.03</v>
      </c>
      <c r="CO64">
        <v>-59.597502499999997</v>
      </c>
      <c r="CP64">
        <v>-11.38358611632257</v>
      </c>
      <c r="CQ64">
        <v>1.0955457458471329</v>
      </c>
      <c r="CR64">
        <v>-1</v>
      </c>
      <c r="CS64">
        <v>3.7558942499999999</v>
      </c>
      <c r="CT64">
        <v>8.8202138836765837E-2</v>
      </c>
      <c r="CU64">
        <v>1.8376802345280319E-2</v>
      </c>
      <c r="CV64">
        <v>-1</v>
      </c>
      <c r="CW64">
        <v>0</v>
      </c>
      <c r="CX64">
        <v>0</v>
      </c>
      <c r="CY64" t="s">
        <v>333</v>
      </c>
      <c r="CZ64">
        <v>2.3641800000000002</v>
      </c>
      <c r="DA64">
        <v>2.7137500000000001</v>
      </c>
      <c r="DB64">
        <v>0.139074</v>
      </c>
      <c r="DC64">
        <v>0.14638699999999999</v>
      </c>
      <c r="DD64">
        <v>0.101813</v>
      </c>
      <c r="DE64">
        <v>8.6750300000000002E-2</v>
      </c>
      <c r="DF64">
        <v>31427.200000000001</v>
      </c>
      <c r="DG64">
        <v>27508.7</v>
      </c>
      <c r="DH64">
        <v>31164.9</v>
      </c>
      <c r="DI64">
        <v>28081.7</v>
      </c>
      <c r="DJ64">
        <v>38009.599999999999</v>
      </c>
      <c r="DK64">
        <v>36473.699999999997</v>
      </c>
      <c r="DL64">
        <v>44352.2</v>
      </c>
      <c r="DM64">
        <v>42571.1</v>
      </c>
      <c r="DN64">
        <v>1.4238999999999999</v>
      </c>
      <c r="DO64">
        <v>2.0475500000000002</v>
      </c>
      <c r="DP64">
        <v>0.14713399999999999</v>
      </c>
      <c r="DQ64">
        <v>0.12371699999999999</v>
      </c>
      <c r="DR64">
        <v>24.715299999999999</v>
      </c>
      <c r="DS64">
        <v>24.139700000000001</v>
      </c>
      <c r="DT64">
        <v>56.6</v>
      </c>
      <c r="DU64">
        <v>29.3</v>
      </c>
      <c r="DV64">
        <v>23.344000000000001</v>
      </c>
      <c r="DW64">
        <v>61.872999999999998</v>
      </c>
      <c r="DX64">
        <v>35.628999999999998</v>
      </c>
      <c r="DY64">
        <v>1</v>
      </c>
      <c r="DZ64">
        <v>-5.2998000000000003E-2</v>
      </c>
      <c r="EA64">
        <v>3.5434999999999999</v>
      </c>
      <c r="EB64">
        <v>20.146699999999999</v>
      </c>
      <c r="EC64">
        <v>5.2400500000000001</v>
      </c>
      <c r="ED64">
        <v>12.039899999999999</v>
      </c>
      <c r="EE64">
        <v>5.0163500000000001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1.8689199999999999</v>
      </c>
      <c r="EL64">
        <v>1.86463</v>
      </c>
      <c r="EM64">
        <v>1.8692</v>
      </c>
      <c r="EN64">
        <v>1.8672299999999999</v>
      </c>
      <c r="EO64">
        <v>1.8633999999999999</v>
      </c>
      <c r="EP64">
        <v>1.8644799999999999</v>
      </c>
      <c r="EQ64">
        <v>1.87016</v>
      </c>
      <c r="ER64">
        <v>1.86941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-8.9999999999999993E-3</v>
      </c>
      <c r="FG64">
        <v>0.184</v>
      </c>
      <c r="FH64">
        <v>0.49996858830924029</v>
      </c>
      <c r="FI64">
        <v>-6.1462078757559423E-4</v>
      </c>
      <c r="FJ64">
        <v>-1.8861989874597051E-7</v>
      </c>
      <c r="FK64">
        <v>1.1980462299894961E-10</v>
      </c>
      <c r="FL64">
        <v>0.18404795463265899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16.899999999999999</v>
      </c>
      <c r="FU64">
        <v>17</v>
      </c>
      <c r="FV64">
        <v>1.78833</v>
      </c>
      <c r="FW64">
        <v>2.5878899999999998</v>
      </c>
      <c r="FX64">
        <v>1.5490699999999999</v>
      </c>
      <c r="FY64">
        <v>2.3290999999999999</v>
      </c>
      <c r="FZ64">
        <v>1.50146</v>
      </c>
      <c r="GA64">
        <v>2.3840300000000001</v>
      </c>
      <c r="GB64">
        <v>34.077100000000002</v>
      </c>
      <c r="GC64">
        <v>23.973700000000001</v>
      </c>
      <c r="GD64">
        <v>19</v>
      </c>
      <c r="GE64">
        <v>262.798</v>
      </c>
      <c r="GF64">
        <v>596.88900000000001</v>
      </c>
      <c r="GG64">
        <v>18.306699999999999</v>
      </c>
      <c r="GH64">
        <v>26.6341</v>
      </c>
      <c r="GI64">
        <v>29.999700000000001</v>
      </c>
      <c r="GJ64">
        <v>26.749500000000001</v>
      </c>
      <c r="GK64">
        <v>26.725200000000001</v>
      </c>
      <c r="GL64">
        <v>35.749000000000002</v>
      </c>
      <c r="GM64">
        <v>36.771999999999998</v>
      </c>
      <c r="GN64">
        <v>96.230699999999999</v>
      </c>
      <c r="GO64">
        <v>18.291</v>
      </c>
      <c r="GP64">
        <v>800</v>
      </c>
      <c r="GQ64">
        <v>16.6282</v>
      </c>
      <c r="GR64">
        <v>99.716399999999993</v>
      </c>
      <c r="GS64">
        <v>99.580200000000005</v>
      </c>
    </row>
    <row r="65" spans="1:201" x14ac:dyDescent="0.25">
      <c r="A65">
        <v>49</v>
      </c>
      <c r="B65">
        <v>1690307280</v>
      </c>
      <c r="C65">
        <v>661.40000009536743</v>
      </c>
      <c r="D65" t="s">
        <v>431</v>
      </c>
      <c r="E65" t="s">
        <v>432</v>
      </c>
      <c r="F65" t="s">
        <v>330</v>
      </c>
      <c r="H65">
        <v>1690307280</v>
      </c>
      <c r="I65">
        <f t="shared" si="0"/>
        <v>3.7012899639710518E-4</v>
      </c>
      <c r="J65">
        <f t="shared" si="1"/>
        <v>0.37012899639710517</v>
      </c>
      <c r="K65">
        <f t="shared" si="2"/>
        <v>5.8249921380756744</v>
      </c>
      <c r="L65">
        <f t="shared" si="3"/>
        <v>736.64700000000005</v>
      </c>
      <c r="M65">
        <f t="shared" si="4"/>
        <v>361.68448247147023</v>
      </c>
      <c r="N65">
        <f t="shared" si="5"/>
        <v>35.924052327726223</v>
      </c>
      <c r="O65">
        <f t="shared" si="6"/>
        <v>73.166935983077408</v>
      </c>
      <c r="P65">
        <f t="shared" si="7"/>
        <v>2.586724308062743E-2</v>
      </c>
      <c r="Q65">
        <f t="shared" si="8"/>
        <v>2.1952445113726444</v>
      </c>
      <c r="R65">
        <f t="shared" si="9"/>
        <v>2.569909717734925E-2</v>
      </c>
      <c r="S65">
        <f t="shared" si="10"/>
        <v>1.6076951750987376E-2</v>
      </c>
      <c r="T65">
        <f t="shared" si="11"/>
        <v>276.11469970092401</v>
      </c>
      <c r="U65">
        <f t="shared" si="12"/>
        <v>26.230460182826825</v>
      </c>
      <c r="V65">
        <f t="shared" si="13"/>
        <v>26.230460182826825</v>
      </c>
      <c r="W65">
        <f t="shared" si="14"/>
        <v>3.420548451510006</v>
      </c>
      <c r="X65">
        <f t="shared" si="15"/>
        <v>66.839855567326765</v>
      </c>
      <c r="Y65">
        <f t="shared" si="16"/>
        <v>2.0292845180617802</v>
      </c>
      <c r="Z65">
        <f t="shared" si="17"/>
        <v>3.0360396515484882</v>
      </c>
      <c r="AA65">
        <f t="shared" si="18"/>
        <v>1.3912639334482257</v>
      </c>
      <c r="AB65">
        <f t="shared" si="19"/>
        <v>-16.322688741112337</v>
      </c>
      <c r="AC65">
        <f t="shared" si="20"/>
        <v>-237.12139191046845</v>
      </c>
      <c r="AD65">
        <f t="shared" si="21"/>
        <v>-22.900879576678427</v>
      </c>
      <c r="AE65">
        <f t="shared" si="22"/>
        <v>-0.23026052733519009</v>
      </c>
      <c r="AF65">
        <v>16</v>
      </c>
      <c r="AG65">
        <v>5</v>
      </c>
      <c r="AH65">
        <f t="shared" si="23"/>
        <v>1</v>
      </c>
      <c r="AI65">
        <f t="shared" si="24"/>
        <v>0</v>
      </c>
      <c r="AJ65">
        <f t="shared" si="25"/>
        <v>52924.767645345208</v>
      </c>
      <c r="AK65">
        <f t="shared" si="26"/>
        <v>1799.99</v>
      </c>
      <c r="AL65">
        <f t="shared" si="27"/>
        <v>1499.10116061395</v>
      </c>
      <c r="AM65">
        <f t="shared" si="28"/>
        <v>0.83283860499999995</v>
      </c>
      <c r="AN65">
        <f t="shared" si="29"/>
        <v>0.15339790759999999</v>
      </c>
      <c r="AO65">
        <v>31.2</v>
      </c>
      <c r="AP65">
        <v>0.5</v>
      </c>
      <c r="AQ65" t="s">
        <v>331</v>
      </c>
      <c r="AR65">
        <v>2</v>
      </c>
      <c r="AS65">
        <v>1690307280</v>
      </c>
      <c r="AT65">
        <v>736.64700000000005</v>
      </c>
      <c r="AU65">
        <v>800.03399999999999</v>
      </c>
      <c r="AV65">
        <v>20.430900000000001</v>
      </c>
      <c r="AW65">
        <v>16.661899999999999</v>
      </c>
      <c r="AX65">
        <v>736.65499999999997</v>
      </c>
      <c r="AY65">
        <v>20.2469</v>
      </c>
      <c r="AZ65">
        <v>300.13499999999999</v>
      </c>
      <c r="BA65">
        <v>99.224299999999999</v>
      </c>
      <c r="BB65">
        <v>9.9984199999999995E-2</v>
      </c>
      <c r="BC65">
        <v>24.226900000000001</v>
      </c>
      <c r="BD65">
        <v>27.0991</v>
      </c>
      <c r="BE65">
        <v>26.093</v>
      </c>
      <c r="BF65">
        <v>0</v>
      </c>
      <c r="BG65">
        <v>0</v>
      </c>
      <c r="BH65">
        <v>9993.75</v>
      </c>
      <c r="BI65">
        <v>1045.31</v>
      </c>
      <c r="BJ65">
        <v>1.62592</v>
      </c>
      <c r="BK65">
        <v>-63.386699999999998</v>
      </c>
      <c r="BL65">
        <v>752.01199999999994</v>
      </c>
      <c r="BM65">
        <v>813.59</v>
      </c>
      <c r="BN65">
        <v>3.7690299999999999</v>
      </c>
      <c r="BO65">
        <v>800.03399999999999</v>
      </c>
      <c r="BP65">
        <v>16.661899999999999</v>
      </c>
      <c r="BQ65">
        <v>2.0272399999999999</v>
      </c>
      <c r="BR65">
        <v>1.65326</v>
      </c>
      <c r="BS65">
        <v>17.6587</v>
      </c>
      <c r="BT65">
        <v>14.464399999999999</v>
      </c>
      <c r="BU65">
        <v>1799.99</v>
      </c>
      <c r="BV65">
        <v>0.90998000000000001</v>
      </c>
      <c r="BW65">
        <v>3.4007200000000001E-2</v>
      </c>
      <c r="BX65">
        <v>2.20045E-2</v>
      </c>
      <c r="BY65">
        <v>3.40086E-2</v>
      </c>
      <c r="BZ65">
        <v>25.625</v>
      </c>
      <c r="CA65">
        <v>33528.1</v>
      </c>
      <c r="CB65">
        <v>1690306253.5999999</v>
      </c>
      <c r="CC65" t="s">
        <v>332</v>
      </c>
      <c r="CD65">
        <v>1690306253.5999999</v>
      </c>
      <c r="CE65">
        <v>1690306251.5999999</v>
      </c>
      <c r="CF65">
        <v>9</v>
      </c>
      <c r="CG65">
        <v>0.19</v>
      </c>
      <c r="CH65">
        <v>-8.7999999999999995E-2</v>
      </c>
      <c r="CI65">
        <v>-5.0999999999999997E-2</v>
      </c>
      <c r="CJ65">
        <v>5.0999999999999997E-2</v>
      </c>
      <c r="CK65">
        <v>799</v>
      </c>
      <c r="CL65">
        <v>15</v>
      </c>
      <c r="CM65">
        <v>0.28000000000000003</v>
      </c>
      <c r="CN65">
        <v>0.03</v>
      </c>
      <c r="CO65">
        <v>-61.491965853658527</v>
      </c>
      <c r="CP65">
        <v>-10.77634494773517</v>
      </c>
      <c r="CQ65">
        <v>1.0628905061681191</v>
      </c>
      <c r="CR65">
        <v>-1</v>
      </c>
      <c r="CS65">
        <v>3.7688304878048782</v>
      </c>
      <c r="CT65">
        <v>0.10705860627178219</v>
      </c>
      <c r="CU65">
        <v>2.1541374024978011E-2</v>
      </c>
      <c r="CV65">
        <v>-1</v>
      </c>
      <c r="CW65">
        <v>0</v>
      </c>
      <c r="CX65">
        <v>0</v>
      </c>
      <c r="CY65" t="s">
        <v>333</v>
      </c>
      <c r="CZ65">
        <v>2.36395</v>
      </c>
      <c r="DA65">
        <v>2.7137699999999998</v>
      </c>
      <c r="DB65">
        <v>0.138844</v>
      </c>
      <c r="DC65">
        <v>0.14638899999999999</v>
      </c>
      <c r="DD65">
        <v>0.10161100000000001</v>
      </c>
      <c r="DE65">
        <v>8.6628200000000002E-2</v>
      </c>
      <c r="DF65">
        <v>31436.1</v>
      </c>
      <c r="DG65">
        <v>27508.7</v>
      </c>
      <c r="DH65">
        <v>31165.200000000001</v>
      </c>
      <c r="DI65">
        <v>28081.7</v>
      </c>
      <c r="DJ65">
        <v>38018.6</v>
      </c>
      <c r="DK65">
        <v>36478.6</v>
      </c>
      <c r="DL65">
        <v>44352.7</v>
      </c>
      <c r="DM65">
        <v>42571.1</v>
      </c>
      <c r="DN65">
        <v>1.4238500000000001</v>
      </c>
      <c r="DO65">
        <v>2.04752</v>
      </c>
      <c r="DP65">
        <v>0.147983</v>
      </c>
      <c r="DQ65">
        <v>0.12166100000000001</v>
      </c>
      <c r="DR65">
        <v>24.674600000000002</v>
      </c>
      <c r="DS65">
        <v>24.097100000000001</v>
      </c>
      <c r="DT65">
        <v>56.5</v>
      </c>
      <c r="DU65">
        <v>29.3</v>
      </c>
      <c r="DV65">
        <v>23.298100000000002</v>
      </c>
      <c r="DW65">
        <v>61.683</v>
      </c>
      <c r="DX65">
        <v>36.181899999999999</v>
      </c>
      <c r="DY65">
        <v>1</v>
      </c>
      <c r="DZ65">
        <v>-5.3379099999999999E-2</v>
      </c>
      <c r="EA65">
        <v>3.5389400000000002</v>
      </c>
      <c r="EB65">
        <v>20.146999999999998</v>
      </c>
      <c r="EC65">
        <v>5.2401999999999997</v>
      </c>
      <c r="ED65">
        <v>12.039899999999999</v>
      </c>
      <c r="EE65">
        <v>5.0165499999999996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1.8689199999999999</v>
      </c>
      <c r="EL65">
        <v>1.8646199999999999</v>
      </c>
      <c r="EM65">
        <v>1.8692</v>
      </c>
      <c r="EN65">
        <v>1.8672500000000001</v>
      </c>
      <c r="EO65">
        <v>1.8633999999999999</v>
      </c>
      <c r="EP65">
        <v>1.8644700000000001</v>
      </c>
      <c r="EQ65">
        <v>1.87018</v>
      </c>
      <c r="ER65">
        <v>1.86944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-8.0000000000000002E-3</v>
      </c>
      <c r="FG65">
        <v>0.184</v>
      </c>
      <c r="FH65">
        <v>0.49996858830924029</v>
      </c>
      <c r="FI65">
        <v>-6.1462078757559423E-4</v>
      </c>
      <c r="FJ65">
        <v>-1.8861989874597051E-7</v>
      </c>
      <c r="FK65">
        <v>1.1980462299894961E-10</v>
      </c>
      <c r="FL65">
        <v>0.18404795463265899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17.100000000000001</v>
      </c>
      <c r="FU65">
        <v>17.100000000000001</v>
      </c>
      <c r="FV65">
        <v>1.78833</v>
      </c>
      <c r="FW65">
        <v>2.5891099999999998</v>
      </c>
      <c r="FX65">
        <v>1.5490699999999999</v>
      </c>
      <c r="FY65">
        <v>2.3303199999999999</v>
      </c>
      <c r="FZ65">
        <v>1.50024</v>
      </c>
      <c r="GA65">
        <v>2.34253</v>
      </c>
      <c r="GB65">
        <v>34.077100000000002</v>
      </c>
      <c r="GC65">
        <v>23.9649</v>
      </c>
      <c r="GD65">
        <v>19</v>
      </c>
      <c r="GE65">
        <v>262.76</v>
      </c>
      <c r="GF65">
        <v>596.84199999999998</v>
      </c>
      <c r="GG65">
        <v>18.247399999999999</v>
      </c>
      <c r="GH65">
        <v>26.6266</v>
      </c>
      <c r="GI65">
        <v>29.999700000000001</v>
      </c>
      <c r="GJ65">
        <v>26.7453</v>
      </c>
      <c r="GK65">
        <v>26.722899999999999</v>
      </c>
      <c r="GL65">
        <v>35.744599999999998</v>
      </c>
      <c r="GM65">
        <v>37.197099999999999</v>
      </c>
      <c r="GN65">
        <v>95.848200000000006</v>
      </c>
      <c r="GO65">
        <v>18.234400000000001</v>
      </c>
      <c r="GP65">
        <v>800</v>
      </c>
      <c r="GQ65">
        <v>16.5063</v>
      </c>
      <c r="GR65">
        <v>99.717600000000004</v>
      </c>
      <c r="GS65">
        <v>99.580299999999994</v>
      </c>
    </row>
    <row r="66" spans="1:201" x14ac:dyDescent="0.25">
      <c r="A66">
        <v>50</v>
      </c>
      <c r="B66">
        <v>1690307290</v>
      </c>
      <c r="C66">
        <v>671.40000009536743</v>
      </c>
      <c r="D66" t="s">
        <v>433</v>
      </c>
      <c r="E66" t="s">
        <v>434</v>
      </c>
      <c r="F66" t="s">
        <v>330</v>
      </c>
      <c r="H66">
        <v>1690307290</v>
      </c>
      <c r="I66">
        <f t="shared" si="0"/>
        <v>3.7915953542307616E-4</v>
      </c>
      <c r="J66">
        <f t="shared" si="1"/>
        <v>0.37915953542307618</v>
      </c>
      <c r="K66">
        <f t="shared" si="2"/>
        <v>6.0053989181993472</v>
      </c>
      <c r="L66">
        <f t="shared" si="3"/>
        <v>734.70399999999995</v>
      </c>
      <c r="M66">
        <f t="shared" si="4"/>
        <v>359.59966119932466</v>
      </c>
      <c r="N66">
        <f t="shared" si="5"/>
        <v>35.716503772193128</v>
      </c>
      <c r="O66">
        <f t="shared" si="6"/>
        <v>72.97297806101119</v>
      </c>
      <c r="P66">
        <f t="shared" si="7"/>
        <v>2.6653688404593732E-2</v>
      </c>
      <c r="Q66">
        <f t="shared" si="8"/>
        <v>2.196918399720031</v>
      </c>
      <c r="R66">
        <f t="shared" si="9"/>
        <v>2.6475335831760777E-2</v>
      </c>
      <c r="S66">
        <f t="shared" si="10"/>
        <v>1.656300956677768E-2</v>
      </c>
      <c r="T66">
        <f t="shared" si="11"/>
        <v>276.11617310999998</v>
      </c>
      <c r="U66">
        <f t="shared" si="12"/>
        <v>26.167711629345131</v>
      </c>
      <c r="V66">
        <f t="shared" si="13"/>
        <v>26.167711629345131</v>
      </c>
      <c r="W66">
        <f t="shared" si="14"/>
        <v>3.4078902241193161</v>
      </c>
      <c r="X66">
        <f t="shared" si="15"/>
        <v>66.911654989830197</v>
      </c>
      <c r="Y66">
        <f t="shared" si="16"/>
        <v>2.0243608986044799</v>
      </c>
      <c r="Z66">
        <f t="shared" si="17"/>
        <v>3.0254234466509002</v>
      </c>
      <c r="AA66">
        <f t="shared" si="18"/>
        <v>1.3835293255148362</v>
      </c>
      <c r="AB66">
        <f t="shared" si="19"/>
        <v>-16.720935512157659</v>
      </c>
      <c r="AC66">
        <f t="shared" si="20"/>
        <v>-236.78715470231629</v>
      </c>
      <c r="AD66">
        <f t="shared" si="21"/>
        <v>-22.837252872258329</v>
      </c>
      <c r="AE66">
        <f t="shared" si="22"/>
        <v>-0.22916997673229389</v>
      </c>
      <c r="AF66">
        <v>16</v>
      </c>
      <c r="AG66">
        <v>5</v>
      </c>
      <c r="AH66">
        <f t="shared" si="23"/>
        <v>1</v>
      </c>
      <c r="AI66">
        <f t="shared" si="24"/>
        <v>0</v>
      </c>
      <c r="AJ66">
        <f t="shared" si="25"/>
        <v>53004.325552584174</v>
      </c>
      <c r="AK66">
        <f t="shared" si="26"/>
        <v>1800</v>
      </c>
      <c r="AL66">
        <f t="shared" si="27"/>
        <v>1499.109903</v>
      </c>
      <c r="AM66">
        <f t="shared" si="28"/>
        <v>0.832838835</v>
      </c>
      <c r="AN66">
        <f t="shared" si="29"/>
        <v>0.15339787394999999</v>
      </c>
      <c r="AO66">
        <v>31.2</v>
      </c>
      <c r="AP66">
        <v>0.5</v>
      </c>
      <c r="AQ66" t="s">
        <v>331</v>
      </c>
      <c r="AR66">
        <v>2</v>
      </c>
      <c r="AS66">
        <v>1690307290</v>
      </c>
      <c r="AT66">
        <v>734.70399999999995</v>
      </c>
      <c r="AU66">
        <v>800.04899999999998</v>
      </c>
      <c r="AV66">
        <v>20.381599999999999</v>
      </c>
      <c r="AW66">
        <v>16.519200000000001</v>
      </c>
      <c r="AX66">
        <v>734.70899999999995</v>
      </c>
      <c r="AY66">
        <v>20.197500000000002</v>
      </c>
      <c r="AZ66">
        <v>300.03800000000001</v>
      </c>
      <c r="BA66">
        <v>99.222999999999999</v>
      </c>
      <c r="BB66">
        <v>9.9962800000000004E-2</v>
      </c>
      <c r="BC66">
        <v>24.168500000000002</v>
      </c>
      <c r="BD66">
        <v>27.040500000000002</v>
      </c>
      <c r="BE66">
        <v>26.0473</v>
      </c>
      <c r="BF66">
        <v>0</v>
      </c>
      <c r="BG66">
        <v>0</v>
      </c>
      <c r="BH66">
        <v>10007.5</v>
      </c>
      <c r="BI66">
        <v>1044.54</v>
      </c>
      <c r="BJ66">
        <v>1.62592</v>
      </c>
      <c r="BK66">
        <v>-65.345200000000006</v>
      </c>
      <c r="BL66">
        <v>749.99</v>
      </c>
      <c r="BM66">
        <v>813.48699999999997</v>
      </c>
      <c r="BN66">
        <v>3.8623500000000002</v>
      </c>
      <c r="BO66">
        <v>800.04899999999998</v>
      </c>
      <c r="BP66">
        <v>16.519200000000001</v>
      </c>
      <c r="BQ66">
        <v>2.0223200000000001</v>
      </c>
      <c r="BR66">
        <v>1.6390899999999999</v>
      </c>
      <c r="BS66">
        <v>17.620200000000001</v>
      </c>
      <c r="BT66">
        <v>14.331300000000001</v>
      </c>
      <c r="BU66">
        <v>1800</v>
      </c>
      <c r="BV66">
        <v>0.90998199999999996</v>
      </c>
      <c r="BW66">
        <v>3.4006500000000002E-2</v>
      </c>
      <c r="BX66">
        <v>2.2003999999999999E-2</v>
      </c>
      <c r="BY66">
        <v>3.4007900000000001E-2</v>
      </c>
      <c r="BZ66">
        <v>25.541699999999999</v>
      </c>
      <c r="CA66">
        <v>33528.300000000003</v>
      </c>
      <c r="CB66">
        <v>1690306253.5999999</v>
      </c>
      <c r="CC66" t="s">
        <v>332</v>
      </c>
      <c r="CD66">
        <v>1690306253.5999999</v>
      </c>
      <c r="CE66">
        <v>1690306251.5999999</v>
      </c>
      <c r="CF66">
        <v>9</v>
      </c>
      <c r="CG66">
        <v>0.19</v>
      </c>
      <c r="CH66">
        <v>-8.7999999999999995E-2</v>
      </c>
      <c r="CI66">
        <v>-5.0999999999999997E-2</v>
      </c>
      <c r="CJ66">
        <v>5.0999999999999997E-2</v>
      </c>
      <c r="CK66">
        <v>799</v>
      </c>
      <c r="CL66">
        <v>15</v>
      </c>
      <c r="CM66">
        <v>0.28000000000000003</v>
      </c>
      <c r="CN66">
        <v>0.03</v>
      </c>
      <c r="CO66">
        <v>-63.136209756097557</v>
      </c>
      <c r="CP66">
        <v>-11.211934494773621</v>
      </c>
      <c r="CQ66">
        <v>1.105989151978926</v>
      </c>
      <c r="CR66">
        <v>-1</v>
      </c>
      <c r="CS66">
        <v>3.796811463414635</v>
      </c>
      <c r="CT66">
        <v>0.17512076655052711</v>
      </c>
      <c r="CU66">
        <v>2.643834037455561E-2</v>
      </c>
      <c r="CV66">
        <v>-1</v>
      </c>
      <c r="CW66">
        <v>0</v>
      </c>
      <c r="CX66">
        <v>0</v>
      </c>
      <c r="CY66" t="s">
        <v>333</v>
      </c>
      <c r="CZ66">
        <v>2.3636400000000002</v>
      </c>
      <c r="DA66">
        <v>2.7137600000000002</v>
      </c>
      <c r="DB66">
        <v>0.138595</v>
      </c>
      <c r="DC66">
        <v>0.14638899999999999</v>
      </c>
      <c r="DD66">
        <v>0.101435</v>
      </c>
      <c r="DE66">
        <v>8.6090600000000003E-2</v>
      </c>
      <c r="DF66">
        <v>31445.1</v>
      </c>
      <c r="DG66">
        <v>27509.7</v>
      </c>
      <c r="DH66">
        <v>31165.200000000001</v>
      </c>
      <c r="DI66">
        <v>28082.6</v>
      </c>
      <c r="DJ66">
        <v>38026.300000000003</v>
      </c>
      <c r="DK66">
        <v>36501.199999999997</v>
      </c>
      <c r="DL66">
        <v>44352.9</v>
      </c>
      <c r="DM66">
        <v>42572.4</v>
      </c>
      <c r="DN66">
        <v>1.4239299999999999</v>
      </c>
      <c r="DO66">
        <v>2.0475699999999999</v>
      </c>
      <c r="DP66">
        <v>0.14685100000000001</v>
      </c>
      <c r="DQ66">
        <v>0.121459</v>
      </c>
      <c r="DR66">
        <v>24.6343</v>
      </c>
      <c r="DS66">
        <v>24.054600000000001</v>
      </c>
      <c r="DT66">
        <v>56.5</v>
      </c>
      <c r="DU66">
        <v>29.3</v>
      </c>
      <c r="DV66">
        <v>23.298200000000001</v>
      </c>
      <c r="DW66">
        <v>61.253</v>
      </c>
      <c r="DX66">
        <v>36.314100000000003</v>
      </c>
      <c r="DY66">
        <v>1</v>
      </c>
      <c r="DZ66">
        <v>-5.4044700000000001E-2</v>
      </c>
      <c r="EA66">
        <v>3.5175100000000001</v>
      </c>
      <c r="EB66">
        <v>20.147400000000001</v>
      </c>
      <c r="EC66">
        <v>5.2400500000000001</v>
      </c>
      <c r="ED66">
        <v>12.039899999999999</v>
      </c>
      <c r="EE66">
        <v>5.0167000000000002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1.8689199999999999</v>
      </c>
      <c r="EL66">
        <v>1.8646199999999999</v>
      </c>
      <c r="EM66">
        <v>1.8692</v>
      </c>
      <c r="EN66">
        <v>1.86724</v>
      </c>
      <c r="EO66">
        <v>1.86338</v>
      </c>
      <c r="EP66">
        <v>1.8644700000000001</v>
      </c>
      <c r="EQ66">
        <v>1.8701700000000001</v>
      </c>
      <c r="ER66">
        <v>1.8694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-5.0000000000000001E-3</v>
      </c>
      <c r="FG66">
        <v>0.18410000000000001</v>
      </c>
      <c r="FH66">
        <v>0.49996858830924029</v>
      </c>
      <c r="FI66">
        <v>-6.1462078757559423E-4</v>
      </c>
      <c r="FJ66">
        <v>-1.8861989874597051E-7</v>
      </c>
      <c r="FK66">
        <v>1.1980462299894961E-10</v>
      </c>
      <c r="FL66">
        <v>0.18404795463265899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17.3</v>
      </c>
      <c r="FU66">
        <v>17.3</v>
      </c>
      <c r="FV66">
        <v>1.78711</v>
      </c>
      <c r="FW66">
        <v>2.5964399999999999</v>
      </c>
      <c r="FX66">
        <v>1.5490699999999999</v>
      </c>
      <c r="FY66">
        <v>2.3303199999999999</v>
      </c>
      <c r="FZ66">
        <v>1.50146</v>
      </c>
      <c r="GA66">
        <v>2.3034699999999999</v>
      </c>
      <c r="GB66">
        <v>34.077100000000002</v>
      </c>
      <c r="GC66">
        <v>23.9649</v>
      </c>
      <c r="GD66">
        <v>19</v>
      </c>
      <c r="GE66">
        <v>262.77300000000002</v>
      </c>
      <c r="GF66">
        <v>596.84400000000005</v>
      </c>
      <c r="GG66">
        <v>18.1966</v>
      </c>
      <c r="GH66">
        <v>26.6189</v>
      </c>
      <c r="GI66">
        <v>29.999700000000001</v>
      </c>
      <c r="GJ66">
        <v>26.741</v>
      </c>
      <c r="GK66">
        <v>26.7194</v>
      </c>
      <c r="GL66">
        <v>35.7438</v>
      </c>
      <c r="GM66">
        <v>37.477800000000002</v>
      </c>
      <c r="GN66">
        <v>95.848200000000006</v>
      </c>
      <c r="GO66">
        <v>18.186699999999998</v>
      </c>
      <c r="GP66">
        <v>800</v>
      </c>
      <c r="GQ66">
        <v>16.4544</v>
      </c>
      <c r="GR66">
        <v>99.717799999999997</v>
      </c>
      <c r="GS66">
        <v>99.583500000000001</v>
      </c>
    </row>
    <row r="67" spans="1:201" x14ac:dyDescent="0.25">
      <c r="A67">
        <v>51</v>
      </c>
      <c r="B67">
        <v>1690307300</v>
      </c>
      <c r="C67">
        <v>681.40000009536743</v>
      </c>
      <c r="D67" t="s">
        <v>435</v>
      </c>
      <c r="E67" t="s">
        <v>436</v>
      </c>
      <c r="F67" t="s">
        <v>330</v>
      </c>
      <c r="H67">
        <v>1690307300</v>
      </c>
      <c r="I67">
        <f t="shared" si="0"/>
        <v>3.8378150441535712E-4</v>
      </c>
      <c r="J67">
        <f t="shared" si="1"/>
        <v>0.38378150441535713</v>
      </c>
      <c r="K67">
        <f t="shared" si="2"/>
        <v>6.1964157174292946</v>
      </c>
      <c r="L67">
        <f t="shared" si="3"/>
        <v>732.71699999999998</v>
      </c>
      <c r="M67">
        <f t="shared" si="4"/>
        <v>352.17349692730227</v>
      </c>
      <c r="N67">
        <f t="shared" si="5"/>
        <v>34.980026664447358</v>
      </c>
      <c r="O67">
        <f t="shared" si="6"/>
        <v>72.777935935323001</v>
      </c>
      <c r="P67">
        <f t="shared" si="7"/>
        <v>2.7086584972803113E-2</v>
      </c>
      <c r="Q67">
        <f t="shared" si="8"/>
        <v>2.1897217117024925</v>
      </c>
      <c r="R67">
        <f t="shared" si="9"/>
        <v>2.6901812680981491E-2</v>
      </c>
      <c r="S67">
        <f t="shared" si="10"/>
        <v>1.6830128800606865E-2</v>
      </c>
      <c r="T67">
        <f t="shared" si="11"/>
        <v>276.11584038000001</v>
      </c>
      <c r="U67">
        <f t="shared" si="12"/>
        <v>26.12151920800456</v>
      </c>
      <c r="V67">
        <f t="shared" si="13"/>
        <v>26.12151920800456</v>
      </c>
      <c r="W67">
        <f t="shared" si="14"/>
        <v>3.3985980162096063</v>
      </c>
      <c r="X67">
        <f t="shared" si="15"/>
        <v>66.979681363097043</v>
      </c>
      <c r="Y67">
        <f t="shared" si="16"/>
        <v>2.0202634626243001</v>
      </c>
      <c r="Z67">
        <f t="shared" si="17"/>
        <v>3.0162333136111026</v>
      </c>
      <c r="AA67">
        <f t="shared" si="18"/>
        <v>1.3783345535853062</v>
      </c>
      <c r="AB67">
        <f t="shared" si="19"/>
        <v>-16.92476434471725</v>
      </c>
      <c r="AC67">
        <f t="shared" si="20"/>
        <v>-236.54361481589197</v>
      </c>
      <c r="AD67">
        <f t="shared" si="21"/>
        <v>-22.877589727166566</v>
      </c>
      <c r="AE67">
        <f t="shared" si="22"/>
        <v>-0.23012850777578819</v>
      </c>
      <c r="AF67">
        <v>16</v>
      </c>
      <c r="AG67">
        <v>5</v>
      </c>
      <c r="AH67">
        <f t="shared" si="23"/>
        <v>1</v>
      </c>
      <c r="AI67">
        <f t="shared" si="24"/>
        <v>0</v>
      </c>
      <c r="AJ67">
        <f t="shared" si="25"/>
        <v>52716.317479447673</v>
      </c>
      <c r="AK67">
        <f t="shared" si="26"/>
        <v>1800</v>
      </c>
      <c r="AL67">
        <f t="shared" si="27"/>
        <v>1499.1088049999998</v>
      </c>
      <c r="AM67">
        <f t="shared" si="28"/>
        <v>0.83283822499999993</v>
      </c>
      <c r="AN67">
        <f t="shared" si="29"/>
        <v>0.15339768910000001</v>
      </c>
      <c r="AO67">
        <v>31.2</v>
      </c>
      <c r="AP67">
        <v>0.5</v>
      </c>
      <c r="AQ67" t="s">
        <v>331</v>
      </c>
      <c r="AR67">
        <v>2</v>
      </c>
      <c r="AS67">
        <v>1690307300</v>
      </c>
      <c r="AT67">
        <v>732.71699999999998</v>
      </c>
      <c r="AU67">
        <v>800.04899999999998</v>
      </c>
      <c r="AV67">
        <v>20.339700000000001</v>
      </c>
      <c r="AW67">
        <v>16.4316</v>
      </c>
      <c r="AX67">
        <v>732.72199999999998</v>
      </c>
      <c r="AY67">
        <v>20.1557</v>
      </c>
      <c r="AZ67">
        <v>300.15699999999998</v>
      </c>
      <c r="BA67">
        <v>99.226100000000002</v>
      </c>
      <c r="BB67">
        <v>0.100019</v>
      </c>
      <c r="BC67">
        <v>24.117799999999999</v>
      </c>
      <c r="BD67">
        <v>26.980399999999999</v>
      </c>
      <c r="BE67">
        <v>26.001200000000001</v>
      </c>
      <c r="BF67">
        <v>0</v>
      </c>
      <c r="BG67">
        <v>0</v>
      </c>
      <c r="BH67">
        <v>9948.75</v>
      </c>
      <c r="BI67">
        <v>1043.79</v>
      </c>
      <c r="BJ67">
        <v>1.62592</v>
      </c>
      <c r="BK67">
        <v>-67.331500000000005</v>
      </c>
      <c r="BL67">
        <v>747.93</v>
      </c>
      <c r="BM67">
        <v>813.41399999999999</v>
      </c>
      <c r="BN67">
        <v>3.9081399999999999</v>
      </c>
      <c r="BO67">
        <v>800.04899999999998</v>
      </c>
      <c r="BP67">
        <v>16.4316</v>
      </c>
      <c r="BQ67">
        <v>2.01823</v>
      </c>
      <c r="BR67">
        <v>1.6304399999999999</v>
      </c>
      <c r="BS67">
        <v>17.588100000000001</v>
      </c>
      <c r="BT67">
        <v>14.249599999999999</v>
      </c>
      <c r="BU67">
        <v>1800</v>
      </c>
      <c r="BV67">
        <v>0.90998299999999999</v>
      </c>
      <c r="BW67">
        <v>3.4005800000000003E-2</v>
      </c>
      <c r="BX67">
        <v>2.2003499999999999E-2</v>
      </c>
      <c r="BY67">
        <v>3.4007200000000001E-2</v>
      </c>
      <c r="BZ67">
        <v>25.666699999999999</v>
      </c>
      <c r="CA67">
        <v>33528.300000000003</v>
      </c>
      <c r="CB67">
        <v>1690306253.5999999</v>
      </c>
      <c r="CC67" t="s">
        <v>332</v>
      </c>
      <c r="CD67">
        <v>1690306253.5999999</v>
      </c>
      <c r="CE67">
        <v>1690306251.5999999</v>
      </c>
      <c r="CF67">
        <v>9</v>
      </c>
      <c r="CG67">
        <v>0.19</v>
      </c>
      <c r="CH67">
        <v>-8.7999999999999995E-2</v>
      </c>
      <c r="CI67">
        <v>-5.0999999999999997E-2</v>
      </c>
      <c r="CJ67">
        <v>5.0999999999999997E-2</v>
      </c>
      <c r="CK67">
        <v>799</v>
      </c>
      <c r="CL67">
        <v>15</v>
      </c>
      <c r="CM67">
        <v>0.28000000000000003</v>
      </c>
      <c r="CN67">
        <v>0.03</v>
      </c>
      <c r="CO67">
        <v>-65.043987804878043</v>
      </c>
      <c r="CP67">
        <v>-11.7671540069688</v>
      </c>
      <c r="CQ67">
        <v>1.160645607387905</v>
      </c>
      <c r="CR67">
        <v>-1</v>
      </c>
      <c r="CS67">
        <v>3.8348375609756098</v>
      </c>
      <c r="CT67">
        <v>0.29325972125435279</v>
      </c>
      <c r="CU67">
        <v>3.2671209432135771E-2</v>
      </c>
      <c r="CV67">
        <v>-1</v>
      </c>
      <c r="CW67">
        <v>0</v>
      </c>
      <c r="CX67">
        <v>0</v>
      </c>
      <c r="CY67" t="s">
        <v>333</v>
      </c>
      <c r="CZ67">
        <v>2.3640300000000001</v>
      </c>
      <c r="DA67">
        <v>2.7137600000000002</v>
      </c>
      <c r="DB67">
        <v>0.138346</v>
      </c>
      <c r="DC67">
        <v>0.146393</v>
      </c>
      <c r="DD67">
        <v>0.101289</v>
      </c>
      <c r="DE67">
        <v>8.5762400000000003E-2</v>
      </c>
      <c r="DF67">
        <v>31454.5</v>
      </c>
      <c r="DG67">
        <v>27509.599999999999</v>
      </c>
      <c r="DH67">
        <v>31165.5</v>
      </c>
      <c r="DI67">
        <v>28082.6</v>
      </c>
      <c r="DJ67">
        <v>38032.800000000003</v>
      </c>
      <c r="DK67">
        <v>36514.5</v>
      </c>
      <c r="DL67">
        <v>44353.3</v>
      </c>
      <c r="DM67">
        <v>42572.7</v>
      </c>
      <c r="DN67">
        <v>1.42405</v>
      </c>
      <c r="DO67">
        <v>2.0472999999999999</v>
      </c>
      <c r="DP67">
        <v>0.14549500000000001</v>
      </c>
      <c r="DQ67">
        <v>0.12098299999999999</v>
      </c>
      <c r="DR67">
        <v>24.596299999999999</v>
      </c>
      <c r="DS67">
        <v>24.016200000000001</v>
      </c>
      <c r="DT67">
        <v>56.5</v>
      </c>
      <c r="DU67">
        <v>29.3</v>
      </c>
      <c r="DV67">
        <v>23.299600000000002</v>
      </c>
      <c r="DW67">
        <v>61.722999999999999</v>
      </c>
      <c r="DX67">
        <v>35.817300000000003</v>
      </c>
      <c r="DY67">
        <v>1</v>
      </c>
      <c r="DZ67">
        <v>-5.4334300000000002E-2</v>
      </c>
      <c r="EA67">
        <v>3.5001899999999999</v>
      </c>
      <c r="EB67">
        <v>20.1477</v>
      </c>
      <c r="EC67">
        <v>5.2394499999999997</v>
      </c>
      <c r="ED67">
        <v>12.039899999999999</v>
      </c>
      <c r="EE67">
        <v>5.0166500000000003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</v>
      </c>
      <c r="EL67">
        <v>1.8646199999999999</v>
      </c>
      <c r="EM67">
        <v>1.8692</v>
      </c>
      <c r="EN67">
        <v>1.8672299999999999</v>
      </c>
      <c r="EO67">
        <v>1.8633999999999999</v>
      </c>
      <c r="EP67">
        <v>1.8644700000000001</v>
      </c>
      <c r="EQ67">
        <v>1.87015</v>
      </c>
      <c r="ER67">
        <v>1.8693900000000001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-5.0000000000000001E-3</v>
      </c>
      <c r="FG67">
        <v>0.184</v>
      </c>
      <c r="FH67">
        <v>0.49996858830924029</v>
      </c>
      <c r="FI67">
        <v>-6.1462078757559423E-4</v>
      </c>
      <c r="FJ67">
        <v>-1.8861989874597051E-7</v>
      </c>
      <c r="FK67">
        <v>1.1980462299894961E-10</v>
      </c>
      <c r="FL67">
        <v>0.18404795463265899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17.399999999999999</v>
      </c>
      <c r="FU67">
        <v>17.5</v>
      </c>
      <c r="FV67">
        <v>1.78833</v>
      </c>
      <c r="FW67">
        <v>2.5964399999999999</v>
      </c>
      <c r="FX67">
        <v>1.5490699999999999</v>
      </c>
      <c r="FY67">
        <v>2.3290999999999999</v>
      </c>
      <c r="FZ67">
        <v>1.50146</v>
      </c>
      <c r="GA67">
        <v>2.3278799999999999</v>
      </c>
      <c r="GB67">
        <v>34.077100000000002</v>
      </c>
      <c r="GC67">
        <v>23.9649</v>
      </c>
      <c r="GD67">
        <v>19</v>
      </c>
      <c r="GE67">
        <v>262.80700000000002</v>
      </c>
      <c r="GF67">
        <v>596.57600000000002</v>
      </c>
      <c r="GG67">
        <v>18.152999999999999</v>
      </c>
      <c r="GH67">
        <v>26.6114</v>
      </c>
      <c r="GI67">
        <v>29.9999</v>
      </c>
      <c r="GJ67">
        <v>26.736599999999999</v>
      </c>
      <c r="GK67">
        <v>26.716200000000001</v>
      </c>
      <c r="GL67">
        <v>35.740600000000001</v>
      </c>
      <c r="GM67">
        <v>37.787199999999999</v>
      </c>
      <c r="GN67">
        <v>95.470600000000005</v>
      </c>
      <c r="GO67">
        <v>18.143899999999999</v>
      </c>
      <c r="GP67">
        <v>800</v>
      </c>
      <c r="GQ67">
        <v>16.314599999999999</v>
      </c>
      <c r="GR67">
        <v>99.718699999999998</v>
      </c>
      <c r="GS67">
        <v>99.583799999999997</v>
      </c>
    </row>
    <row r="68" spans="1:201" x14ac:dyDescent="0.25">
      <c r="A68">
        <v>52</v>
      </c>
      <c r="B68">
        <v>1690307310</v>
      </c>
      <c r="C68">
        <v>691.40000009536743</v>
      </c>
      <c r="D68" t="s">
        <v>437</v>
      </c>
      <c r="E68" t="s">
        <v>438</v>
      </c>
      <c r="F68" t="s">
        <v>330</v>
      </c>
      <c r="H68">
        <v>1690307310</v>
      </c>
      <c r="I68">
        <f t="shared" si="0"/>
        <v>4.3065786395263787E-4</v>
      </c>
      <c r="J68">
        <f t="shared" si="1"/>
        <v>0.43065786395263789</v>
      </c>
      <c r="K68">
        <f t="shared" si="2"/>
        <v>6.3699830921874732</v>
      </c>
      <c r="L68">
        <f t="shared" si="3"/>
        <v>730.60599999999999</v>
      </c>
      <c r="M68">
        <f t="shared" si="4"/>
        <v>389.80031387381683</v>
      </c>
      <c r="N68">
        <f t="shared" si="5"/>
        <v>38.714788255603416</v>
      </c>
      <c r="O68">
        <f t="shared" si="6"/>
        <v>72.563452571845986</v>
      </c>
      <c r="P68">
        <f t="shared" si="7"/>
        <v>3.1248386409426256E-2</v>
      </c>
      <c r="Q68">
        <f t="shared" si="8"/>
        <v>2.1934918023899495</v>
      </c>
      <c r="R68">
        <f t="shared" si="9"/>
        <v>3.1003168701895161E-2</v>
      </c>
      <c r="S68">
        <f t="shared" si="10"/>
        <v>1.9398851768821834E-2</v>
      </c>
      <c r="T68">
        <f t="shared" si="11"/>
        <v>276.11444192435613</v>
      </c>
      <c r="U68">
        <f t="shared" si="12"/>
        <v>26.109496409008877</v>
      </c>
      <c r="V68">
        <f t="shared" si="13"/>
        <v>26.109496409008877</v>
      </c>
      <c r="W68">
        <f t="shared" si="14"/>
        <v>3.3961831056304552</v>
      </c>
      <c r="X68">
        <f t="shared" si="15"/>
        <v>68.082914935432072</v>
      </c>
      <c r="Y68">
        <f t="shared" si="16"/>
        <v>2.0544147736308997</v>
      </c>
      <c r="Z68">
        <f t="shared" si="17"/>
        <v>3.017518823304274</v>
      </c>
      <c r="AA68">
        <f t="shared" si="18"/>
        <v>1.3417683319995555</v>
      </c>
      <c r="AB68">
        <f t="shared" si="19"/>
        <v>-18.992011800311332</v>
      </c>
      <c r="AC68">
        <f t="shared" si="20"/>
        <v>-234.68950028355832</v>
      </c>
      <c r="AD68">
        <f t="shared" si="21"/>
        <v>-22.658687865435454</v>
      </c>
      <c r="AE68">
        <f t="shared" si="22"/>
        <v>-0.22575802494898767</v>
      </c>
      <c r="AF68">
        <v>12</v>
      </c>
      <c r="AG68">
        <v>4</v>
      </c>
      <c r="AH68">
        <f t="shared" si="23"/>
        <v>1</v>
      </c>
      <c r="AI68">
        <f t="shared" si="24"/>
        <v>0</v>
      </c>
      <c r="AJ68">
        <f t="shared" si="25"/>
        <v>52870.435350780397</v>
      </c>
      <c r="AK68">
        <f t="shared" si="26"/>
        <v>1799.99</v>
      </c>
      <c r="AL68">
        <f t="shared" si="27"/>
        <v>1499.1017258108102</v>
      </c>
      <c r="AM68">
        <f t="shared" si="28"/>
        <v>0.83283891900000007</v>
      </c>
      <c r="AN68">
        <f t="shared" si="29"/>
        <v>0.15339776439000002</v>
      </c>
      <c r="AO68">
        <v>31.2</v>
      </c>
      <c r="AP68">
        <v>0.5</v>
      </c>
      <c r="AQ68" t="s">
        <v>331</v>
      </c>
      <c r="AR68">
        <v>2</v>
      </c>
      <c r="AS68">
        <v>1690307310</v>
      </c>
      <c r="AT68">
        <v>730.60599999999999</v>
      </c>
      <c r="AU68">
        <v>800.077</v>
      </c>
      <c r="AV68">
        <v>20.684899999999999</v>
      </c>
      <c r="AW68">
        <v>16.3018</v>
      </c>
      <c r="AX68">
        <v>730.60900000000004</v>
      </c>
      <c r="AY68">
        <v>20.500800000000002</v>
      </c>
      <c r="AZ68">
        <v>300.21199999999999</v>
      </c>
      <c r="BA68">
        <v>99.219399999999993</v>
      </c>
      <c r="BB68">
        <v>0.10014099999999999</v>
      </c>
      <c r="BC68">
        <v>24.1249</v>
      </c>
      <c r="BD68">
        <v>26.941600000000001</v>
      </c>
      <c r="BE68">
        <v>25.9861</v>
      </c>
      <c r="BF68">
        <v>0</v>
      </c>
      <c r="BG68">
        <v>0</v>
      </c>
      <c r="BH68">
        <v>9980</v>
      </c>
      <c r="BI68">
        <v>1043.08</v>
      </c>
      <c r="BJ68">
        <v>1.62592</v>
      </c>
      <c r="BK68">
        <v>-69.470399999999998</v>
      </c>
      <c r="BL68">
        <v>746.03800000000001</v>
      </c>
      <c r="BM68">
        <v>813.33500000000004</v>
      </c>
      <c r="BN68">
        <v>4.3830099999999996</v>
      </c>
      <c r="BO68">
        <v>800.077</v>
      </c>
      <c r="BP68">
        <v>16.3018</v>
      </c>
      <c r="BQ68">
        <v>2.0523400000000001</v>
      </c>
      <c r="BR68">
        <v>1.6174599999999999</v>
      </c>
      <c r="BS68">
        <v>17.853999999999999</v>
      </c>
      <c r="BT68">
        <v>14.126099999999999</v>
      </c>
      <c r="BU68">
        <v>1799.99</v>
      </c>
      <c r="BV68">
        <v>0.90998500000000004</v>
      </c>
      <c r="BW68">
        <v>3.4005300000000002E-2</v>
      </c>
      <c r="BX68">
        <v>2.2003200000000001E-2</v>
      </c>
      <c r="BY68">
        <v>3.4006700000000001E-2</v>
      </c>
      <c r="BZ68">
        <v>25.458300000000001</v>
      </c>
      <c r="CA68">
        <v>33528.199999999997</v>
      </c>
      <c r="CB68">
        <v>1690306253.5999999</v>
      </c>
      <c r="CC68" t="s">
        <v>332</v>
      </c>
      <c r="CD68">
        <v>1690306253.5999999</v>
      </c>
      <c r="CE68">
        <v>1690306251.5999999</v>
      </c>
      <c r="CF68">
        <v>9</v>
      </c>
      <c r="CG68">
        <v>0.19</v>
      </c>
      <c r="CH68">
        <v>-8.7999999999999995E-2</v>
      </c>
      <c r="CI68">
        <v>-5.0999999999999997E-2</v>
      </c>
      <c r="CJ68">
        <v>5.0999999999999997E-2</v>
      </c>
      <c r="CK68">
        <v>799</v>
      </c>
      <c r="CL68">
        <v>15</v>
      </c>
      <c r="CM68">
        <v>0.28000000000000003</v>
      </c>
      <c r="CN68">
        <v>0.03</v>
      </c>
      <c r="CO68">
        <v>-67.172620000000009</v>
      </c>
      <c r="CP68">
        <v>-12.03674971857407</v>
      </c>
      <c r="CQ68">
        <v>1.158186824782599</v>
      </c>
      <c r="CR68">
        <v>-1</v>
      </c>
      <c r="CS68">
        <v>3.91797</v>
      </c>
      <c r="CT68">
        <v>0.67830776735459009</v>
      </c>
      <c r="CU68">
        <v>7.9048311240658406E-2</v>
      </c>
      <c r="CV68">
        <v>-1</v>
      </c>
      <c r="CW68">
        <v>0</v>
      </c>
      <c r="CX68">
        <v>0</v>
      </c>
      <c r="CY68" t="s">
        <v>333</v>
      </c>
      <c r="CZ68">
        <v>2.3642099999999999</v>
      </c>
      <c r="DA68">
        <v>2.7139099999999998</v>
      </c>
      <c r="DB68">
        <v>0.138072</v>
      </c>
      <c r="DC68">
        <v>0.14638499999999999</v>
      </c>
      <c r="DD68">
        <v>0.102515</v>
      </c>
      <c r="DE68">
        <v>8.52657E-2</v>
      </c>
      <c r="DF68">
        <v>31464.5</v>
      </c>
      <c r="DG68">
        <v>27510</v>
      </c>
      <c r="DH68">
        <v>31165.4</v>
      </c>
      <c r="DI68">
        <v>28082.799999999999</v>
      </c>
      <c r="DJ68">
        <v>37980.300000000003</v>
      </c>
      <c r="DK68">
        <v>36534.5</v>
      </c>
      <c r="DL68">
        <v>44353.2</v>
      </c>
      <c r="DM68">
        <v>42572.7</v>
      </c>
      <c r="DN68">
        <v>1.4342999999999999</v>
      </c>
      <c r="DO68">
        <v>2.0469300000000001</v>
      </c>
      <c r="DP68">
        <v>0.14547299999999999</v>
      </c>
      <c r="DQ68">
        <v>0.12239800000000001</v>
      </c>
      <c r="DR68">
        <v>24.557700000000001</v>
      </c>
      <c r="DS68">
        <v>23.977799999999998</v>
      </c>
      <c r="DT68">
        <v>56.5</v>
      </c>
      <c r="DU68">
        <v>29.3</v>
      </c>
      <c r="DV68">
        <v>23.302600000000002</v>
      </c>
      <c r="DW68">
        <v>62.073</v>
      </c>
      <c r="DX68">
        <v>35.388599999999997</v>
      </c>
      <c r="DY68">
        <v>1</v>
      </c>
      <c r="DZ68">
        <v>-4.6895300000000001E-2</v>
      </c>
      <c r="EA68">
        <v>-6.6666699999999999</v>
      </c>
      <c r="EB68">
        <v>19.9998</v>
      </c>
      <c r="EC68">
        <v>5.2398999999999996</v>
      </c>
      <c r="ED68">
        <v>12.039899999999999</v>
      </c>
      <c r="EE68">
        <v>5.0168999999999997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</v>
      </c>
      <c r="EL68">
        <v>1.8646199999999999</v>
      </c>
      <c r="EM68">
        <v>1.8692</v>
      </c>
      <c r="EN68">
        <v>1.8672200000000001</v>
      </c>
      <c r="EO68">
        <v>1.8633999999999999</v>
      </c>
      <c r="EP68">
        <v>1.8644700000000001</v>
      </c>
      <c r="EQ68">
        <v>1.87015</v>
      </c>
      <c r="ER68">
        <v>1.86937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-3.0000000000000001E-3</v>
      </c>
      <c r="FG68">
        <v>0.18410000000000001</v>
      </c>
      <c r="FH68">
        <v>0.49996858830924029</v>
      </c>
      <c r="FI68">
        <v>-6.1462078757559423E-4</v>
      </c>
      <c r="FJ68">
        <v>-1.8861989874597051E-7</v>
      </c>
      <c r="FK68">
        <v>1.1980462299894961E-10</v>
      </c>
      <c r="FL68">
        <v>0.18404795463265899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17.600000000000001</v>
      </c>
      <c r="FU68">
        <v>17.600000000000001</v>
      </c>
      <c r="FV68">
        <v>1.78711</v>
      </c>
      <c r="FW68">
        <v>2.5915499999999998</v>
      </c>
      <c r="FX68">
        <v>1.5490699999999999</v>
      </c>
      <c r="FY68">
        <v>2.3303199999999999</v>
      </c>
      <c r="FZ68">
        <v>1.50146</v>
      </c>
      <c r="GA68">
        <v>2.36572</v>
      </c>
      <c r="GB68">
        <v>34.077100000000002</v>
      </c>
      <c r="GC68">
        <v>23.921099999999999</v>
      </c>
      <c r="GD68">
        <v>19</v>
      </c>
      <c r="GE68">
        <v>266.98099999999999</v>
      </c>
      <c r="GF68">
        <v>596.21299999999997</v>
      </c>
      <c r="GG68">
        <v>20.752199999999998</v>
      </c>
      <c r="GH68">
        <v>26.603100000000001</v>
      </c>
      <c r="GI68">
        <v>30.004300000000001</v>
      </c>
      <c r="GJ68">
        <v>26.735299999999999</v>
      </c>
      <c r="GK68">
        <v>26.7121</v>
      </c>
      <c r="GL68">
        <v>35.732100000000003</v>
      </c>
      <c r="GM68">
        <v>39.392499999999998</v>
      </c>
      <c r="GN68">
        <v>95.096999999999994</v>
      </c>
      <c r="GO68">
        <v>23.332899999999999</v>
      </c>
      <c r="GP68">
        <v>800</v>
      </c>
      <c r="GQ68">
        <v>15.779400000000001</v>
      </c>
      <c r="GR68">
        <v>99.718599999999995</v>
      </c>
      <c r="GS68">
        <v>99.584100000000007</v>
      </c>
    </row>
    <row r="69" spans="1:201" x14ac:dyDescent="0.25">
      <c r="A69">
        <v>53</v>
      </c>
      <c r="B69">
        <v>1690307320</v>
      </c>
      <c r="C69">
        <v>701.40000009536743</v>
      </c>
      <c r="D69" t="s">
        <v>439</v>
      </c>
      <c r="E69" t="s">
        <v>440</v>
      </c>
      <c r="F69" t="s">
        <v>330</v>
      </c>
      <c r="H69">
        <v>1690307320</v>
      </c>
      <c r="I69">
        <f t="shared" si="0"/>
        <v>7.2046199827312154E-4</v>
      </c>
      <c r="J69">
        <f t="shared" si="1"/>
        <v>0.72046199827312152</v>
      </c>
      <c r="K69">
        <f t="shared" si="2"/>
        <v>6.487393825643359</v>
      </c>
      <c r="L69">
        <f t="shared" si="3"/>
        <v>727.66200000000003</v>
      </c>
      <c r="M69">
        <f t="shared" si="4"/>
        <v>532.3724275873027</v>
      </c>
      <c r="N69">
        <f t="shared" si="5"/>
        <v>52.875820441365526</v>
      </c>
      <c r="O69">
        <f t="shared" si="6"/>
        <v>72.272197544820017</v>
      </c>
      <c r="P69">
        <f t="shared" si="7"/>
        <v>5.7578954879396474E-2</v>
      </c>
      <c r="Q69">
        <f t="shared" si="8"/>
        <v>2.1942822069096</v>
      </c>
      <c r="R69">
        <f t="shared" si="9"/>
        <v>5.6752568088088415E-2</v>
      </c>
      <c r="S69">
        <f t="shared" si="10"/>
        <v>3.5543614544717446E-2</v>
      </c>
      <c r="T69">
        <f t="shared" si="11"/>
        <v>276.11570262600003</v>
      </c>
      <c r="U69">
        <f t="shared" si="12"/>
        <v>26.394301661041165</v>
      </c>
      <c r="V69">
        <f t="shared" si="13"/>
        <v>26.394301661041165</v>
      </c>
      <c r="W69">
        <f t="shared" si="14"/>
        <v>3.4537938593987181</v>
      </c>
      <c r="X69">
        <f t="shared" si="15"/>
        <v>72.18530370737264</v>
      </c>
      <c r="Y69">
        <f t="shared" si="16"/>
        <v>2.229004079064</v>
      </c>
      <c r="Z69">
        <f t="shared" si="17"/>
        <v>3.0878918070359811</v>
      </c>
      <c r="AA69">
        <f t="shared" si="18"/>
        <v>1.2247897803347181</v>
      </c>
      <c r="AB69">
        <f t="shared" si="19"/>
        <v>-31.77237412384466</v>
      </c>
      <c r="AC69">
        <f t="shared" si="20"/>
        <v>-222.9567053642287</v>
      </c>
      <c r="AD69">
        <f t="shared" si="21"/>
        <v>-21.590706821602076</v>
      </c>
      <c r="AE69">
        <f t="shared" si="22"/>
        <v>-0.20408368367540675</v>
      </c>
      <c r="AF69">
        <v>13</v>
      </c>
      <c r="AG69">
        <v>4</v>
      </c>
      <c r="AH69">
        <f t="shared" si="23"/>
        <v>1</v>
      </c>
      <c r="AI69">
        <f t="shared" si="24"/>
        <v>0</v>
      </c>
      <c r="AJ69">
        <f t="shared" si="25"/>
        <v>52834.704470214376</v>
      </c>
      <c r="AK69">
        <f t="shared" si="26"/>
        <v>1800</v>
      </c>
      <c r="AL69">
        <f t="shared" si="27"/>
        <v>1499.1095285999997</v>
      </c>
      <c r="AM69">
        <f t="shared" si="28"/>
        <v>0.83283862699999989</v>
      </c>
      <c r="AN69">
        <f t="shared" si="29"/>
        <v>0.15339761257000001</v>
      </c>
      <c r="AO69">
        <v>31.2</v>
      </c>
      <c r="AP69">
        <v>0.5</v>
      </c>
      <c r="AQ69" t="s">
        <v>331</v>
      </c>
      <c r="AR69">
        <v>2</v>
      </c>
      <c r="AS69">
        <v>1690307320</v>
      </c>
      <c r="AT69">
        <v>727.66200000000003</v>
      </c>
      <c r="AU69">
        <v>800.50300000000004</v>
      </c>
      <c r="AV69">
        <v>22.442399999999999</v>
      </c>
      <c r="AW69">
        <v>15.1258</v>
      </c>
      <c r="AX69">
        <v>727.66300000000001</v>
      </c>
      <c r="AY69">
        <v>22.258400000000002</v>
      </c>
      <c r="AZ69">
        <v>300.33</v>
      </c>
      <c r="BA69">
        <v>99.221100000000007</v>
      </c>
      <c r="BB69">
        <v>0.10001</v>
      </c>
      <c r="BC69">
        <v>24.509599999999999</v>
      </c>
      <c r="BD69">
        <v>27.149100000000001</v>
      </c>
      <c r="BE69">
        <v>26.299299999999999</v>
      </c>
      <c r="BF69">
        <v>0</v>
      </c>
      <c r="BG69">
        <v>0</v>
      </c>
      <c r="BH69">
        <v>9986.25</v>
      </c>
      <c r="BI69">
        <v>1043.2</v>
      </c>
      <c r="BJ69">
        <v>1.6399300000000001</v>
      </c>
      <c r="BK69">
        <v>-72.840699999999998</v>
      </c>
      <c r="BL69">
        <v>744.36699999999996</v>
      </c>
      <c r="BM69">
        <v>812.79700000000003</v>
      </c>
      <c r="BN69">
        <v>7.31663</v>
      </c>
      <c r="BO69">
        <v>800.50300000000004</v>
      </c>
      <c r="BP69">
        <v>15.1258</v>
      </c>
      <c r="BQ69">
        <v>2.2267600000000001</v>
      </c>
      <c r="BR69">
        <v>1.5007999999999999</v>
      </c>
      <c r="BS69">
        <v>19.156199999999998</v>
      </c>
      <c r="BT69">
        <v>12.9763</v>
      </c>
      <c r="BU69">
        <v>1800</v>
      </c>
      <c r="BV69">
        <v>0.90998699999999999</v>
      </c>
      <c r="BW69">
        <v>3.4004300000000001E-2</v>
      </c>
      <c r="BX69">
        <v>2.2002600000000001E-2</v>
      </c>
      <c r="BY69">
        <v>3.40057E-2</v>
      </c>
      <c r="BZ69">
        <v>25.5</v>
      </c>
      <c r="CA69">
        <v>33528.300000000003</v>
      </c>
      <c r="CB69">
        <v>1690306253.5999999</v>
      </c>
      <c r="CC69" t="s">
        <v>332</v>
      </c>
      <c r="CD69">
        <v>1690306253.5999999</v>
      </c>
      <c r="CE69">
        <v>1690306251.5999999</v>
      </c>
      <c r="CF69">
        <v>9</v>
      </c>
      <c r="CG69">
        <v>0.19</v>
      </c>
      <c r="CH69">
        <v>-8.7999999999999995E-2</v>
      </c>
      <c r="CI69">
        <v>-5.0999999999999997E-2</v>
      </c>
      <c r="CJ69">
        <v>5.0999999999999997E-2</v>
      </c>
      <c r="CK69">
        <v>799</v>
      </c>
      <c r="CL69">
        <v>15</v>
      </c>
      <c r="CM69">
        <v>0.28000000000000003</v>
      </c>
      <c r="CN69">
        <v>0.03</v>
      </c>
      <c r="CO69">
        <v>-69.667382926829262</v>
      </c>
      <c r="CP69">
        <v>-16.89322787456441</v>
      </c>
      <c r="CQ69">
        <v>1.6789390238499029</v>
      </c>
      <c r="CR69">
        <v>-1</v>
      </c>
      <c r="CS69">
        <v>4.8262153658536588</v>
      </c>
      <c r="CT69">
        <v>9.8279991637630708</v>
      </c>
      <c r="CU69">
        <v>1.0501056509822551</v>
      </c>
      <c r="CV69">
        <v>-1</v>
      </c>
      <c r="CW69">
        <v>0</v>
      </c>
      <c r="CX69">
        <v>0</v>
      </c>
      <c r="CY69" t="s">
        <v>333</v>
      </c>
      <c r="CZ69">
        <v>2.3646199999999999</v>
      </c>
      <c r="DA69">
        <v>2.7137899999999999</v>
      </c>
      <c r="DB69">
        <v>0.13772499999999999</v>
      </c>
      <c r="DC69">
        <v>0.14641899999999999</v>
      </c>
      <c r="DD69">
        <v>0.10867499999999999</v>
      </c>
      <c r="DE69">
        <v>8.0736299999999997E-2</v>
      </c>
      <c r="DF69">
        <v>31476.5</v>
      </c>
      <c r="DG69">
        <v>27508</v>
      </c>
      <c r="DH69">
        <v>31164.6</v>
      </c>
      <c r="DI69">
        <v>28081.9</v>
      </c>
      <c r="DJ69">
        <v>37716.300000000003</v>
      </c>
      <c r="DK69">
        <v>36714.699999999997</v>
      </c>
      <c r="DL69">
        <v>44352.2</v>
      </c>
      <c r="DM69">
        <v>42571.5</v>
      </c>
      <c r="DN69">
        <v>1.4317</v>
      </c>
      <c r="DO69">
        <v>2.04562</v>
      </c>
      <c r="DP69">
        <v>0.160195</v>
      </c>
      <c r="DQ69">
        <v>0.143208</v>
      </c>
      <c r="DR69">
        <v>24.5242</v>
      </c>
      <c r="DS69">
        <v>23.950099999999999</v>
      </c>
      <c r="DT69">
        <v>56.5</v>
      </c>
      <c r="DU69">
        <v>29.3</v>
      </c>
      <c r="DV69">
        <v>23.303799999999999</v>
      </c>
      <c r="DW69">
        <v>62.213000000000001</v>
      </c>
      <c r="DX69">
        <v>35.024000000000001</v>
      </c>
      <c r="DY69">
        <v>1</v>
      </c>
      <c r="DZ69">
        <v>-4.6628599999999999E-2</v>
      </c>
      <c r="EA69">
        <v>-6.6666699999999999</v>
      </c>
      <c r="EB69">
        <v>20.009799999999998</v>
      </c>
      <c r="EC69">
        <v>5.2404999999999999</v>
      </c>
      <c r="ED69">
        <v>12.039899999999999</v>
      </c>
      <c r="EE69">
        <v>5.0165499999999996</v>
      </c>
      <c r="EF69">
        <v>3.2879499999999999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1.8646199999999999</v>
      </c>
      <c r="EM69">
        <v>1.8692</v>
      </c>
      <c r="EN69">
        <v>1.86724</v>
      </c>
      <c r="EO69">
        <v>1.8633900000000001</v>
      </c>
      <c r="EP69">
        <v>1.8644700000000001</v>
      </c>
      <c r="EQ69">
        <v>1.8701399999999999</v>
      </c>
      <c r="ER69">
        <v>1.8693599999999999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-1E-3</v>
      </c>
      <c r="FG69">
        <v>0.184</v>
      </c>
      <c r="FH69">
        <v>0.49996858830924029</v>
      </c>
      <c r="FI69">
        <v>-6.1462078757559423E-4</v>
      </c>
      <c r="FJ69">
        <v>-1.8861989874597051E-7</v>
      </c>
      <c r="FK69">
        <v>1.1980462299894961E-10</v>
      </c>
      <c r="FL69">
        <v>0.18404795463265899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17.8</v>
      </c>
      <c r="FU69">
        <v>17.8</v>
      </c>
      <c r="FV69">
        <v>1.78589</v>
      </c>
      <c r="FW69">
        <v>2.5903299999999998</v>
      </c>
      <c r="FX69">
        <v>1.5490699999999999</v>
      </c>
      <c r="FY69">
        <v>2.3303199999999999</v>
      </c>
      <c r="FZ69">
        <v>1.50146</v>
      </c>
      <c r="GA69">
        <v>2.3999000000000001</v>
      </c>
      <c r="GB69">
        <v>34.099800000000002</v>
      </c>
      <c r="GC69">
        <v>23.9299</v>
      </c>
      <c r="GD69">
        <v>19</v>
      </c>
      <c r="GE69">
        <v>265.97199999999998</v>
      </c>
      <c r="GF69">
        <v>595.03</v>
      </c>
      <c r="GG69">
        <v>24.3245</v>
      </c>
      <c r="GH69">
        <v>26.595700000000001</v>
      </c>
      <c r="GI69">
        <v>30.000499999999999</v>
      </c>
      <c r="GJ69">
        <v>26.748999999999999</v>
      </c>
      <c r="GK69">
        <v>26.7043</v>
      </c>
      <c r="GL69">
        <v>35.694699999999997</v>
      </c>
      <c r="GM69">
        <v>44.0593</v>
      </c>
      <c r="GN69">
        <v>94.325599999999994</v>
      </c>
      <c r="GO69">
        <v>23.517399999999999</v>
      </c>
      <c r="GP69">
        <v>800</v>
      </c>
      <c r="GQ69">
        <v>14.4102</v>
      </c>
      <c r="GR69">
        <v>99.716099999999997</v>
      </c>
      <c r="GS69">
        <v>99.581199999999995</v>
      </c>
    </row>
    <row r="70" spans="1:201" x14ac:dyDescent="0.25">
      <c r="A70">
        <v>54</v>
      </c>
      <c r="B70">
        <v>1690307330</v>
      </c>
      <c r="C70">
        <v>711.40000009536743</v>
      </c>
      <c r="D70" t="s">
        <v>441</v>
      </c>
      <c r="E70" t="s">
        <v>442</v>
      </c>
      <c r="F70" t="s">
        <v>330</v>
      </c>
      <c r="H70">
        <v>1690307330</v>
      </c>
      <c r="I70">
        <f t="shared" si="0"/>
        <v>8.9453189457083077E-4</v>
      </c>
      <c r="J70">
        <f t="shared" si="1"/>
        <v>0.89453189457083082</v>
      </c>
      <c r="K70">
        <f t="shared" si="2"/>
        <v>6.5734012639612924</v>
      </c>
      <c r="L70">
        <f t="shared" si="3"/>
        <v>725.36500000000001</v>
      </c>
      <c r="M70">
        <f t="shared" si="4"/>
        <v>563.8103611332233</v>
      </c>
      <c r="N70">
        <f t="shared" si="5"/>
        <v>55.998362572817314</v>
      </c>
      <c r="O70">
        <f t="shared" si="6"/>
        <v>72.044174899498998</v>
      </c>
      <c r="P70">
        <f t="shared" si="7"/>
        <v>7.1915371159997118E-2</v>
      </c>
      <c r="Q70">
        <f t="shared" si="8"/>
        <v>2.1928231756604264</v>
      </c>
      <c r="R70">
        <f t="shared" si="9"/>
        <v>7.0630343287363742E-2</v>
      </c>
      <c r="S70">
        <f t="shared" si="10"/>
        <v>4.4257506644372412E-2</v>
      </c>
      <c r="T70">
        <f t="shared" si="11"/>
        <v>276.11574010200007</v>
      </c>
      <c r="U70">
        <f t="shared" si="12"/>
        <v>26.747234120343194</v>
      </c>
      <c r="V70">
        <f t="shared" si="13"/>
        <v>26.747234120343194</v>
      </c>
      <c r="W70">
        <f t="shared" si="14"/>
        <v>3.5263680769776866</v>
      </c>
      <c r="X70">
        <f t="shared" si="15"/>
        <v>72.845162916990645</v>
      </c>
      <c r="Y70">
        <f t="shared" si="16"/>
        <v>2.3053957189548999</v>
      </c>
      <c r="Z70">
        <f t="shared" si="17"/>
        <v>3.1647890218626746</v>
      </c>
      <c r="AA70">
        <f t="shared" si="18"/>
        <v>1.2209723580227867</v>
      </c>
      <c r="AB70">
        <f t="shared" si="19"/>
        <v>-39.448856550573637</v>
      </c>
      <c r="AC70">
        <f t="shared" si="20"/>
        <v>-215.86098778339948</v>
      </c>
      <c r="AD70">
        <f t="shared" si="21"/>
        <v>-20.997954838300892</v>
      </c>
      <c r="AE70">
        <f t="shared" si="22"/>
        <v>-0.19205907027395597</v>
      </c>
      <c r="AF70">
        <v>16</v>
      </c>
      <c r="AG70">
        <v>5</v>
      </c>
      <c r="AH70">
        <f t="shared" si="23"/>
        <v>1</v>
      </c>
      <c r="AI70">
        <f t="shared" si="24"/>
        <v>0</v>
      </c>
      <c r="AJ70">
        <f t="shared" si="25"/>
        <v>52701.615706448691</v>
      </c>
      <c r="AK70">
        <f t="shared" si="26"/>
        <v>1800</v>
      </c>
      <c r="AL70">
        <f t="shared" si="27"/>
        <v>1499.1103602000001</v>
      </c>
      <c r="AM70">
        <f t="shared" si="28"/>
        <v>0.83283908900000003</v>
      </c>
      <c r="AN70">
        <f t="shared" si="29"/>
        <v>0.15339763339000004</v>
      </c>
      <c r="AO70">
        <v>31.2</v>
      </c>
      <c r="AP70">
        <v>0.5</v>
      </c>
      <c r="AQ70" t="s">
        <v>331</v>
      </c>
      <c r="AR70">
        <v>2</v>
      </c>
      <c r="AS70">
        <v>1690307330</v>
      </c>
      <c r="AT70">
        <v>725.36500000000001</v>
      </c>
      <c r="AU70">
        <v>800.40800000000002</v>
      </c>
      <c r="AV70">
        <v>23.211500000000001</v>
      </c>
      <c r="AW70">
        <v>14.1326</v>
      </c>
      <c r="AX70">
        <v>725.36500000000001</v>
      </c>
      <c r="AY70">
        <v>23.0274</v>
      </c>
      <c r="AZ70">
        <v>300.274</v>
      </c>
      <c r="BA70">
        <v>99.221299999999999</v>
      </c>
      <c r="BB70">
        <v>9.9972599999999995E-2</v>
      </c>
      <c r="BC70">
        <v>24.921299999999999</v>
      </c>
      <c r="BD70">
        <v>27.5747</v>
      </c>
      <c r="BE70">
        <v>26.758800000000001</v>
      </c>
      <c r="BF70">
        <v>0</v>
      </c>
      <c r="BG70">
        <v>0</v>
      </c>
      <c r="BH70">
        <v>9974.3799999999992</v>
      </c>
      <c r="BI70">
        <v>1044.27</v>
      </c>
      <c r="BJ70">
        <v>1.62592</v>
      </c>
      <c r="BK70">
        <v>-75.042400000000001</v>
      </c>
      <c r="BL70">
        <v>742.60199999999998</v>
      </c>
      <c r="BM70">
        <v>811.88199999999995</v>
      </c>
      <c r="BN70">
        <v>9.0788899999999995</v>
      </c>
      <c r="BO70">
        <v>800.40800000000002</v>
      </c>
      <c r="BP70">
        <v>14.1326</v>
      </c>
      <c r="BQ70">
        <v>2.30307</v>
      </c>
      <c r="BR70">
        <v>1.40225</v>
      </c>
      <c r="BS70">
        <v>19.697900000000001</v>
      </c>
      <c r="BT70">
        <v>11.942</v>
      </c>
      <c r="BU70">
        <v>1800</v>
      </c>
      <c r="BV70">
        <v>0.90998900000000005</v>
      </c>
      <c r="BW70">
        <v>3.4003699999999998E-2</v>
      </c>
      <c r="BX70">
        <v>2.20022E-2</v>
      </c>
      <c r="BY70">
        <v>3.4005100000000003E-2</v>
      </c>
      <c r="BZ70">
        <v>25.708300000000001</v>
      </c>
      <c r="CA70">
        <v>33528.300000000003</v>
      </c>
      <c r="CB70">
        <v>1690306253.5999999</v>
      </c>
      <c r="CC70" t="s">
        <v>332</v>
      </c>
      <c r="CD70">
        <v>1690306253.5999999</v>
      </c>
      <c r="CE70">
        <v>1690306251.5999999</v>
      </c>
      <c r="CF70">
        <v>9</v>
      </c>
      <c r="CG70">
        <v>0.19</v>
      </c>
      <c r="CH70">
        <v>-8.7999999999999995E-2</v>
      </c>
      <c r="CI70">
        <v>-5.0999999999999997E-2</v>
      </c>
      <c r="CJ70">
        <v>5.0999999999999997E-2</v>
      </c>
      <c r="CK70">
        <v>799</v>
      </c>
      <c r="CL70">
        <v>15</v>
      </c>
      <c r="CM70">
        <v>0.28000000000000003</v>
      </c>
      <c r="CN70">
        <v>0.03</v>
      </c>
      <c r="CO70">
        <v>-72.164985365853653</v>
      </c>
      <c r="CP70">
        <v>-16.983464111498449</v>
      </c>
      <c r="CQ70">
        <v>1.6853312705498471</v>
      </c>
      <c r="CR70">
        <v>-1</v>
      </c>
      <c r="CS70">
        <v>6.7194346341463422</v>
      </c>
      <c r="CT70">
        <v>15.91601581881533</v>
      </c>
      <c r="CU70">
        <v>1.5765067518472571</v>
      </c>
      <c r="CV70">
        <v>-1</v>
      </c>
      <c r="CW70">
        <v>0</v>
      </c>
      <c r="CX70">
        <v>0</v>
      </c>
      <c r="CY70" t="s">
        <v>333</v>
      </c>
      <c r="CZ70">
        <v>2.3644699999999998</v>
      </c>
      <c r="DA70">
        <v>2.71374</v>
      </c>
      <c r="DB70">
        <v>0.13744300000000001</v>
      </c>
      <c r="DC70">
        <v>0.14638899999999999</v>
      </c>
      <c r="DD70">
        <v>0.11130900000000001</v>
      </c>
      <c r="DE70">
        <v>7.6804300000000006E-2</v>
      </c>
      <c r="DF70">
        <v>31487.7</v>
      </c>
      <c r="DG70">
        <v>27510.1</v>
      </c>
      <c r="DH70">
        <v>31165.5</v>
      </c>
      <c r="DI70">
        <v>28083.1</v>
      </c>
      <c r="DJ70">
        <v>37604.5</v>
      </c>
      <c r="DK70">
        <v>36873.699999999997</v>
      </c>
      <c r="DL70">
        <v>44353.2</v>
      </c>
      <c r="DM70">
        <v>42573.4</v>
      </c>
      <c r="DN70">
        <v>1.4261200000000001</v>
      </c>
      <c r="DO70">
        <v>2.0449799999999998</v>
      </c>
      <c r="DP70">
        <v>0.18726999999999999</v>
      </c>
      <c r="DQ70">
        <v>0.17102800000000001</v>
      </c>
      <c r="DR70">
        <v>24.507200000000001</v>
      </c>
      <c r="DS70">
        <v>23.9542</v>
      </c>
      <c r="DT70">
        <v>56.4</v>
      </c>
      <c r="DU70">
        <v>29.3</v>
      </c>
      <c r="DV70">
        <v>23.259399999999999</v>
      </c>
      <c r="DW70">
        <v>62.143000000000001</v>
      </c>
      <c r="DX70">
        <v>35.404600000000002</v>
      </c>
      <c r="DY70">
        <v>1</v>
      </c>
      <c r="DZ70">
        <v>-5.7271299999999997E-2</v>
      </c>
      <c r="EA70">
        <v>3.5738599999999998</v>
      </c>
      <c r="EB70">
        <v>20.1282</v>
      </c>
      <c r="EC70">
        <v>5.2404999999999999</v>
      </c>
      <c r="ED70">
        <v>12.039899999999999</v>
      </c>
      <c r="EE70">
        <v>5.0164499999999999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1.8689100000000001</v>
      </c>
      <c r="EL70">
        <v>1.8646199999999999</v>
      </c>
      <c r="EM70">
        <v>1.8692</v>
      </c>
      <c r="EN70">
        <v>1.8672500000000001</v>
      </c>
      <c r="EO70">
        <v>1.8633900000000001</v>
      </c>
      <c r="EP70">
        <v>1.8644700000000001</v>
      </c>
      <c r="EQ70">
        <v>1.8701399999999999</v>
      </c>
      <c r="ER70">
        <v>1.8694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0</v>
      </c>
      <c r="FG70">
        <v>0.18410000000000001</v>
      </c>
      <c r="FH70">
        <v>0.49996858830924029</v>
      </c>
      <c r="FI70">
        <v>-6.1462078757559423E-4</v>
      </c>
      <c r="FJ70">
        <v>-1.8861989874597051E-7</v>
      </c>
      <c r="FK70">
        <v>1.1980462299894961E-10</v>
      </c>
      <c r="FL70">
        <v>0.18404795463265899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17.899999999999999</v>
      </c>
      <c r="FU70">
        <v>18</v>
      </c>
      <c r="FV70">
        <v>1.78345</v>
      </c>
      <c r="FW70">
        <v>2.5891099999999998</v>
      </c>
      <c r="FX70">
        <v>1.5490699999999999</v>
      </c>
      <c r="FY70">
        <v>2.3290999999999999</v>
      </c>
      <c r="FZ70">
        <v>1.50146</v>
      </c>
      <c r="GA70">
        <v>2.4060100000000002</v>
      </c>
      <c r="GB70">
        <v>34.077100000000002</v>
      </c>
      <c r="GC70">
        <v>23.956199999999999</v>
      </c>
      <c r="GD70">
        <v>19</v>
      </c>
      <c r="GE70">
        <v>263.68299999999999</v>
      </c>
      <c r="GF70">
        <v>594.41999999999996</v>
      </c>
      <c r="GG70">
        <v>24.703499999999998</v>
      </c>
      <c r="GH70">
        <v>26.587900000000001</v>
      </c>
      <c r="GI70">
        <v>29.9956</v>
      </c>
      <c r="GJ70">
        <v>26.744800000000001</v>
      </c>
      <c r="GK70">
        <v>26.698699999999999</v>
      </c>
      <c r="GL70">
        <v>35.661700000000003</v>
      </c>
      <c r="GM70">
        <v>46.558199999999999</v>
      </c>
      <c r="GN70">
        <v>93.566000000000003</v>
      </c>
      <c r="GO70">
        <v>22.9315</v>
      </c>
      <c r="GP70">
        <v>800</v>
      </c>
      <c r="GQ70">
        <v>13.892899999999999</v>
      </c>
      <c r="GR70">
        <v>99.718500000000006</v>
      </c>
      <c r="GS70">
        <v>99.585499999999996</v>
      </c>
    </row>
    <row r="71" spans="1:201" x14ac:dyDescent="0.25">
      <c r="A71">
        <v>55</v>
      </c>
      <c r="B71">
        <v>1690307340</v>
      </c>
      <c r="C71">
        <v>721.40000009536743</v>
      </c>
      <c r="D71" t="s">
        <v>443</v>
      </c>
      <c r="E71" t="s">
        <v>444</v>
      </c>
      <c r="F71" t="s">
        <v>330</v>
      </c>
      <c r="H71">
        <v>1690307340</v>
      </c>
      <c r="I71">
        <f t="shared" si="0"/>
        <v>8.0218639614837634E-4</v>
      </c>
      <c r="J71">
        <f t="shared" si="1"/>
        <v>0.80218639614837639</v>
      </c>
      <c r="K71">
        <f t="shared" si="2"/>
        <v>6.7467781635908324</v>
      </c>
      <c r="L71">
        <f t="shared" si="3"/>
        <v>723.66899999999998</v>
      </c>
      <c r="M71">
        <f t="shared" si="4"/>
        <v>524.52832673216528</v>
      </c>
      <c r="N71">
        <f t="shared" si="5"/>
        <v>52.094929948716555</v>
      </c>
      <c r="O71">
        <f t="shared" si="6"/>
        <v>71.873117122057494</v>
      </c>
      <c r="P71">
        <f t="shared" si="7"/>
        <v>5.8973219891609294E-2</v>
      </c>
      <c r="Q71">
        <f t="shared" si="8"/>
        <v>2.1943939135964929</v>
      </c>
      <c r="R71">
        <f t="shared" si="9"/>
        <v>5.8106695066516383E-2</v>
      </c>
      <c r="S71">
        <f t="shared" si="10"/>
        <v>3.6393477546648886E-2</v>
      </c>
      <c r="T71">
        <f t="shared" si="11"/>
        <v>276.11569827</v>
      </c>
      <c r="U71">
        <f t="shared" si="12"/>
        <v>26.798306484634132</v>
      </c>
      <c r="V71">
        <f t="shared" si="13"/>
        <v>26.798306484634132</v>
      </c>
      <c r="W71">
        <f t="shared" si="14"/>
        <v>3.5369796895571226</v>
      </c>
      <c r="X71">
        <f t="shared" si="15"/>
        <v>69.601794436132892</v>
      </c>
      <c r="Y71">
        <f t="shared" si="16"/>
        <v>2.2054977833387497</v>
      </c>
      <c r="Z71">
        <f t="shared" si="17"/>
        <v>3.1687369574394095</v>
      </c>
      <c r="AA71">
        <f t="shared" si="18"/>
        <v>1.3314819062183729</v>
      </c>
      <c r="AB71">
        <f t="shared" si="19"/>
        <v>-35.376420070143396</v>
      </c>
      <c r="AC71">
        <f t="shared" si="20"/>
        <v>-219.58512720286626</v>
      </c>
      <c r="AD71">
        <f t="shared" si="21"/>
        <v>-21.352650986221757</v>
      </c>
      <c r="AE71">
        <f t="shared" si="22"/>
        <v>-0.1984999892314363</v>
      </c>
      <c r="AF71">
        <v>17</v>
      </c>
      <c r="AG71">
        <v>6</v>
      </c>
      <c r="AH71">
        <f t="shared" si="23"/>
        <v>1</v>
      </c>
      <c r="AI71">
        <f t="shared" si="24"/>
        <v>0</v>
      </c>
      <c r="AJ71">
        <f t="shared" si="25"/>
        <v>52762.518535530464</v>
      </c>
      <c r="AK71">
        <f t="shared" si="26"/>
        <v>1800</v>
      </c>
      <c r="AL71">
        <f t="shared" si="27"/>
        <v>1499.1111900000001</v>
      </c>
      <c r="AM71">
        <f t="shared" si="28"/>
        <v>0.83283954999999998</v>
      </c>
      <c r="AN71">
        <f t="shared" si="29"/>
        <v>0.15339761015</v>
      </c>
      <c r="AO71">
        <v>31.2</v>
      </c>
      <c r="AP71">
        <v>0.5</v>
      </c>
      <c r="AQ71" t="s">
        <v>331</v>
      </c>
      <c r="AR71">
        <v>2</v>
      </c>
      <c r="AS71">
        <v>1690307340</v>
      </c>
      <c r="AT71">
        <v>723.66899999999998</v>
      </c>
      <c r="AU71">
        <v>799.83199999999999</v>
      </c>
      <c r="AV71">
        <v>22.206499999999998</v>
      </c>
      <c r="AW71">
        <v>14.0534</v>
      </c>
      <c r="AX71">
        <v>723.66700000000003</v>
      </c>
      <c r="AY71">
        <v>22.022400000000001</v>
      </c>
      <c r="AZ71">
        <v>300.161</v>
      </c>
      <c r="BA71">
        <v>99.217699999999994</v>
      </c>
      <c r="BB71">
        <v>9.9967500000000001E-2</v>
      </c>
      <c r="BC71">
        <v>24.9422</v>
      </c>
      <c r="BD71">
        <v>27.721499999999999</v>
      </c>
      <c r="BE71">
        <v>26.929099999999998</v>
      </c>
      <c r="BF71">
        <v>0</v>
      </c>
      <c r="BG71">
        <v>0</v>
      </c>
      <c r="BH71">
        <v>9987.5</v>
      </c>
      <c r="BI71">
        <v>1045.1199999999999</v>
      </c>
      <c r="BJ71">
        <v>1.62592</v>
      </c>
      <c r="BK71">
        <v>-76.163700000000006</v>
      </c>
      <c r="BL71">
        <v>740.10400000000004</v>
      </c>
      <c r="BM71">
        <v>811.23299999999995</v>
      </c>
      <c r="BN71">
        <v>8.1530400000000007</v>
      </c>
      <c r="BO71">
        <v>799.83199999999999</v>
      </c>
      <c r="BP71">
        <v>14.0534</v>
      </c>
      <c r="BQ71">
        <v>2.2032799999999999</v>
      </c>
      <c r="BR71">
        <v>1.39435</v>
      </c>
      <c r="BS71">
        <v>18.9862</v>
      </c>
      <c r="BT71">
        <v>11.856299999999999</v>
      </c>
      <c r="BU71">
        <v>1800</v>
      </c>
      <c r="BV71">
        <v>0.90999200000000002</v>
      </c>
      <c r="BW71">
        <v>3.4002699999999997E-2</v>
      </c>
      <c r="BX71">
        <v>2.20015E-2</v>
      </c>
      <c r="BY71">
        <v>3.4004100000000002E-2</v>
      </c>
      <c r="BZ71">
        <v>25.5</v>
      </c>
      <c r="CA71">
        <v>33528.300000000003</v>
      </c>
      <c r="CB71">
        <v>1690306253.5999999</v>
      </c>
      <c r="CC71" t="s">
        <v>332</v>
      </c>
      <c r="CD71">
        <v>1690306253.5999999</v>
      </c>
      <c r="CE71">
        <v>1690306251.5999999</v>
      </c>
      <c r="CF71">
        <v>9</v>
      </c>
      <c r="CG71">
        <v>0.19</v>
      </c>
      <c r="CH71">
        <v>-8.7999999999999995E-2</v>
      </c>
      <c r="CI71">
        <v>-5.0999999999999997E-2</v>
      </c>
      <c r="CJ71">
        <v>5.0999999999999997E-2</v>
      </c>
      <c r="CK71">
        <v>799</v>
      </c>
      <c r="CL71">
        <v>15</v>
      </c>
      <c r="CM71">
        <v>0.28000000000000003</v>
      </c>
      <c r="CN71">
        <v>0.03</v>
      </c>
      <c r="CO71">
        <v>-74.639679999999998</v>
      </c>
      <c r="CP71">
        <v>-10.636473545966179</v>
      </c>
      <c r="CQ71">
        <v>1.029798255776343</v>
      </c>
      <c r="CR71">
        <v>-1</v>
      </c>
      <c r="CS71">
        <v>8.5611585000000012</v>
      </c>
      <c r="CT71">
        <v>3.685664015009376</v>
      </c>
      <c r="CU71">
        <v>0.53780876264035526</v>
      </c>
      <c r="CV71">
        <v>-1</v>
      </c>
      <c r="CW71">
        <v>0</v>
      </c>
      <c r="CX71">
        <v>0</v>
      </c>
      <c r="CY71" t="s">
        <v>333</v>
      </c>
      <c r="CZ71">
        <v>2.3641100000000002</v>
      </c>
      <c r="DA71">
        <v>2.7137500000000001</v>
      </c>
      <c r="DB71">
        <v>0.13721</v>
      </c>
      <c r="DC71">
        <v>0.146313</v>
      </c>
      <c r="DD71">
        <v>0.107863</v>
      </c>
      <c r="DE71">
        <v>7.6484499999999997E-2</v>
      </c>
      <c r="DF71">
        <v>31497.200000000001</v>
      </c>
      <c r="DG71">
        <v>27513</v>
      </c>
      <c r="DH71">
        <v>31166.5</v>
      </c>
      <c r="DI71">
        <v>28083.5</v>
      </c>
      <c r="DJ71">
        <v>37753</v>
      </c>
      <c r="DK71">
        <v>36887.199999999997</v>
      </c>
      <c r="DL71">
        <v>44354.6</v>
      </c>
      <c r="DM71">
        <v>42574.2</v>
      </c>
      <c r="DN71">
        <v>1.4237299999999999</v>
      </c>
      <c r="DO71">
        <v>2.0452499999999998</v>
      </c>
      <c r="DP71">
        <v>0.19624800000000001</v>
      </c>
      <c r="DQ71">
        <v>0.17957400000000001</v>
      </c>
      <c r="DR71">
        <v>24.507300000000001</v>
      </c>
      <c r="DS71">
        <v>23.9849</v>
      </c>
      <c r="DT71">
        <v>56.4</v>
      </c>
      <c r="DU71">
        <v>29.3</v>
      </c>
      <c r="DV71">
        <v>23.2561</v>
      </c>
      <c r="DW71">
        <v>62.313000000000002</v>
      </c>
      <c r="DX71">
        <v>35.633000000000003</v>
      </c>
      <c r="DY71">
        <v>1</v>
      </c>
      <c r="DZ71">
        <v>-4.6361800000000002E-2</v>
      </c>
      <c r="EA71">
        <v>6.6583800000000002</v>
      </c>
      <c r="EB71">
        <v>20.0092</v>
      </c>
      <c r="EC71">
        <v>5.2406499999999996</v>
      </c>
      <c r="ED71">
        <v>12.039899999999999</v>
      </c>
      <c r="EE71">
        <v>5.0166000000000004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1.8646199999999999</v>
      </c>
      <c r="EM71">
        <v>1.86921</v>
      </c>
      <c r="EN71">
        <v>1.8672599999999999</v>
      </c>
      <c r="EO71">
        <v>1.8633999999999999</v>
      </c>
      <c r="EP71">
        <v>1.8644799999999999</v>
      </c>
      <c r="EQ71">
        <v>1.87015</v>
      </c>
      <c r="ER71">
        <v>1.86941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2E-3</v>
      </c>
      <c r="FG71">
        <v>0.18410000000000001</v>
      </c>
      <c r="FH71">
        <v>0.49996858830924029</v>
      </c>
      <c r="FI71">
        <v>-6.1462078757559423E-4</v>
      </c>
      <c r="FJ71">
        <v>-1.8861989874597051E-7</v>
      </c>
      <c r="FK71">
        <v>1.1980462299894961E-10</v>
      </c>
      <c r="FL71">
        <v>0.18404795463265899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18.100000000000001</v>
      </c>
      <c r="FU71">
        <v>18.100000000000001</v>
      </c>
      <c r="FV71">
        <v>1.78345</v>
      </c>
      <c r="FW71">
        <v>2.5866699999999998</v>
      </c>
      <c r="FX71">
        <v>1.5490699999999999</v>
      </c>
      <c r="FY71">
        <v>2.3303199999999999</v>
      </c>
      <c r="FZ71">
        <v>1.50146</v>
      </c>
      <c r="GA71">
        <v>2.4145500000000002</v>
      </c>
      <c r="GB71">
        <v>34.077100000000002</v>
      </c>
      <c r="GC71">
        <v>23.912400000000002</v>
      </c>
      <c r="GD71">
        <v>19</v>
      </c>
      <c r="GE71">
        <v>262.60599999999999</v>
      </c>
      <c r="GF71">
        <v>594.64700000000005</v>
      </c>
      <c r="GG71">
        <v>22.414999999999999</v>
      </c>
      <c r="GH71">
        <v>26.5779</v>
      </c>
      <c r="GI71">
        <v>30.0032</v>
      </c>
      <c r="GJ71">
        <v>26.718900000000001</v>
      </c>
      <c r="GK71">
        <v>26.6983</v>
      </c>
      <c r="GL71">
        <v>35.666899999999998</v>
      </c>
      <c r="GM71">
        <v>44.72</v>
      </c>
      <c r="GN71">
        <v>93.186800000000005</v>
      </c>
      <c r="GO71">
        <v>21.6008</v>
      </c>
      <c r="GP71">
        <v>800</v>
      </c>
      <c r="GQ71">
        <v>14.495200000000001</v>
      </c>
      <c r="GR71">
        <v>99.721800000000002</v>
      </c>
      <c r="GS71">
        <v>99.587199999999996</v>
      </c>
    </row>
    <row r="72" spans="1:201" x14ac:dyDescent="0.25">
      <c r="A72">
        <v>56</v>
      </c>
      <c r="B72">
        <v>1690307350</v>
      </c>
      <c r="C72">
        <v>731.40000009536743</v>
      </c>
      <c r="D72" t="s">
        <v>445</v>
      </c>
      <c r="E72" t="s">
        <v>446</v>
      </c>
      <c r="F72" t="s">
        <v>330</v>
      </c>
      <c r="H72">
        <v>1690307350</v>
      </c>
      <c r="I72">
        <f t="shared" si="0"/>
        <v>6.2516667305107421E-4</v>
      </c>
      <c r="J72">
        <f t="shared" si="1"/>
        <v>0.62516667305107421</v>
      </c>
      <c r="K72">
        <f t="shared" si="2"/>
        <v>7.070805077392964</v>
      </c>
      <c r="L72">
        <f t="shared" si="3"/>
        <v>721.60799999999995</v>
      </c>
      <c r="M72">
        <f t="shared" si="4"/>
        <v>441.6076453348125</v>
      </c>
      <c r="N72">
        <f t="shared" si="5"/>
        <v>43.858469527197272</v>
      </c>
      <c r="O72">
        <f t="shared" si="6"/>
        <v>71.666835510935996</v>
      </c>
      <c r="P72">
        <f t="shared" si="7"/>
        <v>4.2877125142970172E-2</v>
      </c>
      <c r="Q72">
        <f t="shared" si="8"/>
        <v>2.1928264840693172</v>
      </c>
      <c r="R72">
        <f t="shared" si="9"/>
        <v>4.2416749915550958E-2</v>
      </c>
      <c r="S72">
        <f t="shared" si="10"/>
        <v>2.6551419600165063E-2</v>
      </c>
      <c r="T72">
        <f t="shared" si="11"/>
        <v>276.11567841600004</v>
      </c>
      <c r="U72">
        <f t="shared" si="12"/>
        <v>26.684242853344568</v>
      </c>
      <c r="V72">
        <f t="shared" si="13"/>
        <v>26.684242853344568</v>
      </c>
      <c r="W72">
        <f t="shared" si="14"/>
        <v>3.5133182919633388</v>
      </c>
      <c r="X72">
        <f t="shared" si="15"/>
        <v>66.67932946171095</v>
      </c>
      <c r="Y72">
        <f t="shared" si="16"/>
        <v>2.0908388690174999</v>
      </c>
      <c r="Z72">
        <f t="shared" si="17"/>
        <v>3.1356627097129337</v>
      </c>
      <c r="AA72">
        <f t="shared" si="18"/>
        <v>1.4224794229458388</v>
      </c>
      <c r="AB72">
        <f t="shared" si="19"/>
        <v>-27.569850281552373</v>
      </c>
      <c r="AC72">
        <f t="shared" si="20"/>
        <v>-226.7267327583433</v>
      </c>
      <c r="AD72">
        <f t="shared" si="21"/>
        <v>-22.030799402307967</v>
      </c>
      <c r="AE72">
        <f t="shared" si="22"/>
        <v>-0.21170402620359141</v>
      </c>
      <c r="AF72">
        <v>17</v>
      </c>
      <c r="AG72">
        <v>6</v>
      </c>
      <c r="AH72">
        <f t="shared" si="23"/>
        <v>1</v>
      </c>
      <c r="AI72">
        <f t="shared" si="24"/>
        <v>0</v>
      </c>
      <c r="AJ72">
        <f t="shared" si="25"/>
        <v>52729.041440448047</v>
      </c>
      <c r="AK72">
        <f t="shared" si="26"/>
        <v>1800</v>
      </c>
      <c r="AL72">
        <f t="shared" si="27"/>
        <v>1499.1117605999998</v>
      </c>
      <c r="AM72">
        <f t="shared" si="28"/>
        <v>0.8328398669999999</v>
      </c>
      <c r="AN72">
        <f t="shared" si="29"/>
        <v>0.15339759912000003</v>
      </c>
      <c r="AO72">
        <v>31.2</v>
      </c>
      <c r="AP72">
        <v>0.5</v>
      </c>
      <c r="AQ72" t="s">
        <v>331</v>
      </c>
      <c r="AR72">
        <v>2</v>
      </c>
      <c r="AS72">
        <v>1690307350</v>
      </c>
      <c r="AT72">
        <v>721.60799999999995</v>
      </c>
      <c r="AU72">
        <v>799.78499999999997</v>
      </c>
      <c r="AV72">
        <v>21.052499999999998</v>
      </c>
      <c r="AW72">
        <v>14.691800000000001</v>
      </c>
      <c r="AX72">
        <v>721.60400000000004</v>
      </c>
      <c r="AY72">
        <v>20.868500000000001</v>
      </c>
      <c r="AZ72">
        <v>300.19600000000003</v>
      </c>
      <c r="BA72">
        <v>99.215400000000002</v>
      </c>
      <c r="BB72">
        <v>0.100067</v>
      </c>
      <c r="BC72">
        <v>24.766400000000001</v>
      </c>
      <c r="BD72">
        <v>27.673999999999999</v>
      </c>
      <c r="BE72">
        <v>26.798500000000001</v>
      </c>
      <c r="BF72">
        <v>0</v>
      </c>
      <c r="BG72">
        <v>0</v>
      </c>
      <c r="BH72">
        <v>9975</v>
      </c>
      <c r="BI72">
        <v>1045.47</v>
      </c>
      <c r="BJ72">
        <v>1.62592</v>
      </c>
      <c r="BK72">
        <v>-78.177700000000002</v>
      </c>
      <c r="BL72">
        <v>737.12599999999998</v>
      </c>
      <c r="BM72">
        <v>811.71100000000001</v>
      </c>
      <c r="BN72">
        <v>6.3607500000000003</v>
      </c>
      <c r="BO72">
        <v>799.78499999999997</v>
      </c>
      <c r="BP72">
        <v>14.691800000000001</v>
      </c>
      <c r="BQ72">
        <v>2.08874</v>
      </c>
      <c r="BR72">
        <v>1.4576499999999999</v>
      </c>
      <c r="BS72">
        <v>18.133500000000002</v>
      </c>
      <c r="BT72">
        <v>12.531000000000001</v>
      </c>
      <c r="BU72">
        <v>1800</v>
      </c>
      <c r="BV72">
        <v>0.90999399999999997</v>
      </c>
      <c r="BW72">
        <v>3.4001999999999998E-2</v>
      </c>
      <c r="BX72">
        <v>2.2001099999999999E-2</v>
      </c>
      <c r="BY72">
        <v>3.4003400000000003E-2</v>
      </c>
      <c r="BZ72">
        <v>25.25</v>
      </c>
      <c r="CA72">
        <v>33528.300000000003</v>
      </c>
      <c r="CB72">
        <v>1690306253.5999999</v>
      </c>
      <c r="CC72" t="s">
        <v>332</v>
      </c>
      <c r="CD72">
        <v>1690306253.5999999</v>
      </c>
      <c r="CE72">
        <v>1690306251.5999999</v>
      </c>
      <c r="CF72">
        <v>9</v>
      </c>
      <c r="CG72">
        <v>0.19</v>
      </c>
      <c r="CH72">
        <v>-8.7999999999999995E-2</v>
      </c>
      <c r="CI72">
        <v>-5.0999999999999997E-2</v>
      </c>
      <c r="CJ72">
        <v>5.0999999999999997E-2</v>
      </c>
      <c r="CK72">
        <v>799</v>
      </c>
      <c r="CL72">
        <v>15</v>
      </c>
      <c r="CM72">
        <v>0.28000000000000003</v>
      </c>
      <c r="CN72">
        <v>0.03</v>
      </c>
      <c r="CO72">
        <v>-76.239769999999993</v>
      </c>
      <c r="CP72">
        <v>-9.1116855534709043</v>
      </c>
      <c r="CQ72">
        <v>0.88660286774857655</v>
      </c>
      <c r="CR72">
        <v>-1</v>
      </c>
      <c r="CS72">
        <v>8.1175227500000009</v>
      </c>
      <c r="CT72">
        <v>-8.7909589868668032</v>
      </c>
      <c r="CU72">
        <v>0.86275058482735179</v>
      </c>
      <c r="CV72">
        <v>-1</v>
      </c>
      <c r="CW72">
        <v>0</v>
      </c>
      <c r="CX72">
        <v>0</v>
      </c>
      <c r="CY72" t="s">
        <v>333</v>
      </c>
      <c r="CZ72">
        <v>2.3641999999999999</v>
      </c>
      <c r="DA72">
        <v>2.7138399999999998</v>
      </c>
      <c r="DB72">
        <v>0.13692499999999999</v>
      </c>
      <c r="DC72">
        <v>0.146316</v>
      </c>
      <c r="DD72">
        <v>0.103826</v>
      </c>
      <c r="DE72">
        <v>7.9027100000000003E-2</v>
      </c>
      <c r="DF72">
        <v>31506.2</v>
      </c>
      <c r="DG72">
        <v>27511.7</v>
      </c>
      <c r="DH72">
        <v>31165.1</v>
      </c>
      <c r="DI72">
        <v>28082.2</v>
      </c>
      <c r="DJ72">
        <v>37924</v>
      </c>
      <c r="DK72">
        <v>36783.800000000003</v>
      </c>
      <c r="DL72">
        <v>44353</v>
      </c>
      <c r="DM72">
        <v>42572.3</v>
      </c>
      <c r="DN72">
        <v>1.42367</v>
      </c>
      <c r="DO72">
        <v>2.0456799999999999</v>
      </c>
      <c r="DP72">
        <v>0.19287299999999999</v>
      </c>
      <c r="DQ72">
        <v>0.16989599999999999</v>
      </c>
      <c r="DR72">
        <v>24.5151</v>
      </c>
      <c r="DS72">
        <v>24.012699999999999</v>
      </c>
      <c r="DT72">
        <v>56.4</v>
      </c>
      <c r="DU72">
        <v>29.3</v>
      </c>
      <c r="DV72">
        <v>23.262899999999998</v>
      </c>
      <c r="DW72">
        <v>62.213000000000001</v>
      </c>
      <c r="DX72">
        <v>35.901400000000002</v>
      </c>
      <c r="DY72">
        <v>1</v>
      </c>
      <c r="DZ72">
        <v>-4.32419E-2</v>
      </c>
      <c r="EA72">
        <v>7.2759799999999997</v>
      </c>
      <c r="EB72">
        <v>19.985099999999999</v>
      </c>
      <c r="EC72">
        <v>5.2403500000000003</v>
      </c>
      <c r="ED72">
        <v>12.039899999999999</v>
      </c>
      <c r="EE72">
        <v>5.0167000000000002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1.8689100000000001</v>
      </c>
      <c r="EL72">
        <v>1.86463</v>
      </c>
      <c r="EM72">
        <v>1.8692</v>
      </c>
      <c r="EN72">
        <v>1.8672500000000001</v>
      </c>
      <c r="EO72">
        <v>1.8633999999999999</v>
      </c>
      <c r="EP72">
        <v>1.8644700000000001</v>
      </c>
      <c r="EQ72">
        <v>1.87018</v>
      </c>
      <c r="ER72">
        <v>1.86941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4.0000000000000001E-3</v>
      </c>
      <c r="FG72">
        <v>0.184</v>
      </c>
      <c r="FH72">
        <v>0.49996858830924029</v>
      </c>
      <c r="FI72">
        <v>-6.1462078757559423E-4</v>
      </c>
      <c r="FJ72">
        <v>-1.8861989874597051E-7</v>
      </c>
      <c r="FK72">
        <v>1.1980462299894961E-10</v>
      </c>
      <c r="FL72">
        <v>0.18404795463265899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18.3</v>
      </c>
      <c r="FU72">
        <v>18.3</v>
      </c>
      <c r="FV72">
        <v>1.78467</v>
      </c>
      <c r="FW72">
        <v>2.5915499999999998</v>
      </c>
      <c r="FX72">
        <v>1.5490699999999999</v>
      </c>
      <c r="FY72">
        <v>2.3290999999999999</v>
      </c>
      <c r="FZ72">
        <v>1.50146</v>
      </c>
      <c r="GA72">
        <v>2.35107</v>
      </c>
      <c r="GB72">
        <v>34.099800000000002</v>
      </c>
      <c r="GC72">
        <v>23.903600000000001</v>
      </c>
      <c r="GD72">
        <v>19</v>
      </c>
      <c r="GE72">
        <v>262.51600000000002</v>
      </c>
      <c r="GF72">
        <v>595.00400000000002</v>
      </c>
      <c r="GG72">
        <v>20.643999999999998</v>
      </c>
      <c r="GH72">
        <v>26.5688</v>
      </c>
      <c r="GI72">
        <v>30.001100000000001</v>
      </c>
      <c r="GJ72">
        <v>26.701899999999998</v>
      </c>
      <c r="GK72">
        <v>26.6983</v>
      </c>
      <c r="GL72">
        <v>35.684100000000001</v>
      </c>
      <c r="GM72">
        <v>41.823900000000002</v>
      </c>
      <c r="GN72">
        <v>93.186800000000005</v>
      </c>
      <c r="GO72">
        <v>20.189699999999998</v>
      </c>
      <c r="GP72">
        <v>800</v>
      </c>
      <c r="GQ72">
        <v>15.015700000000001</v>
      </c>
      <c r="GR72">
        <v>99.7179</v>
      </c>
      <c r="GS72">
        <v>99.582700000000003</v>
      </c>
    </row>
    <row r="73" spans="1:201" x14ac:dyDescent="0.25">
      <c r="A73">
        <v>57</v>
      </c>
      <c r="B73">
        <v>1690307360</v>
      </c>
      <c r="C73">
        <v>741.40000009536743</v>
      </c>
      <c r="D73" t="s">
        <v>447</v>
      </c>
      <c r="E73" t="s">
        <v>448</v>
      </c>
      <c r="F73" t="s">
        <v>330</v>
      </c>
      <c r="H73">
        <v>1690307360</v>
      </c>
      <c r="I73">
        <f t="shared" si="0"/>
        <v>5.1679921656802097E-4</v>
      </c>
      <c r="J73">
        <f t="shared" si="1"/>
        <v>0.51679921656802097</v>
      </c>
      <c r="K73">
        <f t="shared" si="2"/>
        <v>7.3985231191698624</v>
      </c>
      <c r="L73">
        <f t="shared" si="3"/>
        <v>719.03300000000002</v>
      </c>
      <c r="M73">
        <f t="shared" si="4"/>
        <v>361.3699270837364</v>
      </c>
      <c r="N73">
        <f t="shared" si="5"/>
        <v>35.890008758200402</v>
      </c>
      <c r="O73">
        <f t="shared" si="6"/>
        <v>71.411865607331904</v>
      </c>
      <c r="P73">
        <f t="shared" si="7"/>
        <v>3.4603267171762146E-2</v>
      </c>
      <c r="Q73">
        <f t="shared" si="8"/>
        <v>2.1967654061730095</v>
      </c>
      <c r="R73">
        <f t="shared" si="9"/>
        <v>3.4303285580496036E-2</v>
      </c>
      <c r="S73">
        <f t="shared" si="10"/>
        <v>2.1466288788819714E-2</v>
      </c>
      <c r="T73">
        <f t="shared" si="11"/>
        <v>276.11709449133622</v>
      </c>
      <c r="U73">
        <f t="shared" si="12"/>
        <v>26.503901305413702</v>
      </c>
      <c r="V73">
        <f t="shared" si="13"/>
        <v>26.503901305413702</v>
      </c>
      <c r="W73">
        <f t="shared" si="14"/>
        <v>3.476190129339308</v>
      </c>
      <c r="X73">
        <f t="shared" si="15"/>
        <v>65.294338998979711</v>
      </c>
      <c r="Y73">
        <f t="shared" si="16"/>
        <v>2.02133976434075</v>
      </c>
      <c r="Z73">
        <f t="shared" si="17"/>
        <v>3.0957350902538971</v>
      </c>
      <c r="AA73">
        <f t="shared" si="18"/>
        <v>1.454850364998558</v>
      </c>
      <c r="AB73">
        <f t="shared" si="19"/>
        <v>-22.790845450649726</v>
      </c>
      <c r="AC73">
        <f t="shared" si="20"/>
        <v>-231.16760776059331</v>
      </c>
      <c r="AD73">
        <f t="shared" si="21"/>
        <v>-22.377632953770043</v>
      </c>
      <c r="AE73">
        <f t="shared" si="22"/>
        <v>-0.218991673676868</v>
      </c>
      <c r="AF73">
        <v>17</v>
      </c>
      <c r="AG73">
        <v>6</v>
      </c>
      <c r="AH73">
        <f t="shared" si="23"/>
        <v>1</v>
      </c>
      <c r="AI73">
        <f t="shared" si="24"/>
        <v>0</v>
      </c>
      <c r="AJ73">
        <f t="shared" si="25"/>
        <v>52929.553157313559</v>
      </c>
      <c r="AK73">
        <f t="shared" si="26"/>
        <v>1800.01</v>
      </c>
      <c r="AL73">
        <f t="shared" si="27"/>
        <v>1499.12024199952</v>
      </c>
      <c r="AM73">
        <f t="shared" si="28"/>
        <v>0.83283995200000005</v>
      </c>
      <c r="AN73">
        <f t="shared" si="29"/>
        <v>0.15339753362</v>
      </c>
      <c r="AO73">
        <v>31.2</v>
      </c>
      <c r="AP73">
        <v>0.5</v>
      </c>
      <c r="AQ73" t="s">
        <v>331</v>
      </c>
      <c r="AR73">
        <v>2</v>
      </c>
      <c r="AS73">
        <v>1690307360</v>
      </c>
      <c r="AT73">
        <v>719.03300000000002</v>
      </c>
      <c r="AU73">
        <v>799.82500000000005</v>
      </c>
      <c r="AV73">
        <v>20.352499999999999</v>
      </c>
      <c r="AW73">
        <v>15.0883</v>
      </c>
      <c r="AX73">
        <v>719.02800000000002</v>
      </c>
      <c r="AY73">
        <v>20.168500000000002</v>
      </c>
      <c r="AZ73">
        <v>300.06400000000002</v>
      </c>
      <c r="BA73">
        <v>99.2166</v>
      </c>
      <c r="BB73">
        <v>9.9934300000000004E-2</v>
      </c>
      <c r="BC73">
        <v>24.552</v>
      </c>
      <c r="BD73">
        <v>27.462700000000002</v>
      </c>
      <c r="BE73">
        <v>26.568100000000001</v>
      </c>
      <c r="BF73">
        <v>0</v>
      </c>
      <c r="BG73">
        <v>0</v>
      </c>
      <c r="BH73">
        <v>10006.9</v>
      </c>
      <c r="BI73">
        <v>1045.3499999999999</v>
      </c>
      <c r="BJ73">
        <v>1.62592</v>
      </c>
      <c r="BK73">
        <v>-80.791499999999999</v>
      </c>
      <c r="BL73">
        <v>733.97199999999998</v>
      </c>
      <c r="BM73">
        <v>812.07799999999997</v>
      </c>
      <c r="BN73">
        <v>5.2641600000000004</v>
      </c>
      <c r="BO73">
        <v>799.82500000000005</v>
      </c>
      <c r="BP73">
        <v>15.0883</v>
      </c>
      <c r="BQ73">
        <v>2.0193099999999999</v>
      </c>
      <c r="BR73">
        <v>1.49701</v>
      </c>
      <c r="BS73">
        <v>17.596499999999999</v>
      </c>
      <c r="BT73">
        <v>12.9377</v>
      </c>
      <c r="BU73">
        <v>1800.01</v>
      </c>
      <c r="BV73">
        <v>0.90999600000000003</v>
      </c>
      <c r="BW73">
        <v>3.4001200000000002E-2</v>
      </c>
      <c r="BX73">
        <v>2.2000599999999999E-2</v>
      </c>
      <c r="BY73">
        <v>3.4002600000000001E-2</v>
      </c>
      <c r="BZ73">
        <v>25</v>
      </c>
      <c r="CA73">
        <v>33528.5</v>
      </c>
      <c r="CB73">
        <v>1690306253.5999999</v>
      </c>
      <c r="CC73" t="s">
        <v>332</v>
      </c>
      <c r="CD73">
        <v>1690306253.5999999</v>
      </c>
      <c r="CE73">
        <v>1690306251.5999999</v>
      </c>
      <c r="CF73">
        <v>9</v>
      </c>
      <c r="CG73">
        <v>0.19</v>
      </c>
      <c r="CH73">
        <v>-8.7999999999999995E-2</v>
      </c>
      <c r="CI73">
        <v>-5.0999999999999997E-2</v>
      </c>
      <c r="CJ73">
        <v>5.0999999999999997E-2</v>
      </c>
      <c r="CK73">
        <v>799</v>
      </c>
      <c r="CL73">
        <v>15</v>
      </c>
      <c r="CM73">
        <v>0.28000000000000003</v>
      </c>
      <c r="CN73">
        <v>0.03</v>
      </c>
      <c r="CO73">
        <v>-77.967795121951212</v>
      </c>
      <c r="CP73">
        <v>-13.56911289198592</v>
      </c>
      <c r="CQ73">
        <v>1.3469502891493881</v>
      </c>
      <c r="CR73">
        <v>-1</v>
      </c>
      <c r="CS73">
        <v>6.7101997560975599</v>
      </c>
      <c r="CT73">
        <v>-9.3594079442508686</v>
      </c>
      <c r="CU73">
        <v>0.92920352251069416</v>
      </c>
      <c r="CV73">
        <v>-1</v>
      </c>
      <c r="CW73">
        <v>0</v>
      </c>
      <c r="CX73">
        <v>0</v>
      </c>
      <c r="CY73" t="s">
        <v>333</v>
      </c>
      <c r="CZ73">
        <v>2.36375</v>
      </c>
      <c r="DA73">
        <v>2.71373</v>
      </c>
      <c r="DB73">
        <v>0.13658400000000001</v>
      </c>
      <c r="DC73">
        <v>0.14633299999999999</v>
      </c>
      <c r="DD73">
        <v>0.10133499999999999</v>
      </c>
      <c r="DE73">
        <v>8.0589499999999994E-2</v>
      </c>
      <c r="DF73">
        <v>31519</v>
      </c>
      <c r="DG73">
        <v>27512</v>
      </c>
      <c r="DH73">
        <v>31165.5</v>
      </c>
      <c r="DI73">
        <v>28083.1</v>
      </c>
      <c r="DJ73">
        <v>38030.800000000003</v>
      </c>
      <c r="DK73">
        <v>36722.5</v>
      </c>
      <c r="DL73">
        <v>44353.599999999999</v>
      </c>
      <c r="DM73">
        <v>42573.7</v>
      </c>
      <c r="DN73">
        <v>1.42313</v>
      </c>
      <c r="DO73">
        <v>2.0453999999999999</v>
      </c>
      <c r="DP73">
        <v>0.17983499999999999</v>
      </c>
      <c r="DQ73">
        <v>0.15520999999999999</v>
      </c>
      <c r="DR73">
        <v>24.5168</v>
      </c>
      <c r="DS73">
        <v>24.022600000000001</v>
      </c>
      <c r="DT73">
        <v>56.4</v>
      </c>
      <c r="DU73">
        <v>29.3</v>
      </c>
      <c r="DV73">
        <v>23.2638</v>
      </c>
      <c r="DW73">
        <v>62.203000000000003</v>
      </c>
      <c r="DX73">
        <v>36.3902</v>
      </c>
      <c r="DY73">
        <v>1</v>
      </c>
      <c r="DZ73">
        <v>-4.4778999999999999E-2</v>
      </c>
      <c r="EA73">
        <v>6.8564800000000004</v>
      </c>
      <c r="EB73">
        <v>20.0153</v>
      </c>
      <c r="EC73">
        <v>5.2401999999999997</v>
      </c>
      <c r="ED73">
        <v>12.039899999999999</v>
      </c>
      <c r="EE73">
        <v>5.0165499999999996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1.8689100000000001</v>
      </c>
      <c r="EL73">
        <v>1.8646199999999999</v>
      </c>
      <c r="EM73">
        <v>1.8692</v>
      </c>
      <c r="EN73">
        <v>1.8672500000000001</v>
      </c>
      <c r="EO73">
        <v>1.8633999999999999</v>
      </c>
      <c r="EP73">
        <v>1.8644700000000001</v>
      </c>
      <c r="EQ73">
        <v>1.87018</v>
      </c>
      <c r="ER73">
        <v>1.8693900000000001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5.0000000000000001E-3</v>
      </c>
      <c r="FG73">
        <v>0.184</v>
      </c>
      <c r="FH73">
        <v>0.49996858830924029</v>
      </c>
      <c r="FI73">
        <v>-6.1462078757559423E-4</v>
      </c>
      <c r="FJ73">
        <v>-1.8861989874597051E-7</v>
      </c>
      <c r="FK73">
        <v>1.1980462299894961E-10</v>
      </c>
      <c r="FL73">
        <v>0.18404795463265899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18.399999999999999</v>
      </c>
      <c r="FU73">
        <v>18.5</v>
      </c>
      <c r="FV73">
        <v>1.78589</v>
      </c>
      <c r="FW73">
        <v>2.5927699999999998</v>
      </c>
      <c r="FX73">
        <v>1.5490699999999999</v>
      </c>
      <c r="FY73">
        <v>2.3290999999999999</v>
      </c>
      <c r="FZ73">
        <v>1.50146</v>
      </c>
      <c r="GA73">
        <v>2.3156699999999999</v>
      </c>
      <c r="GB73">
        <v>34.099800000000002</v>
      </c>
      <c r="GC73">
        <v>23.921099999999999</v>
      </c>
      <c r="GD73">
        <v>19</v>
      </c>
      <c r="GE73">
        <v>262.27499999999998</v>
      </c>
      <c r="GF73">
        <v>594.73199999999997</v>
      </c>
      <c r="GG73">
        <v>19.362200000000001</v>
      </c>
      <c r="GH73">
        <v>26.562000000000001</v>
      </c>
      <c r="GI73">
        <v>29.999199999999998</v>
      </c>
      <c r="GJ73">
        <v>26.697199999999999</v>
      </c>
      <c r="GK73">
        <v>26.694700000000001</v>
      </c>
      <c r="GL73">
        <v>35.6982</v>
      </c>
      <c r="GM73">
        <v>41.160899999999998</v>
      </c>
      <c r="GN73">
        <v>92.816599999999994</v>
      </c>
      <c r="GO73">
        <v>19.1462</v>
      </c>
      <c r="GP73">
        <v>800</v>
      </c>
      <c r="GQ73">
        <v>15.254899999999999</v>
      </c>
      <c r="GR73">
        <v>99.719099999999997</v>
      </c>
      <c r="GS73">
        <v>99.585899999999995</v>
      </c>
    </row>
    <row r="74" spans="1:201" x14ac:dyDescent="0.25">
      <c r="A74">
        <v>58</v>
      </c>
      <c r="B74">
        <v>1690307370</v>
      </c>
      <c r="C74">
        <v>751.40000009536743</v>
      </c>
      <c r="D74" t="s">
        <v>449</v>
      </c>
      <c r="E74" t="s">
        <v>450</v>
      </c>
      <c r="F74" t="s">
        <v>330</v>
      </c>
      <c r="H74">
        <v>1690307370</v>
      </c>
      <c r="I74">
        <f t="shared" si="0"/>
        <v>4.5119647922600736E-4</v>
      </c>
      <c r="J74">
        <f t="shared" si="1"/>
        <v>0.45119647922600736</v>
      </c>
      <c r="K74">
        <f t="shared" si="2"/>
        <v>7.7139788608600055</v>
      </c>
      <c r="L74">
        <f t="shared" si="3"/>
        <v>716.28</v>
      </c>
      <c r="M74">
        <f t="shared" si="4"/>
        <v>289.14467073539845</v>
      </c>
      <c r="N74">
        <f t="shared" si="5"/>
        <v>28.716982709150923</v>
      </c>
      <c r="O74">
        <f t="shared" si="6"/>
        <v>71.138784341399997</v>
      </c>
      <c r="P74">
        <f t="shared" si="7"/>
        <v>2.9938249340967026E-2</v>
      </c>
      <c r="Q74">
        <f t="shared" si="8"/>
        <v>2.1946928305801459</v>
      </c>
      <c r="R74">
        <f t="shared" si="9"/>
        <v>2.9713205123696334E-2</v>
      </c>
      <c r="S74">
        <f t="shared" si="10"/>
        <v>1.8590831412407551E-2</v>
      </c>
      <c r="T74">
        <f t="shared" si="11"/>
        <v>276.11534456999999</v>
      </c>
      <c r="U74">
        <f t="shared" si="12"/>
        <v>26.338710723492479</v>
      </c>
      <c r="V74">
        <f t="shared" si="13"/>
        <v>26.338710723492479</v>
      </c>
      <c r="W74">
        <f t="shared" si="14"/>
        <v>3.4424823025155318</v>
      </c>
      <c r="X74">
        <f t="shared" si="15"/>
        <v>64.541129123523177</v>
      </c>
      <c r="Y74">
        <f t="shared" si="16"/>
        <v>1.9754847513534999</v>
      </c>
      <c r="Z74">
        <f t="shared" si="17"/>
        <v>3.0608152943415097</v>
      </c>
      <c r="AA74">
        <f t="shared" si="18"/>
        <v>1.4669975511620319</v>
      </c>
      <c r="AB74">
        <f t="shared" si="19"/>
        <v>-19.897764733866925</v>
      </c>
      <c r="AC74">
        <f t="shared" si="20"/>
        <v>-233.82580590990781</v>
      </c>
      <c r="AD74">
        <f t="shared" si="21"/>
        <v>-22.615981304336827</v>
      </c>
      <c r="AE74">
        <f t="shared" si="22"/>
        <v>-0.2242073781115721</v>
      </c>
      <c r="AF74">
        <v>17</v>
      </c>
      <c r="AG74">
        <v>6</v>
      </c>
      <c r="AH74">
        <f t="shared" si="23"/>
        <v>1</v>
      </c>
      <c r="AI74">
        <f t="shared" si="24"/>
        <v>0</v>
      </c>
      <c r="AJ74">
        <f t="shared" si="25"/>
        <v>52877.700090511047</v>
      </c>
      <c r="AK74">
        <f t="shared" si="26"/>
        <v>1800</v>
      </c>
      <c r="AL74">
        <f t="shared" si="27"/>
        <v>1499.1116489999999</v>
      </c>
      <c r="AM74">
        <f t="shared" si="28"/>
        <v>0.83283980499999999</v>
      </c>
      <c r="AN74">
        <f t="shared" si="29"/>
        <v>0.15339741365000001</v>
      </c>
      <c r="AO74">
        <v>31.2</v>
      </c>
      <c r="AP74">
        <v>0.5</v>
      </c>
      <c r="AQ74" t="s">
        <v>331</v>
      </c>
      <c r="AR74">
        <v>2</v>
      </c>
      <c r="AS74">
        <v>1690307370</v>
      </c>
      <c r="AT74">
        <v>716.28</v>
      </c>
      <c r="AU74">
        <v>799.83</v>
      </c>
      <c r="AV74">
        <v>19.890699999999999</v>
      </c>
      <c r="AW74">
        <v>15.2936</v>
      </c>
      <c r="AX74">
        <v>716.27300000000002</v>
      </c>
      <c r="AY74">
        <v>19.706600000000002</v>
      </c>
      <c r="AZ74">
        <v>300.13099999999997</v>
      </c>
      <c r="BA74">
        <v>99.216999999999999</v>
      </c>
      <c r="BB74">
        <v>0.100005</v>
      </c>
      <c r="BC74">
        <v>24.362500000000001</v>
      </c>
      <c r="BD74">
        <v>27.2315</v>
      </c>
      <c r="BE74">
        <v>26.339600000000001</v>
      </c>
      <c r="BF74">
        <v>0</v>
      </c>
      <c r="BG74">
        <v>0</v>
      </c>
      <c r="BH74">
        <v>9990</v>
      </c>
      <c r="BI74">
        <v>1044.81</v>
      </c>
      <c r="BJ74">
        <v>1.62592</v>
      </c>
      <c r="BK74">
        <v>-83.549499999999995</v>
      </c>
      <c r="BL74">
        <v>730.81700000000001</v>
      </c>
      <c r="BM74">
        <v>812.25199999999995</v>
      </c>
      <c r="BN74">
        <v>4.5970500000000003</v>
      </c>
      <c r="BO74">
        <v>799.83</v>
      </c>
      <c r="BP74">
        <v>15.2936</v>
      </c>
      <c r="BQ74">
        <v>1.97349</v>
      </c>
      <c r="BR74">
        <v>1.51739</v>
      </c>
      <c r="BS74">
        <v>17.2333</v>
      </c>
      <c r="BT74">
        <v>13.144500000000001</v>
      </c>
      <c r="BU74">
        <v>1800</v>
      </c>
      <c r="BV74">
        <v>0.90999799999999997</v>
      </c>
      <c r="BW74">
        <v>3.4000299999999997E-2</v>
      </c>
      <c r="BX74">
        <v>2.1999999999999999E-2</v>
      </c>
      <c r="BY74">
        <v>3.4001700000000003E-2</v>
      </c>
      <c r="BZ74">
        <v>25.291699999999999</v>
      </c>
      <c r="CA74">
        <v>33528.300000000003</v>
      </c>
      <c r="CB74">
        <v>1690306253.5999999</v>
      </c>
      <c r="CC74" t="s">
        <v>332</v>
      </c>
      <c r="CD74">
        <v>1690306253.5999999</v>
      </c>
      <c r="CE74">
        <v>1690306251.5999999</v>
      </c>
      <c r="CF74">
        <v>9</v>
      </c>
      <c r="CG74">
        <v>0.19</v>
      </c>
      <c r="CH74">
        <v>-8.7999999999999995E-2</v>
      </c>
      <c r="CI74">
        <v>-5.0999999999999997E-2</v>
      </c>
      <c r="CJ74">
        <v>5.0999999999999997E-2</v>
      </c>
      <c r="CK74">
        <v>799</v>
      </c>
      <c r="CL74">
        <v>15</v>
      </c>
      <c r="CM74">
        <v>0.28000000000000003</v>
      </c>
      <c r="CN74">
        <v>0.03</v>
      </c>
      <c r="CO74">
        <v>-80.629012500000002</v>
      </c>
      <c r="CP74">
        <v>-16.221090056284972</v>
      </c>
      <c r="CQ74">
        <v>1.561110095282761</v>
      </c>
      <c r="CR74">
        <v>-1</v>
      </c>
      <c r="CS74">
        <v>5.3984439999999996</v>
      </c>
      <c r="CT74">
        <v>-5.1826991369606317</v>
      </c>
      <c r="CU74">
        <v>0.5035204780234861</v>
      </c>
      <c r="CV74">
        <v>-1</v>
      </c>
      <c r="CW74">
        <v>0</v>
      </c>
      <c r="CX74">
        <v>0</v>
      </c>
      <c r="CY74" t="s">
        <v>333</v>
      </c>
      <c r="CZ74">
        <v>2.3639600000000001</v>
      </c>
      <c r="DA74">
        <v>2.7137899999999999</v>
      </c>
      <c r="DB74">
        <v>0.13622000000000001</v>
      </c>
      <c r="DC74">
        <v>0.146338</v>
      </c>
      <c r="DD74">
        <v>9.9671599999999999E-2</v>
      </c>
      <c r="DE74">
        <v>8.1391599999999995E-2</v>
      </c>
      <c r="DF74">
        <v>31533.599999999999</v>
      </c>
      <c r="DG74">
        <v>27513.4</v>
      </c>
      <c r="DH74">
        <v>31166.799999999999</v>
      </c>
      <c r="DI74">
        <v>28084.6</v>
      </c>
      <c r="DJ74">
        <v>38103.699999999997</v>
      </c>
      <c r="DK74">
        <v>36692.1</v>
      </c>
      <c r="DL74">
        <v>44355.7</v>
      </c>
      <c r="DM74">
        <v>42575.7</v>
      </c>
      <c r="DN74">
        <v>1.42397</v>
      </c>
      <c r="DO74">
        <v>2.0459200000000002</v>
      </c>
      <c r="DP74">
        <v>0.16634199999999999</v>
      </c>
      <c r="DQ74">
        <v>0.14188100000000001</v>
      </c>
      <c r="DR74">
        <v>24.5061</v>
      </c>
      <c r="DS74">
        <v>24.0123</v>
      </c>
      <c r="DT74">
        <v>56.3</v>
      </c>
      <c r="DU74">
        <v>29.3</v>
      </c>
      <c r="DV74">
        <v>23.2212</v>
      </c>
      <c r="DW74">
        <v>62.372999999999998</v>
      </c>
      <c r="DX74">
        <v>36.330100000000002</v>
      </c>
      <c r="DY74">
        <v>1</v>
      </c>
      <c r="DZ74">
        <v>-4.7876000000000002E-2</v>
      </c>
      <c r="EA74">
        <v>6.2825800000000003</v>
      </c>
      <c r="EB74">
        <v>20.048400000000001</v>
      </c>
      <c r="EC74">
        <v>5.2400500000000001</v>
      </c>
      <c r="ED74">
        <v>12.039899999999999</v>
      </c>
      <c r="EE74">
        <v>5.0164</v>
      </c>
      <c r="EF74">
        <v>3.2879499999999999</v>
      </c>
      <c r="EG74">
        <v>9999</v>
      </c>
      <c r="EH74">
        <v>9999</v>
      </c>
      <c r="EI74">
        <v>9999</v>
      </c>
      <c r="EJ74">
        <v>999.9</v>
      </c>
      <c r="EK74">
        <v>1.8689100000000001</v>
      </c>
      <c r="EL74">
        <v>1.86463</v>
      </c>
      <c r="EM74">
        <v>1.8692</v>
      </c>
      <c r="EN74">
        <v>1.8672500000000001</v>
      </c>
      <c r="EO74">
        <v>1.8633999999999999</v>
      </c>
      <c r="EP74">
        <v>1.8644700000000001</v>
      </c>
      <c r="EQ74">
        <v>1.8702099999999999</v>
      </c>
      <c r="ER74">
        <v>1.8694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7.0000000000000001E-3</v>
      </c>
      <c r="FG74">
        <v>0.18410000000000001</v>
      </c>
      <c r="FH74">
        <v>0.49996858830924029</v>
      </c>
      <c r="FI74">
        <v>-6.1462078757559423E-4</v>
      </c>
      <c r="FJ74">
        <v>-1.8861989874597051E-7</v>
      </c>
      <c r="FK74">
        <v>1.1980462299894961E-10</v>
      </c>
      <c r="FL74">
        <v>0.18404795463265899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18.600000000000001</v>
      </c>
      <c r="FU74">
        <v>18.600000000000001</v>
      </c>
      <c r="FV74">
        <v>1.78589</v>
      </c>
      <c r="FW74">
        <v>2.5976599999999999</v>
      </c>
      <c r="FX74">
        <v>1.5490699999999999</v>
      </c>
      <c r="FY74">
        <v>2.3290999999999999</v>
      </c>
      <c r="FZ74">
        <v>1.50146</v>
      </c>
      <c r="GA74">
        <v>2.2949199999999998</v>
      </c>
      <c r="GB74">
        <v>34.099800000000002</v>
      </c>
      <c r="GC74">
        <v>23.921099999999999</v>
      </c>
      <c r="GD74">
        <v>19</v>
      </c>
      <c r="GE74">
        <v>262.60700000000003</v>
      </c>
      <c r="GF74">
        <v>595.13699999999994</v>
      </c>
      <c r="GG74">
        <v>18.518899999999999</v>
      </c>
      <c r="GH74">
        <v>26.558599999999998</v>
      </c>
      <c r="GI74">
        <v>29.9985</v>
      </c>
      <c r="GJ74">
        <v>26.694400000000002</v>
      </c>
      <c r="GK74">
        <v>26.691600000000001</v>
      </c>
      <c r="GL74">
        <v>35.7072</v>
      </c>
      <c r="GM74">
        <v>40.516300000000001</v>
      </c>
      <c r="GN74">
        <v>92.430199999999999</v>
      </c>
      <c r="GO74">
        <v>18.419</v>
      </c>
      <c r="GP74">
        <v>800</v>
      </c>
      <c r="GQ74">
        <v>15.4358</v>
      </c>
      <c r="GR74">
        <v>99.723699999999994</v>
      </c>
      <c r="GS74">
        <v>99.590800000000002</v>
      </c>
    </row>
    <row r="75" spans="1:201" x14ac:dyDescent="0.25">
      <c r="A75">
        <v>59</v>
      </c>
      <c r="B75">
        <v>1690307380</v>
      </c>
      <c r="C75">
        <v>761.40000009536743</v>
      </c>
      <c r="D75" t="s">
        <v>451</v>
      </c>
      <c r="E75" t="s">
        <v>452</v>
      </c>
      <c r="F75" t="s">
        <v>330</v>
      </c>
      <c r="H75">
        <v>1690307380</v>
      </c>
      <c r="I75">
        <f t="shared" si="0"/>
        <v>4.0268731627150214E-4</v>
      </c>
      <c r="J75">
        <f t="shared" si="1"/>
        <v>0.40268731627150212</v>
      </c>
      <c r="K75">
        <f t="shared" si="2"/>
        <v>8.0175280171308803</v>
      </c>
      <c r="L75">
        <f t="shared" si="3"/>
        <v>713.625</v>
      </c>
      <c r="M75">
        <f t="shared" si="4"/>
        <v>218.92843789420027</v>
      </c>
      <c r="N75">
        <f t="shared" si="5"/>
        <v>21.744073596590276</v>
      </c>
      <c r="O75">
        <f t="shared" si="6"/>
        <v>70.877564694749992</v>
      </c>
      <c r="P75">
        <f t="shared" si="7"/>
        <v>2.6691814941620533E-2</v>
      </c>
      <c r="Q75">
        <f t="shared" si="8"/>
        <v>2.1957335307925883</v>
      </c>
      <c r="R75">
        <f t="shared" si="9"/>
        <v>2.6512857786370934E-2</v>
      </c>
      <c r="S75">
        <f t="shared" si="10"/>
        <v>1.6586514575309946E-2</v>
      </c>
      <c r="T75">
        <f t="shared" si="11"/>
        <v>276.11387705149434</v>
      </c>
      <c r="U75">
        <f t="shared" si="12"/>
        <v>26.19411917711702</v>
      </c>
      <c r="V75">
        <f t="shared" si="13"/>
        <v>26.19411917711702</v>
      </c>
      <c r="W75">
        <f t="shared" si="14"/>
        <v>3.4132124082948905</v>
      </c>
      <c r="X75">
        <f t="shared" si="15"/>
        <v>64.172322480235692</v>
      </c>
      <c r="Y75">
        <f t="shared" si="16"/>
        <v>1.9453898891939998</v>
      </c>
      <c r="Z75">
        <f t="shared" si="17"/>
        <v>3.0315092457393242</v>
      </c>
      <c r="AA75">
        <f t="shared" si="18"/>
        <v>1.4678225191008907</v>
      </c>
      <c r="AB75">
        <f t="shared" si="19"/>
        <v>-17.758510647573246</v>
      </c>
      <c r="AC75">
        <f t="shared" si="20"/>
        <v>-235.81986889170324</v>
      </c>
      <c r="AD75">
        <f t="shared" si="21"/>
        <v>-22.763091929251743</v>
      </c>
      <c r="AE75">
        <f t="shared" si="22"/>
        <v>-0.22759441703388461</v>
      </c>
      <c r="AF75">
        <v>17</v>
      </c>
      <c r="AG75">
        <v>6</v>
      </c>
      <c r="AH75">
        <f t="shared" si="23"/>
        <v>1</v>
      </c>
      <c r="AI75">
        <f t="shared" si="24"/>
        <v>0</v>
      </c>
      <c r="AJ75">
        <f t="shared" si="25"/>
        <v>52949.321122498244</v>
      </c>
      <c r="AK75">
        <f t="shared" si="26"/>
        <v>1799.99</v>
      </c>
      <c r="AL75">
        <f t="shared" si="27"/>
        <v>1499.1042781966298</v>
      </c>
      <c r="AM75">
        <f t="shared" si="28"/>
        <v>0.83284033699999993</v>
      </c>
      <c r="AN75">
        <f t="shared" si="29"/>
        <v>0.15339745057000001</v>
      </c>
      <c r="AO75">
        <v>31.2</v>
      </c>
      <c r="AP75">
        <v>0.5</v>
      </c>
      <c r="AQ75" t="s">
        <v>331</v>
      </c>
      <c r="AR75">
        <v>2</v>
      </c>
      <c r="AS75">
        <v>1690307380</v>
      </c>
      <c r="AT75">
        <v>713.625</v>
      </c>
      <c r="AU75">
        <v>799.92399999999998</v>
      </c>
      <c r="AV75">
        <v>19.587</v>
      </c>
      <c r="AW75">
        <v>15.484500000000001</v>
      </c>
      <c r="AX75">
        <v>713.61599999999999</v>
      </c>
      <c r="AY75">
        <v>19.4057</v>
      </c>
      <c r="AZ75">
        <v>300.25</v>
      </c>
      <c r="BA75">
        <v>99.220399999999998</v>
      </c>
      <c r="BB75">
        <v>0.100062</v>
      </c>
      <c r="BC75">
        <v>24.202000000000002</v>
      </c>
      <c r="BD75">
        <v>27.033100000000001</v>
      </c>
      <c r="BE75">
        <v>26.1325</v>
      </c>
      <c r="BF75">
        <v>0</v>
      </c>
      <c r="BG75">
        <v>0</v>
      </c>
      <c r="BH75">
        <v>9998.1200000000008</v>
      </c>
      <c r="BI75">
        <v>1044.26</v>
      </c>
      <c r="BJ75">
        <v>1.62592</v>
      </c>
      <c r="BK75">
        <v>-86.299700000000001</v>
      </c>
      <c r="BL75">
        <v>727.88199999999995</v>
      </c>
      <c r="BM75">
        <v>812.505</v>
      </c>
      <c r="BN75">
        <v>4.1025600000000004</v>
      </c>
      <c r="BO75">
        <v>799.92399999999998</v>
      </c>
      <c r="BP75">
        <v>15.484500000000001</v>
      </c>
      <c r="BQ75">
        <v>1.94343</v>
      </c>
      <c r="BR75">
        <v>1.53637</v>
      </c>
      <c r="BS75">
        <v>16.9908</v>
      </c>
      <c r="BT75">
        <v>13.335000000000001</v>
      </c>
      <c r="BU75">
        <v>1799.99</v>
      </c>
      <c r="BV75">
        <v>0.91</v>
      </c>
      <c r="BW75">
        <v>3.3999799999999997E-2</v>
      </c>
      <c r="BX75">
        <v>2.1999600000000001E-2</v>
      </c>
      <c r="BY75">
        <v>3.4001099999999999E-2</v>
      </c>
      <c r="BZ75">
        <v>25.208300000000001</v>
      </c>
      <c r="CA75">
        <v>33528.199999999997</v>
      </c>
      <c r="CB75">
        <v>1690306253.5999999</v>
      </c>
      <c r="CC75" t="s">
        <v>332</v>
      </c>
      <c r="CD75">
        <v>1690306253.5999999</v>
      </c>
      <c r="CE75">
        <v>1690306251.5999999</v>
      </c>
      <c r="CF75">
        <v>9</v>
      </c>
      <c r="CG75">
        <v>0.19</v>
      </c>
      <c r="CH75">
        <v>-8.7999999999999995E-2</v>
      </c>
      <c r="CI75">
        <v>-5.0999999999999997E-2</v>
      </c>
      <c r="CJ75">
        <v>5.0999999999999997E-2</v>
      </c>
      <c r="CK75">
        <v>799</v>
      </c>
      <c r="CL75">
        <v>15</v>
      </c>
      <c r="CM75">
        <v>0.28000000000000003</v>
      </c>
      <c r="CN75">
        <v>0.03</v>
      </c>
      <c r="CO75">
        <v>-83.426095121951221</v>
      </c>
      <c r="CP75">
        <v>-16.475966550522859</v>
      </c>
      <c r="CQ75">
        <v>1.6251027640228599</v>
      </c>
      <c r="CR75">
        <v>-1</v>
      </c>
      <c r="CS75">
        <v>4.6621782926829276</v>
      </c>
      <c r="CT75">
        <v>-3.5147701045296089</v>
      </c>
      <c r="CU75">
        <v>0.34752895623805852</v>
      </c>
      <c r="CV75">
        <v>-1</v>
      </c>
      <c r="CW75">
        <v>0</v>
      </c>
      <c r="CX75">
        <v>0</v>
      </c>
      <c r="CY75" t="s">
        <v>333</v>
      </c>
      <c r="CZ75">
        <v>2.3643700000000001</v>
      </c>
      <c r="DA75">
        <v>2.7138499999999999</v>
      </c>
      <c r="DB75">
        <v>0.135875</v>
      </c>
      <c r="DC75">
        <v>0.14635999999999999</v>
      </c>
      <c r="DD75">
        <v>9.8582199999999995E-2</v>
      </c>
      <c r="DE75">
        <v>8.2136100000000004E-2</v>
      </c>
      <c r="DF75">
        <v>31547.200000000001</v>
      </c>
      <c r="DG75">
        <v>27514.1</v>
      </c>
      <c r="DH75">
        <v>31167.8</v>
      </c>
      <c r="DI75">
        <v>28086</v>
      </c>
      <c r="DJ75">
        <v>38151.1</v>
      </c>
      <c r="DK75">
        <v>36663.9</v>
      </c>
      <c r="DL75">
        <v>44356.9</v>
      </c>
      <c r="DM75">
        <v>42577.599999999999</v>
      </c>
      <c r="DN75">
        <v>1.42397</v>
      </c>
      <c r="DO75">
        <v>2.0459999999999998</v>
      </c>
      <c r="DP75">
        <v>0.155583</v>
      </c>
      <c r="DQ75">
        <v>0.13101099999999999</v>
      </c>
      <c r="DR75">
        <v>24.483499999999999</v>
      </c>
      <c r="DS75">
        <v>23.9831</v>
      </c>
      <c r="DT75">
        <v>56.3</v>
      </c>
      <c r="DU75">
        <v>29.3</v>
      </c>
      <c r="DV75">
        <v>23.218699999999998</v>
      </c>
      <c r="DW75">
        <v>62.453000000000003</v>
      </c>
      <c r="DX75">
        <v>35.673099999999998</v>
      </c>
      <c r="DY75">
        <v>1</v>
      </c>
      <c r="DZ75">
        <v>-5.0713899999999999E-2</v>
      </c>
      <c r="EA75">
        <v>5.7219499999999996</v>
      </c>
      <c r="EB75">
        <v>20.075700000000001</v>
      </c>
      <c r="EC75">
        <v>5.2398999999999996</v>
      </c>
      <c r="ED75">
        <v>12.039899999999999</v>
      </c>
      <c r="EE75">
        <v>5.0167000000000002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1.8689100000000001</v>
      </c>
      <c r="EL75">
        <v>1.86463</v>
      </c>
      <c r="EM75">
        <v>1.8692</v>
      </c>
      <c r="EN75">
        <v>1.8672500000000001</v>
      </c>
      <c r="EO75">
        <v>1.8633999999999999</v>
      </c>
      <c r="EP75">
        <v>1.8644700000000001</v>
      </c>
      <c r="EQ75">
        <v>1.87015</v>
      </c>
      <c r="ER75">
        <v>1.8694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8.9999999999999993E-3</v>
      </c>
      <c r="FG75">
        <v>0.18129999999999999</v>
      </c>
      <c r="FH75">
        <v>0.49996858830924029</v>
      </c>
      <c r="FI75">
        <v>-6.1462078757559423E-4</v>
      </c>
      <c r="FJ75">
        <v>-1.8861989874597051E-7</v>
      </c>
      <c r="FK75">
        <v>1.1980462299894961E-10</v>
      </c>
      <c r="FL75">
        <v>-3.8593581000597899E-2</v>
      </c>
      <c r="FM75">
        <v>-1.6848085045870601E-2</v>
      </c>
      <c r="FN75">
        <v>1.9789084769509481E-3</v>
      </c>
      <c r="FO75">
        <v>-2.7142391389806329E-5</v>
      </c>
      <c r="FP75">
        <v>3</v>
      </c>
      <c r="FQ75">
        <v>2158</v>
      </c>
      <c r="FR75">
        <v>1</v>
      </c>
      <c r="FS75">
        <v>19</v>
      </c>
      <c r="FT75">
        <v>18.8</v>
      </c>
      <c r="FU75">
        <v>18.8</v>
      </c>
      <c r="FV75">
        <v>1.78589</v>
      </c>
      <c r="FW75">
        <v>2.5915499999999998</v>
      </c>
      <c r="FX75">
        <v>1.5490699999999999</v>
      </c>
      <c r="FY75">
        <v>2.3290999999999999</v>
      </c>
      <c r="FZ75">
        <v>1.50146</v>
      </c>
      <c r="GA75">
        <v>2.3327599999999999</v>
      </c>
      <c r="GB75">
        <v>34.099800000000002</v>
      </c>
      <c r="GC75">
        <v>23.938700000000001</v>
      </c>
      <c r="GD75">
        <v>19</v>
      </c>
      <c r="GE75">
        <v>262.60399999999998</v>
      </c>
      <c r="GF75">
        <v>595.16600000000005</v>
      </c>
      <c r="GG75">
        <v>18.0044</v>
      </c>
      <c r="GH75">
        <v>26.558599999999998</v>
      </c>
      <c r="GI75">
        <v>29.998699999999999</v>
      </c>
      <c r="GJ75">
        <v>26.6936</v>
      </c>
      <c r="GK75">
        <v>26.688600000000001</v>
      </c>
      <c r="GL75">
        <v>35.709800000000001</v>
      </c>
      <c r="GM75">
        <v>39.896299999999997</v>
      </c>
      <c r="GN75">
        <v>92.054599999999994</v>
      </c>
      <c r="GO75">
        <v>17.954799999999999</v>
      </c>
      <c r="GP75">
        <v>800</v>
      </c>
      <c r="GQ75">
        <v>15.5642</v>
      </c>
      <c r="GR75">
        <v>99.726500000000001</v>
      </c>
      <c r="GS75">
        <v>99.595500000000001</v>
      </c>
    </row>
    <row r="76" spans="1:201" x14ac:dyDescent="0.25">
      <c r="A76">
        <v>60</v>
      </c>
      <c r="B76">
        <v>1690307390</v>
      </c>
      <c r="C76">
        <v>771.40000009536743</v>
      </c>
      <c r="D76" t="s">
        <v>453</v>
      </c>
      <c r="E76" t="s">
        <v>454</v>
      </c>
      <c r="F76" t="s">
        <v>330</v>
      </c>
      <c r="H76">
        <v>1690307390</v>
      </c>
      <c r="I76">
        <f t="shared" si="0"/>
        <v>3.8671640941185235E-4</v>
      </c>
      <c r="J76">
        <f t="shared" si="1"/>
        <v>0.38671640941185237</v>
      </c>
      <c r="K76">
        <f t="shared" si="2"/>
        <v>8.2900362058394208</v>
      </c>
      <c r="L76">
        <f t="shared" si="3"/>
        <v>710.97199999999998</v>
      </c>
      <c r="M76">
        <f t="shared" si="4"/>
        <v>182.93173659794815</v>
      </c>
      <c r="N76">
        <f t="shared" si="5"/>
        <v>18.167278941077686</v>
      </c>
      <c r="O76">
        <f t="shared" si="6"/>
        <v>70.607904803767994</v>
      </c>
      <c r="P76">
        <f t="shared" si="7"/>
        <v>2.5786343003069957E-2</v>
      </c>
      <c r="Q76">
        <f t="shared" si="8"/>
        <v>2.1954733073148023</v>
      </c>
      <c r="R76">
        <f t="shared" si="9"/>
        <v>2.5619260837049049E-2</v>
      </c>
      <c r="S76">
        <f t="shared" si="10"/>
        <v>1.6026959332614853E-2</v>
      </c>
      <c r="T76">
        <f t="shared" si="11"/>
        <v>276.11514736199996</v>
      </c>
      <c r="U76">
        <f t="shared" si="12"/>
        <v>26.068307519981389</v>
      </c>
      <c r="V76">
        <f t="shared" si="13"/>
        <v>26.068307519981389</v>
      </c>
      <c r="W76">
        <f t="shared" si="14"/>
        <v>3.3879212247786832</v>
      </c>
      <c r="X76">
        <f t="shared" si="15"/>
        <v>64.135312609107146</v>
      </c>
      <c r="Y76">
        <f t="shared" si="16"/>
        <v>1.9289627684002</v>
      </c>
      <c r="Z76">
        <f t="shared" si="17"/>
        <v>3.0076453827501721</v>
      </c>
      <c r="AA76">
        <f t="shared" si="18"/>
        <v>1.4589584563784832</v>
      </c>
      <c r="AB76">
        <f t="shared" si="19"/>
        <v>-17.05419365506269</v>
      </c>
      <c r="AC76">
        <f t="shared" si="20"/>
        <v>-236.48887925674472</v>
      </c>
      <c r="AD76">
        <f t="shared" si="21"/>
        <v>-22.800816924778058</v>
      </c>
      <c r="AE76">
        <f t="shared" si="22"/>
        <v>-0.2287424745854878</v>
      </c>
      <c r="AF76">
        <v>16</v>
      </c>
      <c r="AG76">
        <v>5</v>
      </c>
      <c r="AH76">
        <f t="shared" si="23"/>
        <v>1</v>
      </c>
      <c r="AI76">
        <f t="shared" si="24"/>
        <v>0</v>
      </c>
      <c r="AJ76">
        <f t="shared" si="25"/>
        <v>52961.849076719431</v>
      </c>
      <c r="AK76">
        <f t="shared" si="26"/>
        <v>1800</v>
      </c>
      <c r="AL76">
        <f t="shared" si="27"/>
        <v>1499.1118001999998</v>
      </c>
      <c r="AM76">
        <f t="shared" si="28"/>
        <v>0.83283988899999994</v>
      </c>
      <c r="AN76">
        <f t="shared" si="29"/>
        <v>0.15339730408999999</v>
      </c>
      <c r="AO76">
        <v>31.2</v>
      </c>
      <c r="AP76">
        <v>0.5</v>
      </c>
      <c r="AQ76" t="s">
        <v>331</v>
      </c>
      <c r="AR76">
        <v>2</v>
      </c>
      <c r="AS76">
        <v>1690307390</v>
      </c>
      <c r="AT76">
        <v>710.97199999999998</v>
      </c>
      <c r="AU76">
        <v>799.96799999999996</v>
      </c>
      <c r="AV76">
        <v>19.423300000000001</v>
      </c>
      <c r="AW76">
        <v>15.4831</v>
      </c>
      <c r="AX76">
        <v>710.96100000000001</v>
      </c>
      <c r="AY76">
        <v>19.246600000000001</v>
      </c>
      <c r="AZ76">
        <v>300.26900000000001</v>
      </c>
      <c r="BA76">
        <v>99.211699999999993</v>
      </c>
      <c r="BB76">
        <v>0.100094</v>
      </c>
      <c r="BC76">
        <v>24.0703</v>
      </c>
      <c r="BD76">
        <v>26.933499999999999</v>
      </c>
      <c r="BE76">
        <v>25.964500000000001</v>
      </c>
      <c r="BF76">
        <v>0</v>
      </c>
      <c r="BG76">
        <v>0</v>
      </c>
      <c r="BH76">
        <v>9996.8799999999992</v>
      </c>
      <c r="BI76">
        <v>1043.48</v>
      </c>
      <c r="BJ76">
        <v>1.62592</v>
      </c>
      <c r="BK76">
        <v>-88.996499999999997</v>
      </c>
      <c r="BL76">
        <v>725.05399999999997</v>
      </c>
      <c r="BM76">
        <v>812.54899999999998</v>
      </c>
      <c r="BN76">
        <v>3.9401199999999998</v>
      </c>
      <c r="BO76">
        <v>799.96799999999996</v>
      </c>
      <c r="BP76">
        <v>15.4831</v>
      </c>
      <c r="BQ76">
        <v>1.9270099999999999</v>
      </c>
      <c r="BR76">
        <v>1.5361100000000001</v>
      </c>
      <c r="BS76">
        <v>16.856999999999999</v>
      </c>
      <c r="BT76">
        <v>13.3324</v>
      </c>
      <c r="BU76">
        <v>1800</v>
      </c>
      <c r="BV76">
        <v>0.91000099999999995</v>
      </c>
      <c r="BW76">
        <v>3.3999099999999997E-2</v>
      </c>
      <c r="BX76">
        <v>2.19992E-2</v>
      </c>
      <c r="BY76">
        <v>3.4000500000000003E-2</v>
      </c>
      <c r="BZ76">
        <v>25.125</v>
      </c>
      <c r="CA76">
        <v>33528.400000000001</v>
      </c>
      <c r="CB76">
        <v>1690306253.5999999</v>
      </c>
      <c r="CC76" t="s">
        <v>332</v>
      </c>
      <c r="CD76">
        <v>1690306253.5999999</v>
      </c>
      <c r="CE76">
        <v>1690306251.5999999</v>
      </c>
      <c r="CF76">
        <v>9</v>
      </c>
      <c r="CG76">
        <v>0.19</v>
      </c>
      <c r="CH76">
        <v>-8.7999999999999995E-2</v>
      </c>
      <c r="CI76">
        <v>-5.0999999999999997E-2</v>
      </c>
      <c r="CJ76">
        <v>5.0999999999999997E-2</v>
      </c>
      <c r="CK76">
        <v>799</v>
      </c>
      <c r="CL76">
        <v>15</v>
      </c>
      <c r="CM76">
        <v>0.28000000000000003</v>
      </c>
      <c r="CN76">
        <v>0.03</v>
      </c>
      <c r="CO76">
        <v>-86.17303414634145</v>
      </c>
      <c r="CP76">
        <v>-16.243413240417919</v>
      </c>
      <c r="CQ76">
        <v>1.602298100155167</v>
      </c>
      <c r="CR76">
        <v>-1</v>
      </c>
      <c r="CS76">
        <v>4.1937285365853656</v>
      </c>
      <c r="CT76">
        <v>-2.0990190940766529</v>
      </c>
      <c r="CU76">
        <v>0.2128108955302688</v>
      </c>
      <c r="CV76">
        <v>-1</v>
      </c>
      <c r="CW76">
        <v>0</v>
      </c>
      <c r="CX76">
        <v>0</v>
      </c>
      <c r="CY76" t="s">
        <v>333</v>
      </c>
      <c r="CZ76">
        <v>2.3644400000000001</v>
      </c>
      <c r="DA76">
        <v>2.7138800000000001</v>
      </c>
      <c r="DB76">
        <v>0.135516</v>
      </c>
      <c r="DC76">
        <v>0.14635300000000001</v>
      </c>
      <c r="DD76">
        <v>9.7993399999999994E-2</v>
      </c>
      <c r="DE76">
        <v>8.2124500000000003E-2</v>
      </c>
      <c r="DF76">
        <v>31560.6</v>
      </c>
      <c r="DG76">
        <v>27514.400000000001</v>
      </c>
      <c r="DH76">
        <v>31168.1</v>
      </c>
      <c r="DI76">
        <v>28086.1</v>
      </c>
      <c r="DJ76">
        <v>38176.699999999997</v>
      </c>
      <c r="DK76">
        <v>36664.5</v>
      </c>
      <c r="DL76">
        <v>44357.4</v>
      </c>
      <c r="DM76">
        <v>42577.7</v>
      </c>
      <c r="DN76">
        <v>1.4255199999999999</v>
      </c>
      <c r="DO76">
        <v>2.0460799999999999</v>
      </c>
      <c r="DP76">
        <v>0.15148500000000001</v>
      </c>
      <c r="DQ76">
        <v>0.123337</v>
      </c>
      <c r="DR76">
        <v>24.450800000000001</v>
      </c>
      <c r="DS76">
        <v>23.9407</v>
      </c>
      <c r="DT76">
        <v>56.2</v>
      </c>
      <c r="DU76">
        <v>29.3</v>
      </c>
      <c r="DV76">
        <v>23.179500000000001</v>
      </c>
      <c r="DW76">
        <v>62.173000000000002</v>
      </c>
      <c r="DX76">
        <v>35.248399999999997</v>
      </c>
      <c r="DY76">
        <v>1</v>
      </c>
      <c r="DZ76">
        <v>-5.3152900000000003E-2</v>
      </c>
      <c r="EA76">
        <v>-0.822214</v>
      </c>
      <c r="EB76">
        <v>20.0458</v>
      </c>
      <c r="EC76">
        <v>5.2397499999999999</v>
      </c>
      <c r="ED76">
        <v>12.039899999999999</v>
      </c>
      <c r="EE76">
        <v>5.0160999999999998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1.8646199999999999</v>
      </c>
      <c r="EM76">
        <v>1.8692</v>
      </c>
      <c r="EN76">
        <v>1.8672599999999999</v>
      </c>
      <c r="EO76">
        <v>1.8633999999999999</v>
      </c>
      <c r="EP76">
        <v>1.8644700000000001</v>
      </c>
      <c r="EQ76">
        <v>1.8701700000000001</v>
      </c>
      <c r="ER76">
        <v>1.86941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1.0999999999999999E-2</v>
      </c>
      <c r="FG76">
        <v>0.1767</v>
      </c>
      <c r="FH76">
        <v>0.49996858830924029</v>
      </c>
      <c r="FI76">
        <v>-6.1462078757559423E-4</v>
      </c>
      <c r="FJ76">
        <v>-1.8861989874597051E-7</v>
      </c>
      <c r="FK76">
        <v>1.1980462299894961E-10</v>
      </c>
      <c r="FL76">
        <v>-3.8593581000597899E-2</v>
      </c>
      <c r="FM76">
        <v>-1.6848085045870601E-2</v>
      </c>
      <c r="FN76">
        <v>1.9789084769509481E-3</v>
      </c>
      <c r="FO76">
        <v>-2.7142391389806329E-5</v>
      </c>
      <c r="FP76">
        <v>3</v>
      </c>
      <c r="FQ76">
        <v>2158</v>
      </c>
      <c r="FR76">
        <v>1</v>
      </c>
      <c r="FS76">
        <v>19</v>
      </c>
      <c r="FT76">
        <v>18.899999999999999</v>
      </c>
      <c r="FU76">
        <v>19</v>
      </c>
      <c r="FV76">
        <v>1.78589</v>
      </c>
      <c r="FW76">
        <v>2.5915499999999998</v>
      </c>
      <c r="FX76">
        <v>1.5490699999999999</v>
      </c>
      <c r="FY76">
        <v>2.3290999999999999</v>
      </c>
      <c r="FZ76">
        <v>1.50146</v>
      </c>
      <c r="GA76">
        <v>2.36572</v>
      </c>
      <c r="GB76">
        <v>34.099800000000002</v>
      </c>
      <c r="GC76">
        <v>23.912400000000002</v>
      </c>
      <c r="GD76">
        <v>19</v>
      </c>
      <c r="GE76">
        <v>263.22500000000002</v>
      </c>
      <c r="GF76">
        <v>595.18600000000004</v>
      </c>
      <c r="GG76">
        <v>17.8995</v>
      </c>
      <c r="GH76">
        <v>26.560700000000001</v>
      </c>
      <c r="GI76">
        <v>29.999099999999999</v>
      </c>
      <c r="GJ76">
        <v>26.691600000000001</v>
      </c>
      <c r="GK76">
        <v>26.684899999999999</v>
      </c>
      <c r="GL76">
        <v>35.712600000000002</v>
      </c>
      <c r="GM76">
        <v>39.896299999999997</v>
      </c>
      <c r="GN76">
        <v>91.669399999999996</v>
      </c>
      <c r="GO76">
        <v>20.6402</v>
      </c>
      <c r="GP76">
        <v>800</v>
      </c>
      <c r="GQ76">
        <v>15.4885</v>
      </c>
      <c r="GR76">
        <v>99.727599999999995</v>
      </c>
      <c r="GS76">
        <v>99.595799999999997</v>
      </c>
    </row>
    <row r="77" spans="1:201" x14ac:dyDescent="0.25">
      <c r="A77">
        <v>61</v>
      </c>
      <c r="B77">
        <v>1690307400</v>
      </c>
      <c r="C77">
        <v>781.40000009536743</v>
      </c>
      <c r="D77" t="s">
        <v>455</v>
      </c>
      <c r="E77" t="s">
        <v>456</v>
      </c>
      <c r="F77" t="s">
        <v>330</v>
      </c>
      <c r="H77">
        <v>1690307400</v>
      </c>
      <c r="I77">
        <f t="shared" si="0"/>
        <v>5.1384106198252655E-4</v>
      </c>
      <c r="J77">
        <f t="shared" si="1"/>
        <v>0.51384106198252655</v>
      </c>
      <c r="K77">
        <f t="shared" si="2"/>
        <v>8.5468748746078926</v>
      </c>
      <c r="L77">
        <f t="shared" si="3"/>
        <v>707.73900000000003</v>
      </c>
      <c r="M77">
        <f t="shared" si="4"/>
        <v>318.17729467217731</v>
      </c>
      <c r="N77">
        <f t="shared" si="5"/>
        <v>31.599565477934448</v>
      </c>
      <c r="O77">
        <f t="shared" si="6"/>
        <v>70.288626015348001</v>
      </c>
      <c r="P77">
        <f t="shared" si="7"/>
        <v>3.6471821816980866E-2</v>
      </c>
      <c r="Q77">
        <f t="shared" si="8"/>
        <v>2.1960377880486806</v>
      </c>
      <c r="R77">
        <f t="shared" si="9"/>
        <v>3.6138626833005963E-2</v>
      </c>
      <c r="S77">
        <f t="shared" si="10"/>
        <v>2.2616324226154394E-2</v>
      </c>
      <c r="T77">
        <f t="shared" si="11"/>
        <v>276.11510553000005</v>
      </c>
      <c r="U77">
        <f t="shared" si="12"/>
        <v>26.158979229101924</v>
      </c>
      <c r="V77">
        <f t="shared" si="13"/>
        <v>26.158979229101924</v>
      </c>
      <c r="W77">
        <f t="shared" si="14"/>
        <v>3.4061318891327494</v>
      </c>
      <c r="X77">
        <f t="shared" si="15"/>
        <v>67.040295949062283</v>
      </c>
      <c r="Y77">
        <f t="shared" si="16"/>
        <v>2.0326862959103997</v>
      </c>
      <c r="Z77">
        <f t="shared" si="17"/>
        <v>3.0320365790969208</v>
      </c>
      <c r="AA77">
        <f t="shared" si="18"/>
        <v>1.3734455932223497</v>
      </c>
      <c r="AB77">
        <f t="shared" si="19"/>
        <v>-22.660390833429421</v>
      </c>
      <c r="AC77">
        <f t="shared" si="20"/>
        <v>-231.34889030837908</v>
      </c>
      <c r="AD77">
        <f t="shared" si="21"/>
        <v>-22.324795462366868</v>
      </c>
      <c r="AE77">
        <f t="shared" si="22"/>
        <v>-0.21897107417532879</v>
      </c>
      <c r="AF77">
        <v>14</v>
      </c>
      <c r="AG77">
        <v>5</v>
      </c>
      <c r="AH77">
        <f t="shared" si="23"/>
        <v>1</v>
      </c>
      <c r="AI77">
        <f t="shared" si="24"/>
        <v>0</v>
      </c>
      <c r="AJ77">
        <f t="shared" si="25"/>
        <v>52961.246275424724</v>
      </c>
      <c r="AK77">
        <f t="shared" si="26"/>
        <v>1800</v>
      </c>
      <c r="AL77">
        <f t="shared" si="27"/>
        <v>1499.1126300000001</v>
      </c>
      <c r="AM77">
        <f t="shared" si="28"/>
        <v>0.83284035000000001</v>
      </c>
      <c r="AN77">
        <f t="shared" si="29"/>
        <v>0.15339728085000004</v>
      </c>
      <c r="AO77">
        <v>31.2</v>
      </c>
      <c r="AP77">
        <v>0.5</v>
      </c>
      <c r="AQ77" t="s">
        <v>331</v>
      </c>
      <c r="AR77">
        <v>2</v>
      </c>
      <c r="AS77">
        <v>1690307400</v>
      </c>
      <c r="AT77">
        <v>707.73900000000003</v>
      </c>
      <c r="AU77">
        <v>800.33299999999997</v>
      </c>
      <c r="AV77">
        <v>20.467199999999998</v>
      </c>
      <c r="AW77">
        <v>15.2369</v>
      </c>
      <c r="AX77">
        <v>707.726</v>
      </c>
      <c r="AY77">
        <v>20.2606</v>
      </c>
      <c r="AZ77">
        <v>300.245</v>
      </c>
      <c r="BA77">
        <v>99.214399999999998</v>
      </c>
      <c r="BB77">
        <v>9.9932000000000007E-2</v>
      </c>
      <c r="BC77">
        <v>24.204899999999999</v>
      </c>
      <c r="BD77">
        <v>26.890499999999999</v>
      </c>
      <c r="BE77">
        <v>26.035599999999999</v>
      </c>
      <c r="BF77">
        <v>0</v>
      </c>
      <c r="BG77">
        <v>0</v>
      </c>
      <c r="BH77">
        <v>10001.200000000001</v>
      </c>
      <c r="BI77">
        <v>1042.99</v>
      </c>
      <c r="BJ77">
        <v>1.62592</v>
      </c>
      <c r="BK77">
        <v>-92.593800000000002</v>
      </c>
      <c r="BL77">
        <v>722.52800000000002</v>
      </c>
      <c r="BM77">
        <v>812.71600000000001</v>
      </c>
      <c r="BN77">
        <v>5.23034</v>
      </c>
      <c r="BO77">
        <v>800.33299999999997</v>
      </c>
      <c r="BP77">
        <v>15.2369</v>
      </c>
      <c r="BQ77">
        <v>2.03064</v>
      </c>
      <c r="BR77">
        <v>1.51172</v>
      </c>
      <c r="BS77">
        <v>17.685300000000002</v>
      </c>
      <c r="BT77">
        <v>13.087199999999999</v>
      </c>
      <c r="BU77">
        <v>1800</v>
      </c>
      <c r="BV77">
        <v>0.91000400000000004</v>
      </c>
      <c r="BW77">
        <v>3.3998100000000003E-2</v>
      </c>
      <c r="BX77">
        <v>2.1998500000000001E-2</v>
      </c>
      <c r="BY77">
        <v>3.3999500000000002E-2</v>
      </c>
      <c r="BZ77">
        <v>25.25</v>
      </c>
      <c r="CA77">
        <v>33528.300000000003</v>
      </c>
      <c r="CB77">
        <v>1690306253.5999999</v>
      </c>
      <c r="CC77" t="s">
        <v>332</v>
      </c>
      <c r="CD77">
        <v>1690306253.5999999</v>
      </c>
      <c r="CE77">
        <v>1690306251.5999999</v>
      </c>
      <c r="CF77">
        <v>9</v>
      </c>
      <c r="CG77">
        <v>0.19</v>
      </c>
      <c r="CH77">
        <v>-8.7999999999999995E-2</v>
      </c>
      <c r="CI77">
        <v>-5.0999999999999997E-2</v>
      </c>
      <c r="CJ77">
        <v>5.0999999999999997E-2</v>
      </c>
      <c r="CK77">
        <v>799</v>
      </c>
      <c r="CL77">
        <v>15</v>
      </c>
      <c r="CM77">
        <v>0.28000000000000003</v>
      </c>
      <c r="CN77">
        <v>0.03</v>
      </c>
      <c r="CO77">
        <v>-88.946767499999993</v>
      </c>
      <c r="CP77">
        <v>-17.861390994371259</v>
      </c>
      <c r="CQ77">
        <v>1.7231827925944909</v>
      </c>
      <c r="CR77">
        <v>-1</v>
      </c>
      <c r="CS77">
        <v>4.1496977499999996</v>
      </c>
      <c r="CT77">
        <v>1.8993139587241969</v>
      </c>
      <c r="CU77">
        <v>0.27955767899923167</v>
      </c>
      <c r="CV77">
        <v>-1</v>
      </c>
      <c r="CW77">
        <v>0</v>
      </c>
      <c r="CX77">
        <v>0</v>
      </c>
      <c r="CY77" t="s">
        <v>333</v>
      </c>
      <c r="CZ77">
        <v>2.36435</v>
      </c>
      <c r="DA77">
        <v>2.71373</v>
      </c>
      <c r="DB77">
        <v>0.13511300000000001</v>
      </c>
      <c r="DC77">
        <v>0.146398</v>
      </c>
      <c r="DD77">
        <v>0.101661</v>
      </c>
      <c r="DE77">
        <v>8.11693E-2</v>
      </c>
      <c r="DF77">
        <v>31575.7</v>
      </c>
      <c r="DG77">
        <v>27512.9</v>
      </c>
      <c r="DH77">
        <v>31168.5</v>
      </c>
      <c r="DI77">
        <v>28086.1</v>
      </c>
      <c r="DJ77">
        <v>38020.400000000001</v>
      </c>
      <c r="DK77">
        <v>36702.6</v>
      </c>
      <c r="DL77">
        <v>44357.8</v>
      </c>
      <c r="DM77">
        <v>42577.599999999999</v>
      </c>
      <c r="DN77">
        <v>1.42913</v>
      </c>
      <c r="DO77">
        <v>2.0453999999999999</v>
      </c>
      <c r="DP77">
        <v>0.151172</v>
      </c>
      <c r="DQ77">
        <v>0.13056400000000001</v>
      </c>
      <c r="DR77">
        <v>24.412800000000001</v>
      </c>
      <c r="DS77">
        <v>23.8932</v>
      </c>
      <c r="DT77">
        <v>56.2</v>
      </c>
      <c r="DU77">
        <v>29.3</v>
      </c>
      <c r="DV77">
        <v>23.180099999999999</v>
      </c>
      <c r="DW77">
        <v>61.593000000000004</v>
      </c>
      <c r="DX77">
        <v>35.228400000000001</v>
      </c>
      <c r="DY77">
        <v>1</v>
      </c>
      <c r="DZ77">
        <v>-6.3473100000000005E-2</v>
      </c>
      <c r="EA77">
        <v>-0.28592099999999998</v>
      </c>
      <c r="EB77">
        <v>20.1861</v>
      </c>
      <c r="EC77">
        <v>5.2397499999999999</v>
      </c>
      <c r="ED77">
        <v>12.039899999999999</v>
      </c>
      <c r="EE77">
        <v>5.0162500000000003</v>
      </c>
      <c r="EF77">
        <v>3.2879499999999999</v>
      </c>
      <c r="EG77">
        <v>9999</v>
      </c>
      <c r="EH77">
        <v>9999</v>
      </c>
      <c r="EI77">
        <v>9999</v>
      </c>
      <c r="EJ77">
        <v>999.9</v>
      </c>
      <c r="EK77">
        <v>1.86894</v>
      </c>
      <c r="EL77">
        <v>1.8646400000000001</v>
      </c>
      <c r="EM77">
        <v>1.8692</v>
      </c>
      <c r="EN77">
        <v>1.8672599999999999</v>
      </c>
      <c r="EO77">
        <v>1.8633999999999999</v>
      </c>
      <c r="EP77">
        <v>1.86449</v>
      </c>
      <c r="EQ77">
        <v>1.8702000000000001</v>
      </c>
      <c r="ER77">
        <v>1.8694500000000001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1.2999999999999999E-2</v>
      </c>
      <c r="FG77">
        <v>0.20660000000000001</v>
      </c>
      <c r="FH77">
        <v>0.49996858830924029</v>
      </c>
      <c r="FI77">
        <v>-6.1462078757559423E-4</v>
      </c>
      <c r="FJ77">
        <v>-1.8861989874597051E-7</v>
      </c>
      <c r="FK77">
        <v>1.1980462299894961E-10</v>
      </c>
      <c r="FL77">
        <v>-3.8593581000597899E-2</v>
      </c>
      <c r="FM77">
        <v>-1.6848085045870601E-2</v>
      </c>
      <c r="FN77">
        <v>1.9789084769509481E-3</v>
      </c>
      <c r="FO77">
        <v>-2.7142391389806329E-5</v>
      </c>
      <c r="FP77">
        <v>3</v>
      </c>
      <c r="FQ77">
        <v>2158</v>
      </c>
      <c r="FR77">
        <v>1</v>
      </c>
      <c r="FS77">
        <v>19</v>
      </c>
      <c r="FT77">
        <v>19.100000000000001</v>
      </c>
      <c r="FU77">
        <v>19.100000000000001</v>
      </c>
      <c r="FV77">
        <v>1.78589</v>
      </c>
      <c r="FW77">
        <v>2.5878899999999998</v>
      </c>
      <c r="FX77">
        <v>1.5490699999999999</v>
      </c>
      <c r="FY77">
        <v>2.3290999999999999</v>
      </c>
      <c r="FZ77">
        <v>1.50146</v>
      </c>
      <c r="GA77">
        <v>2.4035600000000001</v>
      </c>
      <c r="GB77">
        <v>34.099800000000002</v>
      </c>
      <c r="GC77">
        <v>23.991199999999999</v>
      </c>
      <c r="GD77">
        <v>19</v>
      </c>
      <c r="GE77">
        <v>264.733</v>
      </c>
      <c r="GF77">
        <v>594.58500000000004</v>
      </c>
      <c r="GG77">
        <v>20.999500000000001</v>
      </c>
      <c r="GH77">
        <v>26.562899999999999</v>
      </c>
      <c r="GI77">
        <v>29.9939</v>
      </c>
      <c r="GJ77">
        <v>26.7027</v>
      </c>
      <c r="GK77">
        <v>26.681899999999999</v>
      </c>
      <c r="GL77">
        <v>35.700499999999998</v>
      </c>
      <c r="GM77">
        <v>42.2971</v>
      </c>
      <c r="GN77">
        <v>91.296499999999995</v>
      </c>
      <c r="GO77">
        <v>20.7957</v>
      </c>
      <c r="GP77">
        <v>800</v>
      </c>
      <c r="GQ77">
        <v>14.7209</v>
      </c>
      <c r="GR77">
        <v>99.728700000000003</v>
      </c>
      <c r="GS77">
        <v>99.595600000000005</v>
      </c>
    </row>
    <row r="78" spans="1:201" x14ac:dyDescent="0.25">
      <c r="A78">
        <v>62</v>
      </c>
      <c r="B78">
        <v>1690307410</v>
      </c>
      <c r="C78">
        <v>791.40000009536743</v>
      </c>
      <c r="D78" t="s">
        <v>457</v>
      </c>
      <c r="E78" t="s">
        <v>458</v>
      </c>
      <c r="F78" t="s">
        <v>330</v>
      </c>
      <c r="H78">
        <v>1690307410</v>
      </c>
      <c r="I78">
        <f t="shared" si="0"/>
        <v>6.441911734634861E-4</v>
      </c>
      <c r="J78">
        <f t="shared" si="1"/>
        <v>0.64419117346348609</v>
      </c>
      <c r="K78">
        <f t="shared" si="2"/>
        <v>8.6978290147708606</v>
      </c>
      <c r="L78">
        <f t="shared" si="3"/>
        <v>705.01</v>
      </c>
      <c r="M78">
        <f t="shared" si="4"/>
        <v>394.99671875065258</v>
      </c>
      <c r="N78">
        <f t="shared" si="5"/>
        <v>39.229290696129659</v>
      </c>
      <c r="O78">
        <f t="shared" si="6"/>
        <v>70.01841007985</v>
      </c>
      <c r="P78">
        <f t="shared" si="7"/>
        <v>4.7196590363974215E-2</v>
      </c>
      <c r="Q78">
        <f t="shared" si="8"/>
        <v>2.1930580479020048</v>
      </c>
      <c r="R78">
        <f t="shared" si="9"/>
        <v>4.6639494198625848E-2</v>
      </c>
      <c r="S78">
        <f t="shared" si="10"/>
        <v>2.9199188782415324E-2</v>
      </c>
      <c r="T78">
        <f t="shared" si="11"/>
        <v>276.11496889199998</v>
      </c>
      <c r="U78">
        <f t="shared" si="12"/>
        <v>26.277056918221486</v>
      </c>
      <c r="V78">
        <f t="shared" si="13"/>
        <v>26.277056918221486</v>
      </c>
      <c r="W78">
        <f t="shared" si="14"/>
        <v>3.4299749303750224</v>
      </c>
      <c r="X78">
        <f t="shared" si="15"/>
        <v>68.479859125835631</v>
      </c>
      <c r="Y78">
        <f t="shared" si="16"/>
        <v>2.0963810520255</v>
      </c>
      <c r="Z78">
        <f t="shared" si="17"/>
        <v>3.0613104039441446</v>
      </c>
      <c r="AA78">
        <f t="shared" si="18"/>
        <v>1.3335938783495225</v>
      </c>
      <c r="AB78">
        <f t="shared" si="19"/>
        <v>-28.408830749739739</v>
      </c>
      <c r="AC78">
        <f t="shared" si="20"/>
        <v>-226.04294528922566</v>
      </c>
      <c r="AD78">
        <f t="shared" si="21"/>
        <v>-21.873009262230337</v>
      </c>
      <c r="AE78">
        <f t="shared" si="22"/>
        <v>-0.20981640919575284</v>
      </c>
      <c r="AF78">
        <v>15</v>
      </c>
      <c r="AG78">
        <v>5</v>
      </c>
      <c r="AH78">
        <f t="shared" si="23"/>
        <v>1</v>
      </c>
      <c r="AI78">
        <f t="shared" si="24"/>
        <v>0</v>
      </c>
      <c r="AJ78">
        <f t="shared" si="25"/>
        <v>52809.732866433907</v>
      </c>
      <c r="AK78">
        <f t="shared" si="26"/>
        <v>1800</v>
      </c>
      <c r="AL78">
        <f t="shared" si="27"/>
        <v>1499.1123672000001</v>
      </c>
      <c r="AM78">
        <f t="shared" si="28"/>
        <v>0.83284020400000003</v>
      </c>
      <c r="AN78">
        <f t="shared" si="29"/>
        <v>0.15339720494</v>
      </c>
      <c r="AO78">
        <v>31.2</v>
      </c>
      <c r="AP78">
        <v>0.5</v>
      </c>
      <c r="AQ78" t="s">
        <v>331</v>
      </c>
      <c r="AR78">
        <v>2</v>
      </c>
      <c r="AS78">
        <v>1690307410</v>
      </c>
      <c r="AT78">
        <v>705.01</v>
      </c>
      <c r="AU78">
        <v>800.12</v>
      </c>
      <c r="AV78">
        <v>21.1083</v>
      </c>
      <c r="AW78">
        <v>14.555</v>
      </c>
      <c r="AX78">
        <v>704.995</v>
      </c>
      <c r="AY78">
        <v>20.882899999999999</v>
      </c>
      <c r="AZ78">
        <v>300.22300000000001</v>
      </c>
      <c r="BA78">
        <v>99.215400000000002</v>
      </c>
      <c r="BB78">
        <v>0.10008499999999999</v>
      </c>
      <c r="BC78">
        <v>24.365200000000002</v>
      </c>
      <c r="BD78">
        <v>27.093800000000002</v>
      </c>
      <c r="BE78">
        <v>26.215</v>
      </c>
      <c r="BF78">
        <v>0</v>
      </c>
      <c r="BG78">
        <v>0</v>
      </c>
      <c r="BH78">
        <v>9976.8799999999992</v>
      </c>
      <c r="BI78">
        <v>1042.98</v>
      </c>
      <c r="BJ78">
        <v>1.62592</v>
      </c>
      <c r="BK78">
        <v>-95.109700000000004</v>
      </c>
      <c r="BL78">
        <v>720.21299999999997</v>
      </c>
      <c r="BM78">
        <v>811.93799999999999</v>
      </c>
      <c r="BN78">
        <v>6.5533599999999996</v>
      </c>
      <c r="BO78">
        <v>800.12</v>
      </c>
      <c r="BP78">
        <v>14.555</v>
      </c>
      <c r="BQ78">
        <v>2.0942699999999999</v>
      </c>
      <c r="BR78">
        <v>1.44408</v>
      </c>
      <c r="BS78">
        <v>18.175699999999999</v>
      </c>
      <c r="BT78">
        <v>12.388500000000001</v>
      </c>
      <c r="BU78">
        <v>1800</v>
      </c>
      <c r="BV78">
        <v>0.91000499999999995</v>
      </c>
      <c r="BW78">
        <v>3.3997600000000003E-2</v>
      </c>
      <c r="BX78">
        <v>2.1998199999999999E-2</v>
      </c>
      <c r="BY78">
        <v>3.3999000000000001E-2</v>
      </c>
      <c r="BZ78">
        <v>25.666699999999999</v>
      </c>
      <c r="CA78">
        <v>33528.400000000001</v>
      </c>
      <c r="CB78">
        <v>1690306253.5999999</v>
      </c>
      <c r="CC78" t="s">
        <v>332</v>
      </c>
      <c r="CD78">
        <v>1690306253.5999999</v>
      </c>
      <c r="CE78">
        <v>1690306251.5999999</v>
      </c>
      <c r="CF78">
        <v>9</v>
      </c>
      <c r="CG78">
        <v>0.19</v>
      </c>
      <c r="CH78">
        <v>-8.7999999999999995E-2</v>
      </c>
      <c r="CI78">
        <v>-5.0999999999999997E-2</v>
      </c>
      <c r="CJ78">
        <v>5.0999999999999997E-2</v>
      </c>
      <c r="CK78">
        <v>799</v>
      </c>
      <c r="CL78">
        <v>15</v>
      </c>
      <c r="CM78">
        <v>0.28000000000000003</v>
      </c>
      <c r="CN78">
        <v>0.03</v>
      </c>
      <c r="CO78">
        <v>-92.064175000000006</v>
      </c>
      <c r="CP78">
        <v>-19.269516697935941</v>
      </c>
      <c r="CQ78">
        <v>1.860632417855554</v>
      </c>
      <c r="CR78">
        <v>-1</v>
      </c>
      <c r="CS78">
        <v>5.1181582499999996</v>
      </c>
      <c r="CT78">
        <v>9.507599887429647</v>
      </c>
      <c r="CU78">
        <v>0.92464245673635248</v>
      </c>
      <c r="CV78">
        <v>-1</v>
      </c>
      <c r="CW78">
        <v>0</v>
      </c>
      <c r="CX78">
        <v>0</v>
      </c>
      <c r="CY78" t="s">
        <v>333</v>
      </c>
      <c r="CZ78">
        <v>2.36429</v>
      </c>
      <c r="DA78">
        <v>2.7138599999999999</v>
      </c>
      <c r="DB78">
        <v>0.134768</v>
      </c>
      <c r="DC78">
        <v>0.14636099999999999</v>
      </c>
      <c r="DD78">
        <v>0.103877</v>
      </c>
      <c r="DE78">
        <v>7.8489900000000001E-2</v>
      </c>
      <c r="DF78">
        <v>31589.200000000001</v>
      </c>
      <c r="DG78">
        <v>27515.5</v>
      </c>
      <c r="DH78">
        <v>31169.3</v>
      </c>
      <c r="DI78">
        <v>28087.599999999999</v>
      </c>
      <c r="DJ78">
        <v>37926.800000000003</v>
      </c>
      <c r="DK78">
        <v>36811.9</v>
      </c>
      <c r="DL78">
        <v>44359.1</v>
      </c>
      <c r="DM78">
        <v>42580</v>
      </c>
      <c r="DN78">
        <v>1.4272</v>
      </c>
      <c r="DO78">
        <v>2.04515</v>
      </c>
      <c r="DP78">
        <v>0.16547000000000001</v>
      </c>
      <c r="DQ78">
        <v>0.14346100000000001</v>
      </c>
      <c r="DR78">
        <v>24.382100000000001</v>
      </c>
      <c r="DS78">
        <v>23.8613</v>
      </c>
      <c r="DT78">
        <v>56.1</v>
      </c>
      <c r="DU78">
        <v>29.3</v>
      </c>
      <c r="DV78">
        <v>23.139500000000002</v>
      </c>
      <c r="DW78">
        <v>61.853000000000002</v>
      </c>
      <c r="DX78">
        <v>35.769199999999998</v>
      </c>
      <c r="DY78">
        <v>1</v>
      </c>
      <c r="DZ78">
        <v>-6.3922800000000002E-2</v>
      </c>
      <c r="EA78">
        <v>1.9040699999999999</v>
      </c>
      <c r="EB78">
        <v>20.177800000000001</v>
      </c>
      <c r="EC78">
        <v>5.2403500000000003</v>
      </c>
      <c r="ED78">
        <v>12.039899999999999</v>
      </c>
      <c r="EE78">
        <v>5.0164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1.86893</v>
      </c>
      <c r="EL78">
        <v>1.8646400000000001</v>
      </c>
      <c r="EM78">
        <v>1.8692</v>
      </c>
      <c r="EN78">
        <v>1.8672599999999999</v>
      </c>
      <c r="EO78">
        <v>1.8633999999999999</v>
      </c>
      <c r="EP78">
        <v>1.8644700000000001</v>
      </c>
      <c r="EQ78">
        <v>1.8702000000000001</v>
      </c>
      <c r="ER78">
        <v>1.8694500000000001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1.4999999999999999E-2</v>
      </c>
      <c r="FG78">
        <v>0.22539999999999999</v>
      </c>
      <c r="FH78">
        <v>0.49996858830924029</v>
      </c>
      <c r="FI78">
        <v>-6.1462078757559423E-4</v>
      </c>
      <c r="FJ78">
        <v>-1.8861989874597051E-7</v>
      </c>
      <c r="FK78">
        <v>1.1980462299894961E-10</v>
      </c>
      <c r="FL78">
        <v>-3.8593581000597899E-2</v>
      </c>
      <c r="FM78">
        <v>-1.6848085045870601E-2</v>
      </c>
      <c r="FN78">
        <v>1.9789084769509481E-3</v>
      </c>
      <c r="FO78">
        <v>-2.7142391389806329E-5</v>
      </c>
      <c r="FP78">
        <v>3</v>
      </c>
      <c r="FQ78">
        <v>2158</v>
      </c>
      <c r="FR78">
        <v>1</v>
      </c>
      <c r="FS78">
        <v>19</v>
      </c>
      <c r="FT78">
        <v>19.3</v>
      </c>
      <c r="FU78">
        <v>19.3</v>
      </c>
      <c r="FV78">
        <v>1.78467</v>
      </c>
      <c r="FW78">
        <v>2.5866699999999998</v>
      </c>
      <c r="FX78">
        <v>1.5490699999999999</v>
      </c>
      <c r="FY78">
        <v>2.3290999999999999</v>
      </c>
      <c r="FZ78">
        <v>1.50146</v>
      </c>
      <c r="GA78">
        <v>2.3938000000000001</v>
      </c>
      <c r="GB78">
        <v>34.099800000000002</v>
      </c>
      <c r="GC78">
        <v>23.982399999999998</v>
      </c>
      <c r="GD78">
        <v>19</v>
      </c>
      <c r="GE78">
        <v>263.96199999999999</v>
      </c>
      <c r="GF78">
        <v>594.32399999999996</v>
      </c>
      <c r="GG78">
        <v>21.063099999999999</v>
      </c>
      <c r="GH78">
        <v>26.565300000000001</v>
      </c>
      <c r="GI78">
        <v>29.9998</v>
      </c>
      <c r="GJ78">
        <v>26.7056</v>
      </c>
      <c r="GK78">
        <v>26.677499999999998</v>
      </c>
      <c r="GL78">
        <v>35.686100000000003</v>
      </c>
      <c r="GM78">
        <v>43.847799999999999</v>
      </c>
      <c r="GN78">
        <v>90.524299999999997</v>
      </c>
      <c r="GO78">
        <v>20.864000000000001</v>
      </c>
      <c r="GP78">
        <v>800</v>
      </c>
      <c r="GQ78">
        <v>14.2873</v>
      </c>
      <c r="GR78">
        <v>99.731499999999997</v>
      </c>
      <c r="GS78">
        <v>99.601100000000002</v>
      </c>
    </row>
    <row r="79" spans="1:201" x14ac:dyDescent="0.25">
      <c r="A79">
        <v>63</v>
      </c>
      <c r="B79">
        <v>1690307420</v>
      </c>
      <c r="C79">
        <v>801.40000009536743</v>
      </c>
      <c r="D79" t="s">
        <v>459</v>
      </c>
      <c r="E79" t="s">
        <v>460</v>
      </c>
      <c r="F79" t="s">
        <v>330</v>
      </c>
      <c r="H79">
        <v>1690307420</v>
      </c>
      <c r="I79">
        <f t="shared" si="0"/>
        <v>6.5370221892898804E-4</v>
      </c>
      <c r="J79">
        <f t="shared" si="1"/>
        <v>0.65370221892898805</v>
      </c>
      <c r="K79">
        <f t="shared" si="2"/>
        <v>8.907549138721512</v>
      </c>
      <c r="L79">
        <f t="shared" si="3"/>
        <v>702.65200000000004</v>
      </c>
      <c r="M79">
        <f t="shared" si="4"/>
        <v>384.59745282596623</v>
      </c>
      <c r="N79">
        <f t="shared" si="5"/>
        <v>38.196578475780186</v>
      </c>
      <c r="O79">
        <f t="shared" si="6"/>
        <v>69.784399407628811</v>
      </c>
      <c r="P79">
        <f t="shared" si="7"/>
        <v>4.7072066141985974E-2</v>
      </c>
      <c r="Q79">
        <f t="shared" si="8"/>
        <v>2.1986704914444335</v>
      </c>
      <c r="R79">
        <f t="shared" si="9"/>
        <v>4.6519283892719872E-2</v>
      </c>
      <c r="S79">
        <f t="shared" si="10"/>
        <v>2.9123676774769826E-2</v>
      </c>
      <c r="T79">
        <f t="shared" si="11"/>
        <v>276.11506693800004</v>
      </c>
      <c r="U79">
        <f t="shared" si="12"/>
        <v>26.314397800796737</v>
      </c>
      <c r="V79">
        <f t="shared" si="13"/>
        <v>26.314397800796737</v>
      </c>
      <c r="W79">
        <f t="shared" si="14"/>
        <v>3.4375453242115346</v>
      </c>
      <c r="X79">
        <f t="shared" si="15"/>
        <v>67.784418580572336</v>
      </c>
      <c r="Y79">
        <f t="shared" si="16"/>
        <v>2.0807043619737597</v>
      </c>
      <c r="Z79">
        <f t="shared" si="17"/>
        <v>3.069590925974409</v>
      </c>
      <c r="AA79">
        <f t="shared" si="18"/>
        <v>1.3568409622377748</v>
      </c>
      <c r="AB79">
        <f t="shared" si="19"/>
        <v>-28.828267854768374</v>
      </c>
      <c r="AC79">
        <f t="shared" si="20"/>
        <v>-225.70170640057114</v>
      </c>
      <c r="AD79">
        <f t="shared" si="21"/>
        <v>-21.79326888263903</v>
      </c>
      <c r="AE79">
        <f t="shared" si="22"/>
        <v>-0.20817619997851011</v>
      </c>
      <c r="AF79">
        <v>16</v>
      </c>
      <c r="AG79">
        <v>5</v>
      </c>
      <c r="AH79">
        <f t="shared" si="23"/>
        <v>1</v>
      </c>
      <c r="AI79">
        <f t="shared" si="24"/>
        <v>0</v>
      </c>
      <c r="AJ79">
        <f t="shared" si="25"/>
        <v>53033.490228225346</v>
      </c>
      <c r="AK79">
        <f t="shared" si="26"/>
        <v>1800</v>
      </c>
      <c r="AL79">
        <f t="shared" si="27"/>
        <v>1499.1127847999999</v>
      </c>
      <c r="AM79">
        <f t="shared" si="28"/>
        <v>0.83284043599999991</v>
      </c>
      <c r="AN79">
        <f t="shared" si="29"/>
        <v>0.15339725941000001</v>
      </c>
      <c r="AO79">
        <v>31.2</v>
      </c>
      <c r="AP79">
        <v>0.5</v>
      </c>
      <c r="AQ79" t="s">
        <v>331</v>
      </c>
      <c r="AR79">
        <v>2</v>
      </c>
      <c r="AS79">
        <v>1690307420</v>
      </c>
      <c r="AT79">
        <v>702.65200000000004</v>
      </c>
      <c r="AU79">
        <v>800.024</v>
      </c>
      <c r="AV79">
        <v>20.950399999999998</v>
      </c>
      <c r="AW79">
        <v>14.2973</v>
      </c>
      <c r="AX79">
        <v>702.63499999999999</v>
      </c>
      <c r="AY79">
        <v>20.729700000000001</v>
      </c>
      <c r="AZ79">
        <v>300.13400000000001</v>
      </c>
      <c r="BA79">
        <v>99.215800000000002</v>
      </c>
      <c r="BB79">
        <v>9.9934400000000007E-2</v>
      </c>
      <c r="BC79">
        <v>24.410299999999999</v>
      </c>
      <c r="BD79">
        <v>27.183599999999998</v>
      </c>
      <c r="BE79">
        <v>26.3108</v>
      </c>
      <c r="BF79">
        <v>0</v>
      </c>
      <c r="BG79">
        <v>0</v>
      </c>
      <c r="BH79">
        <v>10022.5</v>
      </c>
      <c r="BI79">
        <v>1043.07</v>
      </c>
      <c r="BJ79">
        <v>1.62592</v>
      </c>
      <c r="BK79">
        <v>-97.372299999999996</v>
      </c>
      <c r="BL79">
        <v>717.68799999999999</v>
      </c>
      <c r="BM79">
        <v>811.62800000000004</v>
      </c>
      <c r="BN79">
        <v>6.6532</v>
      </c>
      <c r="BO79">
        <v>800.024</v>
      </c>
      <c r="BP79">
        <v>14.2973</v>
      </c>
      <c r="BQ79">
        <v>2.0786199999999999</v>
      </c>
      <c r="BR79">
        <v>1.4185099999999999</v>
      </c>
      <c r="BS79">
        <v>18.0562</v>
      </c>
      <c r="BT79">
        <v>12.117000000000001</v>
      </c>
      <c r="BU79">
        <v>1800</v>
      </c>
      <c r="BV79">
        <v>0.91000499999999995</v>
      </c>
      <c r="BW79">
        <v>3.3997699999999999E-2</v>
      </c>
      <c r="BX79">
        <v>2.1998299999999998E-2</v>
      </c>
      <c r="BY79">
        <v>3.3999099999999997E-2</v>
      </c>
      <c r="BZ79">
        <v>25.458300000000001</v>
      </c>
      <c r="CA79">
        <v>33528.400000000001</v>
      </c>
      <c r="CB79">
        <v>1690306253.5999999</v>
      </c>
      <c r="CC79" t="s">
        <v>332</v>
      </c>
      <c r="CD79">
        <v>1690306253.5999999</v>
      </c>
      <c r="CE79">
        <v>1690306251.5999999</v>
      </c>
      <c r="CF79">
        <v>9</v>
      </c>
      <c r="CG79">
        <v>0.19</v>
      </c>
      <c r="CH79">
        <v>-8.7999999999999995E-2</v>
      </c>
      <c r="CI79">
        <v>-5.0999999999999997E-2</v>
      </c>
      <c r="CJ79">
        <v>5.0999999999999997E-2</v>
      </c>
      <c r="CK79">
        <v>799</v>
      </c>
      <c r="CL79">
        <v>15</v>
      </c>
      <c r="CM79">
        <v>0.28000000000000003</v>
      </c>
      <c r="CN79">
        <v>0.03</v>
      </c>
      <c r="CO79">
        <v>-94.720819512195121</v>
      </c>
      <c r="CP79">
        <v>-14.806662020905989</v>
      </c>
      <c r="CQ79">
        <v>1.4618414693702231</v>
      </c>
      <c r="CR79">
        <v>-1</v>
      </c>
      <c r="CS79">
        <v>6.2326263414634138</v>
      </c>
      <c r="CT79">
        <v>5.0371388153310086</v>
      </c>
      <c r="CU79">
        <v>0.54380240310539318</v>
      </c>
      <c r="CV79">
        <v>-1</v>
      </c>
      <c r="CW79">
        <v>0</v>
      </c>
      <c r="CX79">
        <v>0</v>
      </c>
      <c r="CY79" t="s">
        <v>333</v>
      </c>
      <c r="CZ79">
        <v>2.3640099999999999</v>
      </c>
      <c r="DA79">
        <v>2.71374</v>
      </c>
      <c r="DB79">
        <v>0.134459</v>
      </c>
      <c r="DC79">
        <v>0.146345</v>
      </c>
      <c r="DD79">
        <v>0.103336</v>
      </c>
      <c r="DE79">
        <v>7.7464599999999995E-2</v>
      </c>
      <c r="DF79">
        <v>31599.7</v>
      </c>
      <c r="DG79">
        <v>27514.7</v>
      </c>
      <c r="DH79">
        <v>31168.6</v>
      </c>
      <c r="DI79">
        <v>28086.2</v>
      </c>
      <c r="DJ79">
        <v>37948.9</v>
      </c>
      <c r="DK79">
        <v>36851.199999999997</v>
      </c>
      <c r="DL79">
        <v>44358</v>
      </c>
      <c r="DM79">
        <v>42577.9</v>
      </c>
      <c r="DN79">
        <v>1.4260699999999999</v>
      </c>
      <c r="DO79">
        <v>2.0449199999999998</v>
      </c>
      <c r="DP79">
        <v>0.17217499999999999</v>
      </c>
      <c r="DQ79">
        <v>0.15007000000000001</v>
      </c>
      <c r="DR79">
        <v>24.362200000000001</v>
      </c>
      <c r="DS79">
        <v>23.848800000000001</v>
      </c>
      <c r="DT79">
        <v>56.1</v>
      </c>
      <c r="DU79">
        <v>29.3</v>
      </c>
      <c r="DV79">
        <v>23.136700000000001</v>
      </c>
      <c r="DW79">
        <v>61.363</v>
      </c>
      <c r="DX79">
        <v>36.262</v>
      </c>
      <c r="DY79">
        <v>1</v>
      </c>
      <c r="DZ79">
        <v>-6.1074700000000003E-2</v>
      </c>
      <c r="EA79">
        <v>2.8515000000000001</v>
      </c>
      <c r="EB79">
        <v>20.159500000000001</v>
      </c>
      <c r="EC79">
        <v>5.2398999999999996</v>
      </c>
      <c r="ED79">
        <v>12.039899999999999</v>
      </c>
      <c r="EE79">
        <v>5.0161499999999997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1.86894</v>
      </c>
      <c r="EL79">
        <v>1.8646499999999999</v>
      </c>
      <c r="EM79">
        <v>1.8692</v>
      </c>
      <c r="EN79">
        <v>1.8672500000000001</v>
      </c>
      <c r="EO79">
        <v>1.8633999999999999</v>
      </c>
      <c r="EP79">
        <v>1.8644700000000001</v>
      </c>
      <c r="EQ79">
        <v>1.87018</v>
      </c>
      <c r="ER79">
        <v>1.8694500000000001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1.7000000000000001E-2</v>
      </c>
      <c r="FG79">
        <v>0.22070000000000001</v>
      </c>
      <c r="FH79">
        <v>0.49996858830924029</v>
      </c>
      <c r="FI79">
        <v>-6.1462078757559423E-4</v>
      </c>
      <c r="FJ79">
        <v>-1.8861989874597051E-7</v>
      </c>
      <c r="FK79">
        <v>1.1980462299894961E-10</v>
      </c>
      <c r="FL79">
        <v>-3.8593581000597899E-2</v>
      </c>
      <c r="FM79">
        <v>-1.6848085045870601E-2</v>
      </c>
      <c r="FN79">
        <v>1.9789084769509481E-3</v>
      </c>
      <c r="FO79">
        <v>-2.7142391389806329E-5</v>
      </c>
      <c r="FP79">
        <v>3</v>
      </c>
      <c r="FQ79">
        <v>2158</v>
      </c>
      <c r="FR79">
        <v>1</v>
      </c>
      <c r="FS79">
        <v>19</v>
      </c>
      <c r="FT79">
        <v>19.399999999999999</v>
      </c>
      <c r="FU79">
        <v>19.5</v>
      </c>
      <c r="FV79">
        <v>1.78467</v>
      </c>
      <c r="FW79">
        <v>2.5878899999999998</v>
      </c>
      <c r="FX79">
        <v>1.5490699999999999</v>
      </c>
      <c r="FY79">
        <v>2.3290999999999999</v>
      </c>
      <c r="FZ79">
        <v>1.50146</v>
      </c>
      <c r="GA79">
        <v>2.3596200000000001</v>
      </c>
      <c r="GB79">
        <v>34.122500000000002</v>
      </c>
      <c r="GC79">
        <v>23.973700000000001</v>
      </c>
      <c r="GD79">
        <v>19</v>
      </c>
      <c r="GE79">
        <v>263.47300000000001</v>
      </c>
      <c r="GF79">
        <v>594.11800000000005</v>
      </c>
      <c r="GG79">
        <v>20.8049</v>
      </c>
      <c r="GH79">
        <v>26.565300000000001</v>
      </c>
      <c r="GI79">
        <v>30.001000000000001</v>
      </c>
      <c r="GJ79">
        <v>26.697800000000001</v>
      </c>
      <c r="GK79">
        <v>26.675999999999998</v>
      </c>
      <c r="GL79">
        <v>35.680199999999999</v>
      </c>
      <c r="GM79">
        <v>44.135800000000003</v>
      </c>
      <c r="GN79">
        <v>90.146199999999993</v>
      </c>
      <c r="GO79">
        <v>20.622800000000002</v>
      </c>
      <c r="GP79">
        <v>800</v>
      </c>
      <c r="GQ79">
        <v>14.3504</v>
      </c>
      <c r="GR79">
        <v>99.729100000000003</v>
      </c>
      <c r="GS79">
        <v>99.596299999999999</v>
      </c>
    </row>
    <row r="80" spans="1:201" x14ac:dyDescent="0.25">
      <c r="A80">
        <v>64</v>
      </c>
      <c r="B80">
        <v>1690307430</v>
      </c>
      <c r="C80">
        <v>811.40000009536743</v>
      </c>
      <c r="D80" t="s">
        <v>461</v>
      </c>
      <c r="E80" t="s">
        <v>462</v>
      </c>
      <c r="F80" t="s">
        <v>330</v>
      </c>
      <c r="H80">
        <v>1690307430</v>
      </c>
      <c r="I80">
        <f t="shared" si="0"/>
        <v>6.2706437933225309E-4</v>
      </c>
      <c r="J80">
        <f t="shared" si="1"/>
        <v>0.62706437933225312</v>
      </c>
      <c r="K80">
        <f t="shared" si="2"/>
        <v>9.1582867608939829</v>
      </c>
      <c r="L80">
        <f t="shared" si="3"/>
        <v>700.21900000000005</v>
      </c>
      <c r="M80">
        <f t="shared" si="4"/>
        <v>353.75241646934825</v>
      </c>
      <c r="N80">
        <f t="shared" si="5"/>
        <v>35.132629219033532</v>
      </c>
      <c r="O80">
        <f t="shared" si="6"/>
        <v>69.541671954215502</v>
      </c>
      <c r="P80">
        <f t="shared" si="7"/>
        <v>4.4239935751621301E-2</v>
      </c>
      <c r="Q80">
        <f t="shared" si="8"/>
        <v>2.1915792642325802</v>
      </c>
      <c r="R80">
        <f t="shared" si="9"/>
        <v>4.3749735099840051E-2</v>
      </c>
      <c r="S80">
        <f t="shared" si="10"/>
        <v>2.7387174342329207E-2</v>
      </c>
      <c r="T80">
        <f t="shared" si="11"/>
        <v>276.11494903800002</v>
      </c>
      <c r="U80">
        <f t="shared" si="12"/>
        <v>26.311320778680862</v>
      </c>
      <c r="V80">
        <f t="shared" si="13"/>
        <v>26.311320778680862</v>
      </c>
      <c r="W80">
        <f t="shared" si="14"/>
        <v>3.4369209455587866</v>
      </c>
      <c r="X80">
        <f t="shared" si="15"/>
        <v>66.946499189864056</v>
      </c>
      <c r="Y80">
        <f t="shared" si="16"/>
        <v>2.0527941926626498</v>
      </c>
      <c r="Z80">
        <f t="shared" si="17"/>
        <v>3.0663204461831675</v>
      </c>
      <c r="AA80">
        <f t="shared" si="18"/>
        <v>1.3841267528961367</v>
      </c>
      <c r="AB80">
        <f t="shared" si="19"/>
        <v>-27.65353912855236</v>
      </c>
      <c r="AC80">
        <f t="shared" si="20"/>
        <v>-226.71332102905259</v>
      </c>
      <c r="AD80">
        <f t="shared" si="21"/>
        <v>-21.959478589884668</v>
      </c>
      <c r="AE80">
        <f t="shared" si="22"/>
        <v>-0.21138970948959468</v>
      </c>
      <c r="AF80">
        <v>16</v>
      </c>
      <c r="AG80">
        <v>5</v>
      </c>
      <c r="AH80">
        <f t="shared" si="23"/>
        <v>1</v>
      </c>
      <c r="AI80">
        <f t="shared" si="24"/>
        <v>0</v>
      </c>
      <c r="AJ80">
        <f t="shared" si="25"/>
        <v>52743.893985931798</v>
      </c>
      <c r="AK80">
        <f t="shared" si="26"/>
        <v>1800</v>
      </c>
      <c r="AL80">
        <f t="shared" si="27"/>
        <v>1499.1129378000001</v>
      </c>
      <c r="AM80">
        <f t="shared" si="28"/>
        <v>0.83284052100000006</v>
      </c>
      <c r="AN80">
        <f t="shared" si="29"/>
        <v>0.15339719391000001</v>
      </c>
      <c r="AO80">
        <v>31.2</v>
      </c>
      <c r="AP80">
        <v>0.5</v>
      </c>
      <c r="AQ80" t="s">
        <v>331</v>
      </c>
      <c r="AR80">
        <v>2</v>
      </c>
      <c r="AS80">
        <v>1690307430</v>
      </c>
      <c r="AT80">
        <v>700.21900000000005</v>
      </c>
      <c r="AU80">
        <v>800.01800000000003</v>
      </c>
      <c r="AV80">
        <v>20.669699999999999</v>
      </c>
      <c r="AW80">
        <v>14.283899999999999</v>
      </c>
      <c r="AX80">
        <v>700.2</v>
      </c>
      <c r="AY80">
        <v>20.4572</v>
      </c>
      <c r="AZ80">
        <v>300.041</v>
      </c>
      <c r="BA80">
        <v>99.214200000000005</v>
      </c>
      <c r="BB80">
        <v>9.9974499999999994E-2</v>
      </c>
      <c r="BC80">
        <v>24.392499999999998</v>
      </c>
      <c r="BD80">
        <v>27.1858</v>
      </c>
      <c r="BE80">
        <v>26.3504</v>
      </c>
      <c r="BF80">
        <v>0</v>
      </c>
      <c r="BG80">
        <v>0</v>
      </c>
      <c r="BH80">
        <v>9965</v>
      </c>
      <c r="BI80">
        <v>1042.82</v>
      </c>
      <c r="BJ80">
        <v>1.62592</v>
      </c>
      <c r="BK80">
        <v>-99.799599999999998</v>
      </c>
      <c r="BL80">
        <v>714.99699999999996</v>
      </c>
      <c r="BM80">
        <v>811.61099999999999</v>
      </c>
      <c r="BN80">
        <v>6.3858100000000002</v>
      </c>
      <c r="BO80">
        <v>800.01800000000003</v>
      </c>
      <c r="BP80">
        <v>14.283899999999999</v>
      </c>
      <c r="BQ80">
        <v>2.0507300000000002</v>
      </c>
      <c r="BR80">
        <v>1.41717</v>
      </c>
      <c r="BS80">
        <v>17.8416</v>
      </c>
      <c r="BT80">
        <v>12.102600000000001</v>
      </c>
      <c r="BU80">
        <v>1800</v>
      </c>
      <c r="BV80">
        <v>0.91000700000000001</v>
      </c>
      <c r="BW80">
        <v>3.3996899999999997E-2</v>
      </c>
      <c r="BX80">
        <v>2.1997800000000001E-2</v>
      </c>
      <c r="BY80">
        <v>3.3998300000000002E-2</v>
      </c>
      <c r="BZ80">
        <v>25.666699999999999</v>
      </c>
      <c r="CA80">
        <v>33528.400000000001</v>
      </c>
      <c r="CB80">
        <v>1690306253.5999999</v>
      </c>
      <c r="CC80" t="s">
        <v>332</v>
      </c>
      <c r="CD80">
        <v>1690306253.5999999</v>
      </c>
      <c r="CE80">
        <v>1690306251.5999999</v>
      </c>
      <c r="CF80">
        <v>9</v>
      </c>
      <c r="CG80">
        <v>0.19</v>
      </c>
      <c r="CH80">
        <v>-8.7999999999999995E-2</v>
      </c>
      <c r="CI80">
        <v>-5.0999999999999997E-2</v>
      </c>
      <c r="CJ80">
        <v>5.0999999999999997E-2</v>
      </c>
      <c r="CK80">
        <v>799</v>
      </c>
      <c r="CL80">
        <v>15</v>
      </c>
      <c r="CM80">
        <v>0.28000000000000003</v>
      </c>
      <c r="CN80">
        <v>0.03</v>
      </c>
      <c r="CO80">
        <v>-97.282854999999998</v>
      </c>
      <c r="CP80">
        <v>-13.94376135084423</v>
      </c>
      <c r="CQ80">
        <v>1.3421884778133799</v>
      </c>
      <c r="CR80">
        <v>-1</v>
      </c>
      <c r="CS80">
        <v>6.6035304999999997</v>
      </c>
      <c r="CT80">
        <v>-0.59020502814260301</v>
      </c>
      <c r="CU80">
        <v>8.814588348158979E-2</v>
      </c>
      <c r="CV80">
        <v>-1</v>
      </c>
      <c r="CW80">
        <v>0</v>
      </c>
      <c r="CX80">
        <v>0</v>
      </c>
      <c r="CY80" t="s">
        <v>333</v>
      </c>
      <c r="CZ80">
        <v>2.3637000000000001</v>
      </c>
      <c r="DA80">
        <v>2.71373</v>
      </c>
      <c r="DB80">
        <v>0.134135</v>
      </c>
      <c r="DC80">
        <v>0.146343</v>
      </c>
      <c r="DD80">
        <v>0.102367</v>
      </c>
      <c r="DE80">
        <v>7.7410499999999993E-2</v>
      </c>
      <c r="DF80">
        <v>31610.799999999999</v>
      </c>
      <c r="DG80">
        <v>27514</v>
      </c>
      <c r="DH80">
        <v>31167.9</v>
      </c>
      <c r="DI80">
        <v>28085.4</v>
      </c>
      <c r="DJ80">
        <v>37989.4</v>
      </c>
      <c r="DK80">
        <v>36852.5</v>
      </c>
      <c r="DL80">
        <v>44356.9</v>
      </c>
      <c r="DM80">
        <v>42576.9</v>
      </c>
      <c r="DN80">
        <v>1.4259299999999999</v>
      </c>
      <c r="DO80">
        <v>2.0445000000000002</v>
      </c>
      <c r="DP80">
        <v>0.17313700000000001</v>
      </c>
      <c r="DQ80">
        <v>0.152804</v>
      </c>
      <c r="DR80">
        <v>24.348600000000001</v>
      </c>
      <c r="DS80">
        <v>23.843599999999999</v>
      </c>
      <c r="DT80">
        <v>56</v>
      </c>
      <c r="DU80">
        <v>29.3</v>
      </c>
      <c r="DV80">
        <v>23.0974</v>
      </c>
      <c r="DW80">
        <v>61.503</v>
      </c>
      <c r="DX80">
        <v>36.630600000000001</v>
      </c>
      <c r="DY80">
        <v>1</v>
      </c>
      <c r="DZ80">
        <v>-5.8854200000000002E-2</v>
      </c>
      <c r="EA80">
        <v>3.3551000000000002</v>
      </c>
      <c r="EB80">
        <v>20.149000000000001</v>
      </c>
      <c r="EC80">
        <v>5.2394499999999997</v>
      </c>
      <c r="ED80">
        <v>12.039899999999999</v>
      </c>
      <c r="EE80">
        <v>5.0159500000000001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1.86894</v>
      </c>
      <c r="EL80">
        <v>1.8646400000000001</v>
      </c>
      <c r="EM80">
        <v>1.86921</v>
      </c>
      <c r="EN80">
        <v>1.8672599999999999</v>
      </c>
      <c r="EO80">
        <v>1.8633999999999999</v>
      </c>
      <c r="EP80">
        <v>1.8644700000000001</v>
      </c>
      <c r="EQ80">
        <v>1.8702000000000001</v>
      </c>
      <c r="ER80">
        <v>1.86944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1.9E-2</v>
      </c>
      <c r="FG80">
        <v>0.21249999999999999</v>
      </c>
      <c r="FH80">
        <v>0.49996858830924029</v>
      </c>
      <c r="FI80">
        <v>-6.1462078757559423E-4</v>
      </c>
      <c r="FJ80">
        <v>-1.8861989874597051E-7</v>
      </c>
      <c r="FK80">
        <v>1.1980462299894961E-10</v>
      </c>
      <c r="FL80">
        <v>-3.8593581000597899E-2</v>
      </c>
      <c r="FM80">
        <v>-1.6848085045870601E-2</v>
      </c>
      <c r="FN80">
        <v>1.9789084769509481E-3</v>
      </c>
      <c r="FO80">
        <v>-2.7142391389806329E-5</v>
      </c>
      <c r="FP80">
        <v>3</v>
      </c>
      <c r="FQ80">
        <v>2158</v>
      </c>
      <c r="FR80">
        <v>1</v>
      </c>
      <c r="FS80">
        <v>19</v>
      </c>
      <c r="FT80">
        <v>19.600000000000001</v>
      </c>
      <c r="FU80">
        <v>19.600000000000001</v>
      </c>
      <c r="FV80">
        <v>1.78467</v>
      </c>
      <c r="FW80">
        <v>2.5915499999999998</v>
      </c>
      <c r="FX80">
        <v>1.5490699999999999</v>
      </c>
      <c r="FY80">
        <v>2.3290999999999999</v>
      </c>
      <c r="FZ80">
        <v>1.50146</v>
      </c>
      <c r="GA80">
        <v>2.3095699999999999</v>
      </c>
      <c r="GB80">
        <v>34.122500000000002</v>
      </c>
      <c r="GC80">
        <v>23.9649</v>
      </c>
      <c r="GD80">
        <v>19</v>
      </c>
      <c r="GE80">
        <v>263.39299999999997</v>
      </c>
      <c r="GF80">
        <v>593.74099999999999</v>
      </c>
      <c r="GG80">
        <v>20.4102</v>
      </c>
      <c r="GH80">
        <v>26.565300000000001</v>
      </c>
      <c r="GI80">
        <v>30.000800000000002</v>
      </c>
      <c r="GJ80">
        <v>26.692699999999999</v>
      </c>
      <c r="GK80">
        <v>26.674099999999999</v>
      </c>
      <c r="GL80">
        <v>35.673499999999997</v>
      </c>
      <c r="GM80">
        <v>43.536700000000003</v>
      </c>
      <c r="GN80">
        <v>89.764399999999995</v>
      </c>
      <c r="GO80">
        <v>20.2638</v>
      </c>
      <c r="GP80">
        <v>800</v>
      </c>
      <c r="GQ80">
        <v>14.425000000000001</v>
      </c>
      <c r="GR80">
        <v>99.726699999999994</v>
      </c>
      <c r="GS80">
        <v>99.593699999999998</v>
      </c>
    </row>
    <row r="81" spans="1:201" x14ac:dyDescent="0.25">
      <c r="A81">
        <v>65</v>
      </c>
      <c r="B81">
        <v>1690307440</v>
      </c>
      <c r="C81">
        <v>821.40000009536743</v>
      </c>
      <c r="D81" t="s">
        <v>463</v>
      </c>
      <c r="E81" t="s">
        <v>464</v>
      </c>
      <c r="F81" t="s">
        <v>330</v>
      </c>
      <c r="H81">
        <v>1690307440</v>
      </c>
      <c r="I81">
        <f t="shared" ref="I81:I144" si="30">(J81)/1000</f>
        <v>5.9736295909070957E-4</v>
      </c>
      <c r="J81">
        <f t="shared" ref="J81:J144" si="31">1000*AZ81*AH81*(AV81-AW81)/(100*AO81*(1000-AH81*AV81))</f>
        <v>0.59736295909070958</v>
      </c>
      <c r="K81">
        <f t="shared" ref="K81:K144" si="32">AZ81*AH81*(AU81-AT81*(1000-AH81*AW81)/(1000-AH81*AV81))/(100*AO81)</f>
        <v>9.4412283409702926</v>
      </c>
      <c r="L81">
        <f t="shared" ref="L81:L144" si="33">AT81 - IF(AH81&gt;1, K81*AO81*100/(AJ81*BH81), 0)</f>
        <v>697.471</v>
      </c>
      <c r="M81">
        <f t="shared" ref="M81:M144" si="34">((S81-I81/2)*L81-K81)/(S81+I81/2)</f>
        <v>320.03934868155193</v>
      </c>
      <c r="N81">
        <f t="shared" ref="N81:N144" si="35">M81*(BA81+BB81)/1000</f>
        <v>31.787627953325703</v>
      </c>
      <c r="O81">
        <f t="shared" ref="O81:O144" si="36">(AT81 - IF(AH81&gt;1, K81*AO81*100/(AJ81*BH81), 0))*(BA81+BB81)/1000</f>
        <v>69.275696090403997</v>
      </c>
      <c r="P81">
        <f t="shared" ref="P81:P144" si="37">2/((1/R81-1/Q81)+SIGN(R81)*SQRT((1/R81-1/Q81)*(1/R81-1/Q81) + 4*AP81/((AP81+1)*(AP81+1))*(2*1/R81*1/Q81-1/Q81*1/Q81)))</f>
        <v>4.1684177479868752E-2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2.195779364746183</v>
      </c>
      <c r="R81">
        <f t="shared" ref="R81:R144" si="39">I81*(1000-(1000*0.61365*EXP(17.502*V81/(240.97+V81))/(BA81+BB81)+AV81)/2)/(1000*0.61365*EXP(17.502*V81/(240.97+V81))/(BA81+BB81)-AV81)</f>
        <v>4.1249501912222847E-2</v>
      </c>
      <c r="S81">
        <f t="shared" ref="S81:S144" si="40">1/((AP81+1)/(P81/1.6)+1/(Q81/1.37)) + AP81/((AP81+1)/(P81/1.6) + AP81/(Q81/1.37))</f>
        <v>2.5819614765548636E-2</v>
      </c>
      <c r="T81">
        <f t="shared" ref="T81:T144" si="41">(AK81*AN81)</f>
        <v>276.11323659705243</v>
      </c>
      <c r="U81">
        <f t="shared" ref="U81:U144" si="42">(BC81+(T81+2*0.95*0.0000000567*(((BC81+$B$7)+273)^4-(BC81+273)^4)-44100*I81)/(1.84*29.3*Q81+8*0.95*0.0000000567*(BC81+273)^3))</f>
        <v>26.272333610651298</v>
      </c>
      <c r="V81">
        <f t="shared" ref="V81:V144" si="43">($C$7*BD81+$D$7*BE81+$E$7*U81)</f>
        <v>26.272333610651298</v>
      </c>
      <c r="W81">
        <f t="shared" ref="W81:W144" si="44">0.61365*EXP(17.502*V81/(240.97+V81))</f>
        <v>3.4290183772874938</v>
      </c>
      <c r="X81">
        <f t="shared" ref="X81:X144" si="45">(Y81/Z81*100)</f>
        <v>66.390410315365628</v>
      </c>
      <c r="Y81">
        <f t="shared" ref="Y81:Y144" si="46">AV81*(BA81+BB81)/1000</f>
        <v>2.0301652297352004</v>
      </c>
      <c r="Z81">
        <f t="shared" ref="Z81:Z144" si="47">0.61365*EXP(17.502*BC81/(240.97+BC81))</f>
        <v>3.0579193893991219</v>
      </c>
      <c r="AA81">
        <f t="shared" ref="AA81:AA144" si="48">(W81-AV81*(BA81+BB81)/1000)</f>
        <v>1.3988531475522934</v>
      </c>
      <c r="AB81">
        <f t="shared" ref="AB81:AB144" si="49">(-I81*44100)</f>
        <v>-26.343706495900292</v>
      </c>
      <c r="AC81">
        <f t="shared" ref="AC81:AC144" si="50">2*29.3*Q81*0.92*(BC81-V81)</f>
        <v>-227.95430604573269</v>
      </c>
      <c r="AD81">
        <f t="shared" ref="AD81:AD144" si="51">2*0.95*0.0000000567*(((BC81+$B$7)+273)^4-(V81+273)^4)</f>
        <v>-22.028055340921423</v>
      </c>
      <c r="AE81">
        <f t="shared" ref="AE81:AE144" si="52">T81+AD81+AB81+AC81</f>
        <v>-0.21283128550194874</v>
      </c>
      <c r="AF81">
        <v>16</v>
      </c>
      <c r="AG81">
        <v>5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52925.527564336233</v>
      </c>
      <c r="AK81">
        <f t="shared" ref="AK81:AK144" si="56">$B$11*BI81+$C$11*BJ81+$D$11*BU81</f>
        <v>1799.99</v>
      </c>
      <c r="AL81">
        <f t="shared" ref="AL81:AL144" si="57">AK81*AM81</f>
        <v>1499.1051763916398</v>
      </c>
      <c r="AM81">
        <f t="shared" ref="AM81:AM144" si="58">($B$11*$D$9+$C$11*$D$9+$D$11*(BV81*$E$9+BW81*$F$9+BX81*$G$9+BY81*$H$9))/($B$11+$C$11+$D$11)</f>
        <v>0.83284083599999992</v>
      </c>
      <c r="AN81">
        <f t="shared" ref="AN81:AN144" si="59">($B$11*$K$9+$C$11*$K$9+$D$11*(BV81*$L$9+BW81*$M$9+BX81*$N$9+BY81*$O$9))/($B$11+$C$11+$D$11)</f>
        <v>0.15339709476000002</v>
      </c>
      <c r="AO81">
        <v>31.2</v>
      </c>
      <c r="AP81">
        <v>0.5</v>
      </c>
      <c r="AQ81" t="s">
        <v>331</v>
      </c>
      <c r="AR81">
        <v>2</v>
      </c>
      <c r="AS81">
        <v>1690307440</v>
      </c>
      <c r="AT81">
        <v>697.471</v>
      </c>
      <c r="AU81">
        <v>799.92899999999997</v>
      </c>
      <c r="AV81">
        <v>20.439800000000002</v>
      </c>
      <c r="AW81">
        <v>14.358000000000001</v>
      </c>
      <c r="AX81">
        <v>697.45100000000002</v>
      </c>
      <c r="AY81">
        <v>20.234000000000002</v>
      </c>
      <c r="AZ81">
        <v>300.18700000000001</v>
      </c>
      <c r="BA81">
        <v>99.224100000000007</v>
      </c>
      <c r="BB81">
        <v>0.100024</v>
      </c>
      <c r="BC81">
        <v>24.346699999999998</v>
      </c>
      <c r="BD81">
        <v>27.166</v>
      </c>
      <c r="BE81">
        <v>26.278700000000001</v>
      </c>
      <c r="BF81">
        <v>0</v>
      </c>
      <c r="BG81">
        <v>0</v>
      </c>
      <c r="BH81">
        <v>9998.1200000000008</v>
      </c>
      <c r="BI81">
        <v>1042.56</v>
      </c>
      <c r="BJ81">
        <v>1.62592</v>
      </c>
      <c r="BK81">
        <v>-102.458</v>
      </c>
      <c r="BL81">
        <v>712.02499999999998</v>
      </c>
      <c r="BM81">
        <v>811.58100000000002</v>
      </c>
      <c r="BN81">
        <v>6.0817899999999998</v>
      </c>
      <c r="BO81">
        <v>799.92899999999997</v>
      </c>
      <c r="BP81">
        <v>14.358000000000001</v>
      </c>
      <c r="BQ81">
        <v>2.0281199999999999</v>
      </c>
      <c r="BR81">
        <v>1.42466</v>
      </c>
      <c r="BS81">
        <v>17.665600000000001</v>
      </c>
      <c r="BT81">
        <v>12.182700000000001</v>
      </c>
      <c r="BU81">
        <v>1799.99</v>
      </c>
      <c r="BV81">
        <v>0.91001100000000001</v>
      </c>
      <c r="BW81">
        <v>3.3995400000000002E-2</v>
      </c>
      <c r="BX81">
        <v>2.19968E-2</v>
      </c>
      <c r="BY81">
        <v>3.3996800000000001E-2</v>
      </c>
      <c r="BZ81">
        <v>25.666699999999999</v>
      </c>
      <c r="CA81">
        <v>33528.400000000001</v>
      </c>
      <c r="CB81">
        <v>1690306253.5999999</v>
      </c>
      <c r="CC81" t="s">
        <v>332</v>
      </c>
      <c r="CD81">
        <v>1690306253.5999999</v>
      </c>
      <c r="CE81">
        <v>1690306251.5999999</v>
      </c>
      <c r="CF81">
        <v>9</v>
      </c>
      <c r="CG81">
        <v>0.19</v>
      </c>
      <c r="CH81">
        <v>-8.7999999999999995E-2</v>
      </c>
      <c r="CI81">
        <v>-5.0999999999999997E-2</v>
      </c>
      <c r="CJ81">
        <v>5.0999999999999997E-2</v>
      </c>
      <c r="CK81">
        <v>799</v>
      </c>
      <c r="CL81">
        <v>15</v>
      </c>
      <c r="CM81">
        <v>0.28000000000000003</v>
      </c>
      <c r="CN81">
        <v>0.03</v>
      </c>
      <c r="CO81">
        <v>-99.489970731707317</v>
      </c>
      <c r="CP81">
        <v>-14.81141602787476</v>
      </c>
      <c r="CQ81">
        <v>1.4623933108875791</v>
      </c>
      <c r="CR81">
        <v>-1</v>
      </c>
      <c r="CS81">
        <v>6.4150209756097558</v>
      </c>
      <c r="CT81">
        <v>-1.7975897560975671</v>
      </c>
      <c r="CU81">
        <v>0.17772830811765819</v>
      </c>
      <c r="CV81">
        <v>-1</v>
      </c>
      <c r="CW81">
        <v>0</v>
      </c>
      <c r="CX81">
        <v>0</v>
      </c>
      <c r="CY81" t="s">
        <v>333</v>
      </c>
      <c r="CZ81">
        <v>2.3641800000000002</v>
      </c>
      <c r="DA81">
        <v>2.7138100000000001</v>
      </c>
      <c r="DB81">
        <v>0.13378399999999999</v>
      </c>
      <c r="DC81">
        <v>0.14634800000000001</v>
      </c>
      <c r="DD81">
        <v>0.101579</v>
      </c>
      <c r="DE81">
        <v>7.7713900000000002E-2</v>
      </c>
      <c r="DF81">
        <v>31623.200000000001</v>
      </c>
      <c r="DG81">
        <v>27513.5</v>
      </c>
      <c r="DH81">
        <v>31167.5</v>
      </c>
      <c r="DI81">
        <v>28085.1</v>
      </c>
      <c r="DJ81">
        <v>38022.6</v>
      </c>
      <c r="DK81">
        <v>36839.9</v>
      </c>
      <c r="DL81">
        <v>44356.5</v>
      </c>
      <c r="DM81">
        <v>42576.4</v>
      </c>
      <c r="DN81">
        <v>1.4260299999999999</v>
      </c>
      <c r="DO81">
        <v>2.0442999999999998</v>
      </c>
      <c r="DP81">
        <v>0.172675</v>
      </c>
      <c r="DQ81">
        <v>0.14881</v>
      </c>
      <c r="DR81">
        <v>24.336300000000001</v>
      </c>
      <c r="DS81">
        <v>23.837299999999999</v>
      </c>
      <c r="DT81">
        <v>55.9</v>
      </c>
      <c r="DU81">
        <v>29.3</v>
      </c>
      <c r="DV81">
        <v>23.052700000000002</v>
      </c>
      <c r="DW81">
        <v>61.343000000000004</v>
      </c>
      <c r="DX81">
        <v>36.181899999999999</v>
      </c>
      <c r="DY81">
        <v>1</v>
      </c>
      <c r="DZ81">
        <v>-5.8122500000000001E-2</v>
      </c>
      <c r="EA81">
        <v>3.5818599999999998</v>
      </c>
      <c r="EB81">
        <v>20.143599999999999</v>
      </c>
      <c r="EC81">
        <v>5.2393000000000001</v>
      </c>
      <c r="ED81">
        <v>12.039899999999999</v>
      </c>
      <c r="EE81">
        <v>5.016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1.8689199999999999</v>
      </c>
      <c r="EL81">
        <v>1.8646400000000001</v>
      </c>
      <c r="EM81">
        <v>1.86921</v>
      </c>
      <c r="EN81">
        <v>1.8672500000000001</v>
      </c>
      <c r="EO81">
        <v>1.8633999999999999</v>
      </c>
      <c r="EP81">
        <v>1.8644700000000001</v>
      </c>
      <c r="EQ81">
        <v>1.8701700000000001</v>
      </c>
      <c r="ER81">
        <v>1.8694599999999999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0.02</v>
      </c>
      <c r="FG81">
        <v>0.20580000000000001</v>
      </c>
      <c r="FH81">
        <v>0.49996858830924029</v>
      </c>
      <c r="FI81">
        <v>-6.1462078757559423E-4</v>
      </c>
      <c r="FJ81">
        <v>-1.8861989874597051E-7</v>
      </c>
      <c r="FK81">
        <v>1.1980462299894961E-10</v>
      </c>
      <c r="FL81">
        <v>-3.8593581000597899E-2</v>
      </c>
      <c r="FM81">
        <v>-1.6848085045870601E-2</v>
      </c>
      <c r="FN81">
        <v>1.9789084769509481E-3</v>
      </c>
      <c r="FO81">
        <v>-2.7142391389806329E-5</v>
      </c>
      <c r="FP81">
        <v>3</v>
      </c>
      <c r="FQ81">
        <v>2158</v>
      </c>
      <c r="FR81">
        <v>1</v>
      </c>
      <c r="FS81">
        <v>19</v>
      </c>
      <c r="FT81">
        <v>19.8</v>
      </c>
      <c r="FU81">
        <v>19.8</v>
      </c>
      <c r="FV81">
        <v>1.78467</v>
      </c>
      <c r="FW81">
        <v>2.5976599999999999</v>
      </c>
      <c r="FX81">
        <v>1.5490699999999999</v>
      </c>
      <c r="FY81">
        <v>2.3290999999999999</v>
      </c>
      <c r="FZ81">
        <v>1.50146</v>
      </c>
      <c r="GA81">
        <v>2.3132299999999999</v>
      </c>
      <c r="GB81">
        <v>34.099800000000002</v>
      </c>
      <c r="GC81">
        <v>23.9649</v>
      </c>
      <c r="GD81">
        <v>19</v>
      </c>
      <c r="GE81">
        <v>263.42399999999998</v>
      </c>
      <c r="GF81">
        <v>593.56799999999998</v>
      </c>
      <c r="GG81">
        <v>20.015499999999999</v>
      </c>
      <c r="GH81">
        <v>26.565300000000001</v>
      </c>
      <c r="GI81">
        <v>30.000399999999999</v>
      </c>
      <c r="GJ81">
        <v>26.6905</v>
      </c>
      <c r="GK81">
        <v>26.6738</v>
      </c>
      <c r="GL81">
        <v>35.678199999999997</v>
      </c>
      <c r="GM81">
        <v>42.942700000000002</v>
      </c>
      <c r="GN81">
        <v>89.385099999999994</v>
      </c>
      <c r="GO81">
        <v>19.898900000000001</v>
      </c>
      <c r="GP81">
        <v>800</v>
      </c>
      <c r="GQ81">
        <v>14.499599999999999</v>
      </c>
      <c r="GR81">
        <v>99.725499999999997</v>
      </c>
      <c r="GS81">
        <v>99.592500000000001</v>
      </c>
    </row>
    <row r="82" spans="1:201" x14ac:dyDescent="0.25">
      <c r="A82">
        <v>66</v>
      </c>
      <c r="B82">
        <v>1690307450</v>
      </c>
      <c r="C82">
        <v>831.40000009536743</v>
      </c>
      <c r="D82" t="s">
        <v>465</v>
      </c>
      <c r="E82" t="s">
        <v>466</v>
      </c>
      <c r="F82" t="s">
        <v>330</v>
      </c>
      <c r="H82">
        <v>1690307450</v>
      </c>
      <c r="I82">
        <f t="shared" si="30"/>
        <v>5.7415975211180695E-4</v>
      </c>
      <c r="J82">
        <f t="shared" si="31"/>
        <v>0.57415975211180692</v>
      </c>
      <c r="K82">
        <f t="shared" si="32"/>
        <v>9.7312352113976424</v>
      </c>
      <c r="L82">
        <f t="shared" si="33"/>
        <v>694.73299999999995</v>
      </c>
      <c r="M82">
        <f t="shared" si="34"/>
        <v>290.12935021460288</v>
      </c>
      <c r="N82">
        <f t="shared" si="35"/>
        <v>28.814185304609172</v>
      </c>
      <c r="O82">
        <f t="shared" si="36"/>
        <v>68.997381286726096</v>
      </c>
      <c r="P82">
        <f t="shared" si="37"/>
        <v>3.9942056861933924E-2</v>
      </c>
      <c r="Q82">
        <f t="shared" si="38"/>
        <v>2.1988936358884756</v>
      </c>
      <c r="R82">
        <f t="shared" si="39"/>
        <v>3.9543326820474851E-2</v>
      </c>
      <c r="S82">
        <f t="shared" si="40"/>
        <v>2.4750071775528511E-2</v>
      </c>
      <c r="T82">
        <f t="shared" si="41"/>
        <v>276.11636075325987</v>
      </c>
      <c r="U82">
        <f t="shared" si="42"/>
        <v>26.214654473628929</v>
      </c>
      <c r="V82">
        <f t="shared" si="43"/>
        <v>26.214654473628929</v>
      </c>
      <c r="W82">
        <f t="shared" si="44"/>
        <v>3.4173561129818673</v>
      </c>
      <c r="X82">
        <f t="shared" si="45"/>
        <v>66.136736815001299</v>
      </c>
      <c r="Y82">
        <f t="shared" si="46"/>
        <v>2.0147629020232198</v>
      </c>
      <c r="Z82">
        <f t="shared" si="47"/>
        <v>3.0463597072515776</v>
      </c>
      <c r="AA82">
        <f t="shared" si="48"/>
        <v>1.4025932109586474</v>
      </c>
      <c r="AB82">
        <f t="shared" si="49"/>
        <v>-25.320445068130688</v>
      </c>
      <c r="AC82">
        <f t="shared" si="50"/>
        <v>-228.93209373811717</v>
      </c>
      <c r="AD82">
        <f t="shared" si="51"/>
        <v>-22.077787231723725</v>
      </c>
      <c r="AE82">
        <f t="shared" si="52"/>
        <v>-0.21396528471171905</v>
      </c>
      <c r="AF82">
        <v>16</v>
      </c>
      <c r="AG82">
        <v>5</v>
      </c>
      <c r="AH82">
        <f t="shared" si="53"/>
        <v>1</v>
      </c>
      <c r="AI82">
        <f t="shared" si="54"/>
        <v>0</v>
      </c>
      <c r="AJ82">
        <f t="shared" si="55"/>
        <v>53065.323884848811</v>
      </c>
      <c r="AK82">
        <f t="shared" si="56"/>
        <v>1800.01</v>
      </c>
      <c r="AL82">
        <f t="shared" si="57"/>
        <v>1499.1230806152898</v>
      </c>
      <c r="AM82">
        <f t="shared" si="58"/>
        <v>0.83284152899999997</v>
      </c>
      <c r="AN82">
        <f t="shared" si="59"/>
        <v>0.15339712598999999</v>
      </c>
      <c r="AO82">
        <v>31.2</v>
      </c>
      <c r="AP82">
        <v>0.5</v>
      </c>
      <c r="AQ82" t="s">
        <v>331</v>
      </c>
      <c r="AR82">
        <v>2</v>
      </c>
      <c r="AS82">
        <v>1690307450</v>
      </c>
      <c r="AT82">
        <v>694.73299999999995</v>
      </c>
      <c r="AU82">
        <v>800.02099999999996</v>
      </c>
      <c r="AV82">
        <v>20.2866</v>
      </c>
      <c r="AW82">
        <v>14.440099999999999</v>
      </c>
      <c r="AX82">
        <v>694.71100000000001</v>
      </c>
      <c r="AY82">
        <v>20.0852</v>
      </c>
      <c r="AZ82">
        <v>300.18599999999998</v>
      </c>
      <c r="BA82">
        <v>99.215000000000003</v>
      </c>
      <c r="BB82">
        <v>9.9961700000000001E-2</v>
      </c>
      <c r="BC82">
        <v>24.2835</v>
      </c>
      <c r="BD82">
        <v>27.118300000000001</v>
      </c>
      <c r="BE82">
        <v>26.2256</v>
      </c>
      <c r="BF82">
        <v>0</v>
      </c>
      <c r="BG82">
        <v>0</v>
      </c>
      <c r="BH82">
        <v>10024.4</v>
      </c>
      <c r="BI82">
        <v>1042.26</v>
      </c>
      <c r="BJ82">
        <v>1.62592</v>
      </c>
      <c r="BK82">
        <v>-105.288</v>
      </c>
      <c r="BL82">
        <v>709.11800000000005</v>
      </c>
      <c r="BM82">
        <v>811.74199999999996</v>
      </c>
      <c r="BN82">
        <v>5.8465100000000003</v>
      </c>
      <c r="BO82">
        <v>800.02099999999996</v>
      </c>
      <c r="BP82">
        <v>14.440099999999999</v>
      </c>
      <c r="BQ82">
        <v>2.0127299999999999</v>
      </c>
      <c r="BR82">
        <v>1.4326700000000001</v>
      </c>
      <c r="BS82">
        <v>17.544899999999998</v>
      </c>
      <c r="BT82">
        <v>12.267899999999999</v>
      </c>
      <c r="BU82">
        <v>1800.01</v>
      </c>
      <c r="BV82">
        <v>0.91001399999999999</v>
      </c>
      <c r="BW82">
        <v>3.3994499999999997E-2</v>
      </c>
      <c r="BX82">
        <v>2.19962E-2</v>
      </c>
      <c r="BY82">
        <v>3.3995900000000003E-2</v>
      </c>
      <c r="BZ82">
        <v>25.666699999999999</v>
      </c>
      <c r="CA82">
        <v>33528.6</v>
      </c>
      <c r="CB82">
        <v>1690306253.5999999</v>
      </c>
      <c r="CC82" t="s">
        <v>332</v>
      </c>
      <c r="CD82">
        <v>1690306253.5999999</v>
      </c>
      <c r="CE82">
        <v>1690306251.5999999</v>
      </c>
      <c r="CF82">
        <v>9</v>
      </c>
      <c r="CG82">
        <v>0.19</v>
      </c>
      <c r="CH82">
        <v>-8.7999999999999995E-2</v>
      </c>
      <c r="CI82">
        <v>-5.0999999999999997E-2</v>
      </c>
      <c r="CJ82">
        <v>5.0999999999999997E-2</v>
      </c>
      <c r="CK82">
        <v>799</v>
      </c>
      <c r="CL82">
        <v>15</v>
      </c>
      <c r="CM82">
        <v>0.28000000000000003</v>
      </c>
      <c r="CN82">
        <v>0.03</v>
      </c>
      <c r="CO82">
        <v>-102.2962725</v>
      </c>
      <c r="CP82">
        <v>-16.626872420262469</v>
      </c>
      <c r="CQ82">
        <v>1.599795609130664</v>
      </c>
      <c r="CR82">
        <v>-1</v>
      </c>
      <c r="CS82">
        <v>6.1021219999999996</v>
      </c>
      <c r="CT82">
        <v>-1.690923151969993</v>
      </c>
      <c r="CU82">
        <v>0.16324441084153549</v>
      </c>
      <c r="CV82">
        <v>-1</v>
      </c>
      <c r="CW82">
        <v>0</v>
      </c>
      <c r="CX82">
        <v>0</v>
      </c>
      <c r="CY82" t="s">
        <v>333</v>
      </c>
      <c r="CZ82">
        <v>2.3641800000000002</v>
      </c>
      <c r="DA82">
        <v>2.7137699999999998</v>
      </c>
      <c r="DB82">
        <v>0.13341</v>
      </c>
      <c r="DC82">
        <v>0.14634800000000001</v>
      </c>
      <c r="DD82">
        <v>0.101036</v>
      </c>
      <c r="DE82">
        <v>7.8034199999999998E-2</v>
      </c>
      <c r="DF82">
        <v>31636.7</v>
      </c>
      <c r="DG82">
        <v>27513.4</v>
      </c>
      <c r="DH82">
        <v>31167.3</v>
      </c>
      <c r="DI82">
        <v>28085</v>
      </c>
      <c r="DJ82">
        <v>38045.5</v>
      </c>
      <c r="DK82">
        <v>36826.9</v>
      </c>
      <c r="DL82">
        <v>44356.2</v>
      </c>
      <c r="DM82">
        <v>42576.2</v>
      </c>
      <c r="DN82">
        <v>1.4259500000000001</v>
      </c>
      <c r="DO82">
        <v>2.0448499999999998</v>
      </c>
      <c r="DP82">
        <v>0.17058100000000001</v>
      </c>
      <c r="DQ82">
        <v>0.146285</v>
      </c>
      <c r="DR82">
        <v>24.322800000000001</v>
      </c>
      <c r="DS82">
        <v>23.825500000000002</v>
      </c>
      <c r="DT82">
        <v>55.9</v>
      </c>
      <c r="DU82">
        <v>29.3</v>
      </c>
      <c r="DV82">
        <v>23.0532</v>
      </c>
      <c r="DW82">
        <v>61.152999999999999</v>
      </c>
      <c r="DX82">
        <v>35.588900000000002</v>
      </c>
      <c r="DY82">
        <v>1</v>
      </c>
      <c r="DZ82">
        <v>-5.7749000000000002E-2</v>
      </c>
      <c r="EA82">
        <v>3.63666</v>
      </c>
      <c r="EB82">
        <v>20.143000000000001</v>
      </c>
      <c r="EC82">
        <v>5.2394499999999997</v>
      </c>
      <c r="ED82">
        <v>12.039899999999999</v>
      </c>
      <c r="EE82">
        <v>5.0161499999999997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1.8689100000000001</v>
      </c>
      <c r="EL82">
        <v>1.8646199999999999</v>
      </c>
      <c r="EM82">
        <v>1.8692</v>
      </c>
      <c r="EN82">
        <v>1.8672500000000001</v>
      </c>
      <c r="EO82">
        <v>1.8633999999999999</v>
      </c>
      <c r="EP82">
        <v>1.8644700000000001</v>
      </c>
      <c r="EQ82">
        <v>1.87016</v>
      </c>
      <c r="ER82">
        <v>1.8694500000000001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2.1999999999999999E-2</v>
      </c>
      <c r="FG82">
        <v>0.2014</v>
      </c>
      <c r="FH82">
        <v>0.49996858830924029</v>
      </c>
      <c r="FI82">
        <v>-6.1462078757559423E-4</v>
      </c>
      <c r="FJ82">
        <v>-1.8861989874597051E-7</v>
      </c>
      <c r="FK82">
        <v>1.1980462299894961E-10</v>
      </c>
      <c r="FL82">
        <v>-3.8593581000597899E-2</v>
      </c>
      <c r="FM82">
        <v>-1.6848085045870601E-2</v>
      </c>
      <c r="FN82">
        <v>1.9789084769509481E-3</v>
      </c>
      <c r="FO82">
        <v>-2.7142391389806329E-5</v>
      </c>
      <c r="FP82">
        <v>3</v>
      </c>
      <c r="FQ82">
        <v>2158</v>
      </c>
      <c r="FR82">
        <v>1</v>
      </c>
      <c r="FS82">
        <v>19</v>
      </c>
      <c r="FT82">
        <v>19.899999999999999</v>
      </c>
      <c r="FU82">
        <v>20</v>
      </c>
      <c r="FV82">
        <v>1.78467</v>
      </c>
      <c r="FW82">
        <v>2.5915499999999998</v>
      </c>
      <c r="FX82">
        <v>1.5490699999999999</v>
      </c>
      <c r="FY82">
        <v>2.3290999999999999</v>
      </c>
      <c r="FZ82">
        <v>1.50146</v>
      </c>
      <c r="GA82">
        <v>2.3596200000000001</v>
      </c>
      <c r="GB82">
        <v>34.122500000000002</v>
      </c>
      <c r="GC82">
        <v>23.9649</v>
      </c>
      <c r="GD82">
        <v>19</v>
      </c>
      <c r="GE82">
        <v>263.38799999999998</v>
      </c>
      <c r="GF82">
        <v>594.00400000000002</v>
      </c>
      <c r="GG82">
        <v>19.6631</v>
      </c>
      <c r="GH82">
        <v>26.563700000000001</v>
      </c>
      <c r="GI82">
        <v>30.0001</v>
      </c>
      <c r="GJ82">
        <v>26.6891</v>
      </c>
      <c r="GK82">
        <v>26.671500000000002</v>
      </c>
      <c r="GL82">
        <v>35.676699999999997</v>
      </c>
      <c r="GM82">
        <v>42.395099999999999</v>
      </c>
      <c r="GN82">
        <v>88.998500000000007</v>
      </c>
      <c r="GO82">
        <v>19.587399999999999</v>
      </c>
      <c r="GP82">
        <v>800</v>
      </c>
      <c r="GQ82">
        <v>14.553699999999999</v>
      </c>
      <c r="GR82">
        <v>99.724999999999994</v>
      </c>
      <c r="GS82">
        <v>99.592100000000002</v>
      </c>
    </row>
    <row r="83" spans="1:201" x14ac:dyDescent="0.25">
      <c r="A83">
        <v>67</v>
      </c>
      <c r="B83">
        <v>1690307460</v>
      </c>
      <c r="C83">
        <v>841.40000009536743</v>
      </c>
      <c r="D83" t="s">
        <v>467</v>
      </c>
      <c r="E83" t="s">
        <v>468</v>
      </c>
      <c r="F83" t="s">
        <v>330</v>
      </c>
      <c r="H83">
        <v>1690307460</v>
      </c>
      <c r="I83">
        <f t="shared" si="30"/>
        <v>5.5847748803073295E-4</v>
      </c>
      <c r="J83">
        <f t="shared" si="31"/>
        <v>0.55847748803073294</v>
      </c>
      <c r="K83">
        <f t="shared" si="32"/>
        <v>10.011839837796952</v>
      </c>
      <c r="L83">
        <f t="shared" si="33"/>
        <v>691.93399999999997</v>
      </c>
      <c r="M83">
        <f t="shared" si="34"/>
        <v>265.5871426712913</v>
      </c>
      <c r="N83">
        <f t="shared" si="35"/>
        <v>26.376537688072325</v>
      </c>
      <c r="O83">
        <f t="shared" si="36"/>
        <v>68.718775483973999</v>
      </c>
      <c r="P83">
        <f t="shared" si="37"/>
        <v>3.8901371653210441E-2</v>
      </c>
      <c r="Q83">
        <f t="shared" si="38"/>
        <v>2.1923471370984235</v>
      </c>
      <c r="R83">
        <f t="shared" si="39"/>
        <v>3.8521924660726993E-2</v>
      </c>
      <c r="S83">
        <f t="shared" si="40"/>
        <v>2.4109986182258833E-2</v>
      </c>
      <c r="T83">
        <f t="shared" si="41"/>
        <v>276.11467140599996</v>
      </c>
      <c r="U83">
        <f t="shared" si="42"/>
        <v>26.161453150013831</v>
      </c>
      <c r="V83">
        <f t="shared" si="43"/>
        <v>26.161453150013831</v>
      </c>
      <c r="W83">
        <f t="shared" si="44"/>
        <v>3.406629951408199</v>
      </c>
      <c r="X83">
        <f t="shared" si="45"/>
        <v>66.103323149947585</v>
      </c>
      <c r="Y83">
        <f t="shared" si="46"/>
        <v>2.006044718139</v>
      </c>
      <c r="Z83">
        <f t="shared" si="47"/>
        <v>3.0347108474236983</v>
      </c>
      <c r="AA83">
        <f t="shared" si="48"/>
        <v>1.400585233269199</v>
      </c>
      <c r="AB83">
        <f t="shared" si="49"/>
        <v>-24.628857222155322</v>
      </c>
      <c r="AC83">
        <f t="shared" si="50"/>
        <v>-229.51503945623173</v>
      </c>
      <c r="AD83">
        <f t="shared" si="51"/>
        <v>-22.187029723406816</v>
      </c>
      <c r="AE83">
        <f t="shared" si="52"/>
        <v>-0.21625499579391771</v>
      </c>
      <c r="AF83">
        <v>16</v>
      </c>
      <c r="AG83">
        <v>5</v>
      </c>
      <c r="AH83">
        <f t="shared" si="53"/>
        <v>1</v>
      </c>
      <c r="AI83">
        <f t="shared" si="54"/>
        <v>0</v>
      </c>
      <c r="AJ83">
        <f t="shared" si="55"/>
        <v>52806.24209450082</v>
      </c>
      <c r="AK83">
        <f t="shared" si="56"/>
        <v>1800</v>
      </c>
      <c r="AL83">
        <f t="shared" si="57"/>
        <v>1499.1140736</v>
      </c>
      <c r="AM83">
        <f t="shared" si="58"/>
        <v>0.83284115199999997</v>
      </c>
      <c r="AN83">
        <f t="shared" si="59"/>
        <v>0.15339703966999998</v>
      </c>
      <c r="AO83">
        <v>31.2</v>
      </c>
      <c r="AP83">
        <v>0.5</v>
      </c>
      <c r="AQ83" t="s">
        <v>331</v>
      </c>
      <c r="AR83">
        <v>2</v>
      </c>
      <c r="AS83">
        <v>1690307460</v>
      </c>
      <c r="AT83">
        <v>691.93399999999997</v>
      </c>
      <c r="AU83">
        <v>799.98199999999997</v>
      </c>
      <c r="AV83">
        <v>20.199000000000002</v>
      </c>
      <c r="AW83">
        <v>14.5131</v>
      </c>
      <c r="AX83">
        <v>691.91</v>
      </c>
      <c r="AY83">
        <v>20.0001</v>
      </c>
      <c r="AZ83">
        <v>300.26100000000002</v>
      </c>
      <c r="BA83">
        <v>99.213999999999999</v>
      </c>
      <c r="BB83">
        <v>0.100061</v>
      </c>
      <c r="BC83">
        <v>24.2196</v>
      </c>
      <c r="BD83">
        <v>27.036100000000001</v>
      </c>
      <c r="BE83">
        <v>26.166699999999999</v>
      </c>
      <c r="BF83">
        <v>0</v>
      </c>
      <c r="BG83">
        <v>0</v>
      </c>
      <c r="BH83">
        <v>9971.25</v>
      </c>
      <c r="BI83">
        <v>1042.03</v>
      </c>
      <c r="BJ83">
        <v>1.62592</v>
      </c>
      <c r="BK83">
        <v>-108.048</v>
      </c>
      <c r="BL83">
        <v>706.19899999999996</v>
      </c>
      <c r="BM83">
        <v>811.76400000000001</v>
      </c>
      <c r="BN83">
        <v>5.6858199999999997</v>
      </c>
      <c r="BO83">
        <v>799.98199999999997</v>
      </c>
      <c r="BP83">
        <v>14.5131</v>
      </c>
      <c r="BQ83">
        <v>2.0040200000000001</v>
      </c>
      <c r="BR83">
        <v>1.43991</v>
      </c>
      <c r="BS83">
        <v>17.476099999999999</v>
      </c>
      <c r="BT83">
        <v>12.3445</v>
      </c>
      <c r="BU83">
        <v>1800</v>
      </c>
      <c r="BV83">
        <v>0.91001399999999999</v>
      </c>
      <c r="BW83">
        <v>3.3994299999999998E-2</v>
      </c>
      <c r="BX83">
        <v>2.1996100000000001E-2</v>
      </c>
      <c r="BY83">
        <v>3.3995699999999997E-2</v>
      </c>
      <c r="BZ83">
        <v>25.666699999999999</v>
      </c>
      <c r="CA83">
        <v>33528.5</v>
      </c>
      <c r="CB83">
        <v>1690306253.5999999</v>
      </c>
      <c r="CC83" t="s">
        <v>332</v>
      </c>
      <c r="CD83">
        <v>1690306253.5999999</v>
      </c>
      <c r="CE83">
        <v>1690306251.5999999</v>
      </c>
      <c r="CF83">
        <v>9</v>
      </c>
      <c r="CG83">
        <v>0.19</v>
      </c>
      <c r="CH83">
        <v>-8.7999999999999995E-2</v>
      </c>
      <c r="CI83">
        <v>-5.0999999999999997E-2</v>
      </c>
      <c r="CJ83">
        <v>5.0999999999999997E-2</v>
      </c>
      <c r="CK83">
        <v>799</v>
      </c>
      <c r="CL83">
        <v>15</v>
      </c>
      <c r="CM83">
        <v>0.28000000000000003</v>
      </c>
      <c r="CN83">
        <v>0.03</v>
      </c>
      <c r="CO83">
        <v>-105.053175</v>
      </c>
      <c r="CP83">
        <v>-16.530742964352459</v>
      </c>
      <c r="CQ83">
        <v>1.5905966944436281</v>
      </c>
      <c r="CR83">
        <v>-1</v>
      </c>
      <c r="CS83">
        <v>5.8562069999999986</v>
      </c>
      <c r="CT83">
        <v>-1.3073536210131551</v>
      </c>
      <c r="CU83">
        <v>0.12676771282941099</v>
      </c>
      <c r="CV83">
        <v>-1</v>
      </c>
      <c r="CW83">
        <v>0</v>
      </c>
      <c r="CX83">
        <v>0</v>
      </c>
      <c r="CY83" t="s">
        <v>333</v>
      </c>
      <c r="CZ83">
        <v>2.3644099999999999</v>
      </c>
      <c r="DA83">
        <v>2.7138300000000002</v>
      </c>
      <c r="DB83">
        <v>0.13303899999999999</v>
      </c>
      <c r="DC83">
        <v>0.146344</v>
      </c>
      <c r="DD83">
        <v>0.10073</v>
      </c>
      <c r="DE83">
        <v>7.8324400000000002E-2</v>
      </c>
      <c r="DF83">
        <v>31650.400000000001</v>
      </c>
      <c r="DG83">
        <v>27513.5</v>
      </c>
      <c r="DH83">
        <v>31167.5</v>
      </c>
      <c r="DI83">
        <v>28084.9</v>
      </c>
      <c r="DJ83">
        <v>38058.800000000003</v>
      </c>
      <c r="DK83">
        <v>36815.4</v>
      </c>
      <c r="DL83">
        <v>44356.5</v>
      </c>
      <c r="DM83">
        <v>42576.3</v>
      </c>
      <c r="DN83">
        <v>1.42587</v>
      </c>
      <c r="DO83">
        <v>2.0447799999999998</v>
      </c>
      <c r="DP83">
        <v>0.16652</v>
      </c>
      <c r="DQ83">
        <v>0.14368400000000001</v>
      </c>
      <c r="DR83">
        <v>24.306899999999999</v>
      </c>
      <c r="DS83">
        <v>23.809100000000001</v>
      </c>
      <c r="DT83">
        <v>55.8</v>
      </c>
      <c r="DU83">
        <v>29.3</v>
      </c>
      <c r="DV83">
        <v>23.014099999999999</v>
      </c>
      <c r="DW83">
        <v>61.622999999999998</v>
      </c>
      <c r="DX83">
        <v>35.196300000000001</v>
      </c>
      <c r="DY83">
        <v>1</v>
      </c>
      <c r="DZ83">
        <v>-5.8595000000000001E-2</v>
      </c>
      <c r="EA83">
        <v>3.3126000000000002</v>
      </c>
      <c r="EB83">
        <v>20.151299999999999</v>
      </c>
      <c r="EC83">
        <v>5.2398999999999996</v>
      </c>
      <c r="ED83">
        <v>12.039899999999999</v>
      </c>
      <c r="EE83">
        <v>5.0161499999999997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1.8689199999999999</v>
      </c>
      <c r="EL83">
        <v>1.8646199999999999</v>
      </c>
      <c r="EM83">
        <v>1.8692</v>
      </c>
      <c r="EN83">
        <v>1.8672500000000001</v>
      </c>
      <c r="EO83">
        <v>1.8633999999999999</v>
      </c>
      <c r="EP83">
        <v>1.8644700000000001</v>
      </c>
      <c r="EQ83">
        <v>1.87019</v>
      </c>
      <c r="ER83">
        <v>1.86947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2.4E-2</v>
      </c>
      <c r="FG83">
        <v>0.19889999999999999</v>
      </c>
      <c r="FH83">
        <v>0.49996858830924029</v>
      </c>
      <c r="FI83">
        <v>-6.1462078757559423E-4</v>
      </c>
      <c r="FJ83">
        <v>-1.8861989874597051E-7</v>
      </c>
      <c r="FK83">
        <v>1.1980462299894961E-10</v>
      </c>
      <c r="FL83">
        <v>-3.8593581000597899E-2</v>
      </c>
      <c r="FM83">
        <v>-1.6848085045870601E-2</v>
      </c>
      <c r="FN83">
        <v>1.9789084769509481E-3</v>
      </c>
      <c r="FO83">
        <v>-2.7142391389806329E-5</v>
      </c>
      <c r="FP83">
        <v>3</v>
      </c>
      <c r="FQ83">
        <v>2158</v>
      </c>
      <c r="FR83">
        <v>1</v>
      </c>
      <c r="FS83">
        <v>19</v>
      </c>
      <c r="FT83">
        <v>20.100000000000001</v>
      </c>
      <c r="FU83">
        <v>20.100000000000001</v>
      </c>
      <c r="FV83">
        <v>1.78467</v>
      </c>
      <c r="FW83">
        <v>2.5915499999999998</v>
      </c>
      <c r="FX83">
        <v>1.5490699999999999</v>
      </c>
      <c r="FY83">
        <v>2.3290999999999999</v>
      </c>
      <c r="FZ83">
        <v>1.50146</v>
      </c>
      <c r="GA83">
        <v>2.3986800000000001</v>
      </c>
      <c r="GB83">
        <v>34.099800000000002</v>
      </c>
      <c r="GC83">
        <v>23.973700000000001</v>
      </c>
      <c r="GD83">
        <v>19</v>
      </c>
      <c r="GE83">
        <v>263.34800000000001</v>
      </c>
      <c r="GF83">
        <v>593.91999999999996</v>
      </c>
      <c r="GG83">
        <v>19.424900000000001</v>
      </c>
      <c r="GH83">
        <v>26.5626</v>
      </c>
      <c r="GI83">
        <v>29.9998</v>
      </c>
      <c r="GJ83">
        <v>26.686900000000001</v>
      </c>
      <c r="GK83">
        <v>26.669599999999999</v>
      </c>
      <c r="GL83">
        <v>35.679299999999998</v>
      </c>
      <c r="GM83">
        <v>42.395099999999999</v>
      </c>
      <c r="GN83">
        <v>88.612799999999993</v>
      </c>
      <c r="GO83">
        <v>19.4435</v>
      </c>
      <c r="GP83">
        <v>800</v>
      </c>
      <c r="GQ83">
        <v>14.4763</v>
      </c>
      <c r="GR83">
        <v>99.7256</v>
      </c>
      <c r="GS83">
        <v>99.592200000000005</v>
      </c>
    </row>
    <row r="84" spans="1:201" x14ac:dyDescent="0.25">
      <c r="A84">
        <v>68</v>
      </c>
      <c r="B84">
        <v>1690307470</v>
      </c>
      <c r="C84">
        <v>851.40000009536743</v>
      </c>
      <c r="D84" t="s">
        <v>469</v>
      </c>
      <c r="E84" t="s">
        <v>470</v>
      </c>
      <c r="F84" t="s">
        <v>330</v>
      </c>
      <c r="H84">
        <v>1690307470</v>
      </c>
      <c r="I84">
        <f t="shared" si="30"/>
        <v>5.6185893373081276E-4</v>
      </c>
      <c r="J84">
        <f t="shared" si="31"/>
        <v>0.56185893373081275</v>
      </c>
      <c r="K84">
        <f t="shared" si="32"/>
        <v>10.289194594663275</v>
      </c>
      <c r="L84">
        <f t="shared" si="33"/>
        <v>689.09400000000005</v>
      </c>
      <c r="M84">
        <f t="shared" si="34"/>
        <v>257.23773389360485</v>
      </c>
      <c r="N84">
        <f t="shared" si="35"/>
        <v>25.549066523820635</v>
      </c>
      <c r="O84">
        <f t="shared" si="36"/>
        <v>68.44139147349</v>
      </c>
      <c r="P84">
        <f t="shared" si="37"/>
        <v>3.9440075450681768E-2</v>
      </c>
      <c r="Q84">
        <f t="shared" si="38"/>
        <v>2.1932012838668014</v>
      </c>
      <c r="R84">
        <f t="shared" si="39"/>
        <v>3.9050253661611731E-2</v>
      </c>
      <c r="S84">
        <f t="shared" si="40"/>
        <v>2.4441111296839228E-2</v>
      </c>
      <c r="T84">
        <f t="shared" si="41"/>
        <v>276.11462957399993</v>
      </c>
      <c r="U84">
        <f t="shared" si="42"/>
        <v>26.108199636744104</v>
      </c>
      <c r="V84">
        <f t="shared" si="43"/>
        <v>26.108199636744104</v>
      </c>
      <c r="W84">
        <f t="shared" si="44"/>
        <v>3.395922724307014</v>
      </c>
      <c r="X84">
        <f t="shared" si="45"/>
        <v>66.297915093889586</v>
      </c>
      <c r="Y84">
        <f t="shared" si="46"/>
        <v>2.0057445344910003</v>
      </c>
      <c r="Z84">
        <f t="shared" si="47"/>
        <v>3.0253508449707822</v>
      </c>
      <c r="AA84">
        <f t="shared" si="48"/>
        <v>1.3901781898160137</v>
      </c>
      <c r="AB84">
        <f t="shared" si="49"/>
        <v>-24.777978977528843</v>
      </c>
      <c r="AC84">
        <f t="shared" si="50"/>
        <v>-229.39712421013701</v>
      </c>
      <c r="AD84">
        <f t="shared" si="51"/>
        <v>-22.155315511928865</v>
      </c>
      <c r="AE84">
        <f t="shared" si="52"/>
        <v>-0.21578912559479591</v>
      </c>
      <c r="AF84">
        <v>16</v>
      </c>
      <c r="AG84">
        <v>5</v>
      </c>
      <c r="AH84">
        <f t="shared" si="53"/>
        <v>1</v>
      </c>
      <c r="AI84">
        <f t="shared" si="54"/>
        <v>0</v>
      </c>
      <c r="AJ84">
        <f t="shared" si="55"/>
        <v>52850.787400865294</v>
      </c>
      <c r="AK84">
        <f t="shared" si="56"/>
        <v>1800</v>
      </c>
      <c r="AL84">
        <f t="shared" si="57"/>
        <v>1499.1149033999998</v>
      </c>
      <c r="AM84">
        <f t="shared" si="58"/>
        <v>0.83284161299999993</v>
      </c>
      <c r="AN84">
        <f t="shared" si="59"/>
        <v>0.15339701642999998</v>
      </c>
      <c r="AO84">
        <v>31.2</v>
      </c>
      <c r="AP84">
        <v>0.5</v>
      </c>
      <c r="AQ84" t="s">
        <v>331</v>
      </c>
      <c r="AR84">
        <v>2</v>
      </c>
      <c r="AS84">
        <v>1690307470</v>
      </c>
      <c r="AT84">
        <v>689.09400000000005</v>
      </c>
      <c r="AU84">
        <v>800.02099999999996</v>
      </c>
      <c r="AV84">
        <v>20.194600000000001</v>
      </c>
      <c r="AW84">
        <v>14.4748</v>
      </c>
      <c r="AX84">
        <v>689.06799999999998</v>
      </c>
      <c r="AY84">
        <v>19.995899999999999</v>
      </c>
      <c r="AZ84">
        <v>300.29000000000002</v>
      </c>
      <c r="BA84">
        <v>99.220799999999997</v>
      </c>
      <c r="BB84">
        <v>0.100035</v>
      </c>
      <c r="BC84">
        <v>24.168099999999999</v>
      </c>
      <c r="BD84">
        <v>26.9665</v>
      </c>
      <c r="BE84">
        <v>26.084</v>
      </c>
      <c r="BF84">
        <v>0</v>
      </c>
      <c r="BG84">
        <v>0</v>
      </c>
      <c r="BH84">
        <v>9977.5</v>
      </c>
      <c r="BI84">
        <v>1041.53</v>
      </c>
      <c r="BJ84">
        <v>1.62592</v>
      </c>
      <c r="BK84">
        <v>-110.92700000000001</v>
      </c>
      <c r="BL84">
        <v>703.29700000000003</v>
      </c>
      <c r="BM84">
        <v>811.77099999999996</v>
      </c>
      <c r="BN84">
        <v>5.7197699999999996</v>
      </c>
      <c r="BO84">
        <v>800.02099999999996</v>
      </c>
      <c r="BP84">
        <v>14.4748</v>
      </c>
      <c r="BQ84">
        <v>2.00373</v>
      </c>
      <c r="BR84">
        <v>1.4361999999999999</v>
      </c>
      <c r="BS84">
        <v>17.473800000000001</v>
      </c>
      <c r="BT84">
        <v>12.305400000000001</v>
      </c>
      <c r="BU84">
        <v>1800</v>
      </c>
      <c r="BV84">
        <v>0.91001699999999996</v>
      </c>
      <c r="BW84">
        <v>3.3993299999999997E-2</v>
      </c>
      <c r="BX84">
        <v>2.1995399999999998E-2</v>
      </c>
      <c r="BY84">
        <v>3.3994700000000003E-2</v>
      </c>
      <c r="BZ84">
        <v>25.666699999999999</v>
      </c>
      <c r="CA84">
        <v>33528.5</v>
      </c>
      <c r="CB84">
        <v>1690306253.5999999</v>
      </c>
      <c r="CC84" t="s">
        <v>332</v>
      </c>
      <c r="CD84">
        <v>1690306253.5999999</v>
      </c>
      <c r="CE84">
        <v>1690306251.5999999</v>
      </c>
      <c r="CF84">
        <v>9</v>
      </c>
      <c r="CG84">
        <v>0.19</v>
      </c>
      <c r="CH84">
        <v>-8.7999999999999995E-2</v>
      </c>
      <c r="CI84">
        <v>-5.0999999999999997E-2</v>
      </c>
      <c r="CJ84">
        <v>5.0999999999999997E-2</v>
      </c>
      <c r="CK84">
        <v>799</v>
      </c>
      <c r="CL84">
        <v>15</v>
      </c>
      <c r="CM84">
        <v>0.28000000000000003</v>
      </c>
      <c r="CN84">
        <v>0.03</v>
      </c>
      <c r="CO84">
        <v>-107.9111707317073</v>
      </c>
      <c r="CP84">
        <v>-16.995888501742261</v>
      </c>
      <c r="CQ84">
        <v>1.6762331594969211</v>
      </c>
      <c r="CR84">
        <v>-1</v>
      </c>
      <c r="CS84">
        <v>5.7189253658536581</v>
      </c>
      <c r="CT84">
        <v>-0.37663777003484822</v>
      </c>
      <c r="CU84">
        <v>5.2653971619481647E-2</v>
      </c>
      <c r="CV84">
        <v>-1</v>
      </c>
      <c r="CW84">
        <v>0</v>
      </c>
      <c r="CX84">
        <v>0</v>
      </c>
      <c r="CY84" t="s">
        <v>333</v>
      </c>
      <c r="CZ84">
        <v>2.3645100000000001</v>
      </c>
      <c r="DA84">
        <v>2.7138100000000001</v>
      </c>
      <c r="DB84">
        <v>0.13267300000000001</v>
      </c>
      <c r="DC84">
        <v>0.14635899999999999</v>
      </c>
      <c r="DD84">
        <v>0.100721</v>
      </c>
      <c r="DE84">
        <v>7.8177800000000006E-2</v>
      </c>
      <c r="DF84">
        <v>31664.3</v>
      </c>
      <c r="DG84">
        <v>27513.4</v>
      </c>
      <c r="DH84">
        <v>31168.1</v>
      </c>
      <c r="DI84">
        <v>28085.3</v>
      </c>
      <c r="DJ84">
        <v>38059.800000000003</v>
      </c>
      <c r="DK84">
        <v>36821.699999999997</v>
      </c>
      <c r="DL84">
        <v>44357.3</v>
      </c>
      <c r="DM84">
        <v>42576.800000000003</v>
      </c>
      <c r="DN84">
        <v>1.42598</v>
      </c>
      <c r="DO84">
        <v>2.04433</v>
      </c>
      <c r="DP84">
        <v>0.16336899999999999</v>
      </c>
      <c r="DQ84">
        <v>0.13985500000000001</v>
      </c>
      <c r="DR84">
        <v>24.288699999999999</v>
      </c>
      <c r="DS84">
        <v>23.789100000000001</v>
      </c>
      <c r="DT84">
        <v>55.7</v>
      </c>
      <c r="DU84">
        <v>29.3</v>
      </c>
      <c r="DV84">
        <v>22.968699999999998</v>
      </c>
      <c r="DW84">
        <v>61.673000000000002</v>
      </c>
      <c r="DX84">
        <v>35.576900000000002</v>
      </c>
      <c r="DY84">
        <v>1</v>
      </c>
      <c r="DZ84">
        <v>-5.9860299999999998E-2</v>
      </c>
      <c r="EA84">
        <v>2.9453299999999998</v>
      </c>
      <c r="EB84">
        <v>20.160299999999999</v>
      </c>
      <c r="EC84">
        <v>5.2391500000000004</v>
      </c>
      <c r="ED84">
        <v>12.039899999999999</v>
      </c>
      <c r="EE84">
        <v>5.0160999999999998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1.8689199999999999</v>
      </c>
      <c r="EL84">
        <v>1.8646400000000001</v>
      </c>
      <c r="EM84">
        <v>1.86921</v>
      </c>
      <c r="EN84">
        <v>1.8672800000000001</v>
      </c>
      <c r="EO84">
        <v>1.8633999999999999</v>
      </c>
      <c r="EP84">
        <v>1.8644799999999999</v>
      </c>
      <c r="EQ84">
        <v>1.87018</v>
      </c>
      <c r="ER84">
        <v>1.86947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2.5999999999999999E-2</v>
      </c>
      <c r="FG84">
        <v>0.19869999999999999</v>
      </c>
      <c r="FH84">
        <v>0.49996858830924029</v>
      </c>
      <c r="FI84">
        <v>-6.1462078757559423E-4</v>
      </c>
      <c r="FJ84">
        <v>-1.8861989874597051E-7</v>
      </c>
      <c r="FK84">
        <v>1.1980462299894961E-10</v>
      </c>
      <c r="FL84">
        <v>-3.8593581000597899E-2</v>
      </c>
      <c r="FM84">
        <v>-1.6848085045870601E-2</v>
      </c>
      <c r="FN84">
        <v>1.9789084769509481E-3</v>
      </c>
      <c r="FO84">
        <v>-2.7142391389806329E-5</v>
      </c>
      <c r="FP84">
        <v>3</v>
      </c>
      <c r="FQ84">
        <v>2158</v>
      </c>
      <c r="FR84">
        <v>1</v>
      </c>
      <c r="FS84">
        <v>19</v>
      </c>
      <c r="FT84">
        <v>20.3</v>
      </c>
      <c r="FU84">
        <v>20.3</v>
      </c>
      <c r="FV84">
        <v>1.78467</v>
      </c>
      <c r="FW84">
        <v>2.5854499999999998</v>
      </c>
      <c r="FX84">
        <v>1.5490699999999999</v>
      </c>
      <c r="FY84">
        <v>2.3290999999999999</v>
      </c>
      <c r="FZ84">
        <v>1.50146</v>
      </c>
      <c r="GA84">
        <v>2.4023400000000001</v>
      </c>
      <c r="GB84">
        <v>34.122500000000002</v>
      </c>
      <c r="GC84">
        <v>23.982399999999998</v>
      </c>
      <c r="GD84">
        <v>19</v>
      </c>
      <c r="GE84">
        <v>263.38900000000001</v>
      </c>
      <c r="GF84">
        <v>593.51700000000005</v>
      </c>
      <c r="GG84">
        <v>19.3721</v>
      </c>
      <c r="GH84">
        <v>26.5608</v>
      </c>
      <c r="GI84">
        <v>29.999500000000001</v>
      </c>
      <c r="GJ84">
        <v>26.686900000000001</v>
      </c>
      <c r="GK84">
        <v>26.667400000000001</v>
      </c>
      <c r="GL84">
        <v>35.679200000000002</v>
      </c>
      <c r="GM84">
        <v>42.694299999999998</v>
      </c>
      <c r="GN84">
        <v>88.2273</v>
      </c>
      <c r="GO84">
        <v>19.403300000000002</v>
      </c>
      <c r="GP84">
        <v>800</v>
      </c>
      <c r="GQ84">
        <v>14.347899999999999</v>
      </c>
      <c r="GR84">
        <v>99.7273</v>
      </c>
      <c r="GS84">
        <v>99.593500000000006</v>
      </c>
    </row>
    <row r="85" spans="1:201" x14ac:dyDescent="0.25">
      <c r="A85">
        <v>69</v>
      </c>
      <c r="B85">
        <v>1690307480</v>
      </c>
      <c r="C85">
        <v>861.40000009536743</v>
      </c>
      <c r="D85" t="s">
        <v>471</v>
      </c>
      <c r="E85" t="s">
        <v>472</v>
      </c>
      <c r="F85" t="s">
        <v>330</v>
      </c>
      <c r="H85">
        <v>1690307480</v>
      </c>
      <c r="I85">
        <f t="shared" si="30"/>
        <v>5.8906605617369608E-4</v>
      </c>
      <c r="J85">
        <f t="shared" si="31"/>
        <v>0.58906605617369612</v>
      </c>
      <c r="K85">
        <f t="shared" si="32"/>
        <v>10.539436705184377</v>
      </c>
      <c r="L85">
        <f t="shared" si="33"/>
        <v>686.34699999999998</v>
      </c>
      <c r="M85">
        <f t="shared" si="34"/>
        <v>269.95622152007132</v>
      </c>
      <c r="N85">
        <f t="shared" si="35"/>
        <v>26.810974472102153</v>
      </c>
      <c r="O85">
        <f t="shared" si="36"/>
        <v>68.165244691853587</v>
      </c>
      <c r="P85">
        <f t="shared" si="37"/>
        <v>4.1957475968621344E-2</v>
      </c>
      <c r="Q85">
        <f t="shared" si="38"/>
        <v>2.2002067768939462</v>
      </c>
      <c r="R85">
        <f t="shared" si="39"/>
        <v>4.1517990487919168E-2</v>
      </c>
      <c r="S85">
        <f t="shared" si="40"/>
        <v>2.5987846388652678E-2</v>
      </c>
      <c r="T85">
        <f t="shared" si="41"/>
        <v>276.11459098199998</v>
      </c>
      <c r="U85">
        <f t="shared" si="42"/>
        <v>26.069964522607133</v>
      </c>
      <c r="V85">
        <f t="shared" si="43"/>
        <v>26.069964522607133</v>
      </c>
      <c r="W85">
        <f t="shared" si="44"/>
        <v>3.3882532557604073</v>
      </c>
      <c r="X85">
        <f t="shared" si="45"/>
        <v>66.779693974018713</v>
      </c>
      <c r="Y85">
        <f t="shared" si="46"/>
        <v>2.0174855395614402</v>
      </c>
      <c r="Z85">
        <f t="shared" si="47"/>
        <v>3.0211062966930671</v>
      </c>
      <c r="AA85">
        <f t="shared" si="48"/>
        <v>1.3707677161989671</v>
      </c>
      <c r="AB85">
        <f t="shared" si="49"/>
        <v>-25.977813077259999</v>
      </c>
      <c r="AC85">
        <f t="shared" si="50"/>
        <v>-228.37015645310402</v>
      </c>
      <c r="AD85">
        <f t="shared" si="51"/>
        <v>-21.979082643658696</v>
      </c>
      <c r="AE85">
        <f t="shared" si="52"/>
        <v>-0.21246119202274372</v>
      </c>
      <c r="AF85">
        <v>15</v>
      </c>
      <c r="AG85">
        <v>5</v>
      </c>
      <c r="AH85">
        <f t="shared" si="53"/>
        <v>1</v>
      </c>
      <c r="AI85">
        <f t="shared" si="54"/>
        <v>0</v>
      </c>
      <c r="AJ85">
        <f t="shared" si="55"/>
        <v>53144.503320290096</v>
      </c>
      <c r="AK85">
        <f t="shared" si="56"/>
        <v>1800</v>
      </c>
      <c r="AL85">
        <f t="shared" si="57"/>
        <v>1499.1150582</v>
      </c>
      <c r="AM85">
        <f t="shared" si="58"/>
        <v>0.83284169900000005</v>
      </c>
      <c r="AN85">
        <f t="shared" si="59"/>
        <v>0.15339699498999998</v>
      </c>
      <c r="AO85">
        <v>31.2</v>
      </c>
      <c r="AP85">
        <v>0.5</v>
      </c>
      <c r="AQ85" t="s">
        <v>331</v>
      </c>
      <c r="AR85">
        <v>2</v>
      </c>
      <c r="AS85">
        <v>1690307480</v>
      </c>
      <c r="AT85">
        <v>686.34699999999998</v>
      </c>
      <c r="AU85">
        <v>800.09100000000001</v>
      </c>
      <c r="AV85">
        <v>20.313800000000001</v>
      </c>
      <c r="AW85">
        <v>14.3157</v>
      </c>
      <c r="AX85">
        <v>686.31899999999996</v>
      </c>
      <c r="AY85">
        <v>20.111599999999999</v>
      </c>
      <c r="AZ85">
        <v>300.18700000000001</v>
      </c>
      <c r="BA85">
        <v>99.216099999999997</v>
      </c>
      <c r="BB85">
        <v>9.9908800000000006E-2</v>
      </c>
      <c r="BC85">
        <v>24.1447</v>
      </c>
      <c r="BD85">
        <v>26.889299999999999</v>
      </c>
      <c r="BE85">
        <v>26.055</v>
      </c>
      <c r="BF85">
        <v>0</v>
      </c>
      <c r="BG85">
        <v>0</v>
      </c>
      <c r="BH85">
        <v>10035</v>
      </c>
      <c r="BI85">
        <v>1041.1300000000001</v>
      </c>
      <c r="BJ85">
        <v>1.62592</v>
      </c>
      <c r="BK85">
        <v>-113.744</v>
      </c>
      <c r="BL85">
        <v>700.57899999999995</v>
      </c>
      <c r="BM85">
        <v>811.71199999999999</v>
      </c>
      <c r="BN85">
        <v>5.9980700000000002</v>
      </c>
      <c r="BO85">
        <v>800.09100000000001</v>
      </c>
      <c r="BP85">
        <v>14.3157</v>
      </c>
      <c r="BQ85">
        <v>2.01546</v>
      </c>
      <c r="BR85">
        <v>1.42035</v>
      </c>
      <c r="BS85">
        <v>17.566299999999998</v>
      </c>
      <c r="BT85">
        <v>12.136699999999999</v>
      </c>
      <c r="BU85">
        <v>1800</v>
      </c>
      <c r="BV85">
        <v>0.91001799999999999</v>
      </c>
      <c r="BW85">
        <v>3.39929E-2</v>
      </c>
      <c r="BX85">
        <v>2.1995199999999999E-2</v>
      </c>
      <c r="BY85">
        <v>3.3994299999999998E-2</v>
      </c>
      <c r="BZ85">
        <v>25.666699999999999</v>
      </c>
      <c r="CA85">
        <v>33528.5</v>
      </c>
      <c r="CB85">
        <v>1690306253.5999999</v>
      </c>
      <c r="CC85" t="s">
        <v>332</v>
      </c>
      <c r="CD85">
        <v>1690306253.5999999</v>
      </c>
      <c r="CE85">
        <v>1690306251.5999999</v>
      </c>
      <c r="CF85">
        <v>9</v>
      </c>
      <c r="CG85">
        <v>0.19</v>
      </c>
      <c r="CH85">
        <v>-8.7999999999999995E-2</v>
      </c>
      <c r="CI85">
        <v>-5.0999999999999997E-2</v>
      </c>
      <c r="CJ85">
        <v>5.0999999999999997E-2</v>
      </c>
      <c r="CK85">
        <v>799</v>
      </c>
      <c r="CL85">
        <v>15</v>
      </c>
      <c r="CM85">
        <v>0.28000000000000003</v>
      </c>
      <c r="CN85">
        <v>0.03</v>
      </c>
      <c r="CO85">
        <v>-110.4813902439024</v>
      </c>
      <c r="CP85">
        <v>-17.241344947735239</v>
      </c>
      <c r="CQ85">
        <v>1.700234185850316</v>
      </c>
      <c r="CR85">
        <v>-1</v>
      </c>
      <c r="CS85">
        <v>5.735515365853658</v>
      </c>
      <c r="CT85">
        <v>0.59792257839720109</v>
      </c>
      <c r="CU85">
        <v>6.750450803727083E-2</v>
      </c>
      <c r="CV85">
        <v>-1</v>
      </c>
      <c r="CW85">
        <v>0</v>
      </c>
      <c r="CX85">
        <v>0</v>
      </c>
      <c r="CY85" t="s">
        <v>333</v>
      </c>
      <c r="CZ85">
        <v>2.3641800000000002</v>
      </c>
      <c r="DA85">
        <v>2.71373</v>
      </c>
      <c r="DB85">
        <v>0.13230600000000001</v>
      </c>
      <c r="DC85">
        <v>0.14635799999999999</v>
      </c>
      <c r="DD85">
        <v>0.101133</v>
      </c>
      <c r="DE85">
        <v>7.7540700000000004E-2</v>
      </c>
      <c r="DF85">
        <v>31678.3</v>
      </c>
      <c r="DG85">
        <v>27514.1</v>
      </c>
      <c r="DH85">
        <v>31168.6</v>
      </c>
      <c r="DI85">
        <v>28086</v>
      </c>
      <c r="DJ85">
        <v>38042.6</v>
      </c>
      <c r="DK85">
        <v>36848.1</v>
      </c>
      <c r="DL85">
        <v>44357.8</v>
      </c>
      <c r="DM85">
        <v>42577.9</v>
      </c>
      <c r="DN85">
        <v>1.4281999999999999</v>
      </c>
      <c r="DO85">
        <v>2.04413</v>
      </c>
      <c r="DP85">
        <v>0.15989700000000001</v>
      </c>
      <c r="DQ85">
        <v>0.139542</v>
      </c>
      <c r="DR85">
        <v>24.2683</v>
      </c>
      <c r="DS85">
        <v>23.7651</v>
      </c>
      <c r="DT85">
        <v>55.6</v>
      </c>
      <c r="DU85">
        <v>29.3</v>
      </c>
      <c r="DV85">
        <v>22.929099999999998</v>
      </c>
      <c r="DW85">
        <v>61.453000000000003</v>
      </c>
      <c r="DX85">
        <v>36.386200000000002</v>
      </c>
      <c r="DY85">
        <v>1</v>
      </c>
      <c r="DZ85">
        <v>-6.4613799999999999E-2</v>
      </c>
      <c r="EA85">
        <v>0.68432999999999999</v>
      </c>
      <c r="EB85">
        <v>20.188400000000001</v>
      </c>
      <c r="EC85">
        <v>5.2391500000000004</v>
      </c>
      <c r="ED85">
        <v>12.039899999999999</v>
      </c>
      <c r="EE85">
        <v>5.0165499999999996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1.8689100000000001</v>
      </c>
      <c r="EL85">
        <v>1.8646400000000001</v>
      </c>
      <c r="EM85">
        <v>1.8692</v>
      </c>
      <c r="EN85">
        <v>1.8672500000000001</v>
      </c>
      <c r="EO85">
        <v>1.8633999999999999</v>
      </c>
      <c r="EP85">
        <v>1.8644700000000001</v>
      </c>
      <c r="EQ85">
        <v>1.87018</v>
      </c>
      <c r="ER85">
        <v>1.86944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2.8000000000000001E-2</v>
      </c>
      <c r="FG85">
        <v>0.20219999999999999</v>
      </c>
      <c r="FH85">
        <v>0.49996858830924029</v>
      </c>
      <c r="FI85">
        <v>-6.1462078757559423E-4</v>
      </c>
      <c r="FJ85">
        <v>-1.8861989874597051E-7</v>
      </c>
      <c r="FK85">
        <v>1.1980462299894961E-10</v>
      </c>
      <c r="FL85">
        <v>-3.8593581000597899E-2</v>
      </c>
      <c r="FM85">
        <v>-1.6848085045870601E-2</v>
      </c>
      <c r="FN85">
        <v>1.9789084769509481E-3</v>
      </c>
      <c r="FO85">
        <v>-2.7142391389806329E-5</v>
      </c>
      <c r="FP85">
        <v>3</v>
      </c>
      <c r="FQ85">
        <v>2158</v>
      </c>
      <c r="FR85">
        <v>1</v>
      </c>
      <c r="FS85">
        <v>19</v>
      </c>
      <c r="FT85">
        <v>20.399999999999999</v>
      </c>
      <c r="FU85">
        <v>20.5</v>
      </c>
      <c r="FV85">
        <v>1.78345</v>
      </c>
      <c r="FW85">
        <v>2.5878899999999998</v>
      </c>
      <c r="FX85">
        <v>1.5490699999999999</v>
      </c>
      <c r="FY85">
        <v>2.3290999999999999</v>
      </c>
      <c r="FZ85">
        <v>1.50146</v>
      </c>
      <c r="GA85">
        <v>2.35107</v>
      </c>
      <c r="GB85">
        <v>34.122500000000002</v>
      </c>
      <c r="GC85">
        <v>23.991199999999999</v>
      </c>
      <c r="GD85">
        <v>19</v>
      </c>
      <c r="GE85">
        <v>264.29000000000002</v>
      </c>
      <c r="GF85">
        <v>593.31899999999996</v>
      </c>
      <c r="GG85">
        <v>20.046600000000002</v>
      </c>
      <c r="GH85">
        <v>26.558599999999998</v>
      </c>
      <c r="GI85">
        <v>29.997699999999998</v>
      </c>
      <c r="GJ85">
        <v>26.6861</v>
      </c>
      <c r="GK85">
        <v>26.6648</v>
      </c>
      <c r="GL85">
        <v>35.671900000000001</v>
      </c>
      <c r="GM85">
        <v>43.305700000000002</v>
      </c>
      <c r="GN85">
        <v>87.473399999999998</v>
      </c>
      <c r="GO85">
        <v>20.177</v>
      </c>
      <c r="GP85">
        <v>800</v>
      </c>
      <c r="GQ85">
        <v>14.1629</v>
      </c>
      <c r="GR85">
        <v>99.728800000000007</v>
      </c>
      <c r="GS85">
        <v>99.596000000000004</v>
      </c>
    </row>
    <row r="86" spans="1:201" x14ac:dyDescent="0.25">
      <c r="A86">
        <v>70</v>
      </c>
      <c r="B86">
        <v>1690307490</v>
      </c>
      <c r="C86">
        <v>871.40000009536743</v>
      </c>
      <c r="D86" t="s">
        <v>473</v>
      </c>
      <c r="E86" t="s">
        <v>474</v>
      </c>
      <c r="F86" t="s">
        <v>330</v>
      </c>
      <c r="H86">
        <v>1690307490</v>
      </c>
      <c r="I86">
        <f t="shared" si="30"/>
        <v>6.4341642237802465E-4</v>
      </c>
      <c r="J86">
        <f t="shared" si="31"/>
        <v>0.64341642237802465</v>
      </c>
      <c r="K86">
        <f t="shared" si="32"/>
        <v>10.782777991220479</v>
      </c>
      <c r="L86">
        <f t="shared" si="33"/>
        <v>683.41800000000001</v>
      </c>
      <c r="M86">
        <f t="shared" si="34"/>
        <v>298.71645183710297</v>
      </c>
      <c r="N86">
        <f t="shared" si="35"/>
        <v>29.667016378729329</v>
      </c>
      <c r="O86">
        <f t="shared" si="36"/>
        <v>67.873640286055803</v>
      </c>
      <c r="P86">
        <f t="shared" si="37"/>
        <v>4.6625841608390749E-2</v>
      </c>
      <c r="Q86">
        <f t="shared" si="38"/>
        <v>2.1979734442614758</v>
      </c>
      <c r="R86">
        <f t="shared" si="39"/>
        <v>4.6083255007265921E-2</v>
      </c>
      <c r="S86">
        <f t="shared" si="40"/>
        <v>2.8850257457681119E-2</v>
      </c>
      <c r="T86">
        <f t="shared" si="41"/>
        <v>276.11427699000001</v>
      </c>
      <c r="U86">
        <f t="shared" si="42"/>
        <v>26.110087132639471</v>
      </c>
      <c r="V86">
        <f t="shared" si="43"/>
        <v>26.110087132639471</v>
      </c>
      <c r="W86">
        <f t="shared" si="44"/>
        <v>3.3963017239111402</v>
      </c>
      <c r="X86">
        <f t="shared" si="45"/>
        <v>67.547717816386793</v>
      </c>
      <c r="Y86">
        <f t="shared" si="46"/>
        <v>2.0476661838784898</v>
      </c>
      <c r="Z86">
        <f t="shared" si="47"/>
        <v>3.0314365163966128</v>
      </c>
      <c r="AA86">
        <f t="shared" si="48"/>
        <v>1.3486355400326504</v>
      </c>
      <c r="AB86">
        <f t="shared" si="49"/>
        <v>-28.374664226870888</v>
      </c>
      <c r="AC86">
        <f t="shared" si="50"/>
        <v>-226.150275202649</v>
      </c>
      <c r="AD86">
        <f t="shared" si="51"/>
        <v>-21.798183912703681</v>
      </c>
      <c r="AE86">
        <f t="shared" si="52"/>
        <v>-0.20884635222355996</v>
      </c>
      <c r="AF86">
        <v>15</v>
      </c>
      <c r="AG86">
        <v>5</v>
      </c>
      <c r="AH86">
        <f t="shared" si="53"/>
        <v>1</v>
      </c>
      <c r="AI86">
        <f t="shared" si="54"/>
        <v>0</v>
      </c>
      <c r="AJ86">
        <f t="shared" si="55"/>
        <v>53041.876374977852</v>
      </c>
      <c r="AK86">
        <f t="shared" si="56"/>
        <v>1800</v>
      </c>
      <c r="AL86">
        <f t="shared" si="57"/>
        <v>1499.114376</v>
      </c>
      <c r="AM86">
        <f t="shared" si="58"/>
        <v>0.83284132</v>
      </c>
      <c r="AN86">
        <f t="shared" si="59"/>
        <v>0.15339682055000001</v>
      </c>
      <c r="AO86">
        <v>31.2</v>
      </c>
      <c r="AP86">
        <v>0.5</v>
      </c>
      <c r="AQ86" t="s">
        <v>331</v>
      </c>
      <c r="AR86">
        <v>2</v>
      </c>
      <c r="AS86">
        <v>1690307490</v>
      </c>
      <c r="AT86">
        <v>683.41800000000001</v>
      </c>
      <c r="AU86">
        <v>800.09699999999998</v>
      </c>
      <c r="AV86">
        <v>20.617899999999999</v>
      </c>
      <c r="AW86">
        <v>14.0663</v>
      </c>
      <c r="AX86">
        <v>683.38800000000003</v>
      </c>
      <c r="AY86">
        <v>20.4069</v>
      </c>
      <c r="AZ86">
        <v>300.08999999999997</v>
      </c>
      <c r="BA86">
        <v>99.215000000000003</v>
      </c>
      <c r="BB86">
        <v>9.9973099999999995E-2</v>
      </c>
      <c r="BC86">
        <v>24.201599999999999</v>
      </c>
      <c r="BD86">
        <v>26.956700000000001</v>
      </c>
      <c r="BE86">
        <v>26.098800000000001</v>
      </c>
      <c r="BF86">
        <v>0</v>
      </c>
      <c r="BG86">
        <v>0</v>
      </c>
      <c r="BH86">
        <v>10016.9</v>
      </c>
      <c r="BI86">
        <v>1040.82</v>
      </c>
      <c r="BJ86">
        <v>1.62592</v>
      </c>
      <c r="BK86">
        <v>-116.68</v>
      </c>
      <c r="BL86">
        <v>697.80499999999995</v>
      </c>
      <c r="BM86">
        <v>811.51300000000003</v>
      </c>
      <c r="BN86">
        <v>6.5515600000000003</v>
      </c>
      <c r="BO86">
        <v>800.09699999999998</v>
      </c>
      <c r="BP86">
        <v>14.0663</v>
      </c>
      <c r="BQ86">
        <v>2.0456099999999999</v>
      </c>
      <c r="BR86">
        <v>1.3955900000000001</v>
      </c>
      <c r="BS86">
        <v>17.8018</v>
      </c>
      <c r="BT86">
        <v>11.8698</v>
      </c>
      <c r="BU86">
        <v>1800</v>
      </c>
      <c r="BV86">
        <v>0.91002000000000005</v>
      </c>
      <c r="BW86">
        <v>3.3991899999999999E-2</v>
      </c>
      <c r="BX86">
        <v>2.19945E-2</v>
      </c>
      <c r="BY86">
        <v>3.3993299999999997E-2</v>
      </c>
      <c r="BZ86">
        <v>25.708300000000001</v>
      </c>
      <c r="CA86">
        <v>33528.5</v>
      </c>
      <c r="CB86">
        <v>1690306253.5999999</v>
      </c>
      <c r="CC86" t="s">
        <v>332</v>
      </c>
      <c r="CD86">
        <v>1690306253.5999999</v>
      </c>
      <c r="CE86">
        <v>1690306251.5999999</v>
      </c>
      <c r="CF86">
        <v>9</v>
      </c>
      <c r="CG86">
        <v>0.19</v>
      </c>
      <c r="CH86">
        <v>-8.7999999999999995E-2</v>
      </c>
      <c r="CI86">
        <v>-5.0999999999999997E-2</v>
      </c>
      <c r="CJ86">
        <v>5.0999999999999997E-2</v>
      </c>
      <c r="CK86">
        <v>799</v>
      </c>
      <c r="CL86">
        <v>15</v>
      </c>
      <c r="CM86">
        <v>0.28000000000000003</v>
      </c>
      <c r="CN86">
        <v>0.03</v>
      </c>
      <c r="CO86">
        <v>-113.6673414634146</v>
      </c>
      <c r="CP86">
        <v>-17.609602787456481</v>
      </c>
      <c r="CQ86">
        <v>1.738277653447776</v>
      </c>
      <c r="CR86">
        <v>-1</v>
      </c>
      <c r="CS86">
        <v>6.0245982926829269</v>
      </c>
      <c r="CT86">
        <v>2.570244459930322</v>
      </c>
      <c r="CU86">
        <v>0.25856888798475047</v>
      </c>
      <c r="CV86">
        <v>-1</v>
      </c>
      <c r="CW86">
        <v>0</v>
      </c>
      <c r="CX86">
        <v>0</v>
      </c>
      <c r="CY86" t="s">
        <v>333</v>
      </c>
      <c r="CZ86">
        <v>2.3638699999999999</v>
      </c>
      <c r="DA86">
        <v>2.7137799999999999</v>
      </c>
      <c r="DB86">
        <v>0.13192100000000001</v>
      </c>
      <c r="DC86">
        <v>0.14635300000000001</v>
      </c>
      <c r="DD86">
        <v>0.102189</v>
      </c>
      <c r="DE86">
        <v>7.6541100000000001E-2</v>
      </c>
      <c r="DF86">
        <v>31692.400000000001</v>
      </c>
      <c r="DG86">
        <v>27514.5</v>
      </c>
      <c r="DH86">
        <v>31168.6</v>
      </c>
      <c r="DI86">
        <v>28086.3</v>
      </c>
      <c r="DJ86">
        <v>37997.699999999997</v>
      </c>
      <c r="DK86">
        <v>36888.6</v>
      </c>
      <c r="DL86">
        <v>44358.1</v>
      </c>
      <c r="DM86">
        <v>42578.400000000001</v>
      </c>
      <c r="DN86">
        <v>1.4270799999999999</v>
      </c>
      <c r="DO86">
        <v>2.0436299999999998</v>
      </c>
      <c r="DP86">
        <v>0.16526099999999999</v>
      </c>
      <c r="DQ86">
        <v>0.14347599999999999</v>
      </c>
      <c r="DR86">
        <v>24.247800000000002</v>
      </c>
      <c r="DS86">
        <v>23.744399999999999</v>
      </c>
      <c r="DT86">
        <v>55.5</v>
      </c>
      <c r="DU86">
        <v>29.3</v>
      </c>
      <c r="DV86">
        <v>22.891400000000001</v>
      </c>
      <c r="DW86">
        <v>61.713000000000001</v>
      </c>
      <c r="DX86">
        <v>36.430300000000003</v>
      </c>
      <c r="DY86">
        <v>1</v>
      </c>
      <c r="DZ86">
        <v>-6.4535099999999998E-2</v>
      </c>
      <c r="EA86">
        <v>1.6316600000000001</v>
      </c>
      <c r="EB86">
        <v>20.181100000000001</v>
      </c>
      <c r="EC86">
        <v>5.2401999999999997</v>
      </c>
      <c r="ED86">
        <v>12.039899999999999</v>
      </c>
      <c r="EE86">
        <v>5.0167000000000002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1.8689100000000001</v>
      </c>
      <c r="EL86">
        <v>1.86463</v>
      </c>
      <c r="EM86">
        <v>1.8692</v>
      </c>
      <c r="EN86">
        <v>1.86724</v>
      </c>
      <c r="EO86">
        <v>1.8633999999999999</v>
      </c>
      <c r="EP86">
        <v>1.8644700000000001</v>
      </c>
      <c r="EQ86">
        <v>1.8701399999999999</v>
      </c>
      <c r="ER86">
        <v>1.8694200000000001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0.03</v>
      </c>
      <c r="FG86">
        <v>0.21099999999999999</v>
      </c>
      <c r="FH86">
        <v>0.49996858830924029</v>
      </c>
      <c r="FI86">
        <v>-6.1462078757559423E-4</v>
      </c>
      <c r="FJ86">
        <v>-1.8861989874597051E-7</v>
      </c>
      <c r="FK86">
        <v>1.1980462299894961E-10</v>
      </c>
      <c r="FL86">
        <v>-3.8593581000597899E-2</v>
      </c>
      <c r="FM86">
        <v>-1.6848085045870601E-2</v>
      </c>
      <c r="FN86">
        <v>1.9789084769509481E-3</v>
      </c>
      <c r="FO86">
        <v>-2.7142391389806329E-5</v>
      </c>
      <c r="FP86">
        <v>3</v>
      </c>
      <c r="FQ86">
        <v>2158</v>
      </c>
      <c r="FR86">
        <v>1</v>
      </c>
      <c r="FS86">
        <v>19</v>
      </c>
      <c r="FT86">
        <v>20.6</v>
      </c>
      <c r="FU86">
        <v>20.6</v>
      </c>
      <c r="FV86">
        <v>1.78345</v>
      </c>
      <c r="FW86">
        <v>2.5939899999999998</v>
      </c>
      <c r="FX86">
        <v>1.5490699999999999</v>
      </c>
      <c r="FY86">
        <v>2.3290999999999999</v>
      </c>
      <c r="FZ86">
        <v>1.50146</v>
      </c>
      <c r="GA86">
        <v>2.2875999999999999</v>
      </c>
      <c r="GB86">
        <v>34.099800000000002</v>
      </c>
      <c r="GC86">
        <v>23.973700000000001</v>
      </c>
      <c r="GD86">
        <v>19</v>
      </c>
      <c r="GE86">
        <v>263.83600000000001</v>
      </c>
      <c r="GF86">
        <v>592.875</v>
      </c>
      <c r="GG86">
        <v>20.339300000000001</v>
      </c>
      <c r="GH86">
        <v>26.555299999999999</v>
      </c>
      <c r="GI86">
        <v>30</v>
      </c>
      <c r="GJ86">
        <v>26.686900000000001</v>
      </c>
      <c r="GK86">
        <v>26.662600000000001</v>
      </c>
      <c r="GL86">
        <v>35.662199999999999</v>
      </c>
      <c r="GM86">
        <v>44.477600000000002</v>
      </c>
      <c r="GN86">
        <v>87.089799999999997</v>
      </c>
      <c r="GO86">
        <v>20.302399999999999</v>
      </c>
      <c r="GP86">
        <v>800</v>
      </c>
      <c r="GQ86">
        <v>13.8431</v>
      </c>
      <c r="GR86">
        <v>99.729200000000006</v>
      </c>
      <c r="GS86">
        <v>99.597099999999998</v>
      </c>
    </row>
    <row r="87" spans="1:201" x14ac:dyDescent="0.25">
      <c r="A87">
        <v>71</v>
      </c>
      <c r="B87">
        <v>1690307500</v>
      </c>
      <c r="C87">
        <v>881.40000009536743</v>
      </c>
      <c r="D87" t="s">
        <v>475</v>
      </c>
      <c r="E87" t="s">
        <v>476</v>
      </c>
      <c r="F87" t="s">
        <v>330</v>
      </c>
      <c r="H87">
        <v>1690307500</v>
      </c>
      <c r="I87">
        <f t="shared" si="30"/>
        <v>6.7699002321991734E-4</v>
      </c>
      <c r="J87">
        <f t="shared" si="31"/>
        <v>0.6769900232199173</v>
      </c>
      <c r="K87">
        <f t="shared" si="32"/>
        <v>11.026005513806652</v>
      </c>
      <c r="L87">
        <f t="shared" si="33"/>
        <v>680.68299999999999</v>
      </c>
      <c r="M87">
        <f t="shared" si="34"/>
        <v>307.11537495353269</v>
      </c>
      <c r="N87">
        <f t="shared" si="35"/>
        <v>30.500791946041019</v>
      </c>
      <c r="O87">
        <f t="shared" si="36"/>
        <v>67.601208722774899</v>
      </c>
      <c r="P87">
        <f t="shared" si="37"/>
        <v>4.9174837694139988E-2</v>
      </c>
      <c r="Q87">
        <f t="shared" si="38"/>
        <v>2.1951144456154328</v>
      </c>
      <c r="R87">
        <f t="shared" si="39"/>
        <v>4.8570942679381675E-2</v>
      </c>
      <c r="S87">
        <f t="shared" si="40"/>
        <v>3.0410478784910096E-2</v>
      </c>
      <c r="T87">
        <f t="shared" si="41"/>
        <v>276.11274552378057</v>
      </c>
      <c r="U87">
        <f t="shared" si="42"/>
        <v>26.130075805913972</v>
      </c>
      <c r="V87">
        <f t="shared" si="43"/>
        <v>26.130075805913972</v>
      </c>
      <c r="W87">
        <f t="shared" si="44"/>
        <v>3.4003176157437345</v>
      </c>
      <c r="X87">
        <f t="shared" si="45"/>
        <v>67.640651579975895</v>
      </c>
      <c r="Y87">
        <f t="shared" si="46"/>
        <v>2.05407733063781</v>
      </c>
      <c r="Z87">
        <f t="shared" si="47"/>
        <v>3.036749769048487</v>
      </c>
      <c r="AA87">
        <f t="shared" si="48"/>
        <v>1.3462402851059245</v>
      </c>
      <c r="AB87">
        <f t="shared" si="49"/>
        <v>-29.855260023998355</v>
      </c>
      <c r="AC87">
        <f t="shared" si="50"/>
        <v>-224.76601567687769</v>
      </c>
      <c r="AD87">
        <f t="shared" si="51"/>
        <v>-21.69834133205141</v>
      </c>
      <c r="AE87">
        <f t="shared" si="52"/>
        <v>-0.20687150914685049</v>
      </c>
      <c r="AF87">
        <v>15</v>
      </c>
      <c r="AG87">
        <v>5</v>
      </c>
      <c r="AH87">
        <f t="shared" si="53"/>
        <v>1</v>
      </c>
      <c r="AI87">
        <f t="shared" si="54"/>
        <v>0</v>
      </c>
      <c r="AJ87">
        <f t="shared" si="55"/>
        <v>52918.472742757695</v>
      </c>
      <c r="AK87">
        <f t="shared" si="56"/>
        <v>1799.99</v>
      </c>
      <c r="AL87">
        <f t="shared" si="57"/>
        <v>1499.1044257958099</v>
      </c>
      <c r="AM87">
        <f t="shared" si="58"/>
        <v>0.83284041899999994</v>
      </c>
      <c r="AN87">
        <f t="shared" si="59"/>
        <v>0.15339682193999998</v>
      </c>
      <c r="AO87">
        <v>31.2</v>
      </c>
      <c r="AP87">
        <v>0.5</v>
      </c>
      <c r="AQ87" t="s">
        <v>331</v>
      </c>
      <c r="AR87">
        <v>2</v>
      </c>
      <c r="AS87">
        <v>1690307500</v>
      </c>
      <c r="AT87">
        <v>680.68299999999999</v>
      </c>
      <c r="AU87">
        <v>800.05799999999999</v>
      </c>
      <c r="AV87">
        <v>20.682700000000001</v>
      </c>
      <c r="AW87">
        <v>13.7927</v>
      </c>
      <c r="AX87">
        <v>680.65099999999995</v>
      </c>
      <c r="AY87">
        <v>20.469799999999999</v>
      </c>
      <c r="AZ87">
        <v>300.221</v>
      </c>
      <c r="BA87">
        <v>99.213800000000006</v>
      </c>
      <c r="BB87">
        <v>9.9990300000000004E-2</v>
      </c>
      <c r="BC87">
        <v>24.230799999999999</v>
      </c>
      <c r="BD87">
        <v>26.968499999999999</v>
      </c>
      <c r="BE87">
        <v>26.146000000000001</v>
      </c>
      <c r="BF87">
        <v>0</v>
      </c>
      <c r="BG87">
        <v>0</v>
      </c>
      <c r="BH87">
        <v>9993.75</v>
      </c>
      <c r="BI87">
        <v>1040.6400000000001</v>
      </c>
      <c r="BJ87">
        <v>1.62592</v>
      </c>
      <c r="BK87">
        <v>-119.374</v>
      </c>
      <c r="BL87">
        <v>695.05899999999997</v>
      </c>
      <c r="BM87">
        <v>811.24699999999996</v>
      </c>
      <c r="BN87">
        <v>6.8900100000000002</v>
      </c>
      <c r="BO87">
        <v>800.05799999999999</v>
      </c>
      <c r="BP87">
        <v>13.7927</v>
      </c>
      <c r="BQ87">
        <v>2.0520100000000001</v>
      </c>
      <c r="BR87">
        <v>1.36842</v>
      </c>
      <c r="BS87">
        <v>17.851400000000002</v>
      </c>
      <c r="BT87">
        <v>11.5722</v>
      </c>
      <c r="BU87">
        <v>1799.99</v>
      </c>
      <c r="BV87">
        <v>0.91001500000000002</v>
      </c>
      <c r="BW87">
        <v>3.3999000000000001E-2</v>
      </c>
      <c r="BX87">
        <v>2.1993700000000001E-2</v>
      </c>
      <c r="BY87">
        <v>3.3992000000000001E-2</v>
      </c>
      <c r="BZ87">
        <v>25.958300000000001</v>
      </c>
      <c r="CA87">
        <v>33528.400000000001</v>
      </c>
      <c r="CB87">
        <v>1690306253.5999999</v>
      </c>
      <c r="CC87" t="s">
        <v>332</v>
      </c>
      <c r="CD87">
        <v>1690306253.5999999</v>
      </c>
      <c r="CE87">
        <v>1690306251.5999999</v>
      </c>
      <c r="CF87">
        <v>9</v>
      </c>
      <c r="CG87">
        <v>0.19</v>
      </c>
      <c r="CH87">
        <v>-8.7999999999999995E-2</v>
      </c>
      <c r="CI87">
        <v>-5.0999999999999997E-2</v>
      </c>
      <c r="CJ87">
        <v>5.0999999999999997E-2</v>
      </c>
      <c r="CK87">
        <v>799</v>
      </c>
      <c r="CL87">
        <v>15</v>
      </c>
      <c r="CM87">
        <v>0.28000000000000003</v>
      </c>
      <c r="CN87">
        <v>0.03</v>
      </c>
      <c r="CO87">
        <v>-116.5450243902439</v>
      </c>
      <c r="CP87">
        <v>-17.128933797909529</v>
      </c>
      <c r="CQ87">
        <v>1.6919384248699649</v>
      </c>
      <c r="CR87">
        <v>-1</v>
      </c>
      <c r="CS87">
        <v>6.4830604878048774</v>
      </c>
      <c r="CT87">
        <v>2.875732055749149</v>
      </c>
      <c r="CU87">
        <v>0.28603595285661432</v>
      </c>
      <c r="CV87">
        <v>-1</v>
      </c>
      <c r="CW87">
        <v>0</v>
      </c>
      <c r="CX87">
        <v>0</v>
      </c>
      <c r="CY87" t="s">
        <v>333</v>
      </c>
      <c r="CZ87">
        <v>2.3643200000000002</v>
      </c>
      <c r="DA87">
        <v>2.7137799999999999</v>
      </c>
      <c r="DB87">
        <v>0.13155800000000001</v>
      </c>
      <c r="DC87">
        <v>0.146342</v>
      </c>
      <c r="DD87">
        <v>0.102413</v>
      </c>
      <c r="DE87">
        <v>7.5436600000000006E-2</v>
      </c>
      <c r="DF87">
        <v>31705.7</v>
      </c>
      <c r="DG87">
        <v>27514.5</v>
      </c>
      <c r="DH87">
        <v>31168.6</v>
      </c>
      <c r="DI87">
        <v>28085.9</v>
      </c>
      <c r="DJ87">
        <v>37988</v>
      </c>
      <c r="DK87">
        <v>36932.199999999997</v>
      </c>
      <c r="DL87">
        <v>44358</v>
      </c>
      <c r="DM87">
        <v>42577.8</v>
      </c>
      <c r="DN87">
        <v>1.4268700000000001</v>
      </c>
      <c r="DO87">
        <v>2.0434999999999999</v>
      </c>
      <c r="DP87">
        <v>0.16702</v>
      </c>
      <c r="DQ87">
        <v>0.14723800000000001</v>
      </c>
      <c r="DR87">
        <v>24.230799999999999</v>
      </c>
      <c r="DS87">
        <v>23.729900000000001</v>
      </c>
      <c r="DT87">
        <v>55.4</v>
      </c>
      <c r="DU87">
        <v>29.3</v>
      </c>
      <c r="DV87">
        <v>22.848600000000001</v>
      </c>
      <c r="DW87">
        <v>61.463000000000001</v>
      </c>
      <c r="DX87">
        <v>35.6691</v>
      </c>
      <c r="DY87">
        <v>1</v>
      </c>
      <c r="DZ87">
        <v>-6.3435000000000005E-2</v>
      </c>
      <c r="EA87">
        <v>1.9059200000000001</v>
      </c>
      <c r="EB87">
        <v>20.177299999999999</v>
      </c>
      <c r="EC87">
        <v>5.2397499999999999</v>
      </c>
      <c r="ED87">
        <v>12.039899999999999</v>
      </c>
      <c r="EE87">
        <v>5.0168499999999998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1.8689199999999999</v>
      </c>
      <c r="EL87">
        <v>1.8646199999999999</v>
      </c>
      <c r="EM87">
        <v>1.8692</v>
      </c>
      <c r="EN87">
        <v>1.86724</v>
      </c>
      <c r="EO87">
        <v>1.8633999999999999</v>
      </c>
      <c r="EP87">
        <v>1.8644700000000001</v>
      </c>
      <c r="EQ87">
        <v>1.8701700000000001</v>
      </c>
      <c r="ER87">
        <v>1.8694200000000001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3.2000000000000001E-2</v>
      </c>
      <c r="FG87">
        <v>0.21290000000000001</v>
      </c>
      <c r="FH87">
        <v>0.49996858830924029</v>
      </c>
      <c r="FI87">
        <v>-6.1462078757559423E-4</v>
      </c>
      <c r="FJ87">
        <v>-1.8861989874597051E-7</v>
      </c>
      <c r="FK87">
        <v>1.1980462299894961E-10</v>
      </c>
      <c r="FL87">
        <v>-3.8593581000597899E-2</v>
      </c>
      <c r="FM87">
        <v>-1.6848085045870601E-2</v>
      </c>
      <c r="FN87">
        <v>1.9789084769509481E-3</v>
      </c>
      <c r="FO87">
        <v>-2.7142391389806329E-5</v>
      </c>
      <c r="FP87">
        <v>3</v>
      </c>
      <c r="FQ87">
        <v>2158</v>
      </c>
      <c r="FR87">
        <v>1</v>
      </c>
      <c r="FS87">
        <v>19</v>
      </c>
      <c r="FT87">
        <v>20.8</v>
      </c>
      <c r="FU87">
        <v>20.8</v>
      </c>
      <c r="FV87">
        <v>1.78345</v>
      </c>
      <c r="FW87">
        <v>2.5976599999999999</v>
      </c>
      <c r="FX87">
        <v>1.5490699999999999</v>
      </c>
      <c r="FY87">
        <v>2.3278799999999999</v>
      </c>
      <c r="FZ87">
        <v>1.50146</v>
      </c>
      <c r="GA87">
        <v>2.3547400000000001</v>
      </c>
      <c r="GB87">
        <v>34.099800000000002</v>
      </c>
      <c r="GC87">
        <v>23.973700000000001</v>
      </c>
      <c r="GD87">
        <v>19</v>
      </c>
      <c r="GE87">
        <v>263.74</v>
      </c>
      <c r="GF87">
        <v>592.745</v>
      </c>
      <c r="GG87">
        <v>20.380299999999998</v>
      </c>
      <c r="GH87">
        <v>26.5518</v>
      </c>
      <c r="GI87">
        <v>30.000399999999999</v>
      </c>
      <c r="GJ87">
        <v>26.683199999999999</v>
      </c>
      <c r="GK87">
        <v>26.660399999999999</v>
      </c>
      <c r="GL87">
        <v>35.654800000000002</v>
      </c>
      <c r="GM87">
        <v>45.0259</v>
      </c>
      <c r="GN87">
        <v>86.702200000000005</v>
      </c>
      <c r="GO87">
        <v>20.378799999999998</v>
      </c>
      <c r="GP87">
        <v>800</v>
      </c>
      <c r="GQ87">
        <v>13.6661</v>
      </c>
      <c r="GR87">
        <v>99.728999999999999</v>
      </c>
      <c r="GS87">
        <v>99.595600000000005</v>
      </c>
    </row>
    <row r="88" spans="1:201" x14ac:dyDescent="0.25">
      <c r="A88">
        <v>72</v>
      </c>
      <c r="B88">
        <v>1690307510</v>
      </c>
      <c r="C88">
        <v>891.40000009536743</v>
      </c>
      <c r="D88" t="s">
        <v>477</v>
      </c>
      <c r="E88" t="s">
        <v>478</v>
      </c>
      <c r="F88" t="s">
        <v>330</v>
      </c>
      <c r="H88">
        <v>1690307510</v>
      </c>
      <c r="I88">
        <f t="shared" si="30"/>
        <v>6.9114719650429193E-4</v>
      </c>
      <c r="J88">
        <f t="shared" si="31"/>
        <v>0.69114719650429191</v>
      </c>
      <c r="K88">
        <f t="shared" si="32"/>
        <v>11.305484765421117</v>
      </c>
      <c r="L88">
        <f t="shared" si="33"/>
        <v>677.774</v>
      </c>
      <c r="M88">
        <f t="shared" si="34"/>
        <v>302.10454445756096</v>
      </c>
      <c r="N88">
        <f t="shared" si="35"/>
        <v>30.002259703152259</v>
      </c>
      <c r="O88">
        <f t="shared" si="36"/>
        <v>67.310313403448006</v>
      </c>
      <c r="P88">
        <f t="shared" si="37"/>
        <v>5.0130854411436138E-2</v>
      </c>
      <c r="Q88">
        <f t="shared" si="38"/>
        <v>2.1968409442651846</v>
      </c>
      <c r="R88">
        <f t="shared" si="39"/>
        <v>4.9503898316581384E-2</v>
      </c>
      <c r="S88">
        <f t="shared" si="40"/>
        <v>3.0995612627239447E-2</v>
      </c>
      <c r="T88">
        <f t="shared" si="41"/>
        <v>276.11449187400001</v>
      </c>
      <c r="U88">
        <f t="shared" si="42"/>
        <v>26.126710391008345</v>
      </c>
      <c r="V88">
        <f t="shared" si="43"/>
        <v>26.126710391008345</v>
      </c>
      <c r="W88">
        <f t="shared" si="44"/>
        <v>3.3996411855187754</v>
      </c>
      <c r="X88">
        <f t="shared" si="45"/>
        <v>67.533452812655028</v>
      </c>
      <c r="Y88">
        <f t="shared" si="46"/>
        <v>2.051166337208</v>
      </c>
      <c r="Z88">
        <f t="shared" si="47"/>
        <v>3.0372596865410588</v>
      </c>
      <c r="AA88">
        <f t="shared" si="48"/>
        <v>1.3484748483107754</v>
      </c>
      <c r="AB88">
        <f t="shared" si="49"/>
        <v>-30.479591365839273</v>
      </c>
      <c r="AC88">
        <f t="shared" si="50"/>
        <v>-224.2125907321041</v>
      </c>
      <c r="AD88">
        <f t="shared" si="51"/>
        <v>-21.62784140059912</v>
      </c>
      <c r="AE88">
        <f t="shared" si="52"/>
        <v>-0.20553162454248763</v>
      </c>
      <c r="AF88">
        <v>15</v>
      </c>
      <c r="AG88">
        <v>5</v>
      </c>
      <c r="AH88">
        <f t="shared" si="53"/>
        <v>1</v>
      </c>
      <c r="AI88">
        <f t="shared" si="54"/>
        <v>0</v>
      </c>
      <c r="AJ88">
        <f t="shared" si="55"/>
        <v>52989.247170216258</v>
      </c>
      <c r="AK88">
        <f t="shared" si="56"/>
        <v>1800</v>
      </c>
      <c r="AL88">
        <f t="shared" si="57"/>
        <v>1499.1123653999998</v>
      </c>
      <c r="AM88">
        <f t="shared" si="58"/>
        <v>0.83284020299999995</v>
      </c>
      <c r="AN88">
        <f t="shared" si="59"/>
        <v>0.15339693993</v>
      </c>
      <c r="AO88">
        <v>31.2</v>
      </c>
      <c r="AP88">
        <v>0.5</v>
      </c>
      <c r="AQ88" t="s">
        <v>331</v>
      </c>
      <c r="AR88">
        <v>2</v>
      </c>
      <c r="AS88">
        <v>1690307510</v>
      </c>
      <c r="AT88">
        <v>677.774</v>
      </c>
      <c r="AU88">
        <v>800.072</v>
      </c>
      <c r="AV88">
        <v>20.654</v>
      </c>
      <c r="AW88">
        <v>13.623200000000001</v>
      </c>
      <c r="AX88">
        <v>677.74</v>
      </c>
      <c r="AY88">
        <v>20.4419</v>
      </c>
      <c r="AZ88">
        <v>300.37</v>
      </c>
      <c r="BA88">
        <v>99.210800000000006</v>
      </c>
      <c r="BB88">
        <v>0.100052</v>
      </c>
      <c r="BC88">
        <v>24.233599999999999</v>
      </c>
      <c r="BD88">
        <v>26.980899999999998</v>
      </c>
      <c r="BE88">
        <v>26.142700000000001</v>
      </c>
      <c r="BF88">
        <v>0</v>
      </c>
      <c r="BG88">
        <v>0</v>
      </c>
      <c r="BH88">
        <v>10008.1</v>
      </c>
      <c r="BI88">
        <v>1040.45</v>
      </c>
      <c r="BJ88">
        <v>1.62592</v>
      </c>
      <c r="BK88">
        <v>-122.298</v>
      </c>
      <c r="BL88">
        <v>692.06799999999998</v>
      </c>
      <c r="BM88">
        <v>811.12199999999996</v>
      </c>
      <c r="BN88">
        <v>7.0308200000000003</v>
      </c>
      <c r="BO88">
        <v>800.072</v>
      </c>
      <c r="BP88">
        <v>13.623200000000001</v>
      </c>
      <c r="BQ88">
        <v>2.0491000000000001</v>
      </c>
      <c r="BR88">
        <v>1.3515699999999999</v>
      </c>
      <c r="BS88">
        <v>17.828900000000001</v>
      </c>
      <c r="BT88">
        <v>11.3849</v>
      </c>
      <c r="BU88">
        <v>1800</v>
      </c>
      <c r="BV88">
        <v>0.91001100000000001</v>
      </c>
      <c r="BW88">
        <v>3.4004399999999997E-2</v>
      </c>
      <c r="BX88">
        <v>2.19934E-2</v>
      </c>
      <c r="BY88">
        <v>3.3991500000000001E-2</v>
      </c>
      <c r="BZ88">
        <v>25.958300000000001</v>
      </c>
      <c r="CA88">
        <v>33528.5</v>
      </c>
      <c r="CB88">
        <v>1690306253.5999999</v>
      </c>
      <c r="CC88" t="s">
        <v>332</v>
      </c>
      <c r="CD88">
        <v>1690306253.5999999</v>
      </c>
      <c r="CE88">
        <v>1690306251.5999999</v>
      </c>
      <c r="CF88">
        <v>9</v>
      </c>
      <c r="CG88">
        <v>0.19</v>
      </c>
      <c r="CH88">
        <v>-8.7999999999999995E-2</v>
      </c>
      <c r="CI88">
        <v>-5.0999999999999997E-2</v>
      </c>
      <c r="CJ88">
        <v>5.0999999999999997E-2</v>
      </c>
      <c r="CK88">
        <v>799</v>
      </c>
      <c r="CL88">
        <v>15</v>
      </c>
      <c r="CM88">
        <v>0.28000000000000003</v>
      </c>
      <c r="CN88">
        <v>0.03</v>
      </c>
      <c r="CO88">
        <v>-119.31982926829269</v>
      </c>
      <c r="CP88">
        <v>-16.41763066202089</v>
      </c>
      <c r="CQ88">
        <v>1.6204184178475209</v>
      </c>
      <c r="CR88">
        <v>-1</v>
      </c>
      <c r="CS88">
        <v>6.8387651219512202</v>
      </c>
      <c r="CT88">
        <v>1.386895400696869</v>
      </c>
      <c r="CU88">
        <v>0.14010336132389331</v>
      </c>
      <c r="CV88">
        <v>-1</v>
      </c>
      <c r="CW88">
        <v>0</v>
      </c>
      <c r="CX88">
        <v>0</v>
      </c>
      <c r="CY88" t="s">
        <v>333</v>
      </c>
      <c r="CZ88">
        <v>2.3648099999999999</v>
      </c>
      <c r="DA88">
        <v>2.7138499999999999</v>
      </c>
      <c r="DB88">
        <v>0.13116700000000001</v>
      </c>
      <c r="DC88">
        <v>0.14633599999999999</v>
      </c>
      <c r="DD88">
        <v>0.102312</v>
      </c>
      <c r="DE88">
        <v>7.4746800000000002E-2</v>
      </c>
      <c r="DF88">
        <v>31719.599999999999</v>
      </c>
      <c r="DG88">
        <v>27514.1</v>
      </c>
      <c r="DH88">
        <v>31168.3</v>
      </c>
      <c r="DI88">
        <v>28085.3</v>
      </c>
      <c r="DJ88">
        <v>37992.300000000003</v>
      </c>
      <c r="DK88">
        <v>36959.1</v>
      </c>
      <c r="DL88">
        <v>44358</v>
      </c>
      <c r="DM88">
        <v>42576.9</v>
      </c>
      <c r="DN88">
        <v>1.4276</v>
      </c>
      <c r="DO88">
        <v>2.0431699999999999</v>
      </c>
      <c r="DP88">
        <v>0.16867399999999999</v>
      </c>
      <c r="DQ88">
        <v>0.14771500000000001</v>
      </c>
      <c r="DR88">
        <v>24.216000000000001</v>
      </c>
      <c r="DS88">
        <v>23.718800000000002</v>
      </c>
      <c r="DT88">
        <v>55.2</v>
      </c>
      <c r="DU88">
        <v>29.3</v>
      </c>
      <c r="DV88">
        <v>22.766400000000001</v>
      </c>
      <c r="DW88">
        <v>61.813000000000002</v>
      </c>
      <c r="DX88">
        <v>35.396599999999999</v>
      </c>
      <c r="DY88">
        <v>1</v>
      </c>
      <c r="DZ88">
        <v>-6.3048800000000002E-2</v>
      </c>
      <c r="EA88">
        <v>1.93421</v>
      </c>
      <c r="EB88">
        <v>20.177099999999999</v>
      </c>
      <c r="EC88">
        <v>5.2397499999999999</v>
      </c>
      <c r="ED88">
        <v>12.039899999999999</v>
      </c>
      <c r="EE88">
        <v>5.0166000000000004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1.86894</v>
      </c>
      <c r="EL88">
        <v>1.86463</v>
      </c>
      <c r="EM88">
        <v>1.8692</v>
      </c>
      <c r="EN88">
        <v>1.86724</v>
      </c>
      <c r="EO88">
        <v>1.8633999999999999</v>
      </c>
      <c r="EP88">
        <v>1.8644700000000001</v>
      </c>
      <c r="EQ88">
        <v>1.8702000000000001</v>
      </c>
      <c r="ER88">
        <v>1.8694500000000001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3.4000000000000002E-2</v>
      </c>
      <c r="FG88">
        <v>0.21210000000000001</v>
      </c>
      <c r="FH88">
        <v>0.49996858830924029</v>
      </c>
      <c r="FI88">
        <v>-6.1462078757559423E-4</v>
      </c>
      <c r="FJ88">
        <v>-1.8861989874597051E-7</v>
      </c>
      <c r="FK88">
        <v>1.1980462299894961E-10</v>
      </c>
      <c r="FL88">
        <v>-3.8593581000597899E-2</v>
      </c>
      <c r="FM88">
        <v>-1.6848085045870601E-2</v>
      </c>
      <c r="FN88">
        <v>1.9789084769509481E-3</v>
      </c>
      <c r="FO88">
        <v>-2.7142391389806329E-5</v>
      </c>
      <c r="FP88">
        <v>3</v>
      </c>
      <c r="FQ88">
        <v>2158</v>
      </c>
      <c r="FR88">
        <v>1</v>
      </c>
      <c r="FS88">
        <v>19</v>
      </c>
      <c r="FT88">
        <v>20.9</v>
      </c>
      <c r="FU88">
        <v>21</v>
      </c>
      <c r="FV88">
        <v>1.78345</v>
      </c>
      <c r="FW88">
        <v>2.5939899999999998</v>
      </c>
      <c r="FX88">
        <v>1.5490699999999999</v>
      </c>
      <c r="FY88">
        <v>2.3278799999999999</v>
      </c>
      <c r="FZ88">
        <v>1.50146</v>
      </c>
      <c r="GA88">
        <v>2.4023400000000001</v>
      </c>
      <c r="GB88">
        <v>34.099800000000002</v>
      </c>
      <c r="GC88">
        <v>23.982399999999998</v>
      </c>
      <c r="GD88">
        <v>19</v>
      </c>
      <c r="GE88">
        <v>264.02100000000002</v>
      </c>
      <c r="GF88">
        <v>592.447</v>
      </c>
      <c r="GG88">
        <v>20.410900000000002</v>
      </c>
      <c r="GH88">
        <v>26.547999999999998</v>
      </c>
      <c r="GI88">
        <v>30.000399999999999</v>
      </c>
      <c r="GJ88">
        <v>26.6798</v>
      </c>
      <c r="GK88">
        <v>26.658200000000001</v>
      </c>
      <c r="GL88">
        <v>35.6496</v>
      </c>
      <c r="GM88">
        <v>45.320399999999999</v>
      </c>
      <c r="GN88">
        <v>85.959599999999995</v>
      </c>
      <c r="GO88">
        <v>20.411799999999999</v>
      </c>
      <c r="GP88">
        <v>800</v>
      </c>
      <c r="GQ88">
        <v>13.541499999999999</v>
      </c>
      <c r="GR88">
        <v>99.7286</v>
      </c>
      <c r="GS88">
        <v>99.593500000000006</v>
      </c>
    </row>
    <row r="89" spans="1:201" x14ac:dyDescent="0.25">
      <c r="A89">
        <v>73</v>
      </c>
      <c r="B89">
        <v>1690307520</v>
      </c>
      <c r="C89">
        <v>901.40000009536743</v>
      </c>
      <c r="D89" t="s">
        <v>479</v>
      </c>
      <c r="E89" t="s">
        <v>480</v>
      </c>
      <c r="F89" t="s">
        <v>330</v>
      </c>
      <c r="H89">
        <v>1690307520</v>
      </c>
      <c r="I89">
        <f t="shared" si="30"/>
        <v>6.9625933296338838E-4</v>
      </c>
      <c r="J89">
        <f t="shared" si="31"/>
        <v>0.69625933296338838</v>
      </c>
      <c r="K89">
        <f t="shared" si="32"/>
        <v>11.567538975371521</v>
      </c>
      <c r="L89">
        <f t="shared" si="33"/>
        <v>674.93200000000002</v>
      </c>
      <c r="M89">
        <f t="shared" si="34"/>
        <v>292.54186067613142</v>
      </c>
      <c r="N89">
        <f t="shared" si="35"/>
        <v>29.053116781016943</v>
      </c>
      <c r="O89">
        <f t="shared" si="36"/>
        <v>67.029307087623991</v>
      </c>
      <c r="P89">
        <f t="shared" si="37"/>
        <v>5.0353932374377131E-2</v>
      </c>
      <c r="Q89">
        <f t="shared" si="38"/>
        <v>2.1926390594643772</v>
      </c>
      <c r="R89">
        <f t="shared" si="39"/>
        <v>4.9720226365490131E-2</v>
      </c>
      <c r="S89">
        <f t="shared" si="40"/>
        <v>3.1131412930436406E-2</v>
      </c>
      <c r="T89">
        <f t="shared" si="41"/>
        <v>276.11444059199999</v>
      </c>
      <c r="U89">
        <f t="shared" si="42"/>
        <v>26.128779544777633</v>
      </c>
      <c r="V89">
        <f t="shared" si="43"/>
        <v>26.128779544777633</v>
      </c>
      <c r="W89">
        <f t="shared" si="44"/>
        <v>3.4000570603377431</v>
      </c>
      <c r="X89">
        <f t="shared" si="45"/>
        <v>67.409731208513207</v>
      </c>
      <c r="Y89">
        <f t="shared" si="46"/>
        <v>2.0474699771847997</v>
      </c>
      <c r="Z89">
        <f t="shared" si="47"/>
        <v>3.0373507511126578</v>
      </c>
      <c r="AA89">
        <f t="shared" si="48"/>
        <v>1.3525870831529434</v>
      </c>
      <c r="AB89">
        <f t="shared" si="49"/>
        <v>-30.705036583685427</v>
      </c>
      <c r="AC89">
        <f t="shared" si="50"/>
        <v>-223.96922959556724</v>
      </c>
      <c r="AD89">
        <f t="shared" si="51"/>
        <v>-21.64604831391102</v>
      </c>
      <c r="AE89">
        <f t="shared" si="52"/>
        <v>-0.20587390116369875</v>
      </c>
      <c r="AF89">
        <v>15</v>
      </c>
      <c r="AG89">
        <v>5</v>
      </c>
      <c r="AH89">
        <f t="shared" si="53"/>
        <v>1</v>
      </c>
      <c r="AI89">
        <f t="shared" si="54"/>
        <v>0</v>
      </c>
      <c r="AJ89">
        <f t="shared" si="55"/>
        <v>52815.680572383717</v>
      </c>
      <c r="AK89">
        <f t="shared" si="56"/>
        <v>1800</v>
      </c>
      <c r="AL89">
        <f t="shared" si="57"/>
        <v>1499.1111701999998</v>
      </c>
      <c r="AM89">
        <f t="shared" si="58"/>
        <v>0.83283953899999996</v>
      </c>
      <c r="AN89">
        <f t="shared" si="59"/>
        <v>0.15339691144000001</v>
      </c>
      <c r="AO89">
        <v>31.2</v>
      </c>
      <c r="AP89">
        <v>0.5</v>
      </c>
      <c r="AQ89" t="s">
        <v>331</v>
      </c>
      <c r="AR89">
        <v>2</v>
      </c>
      <c r="AS89">
        <v>1690307520</v>
      </c>
      <c r="AT89">
        <v>674.93200000000002</v>
      </c>
      <c r="AU89">
        <v>800.01199999999994</v>
      </c>
      <c r="AV89">
        <v>20.616399999999999</v>
      </c>
      <c r="AW89">
        <v>13.530799999999999</v>
      </c>
      <c r="AX89">
        <v>674.89599999999996</v>
      </c>
      <c r="AY89">
        <v>20.4054</v>
      </c>
      <c r="AZ89">
        <v>300.26299999999998</v>
      </c>
      <c r="BA89">
        <v>99.212699999999998</v>
      </c>
      <c r="BB89">
        <v>9.9982000000000001E-2</v>
      </c>
      <c r="BC89">
        <v>24.234100000000002</v>
      </c>
      <c r="BD89">
        <v>26.9864</v>
      </c>
      <c r="BE89">
        <v>26.1417</v>
      </c>
      <c r="BF89">
        <v>0</v>
      </c>
      <c r="BG89">
        <v>0</v>
      </c>
      <c r="BH89">
        <v>9973.75</v>
      </c>
      <c r="BI89">
        <v>1040.21</v>
      </c>
      <c r="BJ89">
        <v>1.62592</v>
      </c>
      <c r="BK89">
        <v>-125.07899999999999</v>
      </c>
      <c r="BL89">
        <v>689.14</v>
      </c>
      <c r="BM89">
        <v>810.98500000000001</v>
      </c>
      <c r="BN89">
        <v>7.0856599999999998</v>
      </c>
      <c r="BO89">
        <v>800.01199999999994</v>
      </c>
      <c r="BP89">
        <v>13.530799999999999</v>
      </c>
      <c r="BQ89">
        <v>2.04541</v>
      </c>
      <c r="BR89">
        <v>1.3424199999999999</v>
      </c>
      <c r="BS89">
        <v>17.8003</v>
      </c>
      <c r="BT89">
        <v>11.282400000000001</v>
      </c>
      <c r="BU89">
        <v>1800</v>
      </c>
      <c r="BV89">
        <v>0.91000800000000004</v>
      </c>
      <c r="BW89">
        <v>3.40091E-2</v>
      </c>
      <c r="BX89">
        <v>2.19927E-2</v>
      </c>
      <c r="BY89">
        <v>3.3990399999999997E-2</v>
      </c>
      <c r="BZ89">
        <v>26</v>
      </c>
      <c r="CA89">
        <v>33528.400000000001</v>
      </c>
      <c r="CB89">
        <v>1690306253.5999999</v>
      </c>
      <c r="CC89" t="s">
        <v>332</v>
      </c>
      <c r="CD89">
        <v>1690306253.5999999</v>
      </c>
      <c r="CE89">
        <v>1690306251.5999999</v>
      </c>
      <c r="CF89">
        <v>9</v>
      </c>
      <c r="CG89">
        <v>0.19</v>
      </c>
      <c r="CH89">
        <v>-8.7999999999999995E-2</v>
      </c>
      <c r="CI89">
        <v>-5.0999999999999997E-2</v>
      </c>
      <c r="CJ89">
        <v>5.0999999999999997E-2</v>
      </c>
      <c r="CK89">
        <v>799</v>
      </c>
      <c r="CL89">
        <v>15</v>
      </c>
      <c r="CM89">
        <v>0.28000000000000003</v>
      </c>
      <c r="CN89">
        <v>0.03</v>
      </c>
      <c r="CO89">
        <v>-122.02617499999999</v>
      </c>
      <c r="CP89">
        <v>-17.224266416510051</v>
      </c>
      <c r="CQ89">
        <v>1.6576555566145219</v>
      </c>
      <c r="CR89">
        <v>-1</v>
      </c>
      <c r="CS89">
        <v>6.9960219999999991</v>
      </c>
      <c r="CT89">
        <v>0.58348075046901793</v>
      </c>
      <c r="CU89">
        <v>5.9362180771935932E-2</v>
      </c>
      <c r="CV89">
        <v>-1</v>
      </c>
      <c r="CW89">
        <v>0</v>
      </c>
      <c r="CX89">
        <v>0</v>
      </c>
      <c r="CY89" t="s">
        <v>333</v>
      </c>
      <c r="CZ89">
        <v>2.3644799999999999</v>
      </c>
      <c r="DA89">
        <v>2.7137500000000001</v>
      </c>
      <c r="DB89">
        <v>0.13079099999999999</v>
      </c>
      <c r="DC89">
        <v>0.14633099999999999</v>
      </c>
      <c r="DD89">
        <v>0.102184</v>
      </c>
      <c r="DE89">
        <v>7.4372099999999997E-2</v>
      </c>
      <c r="DF89">
        <v>31733.200000000001</v>
      </c>
      <c r="DG89">
        <v>27514.6</v>
      </c>
      <c r="DH89">
        <v>31168.1</v>
      </c>
      <c r="DI89">
        <v>28085.7</v>
      </c>
      <c r="DJ89">
        <v>37997.199999999997</v>
      </c>
      <c r="DK89">
        <v>36974.699999999997</v>
      </c>
      <c r="DL89">
        <v>44357.5</v>
      </c>
      <c r="DM89">
        <v>42577.5</v>
      </c>
      <c r="DN89">
        <v>1.4275500000000001</v>
      </c>
      <c r="DO89">
        <v>2.04305</v>
      </c>
      <c r="DP89">
        <v>0.16979900000000001</v>
      </c>
      <c r="DQ89">
        <v>0.14831900000000001</v>
      </c>
      <c r="DR89">
        <v>24.203099999999999</v>
      </c>
      <c r="DS89">
        <v>23.707799999999999</v>
      </c>
      <c r="DT89">
        <v>55.1</v>
      </c>
      <c r="DU89">
        <v>29.3</v>
      </c>
      <c r="DV89">
        <v>22.723299999999998</v>
      </c>
      <c r="DW89">
        <v>61.563000000000002</v>
      </c>
      <c r="DX89">
        <v>35.825299999999999</v>
      </c>
      <c r="DY89">
        <v>1</v>
      </c>
      <c r="DZ89">
        <v>-6.3325699999999999E-2</v>
      </c>
      <c r="EA89">
        <v>1.8819399999999999</v>
      </c>
      <c r="EB89">
        <v>20.177800000000001</v>
      </c>
      <c r="EC89">
        <v>5.2404999999999999</v>
      </c>
      <c r="ED89">
        <v>12.039899999999999</v>
      </c>
      <c r="EE89">
        <v>5.0165499999999996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1.86893</v>
      </c>
      <c r="EL89">
        <v>1.86463</v>
      </c>
      <c r="EM89">
        <v>1.8692</v>
      </c>
      <c r="EN89">
        <v>1.86724</v>
      </c>
      <c r="EO89">
        <v>1.8633999999999999</v>
      </c>
      <c r="EP89">
        <v>1.8644700000000001</v>
      </c>
      <c r="EQ89">
        <v>1.8701700000000001</v>
      </c>
      <c r="ER89">
        <v>1.86944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3.5999999999999997E-2</v>
      </c>
      <c r="FG89">
        <v>0.21099999999999999</v>
      </c>
      <c r="FH89">
        <v>0.49996858830924029</v>
      </c>
      <c r="FI89">
        <v>-6.1462078757559423E-4</v>
      </c>
      <c r="FJ89">
        <v>-1.8861989874597051E-7</v>
      </c>
      <c r="FK89">
        <v>1.1980462299894961E-10</v>
      </c>
      <c r="FL89">
        <v>-3.8593581000597899E-2</v>
      </c>
      <c r="FM89">
        <v>-1.6848085045870601E-2</v>
      </c>
      <c r="FN89">
        <v>1.9789084769509481E-3</v>
      </c>
      <c r="FO89">
        <v>-2.7142391389806329E-5</v>
      </c>
      <c r="FP89">
        <v>3</v>
      </c>
      <c r="FQ89">
        <v>2158</v>
      </c>
      <c r="FR89">
        <v>1</v>
      </c>
      <c r="FS89">
        <v>19</v>
      </c>
      <c r="FT89">
        <v>21.1</v>
      </c>
      <c r="FU89">
        <v>21.1</v>
      </c>
      <c r="FV89">
        <v>1.78223</v>
      </c>
      <c r="FW89">
        <v>2.5878899999999998</v>
      </c>
      <c r="FX89">
        <v>1.5490699999999999</v>
      </c>
      <c r="FY89">
        <v>2.3290999999999999</v>
      </c>
      <c r="FZ89">
        <v>1.50146</v>
      </c>
      <c r="GA89">
        <v>2.3938000000000001</v>
      </c>
      <c r="GB89">
        <v>34.099800000000002</v>
      </c>
      <c r="GC89">
        <v>23.982399999999998</v>
      </c>
      <c r="GD89">
        <v>19</v>
      </c>
      <c r="GE89">
        <v>263.98500000000001</v>
      </c>
      <c r="GF89">
        <v>592.31700000000001</v>
      </c>
      <c r="GG89">
        <v>20.4312</v>
      </c>
      <c r="GH89">
        <v>26.542999999999999</v>
      </c>
      <c r="GI89">
        <v>30</v>
      </c>
      <c r="GJ89">
        <v>26.675899999999999</v>
      </c>
      <c r="GK89">
        <v>26.655899999999999</v>
      </c>
      <c r="GL89">
        <v>35.648000000000003</v>
      </c>
      <c r="GM89">
        <v>45.6175</v>
      </c>
      <c r="GN89">
        <v>85.587500000000006</v>
      </c>
      <c r="GO89">
        <v>20.448899999999998</v>
      </c>
      <c r="GP89">
        <v>800</v>
      </c>
      <c r="GQ89">
        <v>13.4277</v>
      </c>
      <c r="GR89">
        <v>99.727699999999999</v>
      </c>
      <c r="GS89">
        <v>99.594899999999996</v>
      </c>
    </row>
    <row r="90" spans="1:201" x14ac:dyDescent="0.25">
      <c r="A90">
        <v>74</v>
      </c>
      <c r="B90">
        <v>1690307530</v>
      </c>
      <c r="C90">
        <v>911.40000009536743</v>
      </c>
      <c r="D90" t="s">
        <v>481</v>
      </c>
      <c r="E90" t="s">
        <v>482</v>
      </c>
      <c r="F90" t="s">
        <v>330</v>
      </c>
      <c r="H90">
        <v>1690307530</v>
      </c>
      <c r="I90">
        <f t="shared" si="30"/>
        <v>7.0962161411810578E-4</v>
      </c>
      <c r="J90">
        <f t="shared" si="31"/>
        <v>0.70962161411810576</v>
      </c>
      <c r="K90">
        <f t="shared" si="32"/>
        <v>11.832706731436335</v>
      </c>
      <c r="L90">
        <f t="shared" si="33"/>
        <v>672.04600000000005</v>
      </c>
      <c r="M90">
        <f t="shared" si="34"/>
        <v>288.36778800420052</v>
      </c>
      <c r="N90">
        <f t="shared" si="35"/>
        <v>28.640015250445092</v>
      </c>
      <c r="O90">
        <f t="shared" si="36"/>
        <v>66.746039223771604</v>
      </c>
      <c r="P90">
        <f t="shared" si="37"/>
        <v>5.1328300392760318E-2</v>
      </c>
      <c r="Q90">
        <f t="shared" si="38"/>
        <v>2.1998466858040508</v>
      </c>
      <c r="R90">
        <f t="shared" si="39"/>
        <v>5.0672132206417725E-2</v>
      </c>
      <c r="S90">
        <f t="shared" si="40"/>
        <v>3.1728337815549512E-2</v>
      </c>
      <c r="T90">
        <f t="shared" si="41"/>
        <v>276.11438002199998</v>
      </c>
      <c r="U90">
        <f t="shared" si="42"/>
        <v>26.118576134535505</v>
      </c>
      <c r="V90">
        <f t="shared" si="43"/>
        <v>26.118576134535505</v>
      </c>
      <c r="W90">
        <f t="shared" si="44"/>
        <v>3.3980067291598601</v>
      </c>
      <c r="X90">
        <f t="shared" si="45"/>
        <v>67.336925053026249</v>
      </c>
      <c r="Y90">
        <f t="shared" si="46"/>
        <v>2.04525859887426</v>
      </c>
      <c r="Z90">
        <f t="shared" si="47"/>
        <v>3.0373507511126578</v>
      </c>
      <c r="AA90">
        <f t="shared" si="48"/>
        <v>1.3527481302856001</v>
      </c>
      <c r="AB90">
        <f t="shared" si="49"/>
        <v>-31.294313182608466</v>
      </c>
      <c r="AC90">
        <f t="shared" si="50"/>
        <v>-223.49535411292183</v>
      </c>
      <c r="AD90">
        <f t="shared" si="51"/>
        <v>-21.528370558596645</v>
      </c>
      <c r="AE90">
        <f t="shared" si="52"/>
        <v>-0.20365783212696442</v>
      </c>
      <c r="AF90">
        <v>15</v>
      </c>
      <c r="AG90">
        <v>5</v>
      </c>
      <c r="AH90">
        <f t="shared" si="53"/>
        <v>1</v>
      </c>
      <c r="AI90">
        <f t="shared" si="54"/>
        <v>0</v>
      </c>
      <c r="AJ90">
        <f t="shared" si="55"/>
        <v>53113.646918392747</v>
      </c>
      <c r="AK90">
        <f t="shared" si="56"/>
        <v>1800</v>
      </c>
      <c r="AL90">
        <f t="shared" si="57"/>
        <v>1499.1115841999999</v>
      </c>
      <c r="AM90">
        <f t="shared" si="58"/>
        <v>0.8328397689999999</v>
      </c>
      <c r="AN90">
        <f t="shared" si="59"/>
        <v>0.15339687779</v>
      </c>
      <c r="AO90">
        <v>31.2</v>
      </c>
      <c r="AP90">
        <v>0.5</v>
      </c>
      <c r="AQ90" t="s">
        <v>331</v>
      </c>
      <c r="AR90">
        <v>2</v>
      </c>
      <c r="AS90">
        <v>1690307530</v>
      </c>
      <c r="AT90">
        <v>672.04600000000005</v>
      </c>
      <c r="AU90">
        <v>800.01300000000003</v>
      </c>
      <c r="AV90">
        <v>20.5931</v>
      </c>
      <c r="AW90">
        <v>13.368</v>
      </c>
      <c r="AX90">
        <v>672.00800000000004</v>
      </c>
      <c r="AY90">
        <v>20.3828</v>
      </c>
      <c r="AZ90">
        <v>300.12400000000002</v>
      </c>
      <c r="BA90">
        <v>99.217699999999994</v>
      </c>
      <c r="BB90">
        <v>9.9964600000000001E-2</v>
      </c>
      <c r="BC90">
        <v>24.234100000000002</v>
      </c>
      <c r="BD90">
        <v>26.969200000000001</v>
      </c>
      <c r="BE90">
        <v>26.1599</v>
      </c>
      <c r="BF90">
        <v>0</v>
      </c>
      <c r="BG90">
        <v>0</v>
      </c>
      <c r="BH90">
        <v>10031.9</v>
      </c>
      <c r="BI90">
        <v>1040.03</v>
      </c>
      <c r="BJ90">
        <v>1.62592</v>
      </c>
      <c r="BK90">
        <v>-127.96599999999999</v>
      </c>
      <c r="BL90">
        <v>686.17700000000002</v>
      </c>
      <c r="BM90">
        <v>810.85199999999998</v>
      </c>
      <c r="BN90">
        <v>7.2251300000000001</v>
      </c>
      <c r="BO90">
        <v>800.01300000000003</v>
      </c>
      <c r="BP90">
        <v>13.368</v>
      </c>
      <c r="BQ90">
        <v>2.0432000000000001</v>
      </c>
      <c r="BR90">
        <v>1.3263400000000001</v>
      </c>
      <c r="BS90">
        <v>17.783200000000001</v>
      </c>
      <c r="BT90">
        <v>11.1007</v>
      </c>
      <c r="BU90">
        <v>1800</v>
      </c>
      <c r="BV90">
        <v>0.91000999999999999</v>
      </c>
      <c r="BW90">
        <v>3.4008400000000001E-2</v>
      </c>
      <c r="BX90">
        <v>2.19922E-2</v>
      </c>
      <c r="BY90">
        <v>3.3989699999999998E-2</v>
      </c>
      <c r="BZ90">
        <v>26</v>
      </c>
      <c r="CA90">
        <v>33528.400000000001</v>
      </c>
      <c r="CB90">
        <v>1690306253.5999999</v>
      </c>
      <c r="CC90" t="s">
        <v>332</v>
      </c>
      <c r="CD90">
        <v>1690306253.5999999</v>
      </c>
      <c r="CE90">
        <v>1690306251.5999999</v>
      </c>
      <c r="CF90">
        <v>9</v>
      </c>
      <c r="CG90">
        <v>0.19</v>
      </c>
      <c r="CH90">
        <v>-8.7999999999999995E-2</v>
      </c>
      <c r="CI90">
        <v>-5.0999999999999997E-2</v>
      </c>
      <c r="CJ90">
        <v>5.0999999999999997E-2</v>
      </c>
      <c r="CK90">
        <v>799</v>
      </c>
      <c r="CL90">
        <v>15</v>
      </c>
      <c r="CM90">
        <v>0.28000000000000003</v>
      </c>
      <c r="CN90">
        <v>0.03</v>
      </c>
      <c r="CO90">
        <v>-124.9672682926829</v>
      </c>
      <c r="CP90">
        <v>-17.203630662020881</v>
      </c>
      <c r="CQ90">
        <v>1.6969410215025329</v>
      </c>
      <c r="CR90">
        <v>-1</v>
      </c>
      <c r="CS90">
        <v>7.0919297560975609</v>
      </c>
      <c r="CT90">
        <v>0.54598620209057802</v>
      </c>
      <c r="CU90">
        <v>5.650812238132201E-2</v>
      </c>
      <c r="CV90">
        <v>-1</v>
      </c>
      <c r="CW90">
        <v>0</v>
      </c>
      <c r="CX90">
        <v>0</v>
      </c>
      <c r="CY90" t="s">
        <v>333</v>
      </c>
      <c r="CZ90">
        <v>2.36402</v>
      </c>
      <c r="DA90">
        <v>2.7137799999999999</v>
      </c>
      <c r="DB90">
        <v>0.130412</v>
      </c>
      <c r="DC90">
        <v>0.14633499999999999</v>
      </c>
      <c r="DD90">
        <v>0.10210900000000001</v>
      </c>
      <c r="DE90">
        <v>7.3710800000000007E-2</v>
      </c>
      <c r="DF90">
        <v>31747.8</v>
      </c>
      <c r="DG90">
        <v>27515</v>
      </c>
      <c r="DH90">
        <v>31168.799999999999</v>
      </c>
      <c r="DI90">
        <v>28086.2</v>
      </c>
      <c r="DJ90">
        <v>38001.199999999997</v>
      </c>
      <c r="DK90">
        <v>37001.699999999997</v>
      </c>
      <c r="DL90">
        <v>44358.400000000001</v>
      </c>
      <c r="DM90">
        <v>42578.2</v>
      </c>
      <c r="DN90">
        <v>1.4275500000000001</v>
      </c>
      <c r="DO90">
        <v>2.0429499999999998</v>
      </c>
      <c r="DP90">
        <v>0.16953799999999999</v>
      </c>
      <c r="DQ90">
        <v>0.15009900000000001</v>
      </c>
      <c r="DR90">
        <v>24.190100000000001</v>
      </c>
      <c r="DS90">
        <v>23.6968</v>
      </c>
      <c r="DT90">
        <v>55</v>
      </c>
      <c r="DU90">
        <v>29.3</v>
      </c>
      <c r="DV90">
        <v>22.6845</v>
      </c>
      <c r="DW90">
        <v>61.343000000000004</v>
      </c>
      <c r="DX90">
        <v>36.598599999999998</v>
      </c>
      <c r="DY90">
        <v>1</v>
      </c>
      <c r="DZ90">
        <v>-6.4052300000000006E-2</v>
      </c>
      <c r="EA90">
        <v>1.82914</v>
      </c>
      <c r="EB90">
        <v>20.1783</v>
      </c>
      <c r="EC90">
        <v>5.2406499999999996</v>
      </c>
      <c r="ED90">
        <v>12.039899999999999</v>
      </c>
      <c r="EE90">
        <v>5.0166000000000004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1.8689100000000001</v>
      </c>
      <c r="EL90">
        <v>1.86463</v>
      </c>
      <c r="EM90">
        <v>1.8692</v>
      </c>
      <c r="EN90">
        <v>1.8672299999999999</v>
      </c>
      <c r="EO90">
        <v>1.8633999999999999</v>
      </c>
      <c r="EP90">
        <v>1.8644700000000001</v>
      </c>
      <c r="EQ90">
        <v>1.8701399999999999</v>
      </c>
      <c r="ER90">
        <v>1.8694299999999999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3.7999999999999999E-2</v>
      </c>
      <c r="FG90">
        <v>0.21029999999999999</v>
      </c>
      <c r="FH90">
        <v>0.49996858830924029</v>
      </c>
      <c r="FI90">
        <v>-6.1462078757559423E-4</v>
      </c>
      <c r="FJ90">
        <v>-1.8861989874597051E-7</v>
      </c>
      <c r="FK90">
        <v>1.1980462299894961E-10</v>
      </c>
      <c r="FL90">
        <v>-3.8593581000597899E-2</v>
      </c>
      <c r="FM90">
        <v>-1.6848085045870601E-2</v>
      </c>
      <c r="FN90">
        <v>1.9789084769509481E-3</v>
      </c>
      <c r="FO90">
        <v>-2.7142391389806329E-5</v>
      </c>
      <c r="FP90">
        <v>3</v>
      </c>
      <c r="FQ90">
        <v>2158</v>
      </c>
      <c r="FR90">
        <v>1</v>
      </c>
      <c r="FS90">
        <v>19</v>
      </c>
      <c r="FT90">
        <v>21.3</v>
      </c>
      <c r="FU90">
        <v>21.3</v>
      </c>
      <c r="FV90">
        <v>1.78223</v>
      </c>
      <c r="FW90">
        <v>2.5915499999999998</v>
      </c>
      <c r="FX90">
        <v>1.5490699999999999</v>
      </c>
      <c r="FY90">
        <v>2.3278799999999999</v>
      </c>
      <c r="FZ90">
        <v>1.50146</v>
      </c>
      <c r="GA90">
        <v>2.3022499999999999</v>
      </c>
      <c r="GB90">
        <v>34.099800000000002</v>
      </c>
      <c r="GC90">
        <v>23.973700000000001</v>
      </c>
      <c r="GD90">
        <v>19</v>
      </c>
      <c r="GE90">
        <v>263.97500000000002</v>
      </c>
      <c r="GF90">
        <v>592.20799999999997</v>
      </c>
      <c r="GG90">
        <v>20.467700000000001</v>
      </c>
      <c r="GH90">
        <v>26.5379</v>
      </c>
      <c r="GI90">
        <v>29.9998</v>
      </c>
      <c r="GJ90">
        <v>26.673400000000001</v>
      </c>
      <c r="GK90">
        <v>26.653700000000001</v>
      </c>
      <c r="GL90">
        <v>35.641100000000002</v>
      </c>
      <c r="GM90">
        <v>45.897300000000001</v>
      </c>
      <c r="GN90">
        <v>85.210800000000006</v>
      </c>
      <c r="GO90">
        <v>20.482399999999998</v>
      </c>
      <c r="GP90">
        <v>800</v>
      </c>
      <c r="GQ90">
        <v>13.306699999999999</v>
      </c>
      <c r="GR90">
        <v>99.729900000000001</v>
      </c>
      <c r="GS90">
        <v>99.596699999999998</v>
      </c>
    </row>
    <row r="91" spans="1:201" x14ac:dyDescent="0.25">
      <c r="A91">
        <v>75</v>
      </c>
      <c r="B91">
        <v>1690307540</v>
      </c>
      <c r="C91">
        <v>921.40000009536743</v>
      </c>
      <c r="D91" t="s">
        <v>483</v>
      </c>
      <c r="E91" t="s">
        <v>484</v>
      </c>
      <c r="F91" t="s">
        <v>330</v>
      </c>
      <c r="H91">
        <v>1690307540</v>
      </c>
      <c r="I91">
        <f t="shared" si="30"/>
        <v>7.1536263702491653E-4</v>
      </c>
      <c r="J91">
        <f t="shared" si="31"/>
        <v>0.71536263702491654</v>
      </c>
      <c r="K91">
        <f t="shared" si="32"/>
        <v>12.139585830225938</v>
      </c>
      <c r="L91">
        <f t="shared" si="33"/>
        <v>668.99</v>
      </c>
      <c r="M91">
        <f t="shared" si="34"/>
        <v>278.60418912134679</v>
      </c>
      <c r="N91">
        <f t="shared" si="35"/>
        <v>27.669487560871172</v>
      </c>
      <c r="O91">
        <f t="shared" si="36"/>
        <v>66.440531787140003</v>
      </c>
      <c r="P91">
        <f t="shared" si="37"/>
        <v>5.1714451694525432E-2</v>
      </c>
      <c r="Q91">
        <f t="shared" si="38"/>
        <v>2.2010334433473515</v>
      </c>
      <c r="R91">
        <f t="shared" si="39"/>
        <v>5.104879664403017E-2</v>
      </c>
      <c r="S91">
        <f t="shared" si="40"/>
        <v>3.1964590467875399E-2</v>
      </c>
      <c r="T91">
        <f t="shared" si="41"/>
        <v>276.11414533800001</v>
      </c>
      <c r="U91">
        <f t="shared" si="42"/>
        <v>26.11789521657257</v>
      </c>
      <c r="V91">
        <f t="shared" si="43"/>
        <v>26.11789521657257</v>
      </c>
      <c r="W91">
        <f t="shared" si="44"/>
        <v>3.3978699400816677</v>
      </c>
      <c r="X91">
        <f t="shared" si="45"/>
        <v>67.295618426729106</v>
      </c>
      <c r="Y91">
        <f t="shared" si="46"/>
        <v>2.0442736336868004</v>
      </c>
      <c r="Z91">
        <f t="shared" si="47"/>
        <v>3.0377514635853862</v>
      </c>
      <c r="AA91">
        <f t="shared" si="48"/>
        <v>1.3535963063948673</v>
      </c>
      <c r="AB91">
        <f t="shared" si="49"/>
        <v>-31.547492292798818</v>
      </c>
      <c r="AC91">
        <f t="shared" si="50"/>
        <v>-223.27406796813642</v>
      </c>
      <c r="AD91">
        <f t="shared" si="51"/>
        <v>-21.49562238460026</v>
      </c>
      <c r="AE91">
        <f t="shared" si="52"/>
        <v>-0.20303730753548166</v>
      </c>
      <c r="AF91">
        <v>15</v>
      </c>
      <c r="AG91">
        <v>5</v>
      </c>
      <c r="AH91">
        <f t="shared" si="53"/>
        <v>1</v>
      </c>
      <c r="AI91">
        <f t="shared" si="54"/>
        <v>0</v>
      </c>
      <c r="AJ91">
        <f t="shared" si="55"/>
        <v>53162.325111564372</v>
      </c>
      <c r="AK91">
        <f t="shared" si="56"/>
        <v>1800</v>
      </c>
      <c r="AL91">
        <f t="shared" si="57"/>
        <v>1499.1109038</v>
      </c>
      <c r="AM91">
        <f t="shared" si="58"/>
        <v>0.83283939099999993</v>
      </c>
      <c r="AN91">
        <f t="shared" si="59"/>
        <v>0.15339674741000001</v>
      </c>
      <c r="AO91">
        <v>31.2</v>
      </c>
      <c r="AP91">
        <v>0.5</v>
      </c>
      <c r="AQ91" t="s">
        <v>331</v>
      </c>
      <c r="AR91">
        <v>2</v>
      </c>
      <c r="AS91">
        <v>1690307540</v>
      </c>
      <c r="AT91">
        <v>668.99</v>
      </c>
      <c r="AU91">
        <v>800.14800000000002</v>
      </c>
      <c r="AV91">
        <v>20.5838</v>
      </c>
      <c r="AW91">
        <v>13.3011</v>
      </c>
      <c r="AX91">
        <v>668.95</v>
      </c>
      <c r="AY91">
        <v>20.373799999999999</v>
      </c>
      <c r="AZ91">
        <v>300.16199999999998</v>
      </c>
      <c r="BA91">
        <v>99.214600000000004</v>
      </c>
      <c r="BB91">
        <v>0.10008599999999999</v>
      </c>
      <c r="BC91">
        <v>24.2363</v>
      </c>
      <c r="BD91">
        <v>26.9847</v>
      </c>
      <c r="BE91">
        <v>26.134799999999998</v>
      </c>
      <c r="BF91">
        <v>0</v>
      </c>
      <c r="BG91">
        <v>0</v>
      </c>
      <c r="BH91">
        <v>10041.9</v>
      </c>
      <c r="BI91">
        <v>1040.01</v>
      </c>
      <c r="BJ91">
        <v>1.62592</v>
      </c>
      <c r="BK91">
        <v>-131.15700000000001</v>
      </c>
      <c r="BL91">
        <v>683.05</v>
      </c>
      <c r="BM91">
        <v>810.93399999999997</v>
      </c>
      <c r="BN91">
        <v>7.2827700000000002</v>
      </c>
      <c r="BO91">
        <v>800.14800000000002</v>
      </c>
      <c r="BP91">
        <v>13.3011</v>
      </c>
      <c r="BQ91">
        <v>2.0422199999999999</v>
      </c>
      <c r="BR91">
        <v>1.3196600000000001</v>
      </c>
      <c r="BS91">
        <v>17.775500000000001</v>
      </c>
      <c r="BT91">
        <v>11.024699999999999</v>
      </c>
      <c r="BU91">
        <v>1800</v>
      </c>
      <c r="BV91">
        <v>0.91001100000000001</v>
      </c>
      <c r="BW91">
        <v>3.4007799999999998E-2</v>
      </c>
      <c r="BX91">
        <v>2.1991799999999999E-2</v>
      </c>
      <c r="BY91">
        <v>3.3989100000000001E-2</v>
      </c>
      <c r="BZ91">
        <v>26</v>
      </c>
      <c r="CA91">
        <v>33528.400000000001</v>
      </c>
      <c r="CB91">
        <v>1690306253.5999999</v>
      </c>
      <c r="CC91" t="s">
        <v>332</v>
      </c>
      <c r="CD91">
        <v>1690306253.5999999</v>
      </c>
      <c r="CE91">
        <v>1690306251.5999999</v>
      </c>
      <c r="CF91">
        <v>9</v>
      </c>
      <c r="CG91">
        <v>0.19</v>
      </c>
      <c r="CH91">
        <v>-8.7999999999999995E-2</v>
      </c>
      <c r="CI91">
        <v>-5.0999999999999997E-2</v>
      </c>
      <c r="CJ91">
        <v>5.0999999999999997E-2</v>
      </c>
      <c r="CK91">
        <v>799</v>
      </c>
      <c r="CL91">
        <v>15</v>
      </c>
      <c r="CM91">
        <v>0.28000000000000003</v>
      </c>
      <c r="CN91">
        <v>0.03</v>
      </c>
      <c r="CO91">
        <v>-127.5784146341463</v>
      </c>
      <c r="CP91">
        <v>-17.448104529616909</v>
      </c>
      <c r="CQ91">
        <v>1.7214086684132519</v>
      </c>
      <c r="CR91">
        <v>-1</v>
      </c>
      <c r="CS91">
        <v>7.1803995121951223</v>
      </c>
      <c r="CT91">
        <v>0.65052313588850852</v>
      </c>
      <c r="CU91">
        <v>6.5909959606813631E-2</v>
      </c>
      <c r="CV91">
        <v>-1</v>
      </c>
      <c r="CW91">
        <v>0</v>
      </c>
      <c r="CX91">
        <v>0</v>
      </c>
      <c r="CY91" t="s">
        <v>333</v>
      </c>
      <c r="CZ91">
        <v>2.36416</v>
      </c>
      <c r="DA91">
        <v>2.7139099999999998</v>
      </c>
      <c r="DB91">
        <v>0.129999</v>
      </c>
      <c r="DC91">
        <v>0.146347</v>
      </c>
      <c r="DD91">
        <v>0.102075</v>
      </c>
      <c r="DE91">
        <v>7.3434399999999997E-2</v>
      </c>
      <c r="DF91">
        <v>31762.6</v>
      </c>
      <c r="DG91">
        <v>27515</v>
      </c>
      <c r="DH91">
        <v>31168.6</v>
      </c>
      <c r="DI91">
        <v>28086.6</v>
      </c>
      <c r="DJ91">
        <v>38002.6</v>
      </c>
      <c r="DK91">
        <v>37013.1</v>
      </c>
      <c r="DL91">
        <v>44358.400000000001</v>
      </c>
      <c r="DM91">
        <v>42578.5</v>
      </c>
      <c r="DN91">
        <v>1.42703</v>
      </c>
      <c r="DO91">
        <v>2.0428199999999999</v>
      </c>
      <c r="DP91">
        <v>0.17127400000000001</v>
      </c>
      <c r="DQ91">
        <v>0.149094</v>
      </c>
      <c r="DR91">
        <v>24.177199999999999</v>
      </c>
      <c r="DS91">
        <v>23.688099999999999</v>
      </c>
      <c r="DT91">
        <v>54.9</v>
      </c>
      <c r="DU91">
        <v>29.3</v>
      </c>
      <c r="DV91">
        <v>22.640899999999998</v>
      </c>
      <c r="DW91">
        <v>61.542999999999999</v>
      </c>
      <c r="DX91">
        <v>35.985599999999998</v>
      </c>
      <c r="DY91">
        <v>1</v>
      </c>
      <c r="DZ91">
        <v>-6.4275899999999997E-2</v>
      </c>
      <c r="EA91">
        <v>1.7966</v>
      </c>
      <c r="EB91">
        <v>20.178699999999999</v>
      </c>
      <c r="EC91">
        <v>5.2411000000000003</v>
      </c>
      <c r="ED91">
        <v>12.039899999999999</v>
      </c>
      <c r="EE91">
        <v>5.0166000000000004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1.8689100000000001</v>
      </c>
      <c r="EL91">
        <v>1.86463</v>
      </c>
      <c r="EM91">
        <v>1.8692</v>
      </c>
      <c r="EN91">
        <v>1.8672500000000001</v>
      </c>
      <c r="EO91">
        <v>1.8633999999999999</v>
      </c>
      <c r="EP91">
        <v>1.8644700000000001</v>
      </c>
      <c r="EQ91">
        <v>1.8701700000000001</v>
      </c>
      <c r="ER91">
        <v>1.8694599999999999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0.04</v>
      </c>
      <c r="FG91">
        <v>0.21</v>
      </c>
      <c r="FH91">
        <v>0.49996858830924029</v>
      </c>
      <c r="FI91">
        <v>-6.1462078757559423E-4</v>
      </c>
      <c r="FJ91">
        <v>-1.8861989874597051E-7</v>
      </c>
      <c r="FK91">
        <v>1.1980462299894961E-10</v>
      </c>
      <c r="FL91">
        <v>-3.8593581000597899E-2</v>
      </c>
      <c r="FM91">
        <v>-1.6848085045870601E-2</v>
      </c>
      <c r="FN91">
        <v>1.9789084769509481E-3</v>
      </c>
      <c r="FO91">
        <v>-2.7142391389806329E-5</v>
      </c>
      <c r="FP91">
        <v>3</v>
      </c>
      <c r="FQ91">
        <v>2158</v>
      </c>
      <c r="FR91">
        <v>1</v>
      </c>
      <c r="FS91">
        <v>19</v>
      </c>
      <c r="FT91">
        <v>21.4</v>
      </c>
      <c r="FU91">
        <v>21.5</v>
      </c>
      <c r="FV91">
        <v>1.78223</v>
      </c>
      <c r="FW91">
        <v>2.5915499999999998</v>
      </c>
      <c r="FX91">
        <v>1.5490699999999999</v>
      </c>
      <c r="FY91">
        <v>2.3278799999999999</v>
      </c>
      <c r="FZ91">
        <v>1.50146</v>
      </c>
      <c r="GA91">
        <v>2.33765</v>
      </c>
      <c r="GB91">
        <v>34.099800000000002</v>
      </c>
      <c r="GC91">
        <v>23.973700000000001</v>
      </c>
      <c r="GD91">
        <v>19</v>
      </c>
      <c r="GE91">
        <v>263.75</v>
      </c>
      <c r="GF91">
        <v>592.077</v>
      </c>
      <c r="GG91">
        <v>20.503299999999999</v>
      </c>
      <c r="GH91">
        <v>26.532299999999999</v>
      </c>
      <c r="GI91">
        <v>29.9998</v>
      </c>
      <c r="GJ91">
        <v>26.670300000000001</v>
      </c>
      <c r="GK91">
        <v>26.651399999999999</v>
      </c>
      <c r="GL91">
        <v>35.638800000000003</v>
      </c>
      <c r="GM91">
        <v>46.187199999999997</v>
      </c>
      <c r="GN91">
        <v>84.445599999999999</v>
      </c>
      <c r="GO91">
        <v>20.5139</v>
      </c>
      <c r="GP91">
        <v>800</v>
      </c>
      <c r="GQ91">
        <v>13.1768</v>
      </c>
      <c r="GR91">
        <v>99.729500000000002</v>
      </c>
      <c r="GS91">
        <v>99.5976</v>
      </c>
    </row>
    <row r="92" spans="1:201" x14ac:dyDescent="0.25">
      <c r="A92">
        <v>76</v>
      </c>
      <c r="B92">
        <v>1690307550</v>
      </c>
      <c r="C92">
        <v>931.40000009536743</v>
      </c>
      <c r="D92" t="s">
        <v>485</v>
      </c>
      <c r="E92" t="s">
        <v>486</v>
      </c>
      <c r="F92" t="s">
        <v>330</v>
      </c>
      <c r="H92">
        <v>1690307550</v>
      </c>
      <c r="I92">
        <f t="shared" si="30"/>
        <v>7.3303333055852252E-4</v>
      </c>
      <c r="J92">
        <f t="shared" si="31"/>
        <v>0.73303333055852249</v>
      </c>
      <c r="K92">
        <f t="shared" si="32"/>
        <v>12.409033827176177</v>
      </c>
      <c r="L92">
        <f t="shared" si="33"/>
        <v>665.98400000000004</v>
      </c>
      <c r="M92">
        <f t="shared" si="34"/>
        <v>277.01649700135505</v>
      </c>
      <c r="N92">
        <f t="shared" si="35"/>
        <v>27.511687188609208</v>
      </c>
      <c r="O92">
        <f t="shared" si="36"/>
        <v>66.141705201510405</v>
      </c>
      <c r="P92">
        <f t="shared" si="37"/>
        <v>5.3067440581264065E-2</v>
      </c>
      <c r="Q92">
        <f t="shared" si="38"/>
        <v>2.1990321356747007</v>
      </c>
      <c r="R92">
        <f t="shared" si="39"/>
        <v>5.2366125142051849E-2</v>
      </c>
      <c r="S92">
        <f t="shared" si="40"/>
        <v>3.2791066416513026E-2</v>
      </c>
      <c r="T92">
        <f t="shared" si="41"/>
        <v>276.11402743799999</v>
      </c>
      <c r="U92">
        <f t="shared" si="42"/>
        <v>26.111061050787058</v>
      </c>
      <c r="V92">
        <f t="shared" si="43"/>
        <v>26.111061050787058</v>
      </c>
      <c r="W92">
        <f t="shared" si="44"/>
        <v>3.3964972961839233</v>
      </c>
      <c r="X92">
        <f t="shared" si="45"/>
        <v>67.307954939795195</v>
      </c>
      <c r="Y92">
        <f t="shared" si="46"/>
        <v>2.04435415724932</v>
      </c>
      <c r="Z92">
        <f t="shared" si="47"/>
        <v>3.0373143249975865</v>
      </c>
      <c r="AA92">
        <f t="shared" si="48"/>
        <v>1.3521431389346033</v>
      </c>
      <c r="AB92">
        <f t="shared" si="49"/>
        <v>-32.326769877630845</v>
      </c>
      <c r="AC92">
        <f t="shared" si="50"/>
        <v>-222.54536512619455</v>
      </c>
      <c r="AD92">
        <f t="shared" si="51"/>
        <v>-21.443968650084543</v>
      </c>
      <c r="AE92">
        <f t="shared" si="52"/>
        <v>-0.20207621590995473</v>
      </c>
      <c r="AF92">
        <v>15</v>
      </c>
      <c r="AG92">
        <v>5</v>
      </c>
      <c r="AH92">
        <f t="shared" si="53"/>
        <v>1</v>
      </c>
      <c r="AI92">
        <f t="shared" si="54"/>
        <v>0</v>
      </c>
      <c r="AJ92">
        <f t="shared" si="55"/>
        <v>53079.894381882186</v>
      </c>
      <c r="AK92">
        <f t="shared" si="56"/>
        <v>1800</v>
      </c>
      <c r="AL92">
        <f t="shared" si="57"/>
        <v>1499.1110567999999</v>
      </c>
      <c r="AM92">
        <f t="shared" si="58"/>
        <v>0.83283947599999997</v>
      </c>
      <c r="AN92">
        <f t="shared" si="59"/>
        <v>0.15339668191</v>
      </c>
      <c r="AO92">
        <v>31.2</v>
      </c>
      <c r="AP92">
        <v>0.5</v>
      </c>
      <c r="AQ92" t="s">
        <v>331</v>
      </c>
      <c r="AR92">
        <v>2</v>
      </c>
      <c r="AS92">
        <v>1690307550</v>
      </c>
      <c r="AT92">
        <v>665.98400000000004</v>
      </c>
      <c r="AU92">
        <v>800.00699999999995</v>
      </c>
      <c r="AV92">
        <v>20.584700000000002</v>
      </c>
      <c r="AW92">
        <v>13.1241</v>
      </c>
      <c r="AX92">
        <v>665.94200000000001</v>
      </c>
      <c r="AY92">
        <v>20.374600000000001</v>
      </c>
      <c r="AZ92">
        <v>300.24200000000002</v>
      </c>
      <c r="BA92">
        <v>99.214299999999994</v>
      </c>
      <c r="BB92">
        <v>9.9955600000000006E-2</v>
      </c>
      <c r="BC92">
        <v>24.233899999999998</v>
      </c>
      <c r="BD92">
        <v>27.014500000000002</v>
      </c>
      <c r="BE92">
        <v>26.155000000000001</v>
      </c>
      <c r="BF92">
        <v>0</v>
      </c>
      <c r="BG92">
        <v>0</v>
      </c>
      <c r="BH92">
        <v>10025.6</v>
      </c>
      <c r="BI92">
        <v>1039.8699999999999</v>
      </c>
      <c r="BJ92">
        <v>1.62592</v>
      </c>
      <c r="BK92">
        <v>-134.023</v>
      </c>
      <c r="BL92">
        <v>679.98099999999999</v>
      </c>
      <c r="BM92">
        <v>810.64599999999996</v>
      </c>
      <c r="BN92">
        <v>7.4605300000000003</v>
      </c>
      <c r="BO92">
        <v>800.00699999999995</v>
      </c>
      <c r="BP92">
        <v>13.1241</v>
      </c>
      <c r="BQ92">
        <v>2.0422899999999999</v>
      </c>
      <c r="BR92">
        <v>1.3021</v>
      </c>
      <c r="BS92">
        <v>17.7761</v>
      </c>
      <c r="BT92">
        <v>10.8231</v>
      </c>
      <c r="BU92">
        <v>1800</v>
      </c>
      <c r="BV92">
        <v>0.91001299999999996</v>
      </c>
      <c r="BW92">
        <v>3.4007000000000003E-2</v>
      </c>
      <c r="BX92">
        <v>2.1991299999999998E-2</v>
      </c>
      <c r="BY92">
        <v>3.3988299999999999E-2</v>
      </c>
      <c r="BZ92">
        <v>26</v>
      </c>
      <c r="CA92">
        <v>33528.5</v>
      </c>
      <c r="CB92">
        <v>1690306253.5999999</v>
      </c>
      <c r="CC92" t="s">
        <v>332</v>
      </c>
      <c r="CD92">
        <v>1690306253.5999999</v>
      </c>
      <c r="CE92">
        <v>1690306251.5999999</v>
      </c>
      <c r="CF92">
        <v>9</v>
      </c>
      <c r="CG92">
        <v>0.19</v>
      </c>
      <c r="CH92">
        <v>-8.7999999999999995E-2</v>
      </c>
      <c r="CI92">
        <v>-5.0999999999999997E-2</v>
      </c>
      <c r="CJ92">
        <v>5.0999999999999997E-2</v>
      </c>
      <c r="CK92">
        <v>799</v>
      </c>
      <c r="CL92">
        <v>15</v>
      </c>
      <c r="CM92">
        <v>0.28000000000000003</v>
      </c>
      <c r="CN92">
        <v>0.03</v>
      </c>
      <c r="CO92">
        <v>-130.81540000000001</v>
      </c>
      <c r="CP92">
        <v>-18.468607879924861</v>
      </c>
      <c r="CQ92">
        <v>1.777609825017852</v>
      </c>
      <c r="CR92">
        <v>-1</v>
      </c>
      <c r="CS92">
        <v>7.2978714999999994</v>
      </c>
      <c r="CT92">
        <v>0.65852487804876769</v>
      </c>
      <c r="CU92">
        <v>6.6135222897862847E-2</v>
      </c>
      <c r="CV92">
        <v>-1</v>
      </c>
      <c r="CW92">
        <v>0</v>
      </c>
      <c r="CX92">
        <v>0</v>
      </c>
      <c r="CY92" t="s">
        <v>333</v>
      </c>
      <c r="CZ92">
        <v>2.36443</v>
      </c>
      <c r="DA92">
        <v>2.7137699999999998</v>
      </c>
      <c r="DB92">
        <v>0.12959599999999999</v>
      </c>
      <c r="DC92">
        <v>0.14632700000000001</v>
      </c>
      <c r="DD92">
        <v>0.102078</v>
      </c>
      <c r="DE92">
        <v>7.2706599999999996E-2</v>
      </c>
      <c r="DF92">
        <v>31778</v>
      </c>
      <c r="DG92">
        <v>27516.1</v>
      </c>
      <c r="DH92">
        <v>31169.3</v>
      </c>
      <c r="DI92">
        <v>28087</v>
      </c>
      <c r="DJ92">
        <v>38002.9</v>
      </c>
      <c r="DK92">
        <v>37042.800000000003</v>
      </c>
      <c r="DL92">
        <v>44358.9</v>
      </c>
      <c r="DM92">
        <v>42579.199999999997</v>
      </c>
      <c r="DN92">
        <v>1.42743</v>
      </c>
      <c r="DO92">
        <v>2.0428700000000002</v>
      </c>
      <c r="DP92">
        <v>0.17386699999999999</v>
      </c>
      <c r="DQ92">
        <v>0.15082999999999999</v>
      </c>
      <c r="DR92">
        <v>24.164400000000001</v>
      </c>
      <c r="DS92">
        <v>23.6799</v>
      </c>
      <c r="DT92">
        <v>54.8</v>
      </c>
      <c r="DU92">
        <v>29.3</v>
      </c>
      <c r="DV92">
        <v>22.6006</v>
      </c>
      <c r="DW92">
        <v>61.472999999999999</v>
      </c>
      <c r="DX92">
        <v>35.400599999999997</v>
      </c>
      <c r="DY92">
        <v>1</v>
      </c>
      <c r="DZ92">
        <v>-6.4613799999999999E-2</v>
      </c>
      <c r="EA92">
        <v>1.8179399999999999</v>
      </c>
      <c r="EB92">
        <v>20.1783</v>
      </c>
      <c r="EC92">
        <v>5.2404999999999999</v>
      </c>
      <c r="ED92">
        <v>12.039899999999999</v>
      </c>
      <c r="EE92">
        <v>5.0166000000000004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1.8689100000000001</v>
      </c>
      <c r="EL92">
        <v>1.8646400000000001</v>
      </c>
      <c r="EM92">
        <v>1.8692</v>
      </c>
      <c r="EN92">
        <v>1.86724</v>
      </c>
      <c r="EO92">
        <v>1.8633999999999999</v>
      </c>
      <c r="EP92">
        <v>1.8644700000000001</v>
      </c>
      <c r="EQ92">
        <v>1.87019</v>
      </c>
      <c r="ER92">
        <v>1.86944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4.2000000000000003E-2</v>
      </c>
      <c r="FG92">
        <v>0.21010000000000001</v>
      </c>
      <c r="FH92">
        <v>0.49996858830924029</v>
      </c>
      <c r="FI92">
        <v>-6.1462078757559423E-4</v>
      </c>
      <c r="FJ92">
        <v>-1.8861989874597051E-7</v>
      </c>
      <c r="FK92">
        <v>1.1980462299894961E-10</v>
      </c>
      <c r="FL92">
        <v>-3.8593581000597899E-2</v>
      </c>
      <c r="FM92">
        <v>-1.6848085045870601E-2</v>
      </c>
      <c r="FN92">
        <v>1.9789084769509481E-3</v>
      </c>
      <c r="FO92">
        <v>-2.7142391389806329E-5</v>
      </c>
      <c r="FP92">
        <v>3</v>
      </c>
      <c r="FQ92">
        <v>2158</v>
      </c>
      <c r="FR92">
        <v>1</v>
      </c>
      <c r="FS92">
        <v>19</v>
      </c>
      <c r="FT92">
        <v>21.6</v>
      </c>
      <c r="FU92">
        <v>21.6</v>
      </c>
      <c r="FV92">
        <v>1.78223</v>
      </c>
      <c r="FW92">
        <v>2.5891099999999998</v>
      </c>
      <c r="FX92">
        <v>1.5490699999999999</v>
      </c>
      <c r="FY92">
        <v>2.3278799999999999</v>
      </c>
      <c r="FZ92">
        <v>1.50146</v>
      </c>
      <c r="GA92">
        <v>2.3950200000000001</v>
      </c>
      <c r="GB92">
        <v>34.099800000000002</v>
      </c>
      <c r="GC92">
        <v>23.982399999999998</v>
      </c>
      <c r="GD92">
        <v>19</v>
      </c>
      <c r="GE92">
        <v>263.89699999999999</v>
      </c>
      <c r="GF92">
        <v>592.08600000000001</v>
      </c>
      <c r="GG92">
        <v>20.527200000000001</v>
      </c>
      <c r="GH92">
        <v>26.526199999999999</v>
      </c>
      <c r="GI92">
        <v>29.9999</v>
      </c>
      <c r="GJ92">
        <v>26.666699999999999</v>
      </c>
      <c r="GK92">
        <v>26.648499999999999</v>
      </c>
      <c r="GL92">
        <v>35.635300000000001</v>
      </c>
      <c r="GM92">
        <v>46.480899999999998</v>
      </c>
      <c r="GN92">
        <v>84.056100000000001</v>
      </c>
      <c r="GO92">
        <v>20.5291</v>
      </c>
      <c r="GP92">
        <v>800</v>
      </c>
      <c r="GQ92">
        <v>13.0463</v>
      </c>
      <c r="GR92">
        <v>99.731200000000001</v>
      </c>
      <c r="GS92">
        <v>99.599100000000007</v>
      </c>
    </row>
    <row r="93" spans="1:201" x14ac:dyDescent="0.25">
      <c r="A93">
        <v>77</v>
      </c>
      <c r="B93">
        <v>1690307560</v>
      </c>
      <c r="C93">
        <v>941.40000009536743</v>
      </c>
      <c r="D93" t="s">
        <v>487</v>
      </c>
      <c r="E93" t="s">
        <v>488</v>
      </c>
      <c r="F93" t="s">
        <v>330</v>
      </c>
      <c r="H93">
        <v>1690307560</v>
      </c>
      <c r="I93">
        <f t="shared" si="30"/>
        <v>7.4176247233206872E-4</v>
      </c>
      <c r="J93">
        <f t="shared" si="31"/>
        <v>0.74176247233206871</v>
      </c>
      <c r="K93">
        <f t="shared" si="32"/>
        <v>12.705491225654685</v>
      </c>
      <c r="L93">
        <f t="shared" si="33"/>
        <v>662.91700000000003</v>
      </c>
      <c r="M93">
        <f t="shared" si="34"/>
        <v>269.41686628031493</v>
      </c>
      <c r="N93">
        <f t="shared" si="35"/>
        <v>26.756822203980263</v>
      </c>
      <c r="O93">
        <f t="shared" si="36"/>
        <v>65.836829556695008</v>
      </c>
      <c r="P93">
        <f t="shared" si="37"/>
        <v>5.3685571373382535E-2</v>
      </c>
      <c r="Q93">
        <f t="shared" si="38"/>
        <v>2.1904173838563761</v>
      </c>
      <c r="R93">
        <f t="shared" si="39"/>
        <v>5.29651605028824E-2</v>
      </c>
      <c r="S93">
        <f t="shared" si="40"/>
        <v>3.3167145940025095E-2</v>
      </c>
      <c r="T93">
        <f t="shared" si="41"/>
        <v>276.11422028999999</v>
      </c>
      <c r="U93">
        <f t="shared" si="42"/>
        <v>26.106139341232829</v>
      </c>
      <c r="V93">
        <f t="shared" si="43"/>
        <v>26.106139341232829</v>
      </c>
      <c r="W93">
        <f t="shared" si="44"/>
        <v>3.3955090695805574</v>
      </c>
      <c r="X93">
        <f t="shared" si="45"/>
        <v>67.289468335543972</v>
      </c>
      <c r="Y93">
        <f t="shared" si="46"/>
        <v>2.0427266838140001</v>
      </c>
      <c r="Z93">
        <f t="shared" si="47"/>
        <v>3.0357301585855767</v>
      </c>
      <c r="AA93">
        <f t="shared" si="48"/>
        <v>1.3527823857665573</v>
      </c>
      <c r="AB93">
        <f t="shared" si="49"/>
        <v>-32.711725029844231</v>
      </c>
      <c r="AC93">
        <f t="shared" si="50"/>
        <v>-222.11971675852095</v>
      </c>
      <c r="AD93">
        <f t="shared" si="51"/>
        <v>-21.485658866941531</v>
      </c>
      <c r="AE93">
        <f t="shared" si="52"/>
        <v>-0.20288036530672571</v>
      </c>
      <c r="AF93">
        <v>15</v>
      </c>
      <c r="AG93">
        <v>5</v>
      </c>
      <c r="AH93">
        <f t="shared" si="53"/>
        <v>1</v>
      </c>
      <c r="AI93">
        <f t="shared" si="54"/>
        <v>0</v>
      </c>
      <c r="AJ93">
        <f t="shared" si="55"/>
        <v>52725.675921398048</v>
      </c>
      <c r="AK93">
        <f t="shared" si="56"/>
        <v>1800</v>
      </c>
      <c r="AL93">
        <f t="shared" si="57"/>
        <v>1499.1125669999999</v>
      </c>
      <c r="AM93">
        <f t="shared" si="58"/>
        <v>0.832840315</v>
      </c>
      <c r="AN93">
        <f t="shared" si="59"/>
        <v>0.15339678904999998</v>
      </c>
      <c r="AO93">
        <v>31.2</v>
      </c>
      <c r="AP93">
        <v>0.5</v>
      </c>
      <c r="AQ93" t="s">
        <v>331</v>
      </c>
      <c r="AR93">
        <v>2</v>
      </c>
      <c r="AS93">
        <v>1690307560</v>
      </c>
      <c r="AT93">
        <v>662.91700000000003</v>
      </c>
      <c r="AU93">
        <v>800.07799999999997</v>
      </c>
      <c r="AV93">
        <v>20.5684</v>
      </c>
      <c r="AW93">
        <v>13.0177</v>
      </c>
      <c r="AX93">
        <v>662.87300000000005</v>
      </c>
      <c r="AY93">
        <v>20.358799999999999</v>
      </c>
      <c r="AZ93">
        <v>300.197</v>
      </c>
      <c r="BA93">
        <v>99.213800000000006</v>
      </c>
      <c r="BB93">
        <v>0.100035</v>
      </c>
      <c r="BC93">
        <v>24.225200000000001</v>
      </c>
      <c r="BD93">
        <v>26.978000000000002</v>
      </c>
      <c r="BE93">
        <v>26.1417</v>
      </c>
      <c r="BF93">
        <v>0</v>
      </c>
      <c r="BG93">
        <v>0</v>
      </c>
      <c r="BH93">
        <v>9955.6200000000008</v>
      </c>
      <c r="BI93">
        <v>1039.8399999999999</v>
      </c>
      <c r="BJ93">
        <v>1.62592</v>
      </c>
      <c r="BK93">
        <v>-137.161</v>
      </c>
      <c r="BL93">
        <v>676.83900000000006</v>
      </c>
      <c r="BM93">
        <v>810.63</v>
      </c>
      <c r="BN93">
        <v>7.5507099999999996</v>
      </c>
      <c r="BO93">
        <v>800.07799999999997</v>
      </c>
      <c r="BP93">
        <v>13.0177</v>
      </c>
      <c r="BQ93">
        <v>2.04067</v>
      </c>
      <c r="BR93">
        <v>1.2915399999999999</v>
      </c>
      <c r="BS93">
        <v>17.763500000000001</v>
      </c>
      <c r="BT93">
        <v>10.700699999999999</v>
      </c>
      <c r="BU93">
        <v>1800</v>
      </c>
      <c r="BV93">
        <v>0.91001500000000002</v>
      </c>
      <c r="BW93">
        <v>3.4006599999999998E-2</v>
      </c>
      <c r="BX93">
        <v>2.1991E-2</v>
      </c>
      <c r="BY93">
        <v>3.3987900000000001E-2</v>
      </c>
      <c r="BZ93">
        <v>26</v>
      </c>
      <c r="CA93">
        <v>33528.5</v>
      </c>
      <c r="CB93">
        <v>1690306253.5999999</v>
      </c>
      <c r="CC93" t="s">
        <v>332</v>
      </c>
      <c r="CD93">
        <v>1690306253.5999999</v>
      </c>
      <c r="CE93">
        <v>1690306251.5999999</v>
      </c>
      <c r="CF93">
        <v>9</v>
      </c>
      <c r="CG93">
        <v>0.19</v>
      </c>
      <c r="CH93">
        <v>-8.7999999999999995E-2</v>
      </c>
      <c r="CI93">
        <v>-5.0999999999999997E-2</v>
      </c>
      <c r="CJ93">
        <v>5.0999999999999997E-2</v>
      </c>
      <c r="CK93">
        <v>799</v>
      </c>
      <c r="CL93">
        <v>15</v>
      </c>
      <c r="CM93">
        <v>0.28000000000000003</v>
      </c>
      <c r="CN93">
        <v>0.03</v>
      </c>
      <c r="CO93">
        <v>-133.6351219512195</v>
      </c>
      <c r="CP93">
        <v>-17.97696167247404</v>
      </c>
      <c r="CQ93">
        <v>1.7732485580263491</v>
      </c>
      <c r="CR93">
        <v>-1</v>
      </c>
      <c r="CS93">
        <v>7.4114014634146352</v>
      </c>
      <c r="CT93">
        <v>0.82645087108014803</v>
      </c>
      <c r="CU93">
        <v>8.3133330451779439E-2</v>
      </c>
      <c r="CV93">
        <v>-1</v>
      </c>
      <c r="CW93">
        <v>0</v>
      </c>
      <c r="CX93">
        <v>0</v>
      </c>
      <c r="CY93" t="s">
        <v>333</v>
      </c>
      <c r="CZ93">
        <v>2.36429</v>
      </c>
      <c r="DA93">
        <v>2.7137899999999999</v>
      </c>
      <c r="DB93">
        <v>0.12918299999999999</v>
      </c>
      <c r="DC93">
        <v>0.14633299999999999</v>
      </c>
      <c r="DD93">
        <v>0.102022</v>
      </c>
      <c r="DE93">
        <v>7.2266899999999995E-2</v>
      </c>
      <c r="DF93">
        <v>31793.599999999999</v>
      </c>
      <c r="DG93">
        <v>27515.7</v>
      </c>
      <c r="DH93">
        <v>31169.7</v>
      </c>
      <c r="DI93">
        <v>28086.799999999999</v>
      </c>
      <c r="DJ93">
        <v>38005.9</v>
      </c>
      <c r="DK93">
        <v>37060.1</v>
      </c>
      <c r="DL93">
        <v>44359.7</v>
      </c>
      <c r="DM93">
        <v>42578.9</v>
      </c>
      <c r="DN93">
        <v>1.4272499999999999</v>
      </c>
      <c r="DO93">
        <v>2.0428700000000002</v>
      </c>
      <c r="DP93">
        <v>0.17233899999999999</v>
      </c>
      <c r="DQ93">
        <v>0.150532</v>
      </c>
      <c r="DR93">
        <v>24.152899999999999</v>
      </c>
      <c r="DS93">
        <v>23.671399999999998</v>
      </c>
      <c r="DT93">
        <v>54.6</v>
      </c>
      <c r="DU93">
        <v>29.3</v>
      </c>
      <c r="DV93">
        <v>22.520099999999999</v>
      </c>
      <c r="DW93">
        <v>61.732999999999997</v>
      </c>
      <c r="DX93">
        <v>35.921500000000002</v>
      </c>
      <c r="DY93">
        <v>1</v>
      </c>
      <c r="DZ93">
        <v>-6.3396800000000003E-2</v>
      </c>
      <c r="EA93">
        <v>2.3254100000000002</v>
      </c>
      <c r="EB93">
        <v>20.169799999999999</v>
      </c>
      <c r="EC93">
        <v>5.2413999999999996</v>
      </c>
      <c r="ED93">
        <v>12.039899999999999</v>
      </c>
      <c r="EE93">
        <v>5.0167000000000002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1.8689199999999999</v>
      </c>
      <c r="EL93">
        <v>1.86463</v>
      </c>
      <c r="EM93">
        <v>1.8692</v>
      </c>
      <c r="EN93">
        <v>1.8672500000000001</v>
      </c>
      <c r="EO93">
        <v>1.8633999999999999</v>
      </c>
      <c r="EP93">
        <v>1.8644700000000001</v>
      </c>
      <c r="EQ93">
        <v>1.87015</v>
      </c>
      <c r="ER93">
        <v>1.86941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4.3999999999999997E-2</v>
      </c>
      <c r="FG93">
        <v>0.20960000000000001</v>
      </c>
      <c r="FH93">
        <v>0.49996858830924029</v>
      </c>
      <c r="FI93">
        <v>-6.1462078757559423E-4</v>
      </c>
      <c r="FJ93">
        <v>-1.8861989874597051E-7</v>
      </c>
      <c r="FK93">
        <v>1.1980462299894961E-10</v>
      </c>
      <c r="FL93">
        <v>-3.8593581000597899E-2</v>
      </c>
      <c r="FM93">
        <v>-1.6848085045870601E-2</v>
      </c>
      <c r="FN93">
        <v>1.9789084769509481E-3</v>
      </c>
      <c r="FO93">
        <v>-2.7142391389806329E-5</v>
      </c>
      <c r="FP93">
        <v>3</v>
      </c>
      <c r="FQ93">
        <v>2158</v>
      </c>
      <c r="FR93">
        <v>1</v>
      </c>
      <c r="FS93">
        <v>19</v>
      </c>
      <c r="FT93">
        <v>21.8</v>
      </c>
      <c r="FU93">
        <v>21.8</v>
      </c>
      <c r="FV93">
        <v>1.78223</v>
      </c>
      <c r="FW93">
        <v>2.5891099999999998</v>
      </c>
      <c r="FX93">
        <v>1.5490699999999999</v>
      </c>
      <c r="FY93">
        <v>2.3278799999999999</v>
      </c>
      <c r="FZ93">
        <v>1.50146</v>
      </c>
      <c r="GA93">
        <v>2.3767100000000001</v>
      </c>
      <c r="GB93">
        <v>34.099800000000002</v>
      </c>
      <c r="GC93">
        <v>23.982399999999998</v>
      </c>
      <c r="GD93">
        <v>19</v>
      </c>
      <c r="GE93">
        <v>263.81099999999998</v>
      </c>
      <c r="GF93">
        <v>592.05399999999997</v>
      </c>
      <c r="GG93">
        <v>20.349799999999998</v>
      </c>
      <c r="GH93">
        <v>26.52</v>
      </c>
      <c r="GI93">
        <v>30.000699999999998</v>
      </c>
      <c r="GJ93">
        <v>26.663</v>
      </c>
      <c r="GK93">
        <v>26.645700000000001</v>
      </c>
      <c r="GL93">
        <v>35.627099999999999</v>
      </c>
      <c r="GM93">
        <v>46.768500000000003</v>
      </c>
      <c r="GN93">
        <v>83.664199999999994</v>
      </c>
      <c r="GO93">
        <v>20.3673</v>
      </c>
      <c r="GP93">
        <v>800</v>
      </c>
      <c r="GQ93">
        <v>12.930099999999999</v>
      </c>
      <c r="GR93">
        <v>99.732799999999997</v>
      </c>
      <c r="GS93">
        <v>99.598399999999998</v>
      </c>
    </row>
    <row r="94" spans="1:201" x14ac:dyDescent="0.25">
      <c r="A94">
        <v>78</v>
      </c>
      <c r="B94">
        <v>1690307570</v>
      </c>
      <c r="C94">
        <v>951.40000009536743</v>
      </c>
      <c r="D94" t="s">
        <v>489</v>
      </c>
      <c r="E94" t="s">
        <v>490</v>
      </c>
      <c r="F94" t="s">
        <v>330</v>
      </c>
      <c r="H94">
        <v>1690307570</v>
      </c>
      <c r="I94">
        <f t="shared" si="30"/>
        <v>7.5100500100892895E-4</v>
      </c>
      <c r="J94">
        <f t="shared" si="31"/>
        <v>0.75100500100892897</v>
      </c>
      <c r="K94">
        <f t="shared" si="32"/>
        <v>12.99992918420546</v>
      </c>
      <c r="L94">
        <f t="shared" si="33"/>
        <v>659.79499999999996</v>
      </c>
      <c r="M94">
        <f t="shared" si="34"/>
        <v>262.59403300731111</v>
      </c>
      <c r="N94">
        <f t="shared" si="35"/>
        <v>26.078634461228589</v>
      </c>
      <c r="O94">
        <f t="shared" si="36"/>
        <v>65.525299365302985</v>
      </c>
      <c r="P94">
        <f t="shared" si="37"/>
        <v>5.4393505674518366E-2</v>
      </c>
      <c r="Q94">
        <f t="shared" si="38"/>
        <v>2.1984602007288405</v>
      </c>
      <c r="R94">
        <f t="shared" si="39"/>
        <v>5.365677646344174E-2</v>
      </c>
      <c r="S94">
        <f t="shared" si="40"/>
        <v>3.3600846124786143E-2</v>
      </c>
      <c r="T94">
        <f t="shared" si="41"/>
        <v>276.11396686799998</v>
      </c>
      <c r="U94">
        <f t="shared" si="42"/>
        <v>26.082040804733207</v>
      </c>
      <c r="V94">
        <f t="shared" si="43"/>
        <v>26.082040804733207</v>
      </c>
      <c r="W94">
        <f t="shared" si="44"/>
        <v>3.3906739654133475</v>
      </c>
      <c r="X94">
        <f t="shared" si="45"/>
        <v>67.214692542501737</v>
      </c>
      <c r="Y94">
        <f t="shared" si="46"/>
        <v>2.0386586634348598</v>
      </c>
      <c r="Z94">
        <f t="shared" si="47"/>
        <v>3.0330551049471199</v>
      </c>
      <c r="AA94">
        <f t="shared" si="48"/>
        <v>1.3520153019784877</v>
      </c>
      <c r="AB94">
        <f t="shared" si="49"/>
        <v>-33.119320544493767</v>
      </c>
      <c r="AC94">
        <f t="shared" si="50"/>
        <v>-221.82135385363745</v>
      </c>
      <c r="AD94">
        <f t="shared" si="51"/>
        <v>-21.374126370801068</v>
      </c>
      <c r="AE94">
        <f t="shared" si="52"/>
        <v>-0.20083390093230946</v>
      </c>
      <c r="AF94">
        <v>15</v>
      </c>
      <c r="AG94">
        <v>5</v>
      </c>
      <c r="AH94">
        <f t="shared" si="53"/>
        <v>1</v>
      </c>
      <c r="AI94">
        <f t="shared" si="54"/>
        <v>0</v>
      </c>
      <c r="AJ94">
        <f t="shared" si="55"/>
        <v>53060.350720885945</v>
      </c>
      <c r="AK94">
        <f t="shared" si="56"/>
        <v>1800</v>
      </c>
      <c r="AL94">
        <f t="shared" si="57"/>
        <v>1499.1114708</v>
      </c>
      <c r="AM94">
        <f t="shared" si="58"/>
        <v>0.83283970600000001</v>
      </c>
      <c r="AN94">
        <f t="shared" si="59"/>
        <v>0.15339664825999999</v>
      </c>
      <c r="AO94">
        <v>31.2</v>
      </c>
      <c r="AP94">
        <v>0.5</v>
      </c>
      <c r="AQ94" t="s">
        <v>331</v>
      </c>
      <c r="AR94">
        <v>2</v>
      </c>
      <c r="AS94">
        <v>1690307570</v>
      </c>
      <c r="AT94">
        <v>659.79499999999996</v>
      </c>
      <c r="AU94">
        <v>800.10500000000002</v>
      </c>
      <c r="AV94">
        <v>20.527899999999999</v>
      </c>
      <c r="AW94">
        <v>12.880100000000001</v>
      </c>
      <c r="AX94">
        <v>659.74800000000005</v>
      </c>
      <c r="AY94">
        <v>20.319500000000001</v>
      </c>
      <c r="AZ94">
        <v>300.09100000000001</v>
      </c>
      <c r="BA94">
        <v>99.211699999999993</v>
      </c>
      <c r="BB94">
        <v>9.9903400000000003E-2</v>
      </c>
      <c r="BC94">
        <v>24.2105</v>
      </c>
      <c r="BD94">
        <v>27.021100000000001</v>
      </c>
      <c r="BE94">
        <v>26.137</v>
      </c>
      <c r="BF94">
        <v>0</v>
      </c>
      <c r="BG94">
        <v>0</v>
      </c>
      <c r="BH94">
        <v>10021.200000000001</v>
      </c>
      <c r="BI94">
        <v>1039.73</v>
      </c>
      <c r="BJ94">
        <v>1.62592</v>
      </c>
      <c r="BK94">
        <v>-140.31</v>
      </c>
      <c r="BL94">
        <v>673.62300000000005</v>
      </c>
      <c r="BM94">
        <v>810.54499999999996</v>
      </c>
      <c r="BN94">
        <v>7.6478099999999998</v>
      </c>
      <c r="BO94">
        <v>800.10500000000002</v>
      </c>
      <c r="BP94">
        <v>12.880100000000001</v>
      </c>
      <c r="BQ94">
        <v>2.03661</v>
      </c>
      <c r="BR94">
        <v>1.27786</v>
      </c>
      <c r="BS94">
        <v>17.7319</v>
      </c>
      <c r="BT94">
        <v>10.540900000000001</v>
      </c>
      <c r="BU94">
        <v>1800</v>
      </c>
      <c r="BV94">
        <v>0.91001500000000002</v>
      </c>
      <c r="BW94">
        <v>3.4006300000000003E-2</v>
      </c>
      <c r="BX94">
        <v>2.1990800000000001E-2</v>
      </c>
      <c r="BY94">
        <v>3.39876E-2</v>
      </c>
      <c r="BZ94">
        <v>26</v>
      </c>
      <c r="CA94">
        <v>33528.5</v>
      </c>
      <c r="CB94">
        <v>1690306253.5999999</v>
      </c>
      <c r="CC94" t="s">
        <v>332</v>
      </c>
      <c r="CD94">
        <v>1690306253.5999999</v>
      </c>
      <c r="CE94">
        <v>1690306251.5999999</v>
      </c>
      <c r="CF94">
        <v>9</v>
      </c>
      <c r="CG94">
        <v>0.19</v>
      </c>
      <c r="CH94">
        <v>-8.7999999999999995E-2</v>
      </c>
      <c r="CI94">
        <v>-5.0999999999999997E-2</v>
      </c>
      <c r="CJ94">
        <v>5.0999999999999997E-2</v>
      </c>
      <c r="CK94">
        <v>799</v>
      </c>
      <c r="CL94">
        <v>15</v>
      </c>
      <c r="CM94">
        <v>0.28000000000000003</v>
      </c>
      <c r="CN94">
        <v>0.03</v>
      </c>
      <c r="CO94">
        <v>-136.9014</v>
      </c>
      <c r="CP94">
        <v>-18.673688555346789</v>
      </c>
      <c r="CQ94">
        <v>1.797118385082076</v>
      </c>
      <c r="CR94">
        <v>-1</v>
      </c>
      <c r="CS94">
        <v>7.5278487500000004</v>
      </c>
      <c r="CT94">
        <v>0.43336333958722462</v>
      </c>
      <c r="CU94">
        <v>4.3272126374116433E-2</v>
      </c>
      <c r="CV94">
        <v>-1</v>
      </c>
      <c r="CW94">
        <v>0</v>
      </c>
      <c r="CX94">
        <v>0</v>
      </c>
      <c r="CY94" t="s">
        <v>333</v>
      </c>
      <c r="CZ94">
        <v>2.3639600000000001</v>
      </c>
      <c r="DA94">
        <v>2.7137099999999998</v>
      </c>
      <c r="DB94">
        <v>0.12875900000000001</v>
      </c>
      <c r="DC94">
        <v>0.14633199999999999</v>
      </c>
      <c r="DD94">
        <v>0.10188</v>
      </c>
      <c r="DE94">
        <v>7.1695400000000006E-2</v>
      </c>
      <c r="DF94">
        <v>31808.6</v>
      </c>
      <c r="DG94">
        <v>27516.6</v>
      </c>
      <c r="DH94">
        <v>31169.3</v>
      </c>
      <c r="DI94">
        <v>28087.7</v>
      </c>
      <c r="DJ94">
        <v>38011.5</v>
      </c>
      <c r="DK94">
        <v>37084.1</v>
      </c>
      <c r="DL94">
        <v>44359.3</v>
      </c>
      <c r="DM94">
        <v>42580.1</v>
      </c>
      <c r="DN94">
        <v>1.4276500000000001</v>
      </c>
      <c r="DO94">
        <v>2.0426199999999999</v>
      </c>
      <c r="DP94">
        <v>0.17568500000000001</v>
      </c>
      <c r="DQ94">
        <v>0.15076200000000001</v>
      </c>
      <c r="DR94">
        <v>24.141300000000001</v>
      </c>
      <c r="DS94">
        <v>23.6629</v>
      </c>
      <c r="DT94">
        <v>54.5</v>
      </c>
      <c r="DU94">
        <v>29.3</v>
      </c>
      <c r="DV94">
        <v>22.480499999999999</v>
      </c>
      <c r="DW94">
        <v>61.243000000000002</v>
      </c>
      <c r="DX94">
        <v>36.622599999999998</v>
      </c>
      <c r="DY94">
        <v>1</v>
      </c>
      <c r="DZ94">
        <v>-6.5218499999999999E-2</v>
      </c>
      <c r="EA94">
        <v>1.986</v>
      </c>
      <c r="EB94">
        <v>20.176300000000001</v>
      </c>
      <c r="EC94">
        <v>5.2408000000000001</v>
      </c>
      <c r="ED94">
        <v>12.039899999999999</v>
      </c>
      <c r="EE94">
        <v>5.0167999999999999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1.8689199999999999</v>
      </c>
      <c r="EL94">
        <v>1.86463</v>
      </c>
      <c r="EM94">
        <v>1.8692</v>
      </c>
      <c r="EN94">
        <v>1.8672299999999999</v>
      </c>
      <c r="EO94">
        <v>1.8633999999999999</v>
      </c>
      <c r="EP94">
        <v>1.8644700000000001</v>
      </c>
      <c r="EQ94">
        <v>1.8701700000000001</v>
      </c>
      <c r="ER94">
        <v>1.86944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4.7E-2</v>
      </c>
      <c r="FG94">
        <v>0.2084</v>
      </c>
      <c r="FH94">
        <v>0.49996858830924029</v>
      </c>
      <c r="FI94">
        <v>-6.1462078757559423E-4</v>
      </c>
      <c r="FJ94">
        <v>-1.8861989874597051E-7</v>
      </c>
      <c r="FK94">
        <v>1.1980462299894961E-10</v>
      </c>
      <c r="FL94">
        <v>-3.8593581000597899E-2</v>
      </c>
      <c r="FM94">
        <v>-1.6848085045870601E-2</v>
      </c>
      <c r="FN94">
        <v>1.9789084769509481E-3</v>
      </c>
      <c r="FO94">
        <v>-2.7142391389806329E-5</v>
      </c>
      <c r="FP94">
        <v>3</v>
      </c>
      <c r="FQ94">
        <v>2158</v>
      </c>
      <c r="FR94">
        <v>1</v>
      </c>
      <c r="FS94">
        <v>19</v>
      </c>
      <c r="FT94">
        <v>21.9</v>
      </c>
      <c r="FU94">
        <v>22</v>
      </c>
      <c r="FV94">
        <v>1.78223</v>
      </c>
      <c r="FW94">
        <v>2.5952099999999998</v>
      </c>
      <c r="FX94">
        <v>1.5490699999999999</v>
      </c>
      <c r="FY94">
        <v>2.3278799999999999</v>
      </c>
      <c r="FZ94">
        <v>1.50146</v>
      </c>
      <c r="GA94">
        <v>2.2985799999999998</v>
      </c>
      <c r="GB94">
        <v>34.099800000000002</v>
      </c>
      <c r="GC94">
        <v>23.982399999999998</v>
      </c>
      <c r="GD94">
        <v>19</v>
      </c>
      <c r="GE94">
        <v>263.95999999999998</v>
      </c>
      <c r="GF94">
        <v>591.81299999999999</v>
      </c>
      <c r="GG94">
        <v>20.352</v>
      </c>
      <c r="GH94">
        <v>26.513400000000001</v>
      </c>
      <c r="GI94">
        <v>29.999600000000001</v>
      </c>
      <c r="GJ94">
        <v>26.659600000000001</v>
      </c>
      <c r="GK94">
        <v>26.642900000000001</v>
      </c>
      <c r="GL94">
        <v>35.6233</v>
      </c>
      <c r="GM94">
        <v>47.046399999999998</v>
      </c>
      <c r="GN94">
        <v>82.881500000000003</v>
      </c>
      <c r="GO94">
        <v>20.357299999999999</v>
      </c>
      <c r="GP94">
        <v>800</v>
      </c>
      <c r="GQ94">
        <v>12.8294</v>
      </c>
      <c r="GR94">
        <v>99.7316</v>
      </c>
      <c r="GS94">
        <v>99.601299999999995</v>
      </c>
    </row>
    <row r="95" spans="1:201" x14ac:dyDescent="0.25">
      <c r="A95">
        <v>79</v>
      </c>
      <c r="B95">
        <v>1690307580</v>
      </c>
      <c r="C95">
        <v>961.40000009536743</v>
      </c>
      <c r="D95" t="s">
        <v>491</v>
      </c>
      <c r="E95" t="s">
        <v>492</v>
      </c>
      <c r="F95" t="s">
        <v>330</v>
      </c>
      <c r="H95">
        <v>1690307580</v>
      </c>
      <c r="I95">
        <f t="shared" si="30"/>
        <v>7.5768859355079604E-4</v>
      </c>
      <c r="J95">
        <f t="shared" si="31"/>
        <v>0.75768859355079599</v>
      </c>
      <c r="K95">
        <f t="shared" si="32"/>
        <v>13.288156987391355</v>
      </c>
      <c r="L95">
        <f t="shared" si="33"/>
        <v>656.76400000000001</v>
      </c>
      <c r="M95">
        <f t="shared" si="34"/>
        <v>255.65710178709566</v>
      </c>
      <c r="N95">
        <f t="shared" si="35"/>
        <v>25.391339508092781</v>
      </c>
      <c r="O95">
        <f t="shared" si="36"/>
        <v>65.228454770564014</v>
      </c>
      <c r="P95">
        <f t="shared" si="37"/>
        <v>5.5033467046923683E-2</v>
      </c>
      <c r="Q95">
        <f t="shared" si="38"/>
        <v>2.1927823083068181</v>
      </c>
      <c r="R95">
        <f t="shared" si="39"/>
        <v>5.4277506062769675E-2</v>
      </c>
      <c r="S95">
        <f t="shared" si="40"/>
        <v>3.3990496246275467E-2</v>
      </c>
      <c r="T95">
        <f t="shared" si="41"/>
        <v>276.11264773032394</v>
      </c>
      <c r="U95">
        <f t="shared" si="42"/>
        <v>26.067206027452759</v>
      </c>
      <c r="V95">
        <f t="shared" si="43"/>
        <v>26.067206027452759</v>
      </c>
      <c r="W95">
        <f t="shared" si="44"/>
        <v>3.3877005229009551</v>
      </c>
      <c r="X95">
        <f t="shared" si="45"/>
        <v>67.299362640175943</v>
      </c>
      <c r="Y95">
        <f t="shared" si="46"/>
        <v>2.0391465109565003</v>
      </c>
      <c r="Z95">
        <f t="shared" si="47"/>
        <v>3.0299640753791981</v>
      </c>
      <c r="AA95">
        <f t="shared" si="48"/>
        <v>1.3485540119444548</v>
      </c>
      <c r="AB95">
        <f t="shared" si="49"/>
        <v>-33.414066975590103</v>
      </c>
      <c r="AC95">
        <f t="shared" si="50"/>
        <v>-221.50442972051692</v>
      </c>
      <c r="AD95">
        <f t="shared" si="51"/>
        <v>-21.39542789894119</v>
      </c>
      <c r="AE95">
        <f t="shared" si="52"/>
        <v>-0.20127686472429218</v>
      </c>
      <c r="AF95">
        <v>15</v>
      </c>
      <c r="AG95">
        <v>5</v>
      </c>
      <c r="AH95">
        <f t="shared" si="53"/>
        <v>1</v>
      </c>
      <c r="AI95">
        <f t="shared" si="54"/>
        <v>0</v>
      </c>
      <c r="AJ95">
        <f t="shared" si="55"/>
        <v>52828.920101545904</v>
      </c>
      <c r="AK95">
        <f t="shared" si="56"/>
        <v>1799.99</v>
      </c>
      <c r="AL95">
        <f t="shared" si="57"/>
        <v>1499.10439339599</v>
      </c>
      <c r="AM95">
        <f t="shared" si="58"/>
        <v>0.83284040100000001</v>
      </c>
      <c r="AN95">
        <f t="shared" si="59"/>
        <v>0.15339676761000001</v>
      </c>
      <c r="AO95">
        <v>31.2</v>
      </c>
      <c r="AP95">
        <v>0.5</v>
      </c>
      <c r="AQ95" t="s">
        <v>331</v>
      </c>
      <c r="AR95">
        <v>2</v>
      </c>
      <c r="AS95">
        <v>1690307580</v>
      </c>
      <c r="AT95">
        <v>656.76400000000001</v>
      </c>
      <c r="AU95">
        <v>800.053</v>
      </c>
      <c r="AV95">
        <v>20.531500000000001</v>
      </c>
      <c r="AW95">
        <v>12.8178</v>
      </c>
      <c r="AX95">
        <v>656.71500000000003</v>
      </c>
      <c r="AY95">
        <v>20.323</v>
      </c>
      <c r="AZ95">
        <v>300.17399999999998</v>
      </c>
      <c r="BA95">
        <v>99.218000000000004</v>
      </c>
      <c r="BB95">
        <v>9.9950999999999998E-2</v>
      </c>
      <c r="BC95">
        <v>24.1935</v>
      </c>
      <c r="BD95">
        <v>26.9392</v>
      </c>
      <c r="BE95">
        <v>26.110099999999999</v>
      </c>
      <c r="BF95">
        <v>0</v>
      </c>
      <c r="BG95">
        <v>0</v>
      </c>
      <c r="BH95">
        <v>9974.3799999999992</v>
      </c>
      <c r="BI95">
        <v>1039.6500000000001</v>
      </c>
      <c r="BJ95">
        <v>1.62592</v>
      </c>
      <c r="BK95">
        <v>-143.28899999999999</v>
      </c>
      <c r="BL95">
        <v>670.53099999999995</v>
      </c>
      <c r="BM95">
        <v>810.44100000000003</v>
      </c>
      <c r="BN95">
        <v>7.7137200000000004</v>
      </c>
      <c r="BO95">
        <v>800.053</v>
      </c>
      <c r="BP95">
        <v>12.8178</v>
      </c>
      <c r="BQ95">
        <v>2.0371000000000001</v>
      </c>
      <c r="BR95">
        <v>1.27176</v>
      </c>
      <c r="BS95">
        <v>17.735700000000001</v>
      </c>
      <c r="BT95">
        <v>10.469200000000001</v>
      </c>
      <c r="BU95">
        <v>1799.99</v>
      </c>
      <c r="BV95">
        <v>0.91001600000000005</v>
      </c>
      <c r="BW95">
        <v>3.40062E-2</v>
      </c>
      <c r="BX95">
        <v>2.1990800000000001E-2</v>
      </c>
      <c r="BY95">
        <v>3.3987499999999997E-2</v>
      </c>
      <c r="BZ95">
        <v>26</v>
      </c>
      <c r="CA95">
        <v>33528.400000000001</v>
      </c>
      <c r="CB95">
        <v>1690306253.5999999</v>
      </c>
      <c r="CC95" t="s">
        <v>332</v>
      </c>
      <c r="CD95">
        <v>1690306253.5999999</v>
      </c>
      <c r="CE95">
        <v>1690306251.5999999</v>
      </c>
      <c r="CF95">
        <v>9</v>
      </c>
      <c r="CG95">
        <v>0.19</v>
      </c>
      <c r="CH95">
        <v>-8.7999999999999995E-2</v>
      </c>
      <c r="CI95">
        <v>-5.0999999999999997E-2</v>
      </c>
      <c r="CJ95">
        <v>5.0999999999999997E-2</v>
      </c>
      <c r="CK95">
        <v>799</v>
      </c>
      <c r="CL95">
        <v>15</v>
      </c>
      <c r="CM95">
        <v>0.28000000000000003</v>
      </c>
      <c r="CN95">
        <v>0.03</v>
      </c>
      <c r="CO95">
        <v>-140.052756097561</v>
      </c>
      <c r="CP95">
        <v>-18.321909407665459</v>
      </c>
      <c r="CQ95">
        <v>1.808266489378477</v>
      </c>
      <c r="CR95">
        <v>-1</v>
      </c>
      <c r="CS95">
        <v>7.6242107317073176</v>
      </c>
      <c r="CT95">
        <v>0.60724536585365463</v>
      </c>
      <c r="CU95">
        <v>6.2184340880032787E-2</v>
      </c>
      <c r="CV95">
        <v>-1</v>
      </c>
      <c r="CW95">
        <v>0</v>
      </c>
      <c r="CX95">
        <v>0</v>
      </c>
      <c r="CY95" t="s">
        <v>333</v>
      </c>
      <c r="CZ95">
        <v>2.3642599999999998</v>
      </c>
      <c r="DA95">
        <v>2.7137199999999999</v>
      </c>
      <c r="DB95">
        <v>0.128359</v>
      </c>
      <c r="DC95">
        <v>0.14633399999999999</v>
      </c>
      <c r="DD95">
        <v>0.1019</v>
      </c>
      <c r="DE95">
        <v>7.1441199999999996E-2</v>
      </c>
      <c r="DF95">
        <v>31823.7</v>
      </c>
      <c r="DG95">
        <v>27516.7</v>
      </c>
      <c r="DH95">
        <v>31169.7</v>
      </c>
      <c r="DI95">
        <v>28087.8</v>
      </c>
      <c r="DJ95">
        <v>38010.9</v>
      </c>
      <c r="DK95">
        <v>37094.699999999997</v>
      </c>
      <c r="DL95">
        <v>44359.6</v>
      </c>
      <c r="DM95">
        <v>42580.6</v>
      </c>
      <c r="DN95">
        <v>1.42747</v>
      </c>
      <c r="DO95">
        <v>2.0424000000000002</v>
      </c>
      <c r="DP95">
        <v>0.17149</v>
      </c>
      <c r="DQ95">
        <v>0.149786</v>
      </c>
      <c r="DR95">
        <v>24.1279</v>
      </c>
      <c r="DS95">
        <v>23.652000000000001</v>
      </c>
      <c r="DT95">
        <v>54.4</v>
      </c>
      <c r="DU95">
        <v>29.3</v>
      </c>
      <c r="DV95">
        <v>22.4374</v>
      </c>
      <c r="DW95">
        <v>61.802999999999997</v>
      </c>
      <c r="DX95">
        <v>35.857399999999998</v>
      </c>
      <c r="DY95">
        <v>1</v>
      </c>
      <c r="DZ95">
        <v>-6.5655500000000006E-2</v>
      </c>
      <c r="EA95">
        <v>1.9538800000000001</v>
      </c>
      <c r="EB95">
        <v>20.1768</v>
      </c>
      <c r="EC95">
        <v>5.2408000000000001</v>
      </c>
      <c r="ED95">
        <v>12.039899999999999</v>
      </c>
      <c r="EE95">
        <v>5.0167000000000002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</v>
      </c>
      <c r="EL95">
        <v>1.8646199999999999</v>
      </c>
      <c r="EM95">
        <v>1.8692</v>
      </c>
      <c r="EN95">
        <v>1.8672299999999999</v>
      </c>
      <c r="EO95">
        <v>1.8633999999999999</v>
      </c>
      <c r="EP95">
        <v>1.8644700000000001</v>
      </c>
      <c r="EQ95">
        <v>1.87016</v>
      </c>
      <c r="ER95">
        <v>1.8694299999999999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4.9000000000000002E-2</v>
      </c>
      <c r="FG95">
        <v>0.20849999999999999</v>
      </c>
      <c r="FH95">
        <v>0.49996858830924029</v>
      </c>
      <c r="FI95">
        <v>-6.1462078757559423E-4</v>
      </c>
      <c r="FJ95">
        <v>-1.8861989874597051E-7</v>
      </c>
      <c r="FK95">
        <v>1.1980462299894961E-10</v>
      </c>
      <c r="FL95">
        <v>-3.8593581000597899E-2</v>
      </c>
      <c r="FM95">
        <v>-1.6848085045870601E-2</v>
      </c>
      <c r="FN95">
        <v>1.9789084769509481E-3</v>
      </c>
      <c r="FO95">
        <v>-2.7142391389806329E-5</v>
      </c>
      <c r="FP95">
        <v>3</v>
      </c>
      <c r="FQ95">
        <v>2158</v>
      </c>
      <c r="FR95">
        <v>1</v>
      </c>
      <c r="FS95">
        <v>19</v>
      </c>
      <c r="FT95">
        <v>22.1</v>
      </c>
      <c r="FU95">
        <v>22.1</v>
      </c>
      <c r="FV95">
        <v>1.78223</v>
      </c>
      <c r="FW95">
        <v>2.5939899999999998</v>
      </c>
      <c r="FX95">
        <v>1.5490699999999999</v>
      </c>
      <c r="FY95">
        <v>2.3290999999999999</v>
      </c>
      <c r="FZ95">
        <v>1.50146</v>
      </c>
      <c r="GA95">
        <v>2.3290999999999999</v>
      </c>
      <c r="GB95">
        <v>34.099800000000002</v>
      </c>
      <c r="GC95">
        <v>23.973700000000001</v>
      </c>
      <c r="GD95">
        <v>19</v>
      </c>
      <c r="GE95">
        <v>263.87299999999999</v>
      </c>
      <c r="GF95">
        <v>591.59500000000003</v>
      </c>
      <c r="GG95">
        <v>20.343800000000002</v>
      </c>
      <c r="GH95">
        <v>26.507100000000001</v>
      </c>
      <c r="GI95">
        <v>29.999700000000001</v>
      </c>
      <c r="GJ95">
        <v>26.6555</v>
      </c>
      <c r="GK95">
        <v>26.6403</v>
      </c>
      <c r="GL95">
        <v>35.624000000000002</v>
      </c>
      <c r="GM95">
        <v>47.046399999999998</v>
      </c>
      <c r="GN95">
        <v>82.509600000000006</v>
      </c>
      <c r="GO95">
        <v>20.3508</v>
      </c>
      <c r="GP95">
        <v>800</v>
      </c>
      <c r="GQ95">
        <v>12.705500000000001</v>
      </c>
      <c r="GR95">
        <v>99.732600000000005</v>
      </c>
      <c r="GS95">
        <v>99.6023</v>
      </c>
    </row>
    <row r="96" spans="1:201" x14ac:dyDescent="0.25">
      <c r="A96">
        <v>80</v>
      </c>
      <c r="B96">
        <v>1690307590</v>
      </c>
      <c r="C96">
        <v>971.40000009536743</v>
      </c>
      <c r="D96" t="s">
        <v>493</v>
      </c>
      <c r="E96" t="s">
        <v>494</v>
      </c>
      <c r="F96" t="s">
        <v>330</v>
      </c>
      <c r="H96">
        <v>1690307590</v>
      </c>
      <c r="I96">
        <f t="shared" si="30"/>
        <v>7.7465652922330123E-4</v>
      </c>
      <c r="J96">
        <f t="shared" si="31"/>
        <v>0.77465652922330119</v>
      </c>
      <c r="K96">
        <f t="shared" si="32"/>
        <v>13.594446166399463</v>
      </c>
      <c r="L96">
        <f t="shared" si="33"/>
        <v>653.58000000000004</v>
      </c>
      <c r="M96">
        <f t="shared" si="34"/>
        <v>254.1661161090517</v>
      </c>
      <c r="N96">
        <f t="shared" si="35"/>
        <v>25.242210192848511</v>
      </c>
      <c r="O96">
        <f t="shared" si="36"/>
        <v>64.909532357820012</v>
      </c>
      <c r="P96">
        <f t="shared" si="37"/>
        <v>5.655003384490033E-2</v>
      </c>
      <c r="Q96">
        <f t="shared" si="38"/>
        <v>2.1949607112246814</v>
      </c>
      <c r="R96">
        <f t="shared" si="39"/>
        <v>5.5752940009662862E-2</v>
      </c>
      <c r="S96">
        <f t="shared" si="40"/>
        <v>3.4916267202337981E-2</v>
      </c>
      <c r="T96">
        <f t="shared" si="41"/>
        <v>276.11432467200001</v>
      </c>
      <c r="U96">
        <f t="shared" si="42"/>
        <v>26.046771241551998</v>
      </c>
      <c r="V96">
        <f t="shared" si="43"/>
        <v>26.046771241551998</v>
      </c>
      <c r="W96">
        <f t="shared" si="44"/>
        <v>3.3836083590921691</v>
      </c>
      <c r="X96">
        <f t="shared" si="45"/>
        <v>67.425826947300209</v>
      </c>
      <c r="Y96">
        <f t="shared" si="46"/>
        <v>2.0413858237121003</v>
      </c>
      <c r="Z96">
        <f t="shared" si="47"/>
        <v>3.0276022054688925</v>
      </c>
      <c r="AA96">
        <f t="shared" si="48"/>
        <v>1.3422225353800687</v>
      </c>
      <c r="AB96">
        <f t="shared" si="49"/>
        <v>-34.162352938747581</v>
      </c>
      <c r="AC96">
        <f t="shared" si="50"/>
        <v>-220.84468829098867</v>
      </c>
      <c r="AD96">
        <f t="shared" si="51"/>
        <v>-21.306945401140087</v>
      </c>
      <c r="AE96">
        <f t="shared" si="52"/>
        <v>-0.19966195887633376</v>
      </c>
      <c r="AF96">
        <v>15</v>
      </c>
      <c r="AG96">
        <v>5</v>
      </c>
      <c r="AH96">
        <f t="shared" si="53"/>
        <v>1</v>
      </c>
      <c r="AI96">
        <f t="shared" si="54"/>
        <v>0</v>
      </c>
      <c r="AJ96">
        <f t="shared" si="55"/>
        <v>52921.078987465888</v>
      </c>
      <c r="AK96">
        <f t="shared" si="56"/>
        <v>1800</v>
      </c>
      <c r="AL96">
        <f t="shared" si="57"/>
        <v>1499.1128262</v>
      </c>
      <c r="AM96">
        <f t="shared" si="58"/>
        <v>0.83284045900000003</v>
      </c>
      <c r="AN96">
        <f t="shared" si="59"/>
        <v>0.15339684704000001</v>
      </c>
      <c r="AO96">
        <v>31.2</v>
      </c>
      <c r="AP96">
        <v>0.5</v>
      </c>
      <c r="AQ96" t="s">
        <v>331</v>
      </c>
      <c r="AR96">
        <v>2</v>
      </c>
      <c r="AS96">
        <v>1690307590</v>
      </c>
      <c r="AT96">
        <v>653.58000000000004</v>
      </c>
      <c r="AU96">
        <v>800.11199999999997</v>
      </c>
      <c r="AV96">
        <v>20.5549</v>
      </c>
      <c r="AW96">
        <v>12.670299999999999</v>
      </c>
      <c r="AX96">
        <v>653.529</v>
      </c>
      <c r="AY96">
        <v>20.345700000000001</v>
      </c>
      <c r="AZ96">
        <v>300.23700000000002</v>
      </c>
      <c r="BA96">
        <v>99.213800000000006</v>
      </c>
      <c r="BB96">
        <v>0.10002900000000001</v>
      </c>
      <c r="BC96">
        <v>24.180499999999999</v>
      </c>
      <c r="BD96">
        <v>26.940999999999999</v>
      </c>
      <c r="BE96">
        <v>26.101099999999999</v>
      </c>
      <c r="BF96">
        <v>0</v>
      </c>
      <c r="BG96">
        <v>0</v>
      </c>
      <c r="BH96">
        <v>9992.5</v>
      </c>
      <c r="BI96">
        <v>1039.42</v>
      </c>
      <c r="BJ96">
        <v>1.62592</v>
      </c>
      <c r="BK96">
        <v>-146.53200000000001</v>
      </c>
      <c r="BL96">
        <v>667.29600000000005</v>
      </c>
      <c r="BM96">
        <v>810.38</v>
      </c>
      <c r="BN96">
        <v>7.8845900000000002</v>
      </c>
      <c r="BO96">
        <v>800.11199999999997</v>
      </c>
      <c r="BP96">
        <v>12.670299999999999</v>
      </c>
      <c r="BQ96">
        <v>2.0393300000000001</v>
      </c>
      <c r="BR96">
        <v>1.2570699999999999</v>
      </c>
      <c r="BS96">
        <v>17.7531</v>
      </c>
      <c r="BT96">
        <v>10.295199999999999</v>
      </c>
      <c r="BU96">
        <v>1800</v>
      </c>
      <c r="BV96">
        <v>0.91001600000000005</v>
      </c>
      <c r="BW96">
        <v>3.4005100000000003E-2</v>
      </c>
      <c r="BX96">
        <v>2.19927E-2</v>
      </c>
      <c r="BY96">
        <v>3.39864E-2</v>
      </c>
      <c r="BZ96">
        <v>26</v>
      </c>
      <c r="CA96">
        <v>33528.400000000001</v>
      </c>
      <c r="CB96">
        <v>1690306253.5999999</v>
      </c>
      <c r="CC96" t="s">
        <v>332</v>
      </c>
      <c r="CD96">
        <v>1690306253.5999999</v>
      </c>
      <c r="CE96">
        <v>1690306251.5999999</v>
      </c>
      <c r="CF96">
        <v>9</v>
      </c>
      <c r="CG96">
        <v>0.19</v>
      </c>
      <c r="CH96">
        <v>-8.7999999999999995E-2</v>
      </c>
      <c r="CI96">
        <v>-5.0999999999999997E-2</v>
      </c>
      <c r="CJ96">
        <v>5.0999999999999997E-2</v>
      </c>
      <c r="CK96">
        <v>799</v>
      </c>
      <c r="CL96">
        <v>15</v>
      </c>
      <c r="CM96">
        <v>0.28000000000000003</v>
      </c>
      <c r="CN96">
        <v>0.03</v>
      </c>
      <c r="CO96">
        <v>-143.14568292682929</v>
      </c>
      <c r="CP96">
        <v>-18.748160278745459</v>
      </c>
      <c r="CQ96">
        <v>1.850307692790901</v>
      </c>
      <c r="CR96">
        <v>-1</v>
      </c>
      <c r="CS96">
        <v>7.7293280487804887</v>
      </c>
      <c r="CT96">
        <v>0.60147763066203797</v>
      </c>
      <c r="CU96">
        <v>6.1500567128835067E-2</v>
      </c>
      <c r="CV96">
        <v>-1</v>
      </c>
      <c r="CW96">
        <v>0</v>
      </c>
      <c r="CX96">
        <v>0</v>
      </c>
      <c r="CY96" t="s">
        <v>333</v>
      </c>
      <c r="CZ96">
        <v>2.3644799999999999</v>
      </c>
      <c r="DA96">
        <v>2.7138100000000001</v>
      </c>
      <c r="DB96">
        <v>0.12792300000000001</v>
      </c>
      <c r="DC96">
        <v>0.14633299999999999</v>
      </c>
      <c r="DD96">
        <v>0.101978</v>
      </c>
      <c r="DE96">
        <v>7.0823399999999995E-2</v>
      </c>
      <c r="DF96">
        <v>31839.3</v>
      </c>
      <c r="DG96">
        <v>27516.6</v>
      </c>
      <c r="DH96">
        <v>31169.4</v>
      </c>
      <c r="DI96">
        <v>28087.7</v>
      </c>
      <c r="DJ96">
        <v>38007.4</v>
      </c>
      <c r="DK96">
        <v>37119.300000000003</v>
      </c>
      <c r="DL96">
        <v>44359.4</v>
      </c>
      <c r="DM96">
        <v>42580.4</v>
      </c>
      <c r="DN96">
        <v>1.42788</v>
      </c>
      <c r="DO96">
        <v>2.0424199999999999</v>
      </c>
      <c r="DP96">
        <v>0.17236899999999999</v>
      </c>
      <c r="DQ96">
        <v>0.149868</v>
      </c>
      <c r="DR96">
        <v>24.115200000000002</v>
      </c>
      <c r="DS96">
        <v>23.6416</v>
      </c>
      <c r="DT96">
        <v>54.2</v>
      </c>
      <c r="DU96">
        <v>29.3</v>
      </c>
      <c r="DV96">
        <v>22.352499999999999</v>
      </c>
      <c r="DW96">
        <v>61.912999999999997</v>
      </c>
      <c r="DX96">
        <v>35.412700000000001</v>
      </c>
      <c r="DY96">
        <v>1</v>
      </c>
      <c r="DZ96">
        <v>-6.5840999999999997E-2</v>
      </c>
      <c r="EA96">
        <v>1.6842600000000001</v>
      </c>
      <c r="EB96">
        <v>20.180099999999999</v>
      </c>
      <c r="EC96">
        <v>5.2404999999999999</v>
      </c>
      <c r="ED96">
        <v>12.039899999999999</v>
      </c>
      <c r="EE96">
        <v>5.0165499999999996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</v>
      </c>
      <c r="EL96">
        <v>1.8646199999999999</v>
      </c>
      <c r="EM96">
        <v>1.8692</v>
      </c>
      <c r="EN96">
        <v>1.8672500000000001</v>
      </c>
      <c r="EO96">
        <v>1.8633999999999999</v>
      </c>
      <c r="EP96">
        <v>1.8644700000000001</v>
      </c>
      <c r="EQ96">
        <v>1.87016</v>
      </c>
      <c r="ER96">
        <v>1.86941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5.0999999999999997E-2</v>
      </c>
      <c r="FG96">
        <v>0.2092</v>
      </c>
      <c r="FH96">
        <v>0.49996858830924029</v>
      </c>
      <c r="FI96">
        <v>-6.1462078757559423E-4</v>
      </c>
      <c r="FJ96">
        <v>-1.8861989874597051E-7</v>
      </c>
      <c r="FK96">
        <v>1.1980462299894961E-10</v>
      </c>
      <c r="FL96">
        <v>-3.8593581000597899E-2</v>
      </c>
      <c r="FM96">
        <v>-1.6848085045870601E-2</v>
      </c>
      <c r="FN96">
        <v>1.9789084769509481E-3</v>
      </c>
      <c r="FO96">
        <v>-2.7142391389806329E-5</v>
      </c>
      <c r="FP96">
        <v>3</v>
      </c>
      <c r="FQ96">
        <v>2158</v>
      </c>
      <c r="FR96">
        <v>1</v>
      </c>
      <c r="FS96">
        <v>19</v>
      </c>
      <c r="FT96">
        <v>22.3</v>
      </c>
      <c r="FU96">
        <v>22.3</v>
      </c>
      <c r="FV96">
        <v>1.78101</v>
      </c>
      <c r="FW96">
        <v>2.5927699999999998</v>
      </c>
      <c r="FX96">
        <v>1.5490699999999999</v>
      </c>
      <c r="FY96">
        <v>2.3290999999999999</v>
      </c>
      <c r="FZ96">
        <v>1.50146</v>
      </c>
      <c r="GA96">
        <v>2.3974600000000001</v>
      </c>
      <c r="GB96">
        <v>34.099800000000002</v>
      </c>
      <c r="GC96">
        <v>23.982399999999998</v>
      </c>
      <c r="GD96">
        <v>19</v>
      </c>
      <c r="GE96">
        <v>264.02</v>
      </c>
      <c r="GF96">
        <v>591.58199999999999</v>
      </c>
      <c r="GG96">
        <v>20.3888</v>
      </c>
      <c r="GH96">
        <v>26.500900000000001</v>
      </c>
      <c r="GI96">
        <v>29.9999</v>
      </c>
      <c r="GJ96">
        <v>26.651800000000001</v>
      </c>
      <c r="GK96">
        <v>26.6373</v>
      </c>
      <c r="GL96">
        <v>35.616799999999998</v>
      </c>
      <c r="GM96">
        <v>47.652900000000002</v>
      </c>
      <c r="GN96">
        <v>81.752700000000004</v>
      </c>
      <c r="GO96">
        <v>20.443000000000001</v>
      </c>
      <c r="GP96">
        <v>800</v>
      </c>
      <c r="GQ96">
        <v>12.5602</v>
      </c>
      <c r="GR96">
        <v>99.731999999999999</v>
      </c>
      <c r="GS96">
        <v>99.601900000000001</v>
      </c>
    </row>
    <row r="97" spans="1:201" x14ac:dyDescent="0.25">
      <c r="A97">
        <v>81</v>
      </c>
      <c r="B97">
        <v>1690307600</v>
      </c>
      <c r="C97">
        <v>981.40000009536743</v>
      </c>
      <c r="D97" t="s">
        <v>495</v>
      </c>
      <c r="E97" t="s">
        <v>496</v>
      </c>
      <c r="F97" t="s">
        <v>330</v>
      </c>
      <c r="H97">
        <v>1690307600</v>
      </c>
      <c r="I97">
        <f t="shared" si="30"/>
        <v>7.9195018843180535E-4</v>
      </c>
      <c r="J97">
        <f t="shared" si="31"/>
        <v>0.79195018843180531</v>
      </c>
      <c r="K97">
        <f t="shared" si="32"/>
        <v>13.879476857553312</v>
      </c>
      <c r="L97">
        <f t="shared" si="33"/>
        <v>650.5</v>
      </c>
      <c r="M97">
        <f t="shared" si="34"/>
        <v>253.0509216714533</v>
      </c>
      <c r="N97">
        <f t="shared" si="35"/>
        <v>25.130782341617618</v>
      </c>
      <c r="O97">
        <f t="shared" si="36"/>
        <v>64.601914133499989</v>
      </c>
      <c r="P97">
        <f t="shared" si="37"/>
        <v>5.8034382150244888E-2</v>
      </c>
      <c r="Q97">
        <f t="shared" si="38"/>
        <v>2.1959231619286341</v>
      </c>
      <c r="R97">
        <f t="shared" si="39"/>
        <v>5.7195591105166949E-2</v>
      </c>
      <c r="S97">
        <f t="shared" si="40"/>
        <v>3.5821596514363958E-2</v>
      </c>
      <c r="T97">
        <f t="shared" si="41"/>
        <v>276.11614657800004</v>
      </c>
      <c r="U97">
        <f t="shared" si="42"/>
        <v>26.04195543310869</v>
      </c>
      <c r="V97">
        <f t="shared" si="43"/>
        <v>26.04195543310869</v>
      </c>
      <c r="W97">
        <f t="shared" si="44"/>
        <v>3.3826445992084366</v>
      </c>
      <c r="X97">
        <f t="shared" si="45"/>
        <v>67.542029559679889</v>
      </c>
      <c r="Y97">
        <f t="shared" si="46"/>
        <v>2.0451247931476999</v>
      </c>
      <c r="Z97">
        <f t="shared" si="47"/>
        <v>3.0279291375759376</v>
      </c>
      <c r="AA97">
        <f t="shared" si="48"/>
        <v>1.3375198060607367</v>
      </c>
      <c r="AB97">
        <f t="shared" si="49"/>
        <v>-34.925003309842616</v>
      </c>
      <c r="AC97">
        <f t="shared" si="50"/>
        <v>-220.15830157495722</v>
      </c>
      <c r="AD97">
        <f t="shared" si="51"/>
        <v>-21.231090041553099</v>
      </c>
      <c r="AE97">
        <f t="shared" si="52"/>
        <v>-0.19824834835290517</v>
      </c>
      <c r="AF97">
        <v>15</v>
      </c>
      <c r="AG97">
        <v>5</v>
      </c>
      <c r="AH97">
        <f t="shared" si="53"/>
        <v>1</v>
      </c>
      <c r="AI97">
        <f t="shared" si="54"/>
        <v>0</v>
      </c>
      <c r="AJ97">
        <f t="shared" si="55"/>
        <v>52960.464662925835</v>
      </c>
      <c r="AK97">
        <f t="shared" si="56"/>
        <v>1800</v>
      </c>
      <c r="AL97">
        <f t="shared" si="57"/>
        <v>1499.1129558</v>
      </c>
      <c r="AM97">
        <f t="shared" si="58"/>
        <v>0.832840531</v>
      </c>
      <c r="AN97">
        <f t="shared" si="59"/>
        <v>0.15339785921000001</v>
      </c>
      <c r="AO97">
        <v>31.2</v>
      </c>
      <c r="AP97">
        <v>0.5</v>
      </c>
      <c r="AQ97" t="s">
        <v>331</v>
      </c>
      <c r="AR97">
        <v>2</v>
      </c>
      <c r="AS97">
        <v>1690307600</v>
      </c>
      <c r="AT97">
        <v>650.5</v>
      </c>
      <c r="AU97">
        <v>800.11199999999997</v>
      </c>
      <c r="AV97">
        <v>20.5931</v>
      </c>
      <c r="AW97">
        <v>12.5314</v>
      </c>
      <c r="AX97">
        <v>650.447</v>
      </c>
      <c r="AY97">
        <v>20.3828</v>
      </c>
      <c r="AZ97">
        <v>300.185</v>
      </c>
      <c r="BA97">
        <v>99.211100000000002</v>
      </c>
      <c r="BB97">
        <v>0.100067</v>
      </c>
      <c r="BC97">
        <v>24.182300000000001</v>
      </c>
      <c r="BD97">
        <v>26.942499999999999</v>
      </c>
      <c r="BE97">
        <v>26.081499999999998</v>
      </c>
      <c r="BF97">
        <v>0</v>
      </c>
      <c r="BG97">
        <v>0</v>
      </c>
      <c r="BH97">
        <v>10000.6</v>
      </c>
      <c r="BI97">
        <v>1039.4000000000001</v>
      </c>
      <c r="BJ97">
        <v>1.62592</v>
      </c>
      <c r="BK97">
        <v>-149.61199999999999</v>
      </c>
      <c r="BL97">
        <v>664.178</v>
      </c>
      <c r="BM97">
        <v>810.26599999999996</v>
      </c>
      <c r="BN97">
        <v>8.0617000000000001</v>
      </c>
      <c r="BO97">
        <v>800.11199999999997</v>
      </c>
      <c r="BP97">
        <v>12.5314</v>
      </c>
      <c r="BQ97">
        <v>2.0430700000000002</v>
      </c>
      <c r="BR97">
        <v>1.24325</v>
      </c>
      <c r="BS97">
        <v>17.7821</v>
      </c>
      <c r="BT97">
        <v>10.129799999999999</v>
      </c>
      <c r="BU97">
        <v>1800</v>
      </c>
      <c r="BV97">
        <v>0.91000199999999998</v>
      </c>
      <c r="BW97">
        <v>3.4004199999999998E-2</v>
      </c>
      <c r="BX97">
        <v>2.2007800000000001E-2</v>
      </c>
      <c r="BY97">
        <v>3.3985500000000002E-2</v>
      </c>
      <c r="BZ97">
        <v>26</v>
      </c>
      <c r="CA97">
        <v>33528.199999999997</v>
      </c>
      <c r="CB97">
        <v>1690306253.5999999</v>
      </c>
      <c r="CC97" t="s">
        <v>332</v>
      </c>
      <c r="CD97">
        <v>1690306253.5999999</v>
      </c>
      <c r="CE97">
        <v>1690306251.5999999</v>
      </c>
      <c r="CF97">
        <v>9</v>
      </c>
      <c r="CG97">
        <v>0.19</v>
      </c>
      <c r="CH97">
        <v>-8.7999999999999995E-2</v>
      </c>
      <c r="CI97">
        <v>-5.0999999999999997E-2</v>
      </c>
      <c r="CJ97">
        <v>5.0999999999999997E-2</v>
      </c>
      <c r="CK97">
        <v>799</v>
      </c>
      <c r="CL97">
        <v>15</v>
      </c>
      <c r="CM97">
        <v>0.28000000000000003</v>
      </c>
      <c r="CN97">
        <v>0.03</v>
      </c>
      <c r="CO97">
        <v>-145.96826829268301</v>
      </c>
      <c r="CP97">
        <v>-18.94419512195087</v>
      </c>
      <c r="CQ97">
        <v>1.8685635414689119</v>
      </c>
      <c r="CR97">
        <v>-1</v>
      </c>
      <c r="CS97">
        <v>7.8622634146341461</v>
      </c>
      <c r="CT97">
        <v>1.15977135888501</v>
      </c>
      <c r="CU97">
        <v>0.11526524081248329</v>
      </c>
      <c r="CV97">
        <v>-1</v>
      </c>
      <c r="CW97">
        <v>0</v>
      </c>
      <c r="CX97">
        <v>0</v>
      </c>
      <c r="CY97" t="s">
        <v>333</v>
      </c>
      <c r="CZ97">
        <v>2.3643000000000001</v>
      </c>
      <c r="DA97">
        <v>2.7138599999999999</v>
      </c>
      <c r="DB97">
        <v>0.12750300000000001</v>
      </c>
      <c r="DC97">
        <v>0.14632800000000001</v>
      </c>
      <c r="DD97">
        <v>0.10210900000000001</v>
      </c>
      <c r="DE97">
        <v>7.0240300000000006E-2</v>
      </c>
      <c r="DF97">
        <v>31855.3</v>
      </c>
      <c r="DG97">
        <v>27517.7</v>
      </c>
      <c r="DH97">
        <v>31170</v>
      </c>
      <c r="DI97">
        <v>28088.6</v>
      </c>
      <c r="DJ97">
        <v>38002.6</v>
      </c>
      <c r="DK97">
        <v>37143.699999999997</v>
      </c>
      <c r="DL97">
        <v>44360.4</v>
      </c>
      <c r="DM97">
        <v>42581.7</v>
      </c>
      <c r="DN97">
        <v>1.42815</v>
      </c>
      <c r="DO97">
        <v>2.0421499999999999</v>
      </c>
      <c r="DP97">
        <v>0.17314399999999999</v>
      </c>
      <c r="DQ97">
        <v>0.14924999999999999</v>
      </c>
      <c r="DR97">
        <v>24.103999999999999</v>
      </c>
      <c r="DS97">
        <v>23.632100000000001</v>
      </c>
      <c r="DT97">
        <v>54.1</v>
      </c>
      <c r="DU97">
        <v>29.3</v>
      </c>
      <c r="DV97">
        <v>22.3157</v>
      </c>
      <c r="DW97">
        <v>61.843000000000004</v>
      </c>
      <c r="DX97">
        <v>35.957500000000003</v>
      </c>
      <c r="DY97">
        <v>1</v>
      </c>
      <c r="DZ97">
        <v>-6.7261199999999993E-2</v>
      </c>
      <c r="EA97">
        <v>1.57291</v>
      </c>
      <c r="EB97">
        <v>20.1813</v>
      </c>
      <c r="EC97">
        <v>5.2403500000000003</v>
      </c>
      <c r="ED97">
        <v>12.039899999999999</v>
      </c>
      <c r="EE97">
        <v>5.0168499999999998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1.8689100000000001</v>
      </c>
      <c r="EL97">
        <v>1.8646199999999999</v>
      </c>
      <c r="EM97">
        <v>1.8692</v>
      </c>
      <c r="EN97">
        <v>1.86724</v>
      </c>
      <c r="EO97">
        <v>1.8633999999999999</v>
      </c>
      <c r="EP97">
        <v>1.8644799999999999</v>
      </c>
      <c r="EQ97">
        <v>1.87018</v>
      </c>
      <c r="ER97">
        <v>1.8694200000000001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5.2999999999999999E-2</v>
      </c>
      <c r="FG97">
        <v>0.21029999999999999</v>
      </c>
      <c r="FH97">
        <v>0.49996858830924029</v>
      </c>
      <c r="FI97">
        <v>-6.1462078757559423E-4</v>
      </c>
      <c r="FJ97">
        <v>-1.8861989874597051E-7</v>
      </c>
      <c r="FK97">
        <v>1.1980462299894961E-10</v>
      </c>
      <c r="FL97">
        <v>-3.8593581000597899E-2</v>
      </c>
      <c r="FM97">
        <v>-1.6848085045870601E-2</v>
      </c>
      <c r="FN97">
        <v>1.9789084769509481E-3</v>
      </c>
      <c r="FO97">
        <v>-2.7142391389806329E-5</v>
      </c>
      <c r="FP97">
        <v>3</v>
      </c>
      <c r="FQ97">
        <v>2158</v>
      </c>
      <c r="FR97">
        <v>1</v>
      </c>
      <c r="FS97">
        <v>19</v>
      </c>
      <c r="FT97">
        <v>22.4</v>
      </c>
      <c r="FU97">
        <v>22.5</v>
      </c>
      <c r="FV97">
        <v>1.78101</v>
      </c>
      <c r="FW97">
        <v>2.5854499999999998</v>
      </c>
      <c r="FX97">
        <v>1.5490699999999999</v>
      </c>
      <c r="FY97">
        <v>2.3290999999999999</v>
      </c>
      <c r="FZ97">
        <v>1.50146</v>
      </c>
      <c r="GA97">
        <v>2.3889200000000002</v>
      </c>
      <c r="GB97">
        <v>34.099800000000002</v>
      </c>
      <c r="GC97">
        <v>23.991199999999999</v>
      </c>
      <c r="GD97">
        <v>19</v>
      </c>
      <c r="GE97">
        <v>264.11900000000003</v>
      </c>
      <c r="GF97">
        <v>591.30999999999995</v>
      </c>
      <c r="GG97">
        <v>20.491700000000002</v>
      </c>
      <c r="GH97">
        <v>26.494199999999999</v>
      </c>
      <c r="GI97">
        <v>29.999700000000001</v>
      </c>
      <c r="GJ97">
        <v>26.648499999999999</v>
      </c>
      <c r="GK97">
        <v>26.633600000000001</v>
      </c>
      <c r="GL97">
        <v>35.612299999999998</v>
      </c>
      <c r="GM97">
        <v>47.931800000000003</v>
      </c>
      <c r="GN97">
        <v>81.357799999999997</v>
      </c>
      <c r="GO97">
        <v>20.529499999999999</v>
      </c>
      <c r="GP97">
        <v>800</v>
      </c>
      <c r="GQ97">
        <v>12.4026</v>
      </c>
      <c r="GR97">
        <v>99.734099999999998</v>
      </c>
      <c r="GS97">
        <v>99.604900000000001</v>
      </c>
    </row>
    <row r="98" spans="1:201" x14ac:dyDescent="0.25">
      <c r="A98">
        <v>82</v>
      </c>
      <c r="B98">
        <v>1690307610</v>
      </c>
      <c r="C98">
        <v>991.40000009536743</v>
      </c>
      <c r="D98" t="s">
        <v>497</v>
      </c>
      <c r="E98" t="s">
        <v>498</v>
      </c>
      <c r="F98" t="s">
        <v>330</v>
      </c>
      <c r="H98">
        <v>1690307610</v>
      </c>
      <c r="I98">
        <f t="shared" si="30"/>
        <v>8.1612588055572817E-4</v>
      </c>
      <c r="J98">
        <f t="shared" si="31"/>
        <v>0.81612588055572821</v>
      </c>
      <c r="K98">
        <f t="shared" si="32"/>
        <v>14.155677611801361</v>
      </c>
      <c r="L98">
        <f t="shared" si="33"/>
        <v>647.37300000000005</v>
      </c>
      <c r="M98">
        <f t="shared" si="34"/>
        <v>255.09217524579455</v>
      </c>
      <c r="N98">
        <f t="shared" si="35"/>
        <v>25.334000244903319</v>
      </c>
      <c r="O98">
        <f t="shared" si="36"/>
        <v>64.292633534294097</v>
      </c>
      <c r="P98">
        <f t="shared" si="37"/>
        <v>6.0008297235060876E-2</v>
      </c>
      <c r="Q98">
        <f t="shared" si="38"/>
        <v>2.1957217822806032</v>
      </c>
      <c r="R98">
        <f t="shared" si="39"/>
        <v>5.9111870720925497E-2</v>
      </c>
      <c r="S98">
        <f t="shared" si="40"/>
        <v>3.7024344011234597E-2</v>
      </c>
      <c r="T98">
        <f t="shared" si="41"/>
        <v>276.11545123800005</v>
      </c>
      <c r="U98">
        <f t="shared" si="42"/>
        <v>26.041472358849326</v>
      </c>
      <c r="V98">
        <f t="shared" si="43"/>
        <v>26.041472358849326</v>
      </c>
      <c r="W98">
        <f t="shared" si="44"/>
        <v>3.3825479375837677</v>
      </c>
      <c r="X98">
        <f t="shared" si="45"/>
        <v>67.635186011222359</v>
      </c>
      <c r="Y98">
        <f t="shared" si="46"/>
        <v>2.0488793572318502</v>
      </c>
      <c r="Z98">
        <f t="shared" si="47"/>
        <v>3.0293098578776587</v>
      </c>
      <c r="AA98">
        <f t="shared" si="48"/>
        <v>1.3336685803519175</v>
      </c>
      <c r="AB98">
        <f t="shared" si="49"/>
        <v>-35.991151332507613</v>
      </c>
      <c r="AC98">
        <f t="shared" si="50"/>
        <v>-219.18127170602165</v>
      </c>
      <c r="AD98">
        <f t="shared" si="51"/>
        <v>-21.139563373971235</v>
      </c>
      <c r="AE98">
        <f t="shared" si="52"/>
        <v>-0.19653517450043978</v>
      </c>
      <c r="AF98">
        <v>15</v>
      </c>
      <c r="AG98">
        <v>5</v>
      </c>
      <c r="AH98">
        <f t="shared" si="53"/>
        <v>1</v>
      </c>
      <c r="AI98">
        <f t="shared" si="54"/>
        <v>0</v>
      </c>
      <c r="AJ98">
        <f t="shared" si="55"/>
        <v>52950.834561484626</v>
      </c>
      <c r="AK98">
        <f t="shared" si="56"/>
        <v>1800</v>
      </c>
      <c r="AL98">
        <f t="shared" si="57"/>
        <v>1499.1131538</v>
      </c>
      <c r="AM98">
        <f t="shared" si="58"/>
        <v>0.83284064099999999</v>
      </c>
      <c r="AN98">
        <f t="shared" si="59"/>
        <v>0.15339747291000003</v>
      </c>
      <c r="AO98">
        <v>31.2</v>
      </c>
      <c r="AP98">
        <v>0.5</v>
      </c>
      <c r="AQ98" t="s">
        <v>331</v>
      </c>
      <c r="AR98">
        <v>2</v>
      </c>
      <c r="AS98">
        <v>1690307610</v>
      </c>
      <c r="AT98">
        <v>647.37300000000005</v>
      </c>
      <c r="AU98">
        <v>800.072</v>
      </c>
      <c r="AV98">
        <v>20.630500000000001</v>
      </c>
      <c r="AW98">
        <v>12.3187</v>
      </c>
      <c r="AX98">
        <v>647.31799999999998</v>
      </c>
      <c r="AY98">
        <v>20.4191</v>
      </c>
      <c r="AZ98">
        <v>300.029</v>
      </c>
      <c r="BA98">
        <v>99.213200000000001</v>
      </c>
      <c r="BB98">
        <v>9.9921700000000002E-2</v>
      </c>
      <c r="BC98">
        <v>24.189900000000002</v>
      </c>
      <c r="BD98">
        <v>26.924099999999999</v>
      </c>
      <c r="BE98">
        <v>26.105899999999998</v>
      </c>
      <c r="BF98">
        <v>0</v>
      </c>
      <c r="BG98">
        <v>0</v>
      </c>
      <c r="BH98">
        <v>9998.75</v>
      </c>
      <c r="BI98">
        <v>1039.4100000000001</v>
      </c>
      <c r="BJ98">
        <v>1.62592</v>
      </c>
      <c r="BK98">
        <v>-152.69900000000001</v>
      </c>
      <c r="BL98">
        <v>661.01</v>
      </c>
      <c r="BM98">
        <v>810.05100000000004</v>
      </c>
      <c r="BN98">
        <v>8.3117199999999993</v>
      </c>
      <c r="BO98">
        <v>800.072</v>
      </c>
      <c r="BP98">
        <v>12.3187</v>
      </c>
      <c r="BQ98">
        <v>2.0468099999999998</v>
      </c>
      <c r="BR98">
        <v>1.22218</v>
      </c>
      <c r="BS98">
        <v>17.811199999999999</v>
      </c>
      <c r="BT98">
        <v>9.8745200000000004</v>
      </c>
      <c r="BU98">
        <v>1800</v>
      </c>
      <c r="BV98">
        <v>0.91000800000000004</v>
      </c>
      <c r="BW98">
        <v>3.4004399999999997E-2</v>
      </c>
      <c r="BX98">
        <v>2.2001799999999998E-2</v>
      </c>
      <c r="BY98">
        <v>3.3985700000000001E-2</v>
      </c>
      <c r="BZ98">
        <v>26</v>
      </c>
      <c r="CA98">
        <v>33528.400000000001</v>
      </c>
      <c r="CB98">
        <v>1690306253.5999999</v>
      </c>
      <c r="CC98" t="s">
        <v>332</v>
      </c>
      <c r="CD98">
        <v>1690306253.5999999</v>
      </c>
      <c r="CE98">
        <v>1690306251.5999999</v>
      </c>
      <c r="CF98">
        <v>9</v>
      </c>
      <c r="CG98">
        <v>0.19</v>
      </c>
      <c r="CH98">
        <v>-8.7999999999999995E-2</v>
      </c>
      <c r="CI98">
        <v>-5.0999999999999997E-2</v>
      </c>
      <c r="CJ98">
        <v>5.0999999999999997E-2</v>
      </c>
      <c r="CK98">
        <v>799</v>
      </c>
      <c r="CL98">
        <v>15</v>
      </c>
      <c r="CM98">
        <v>0.28000000000000003</v>
      </c>
      <c r="CN98">
        <v>0.03</v>
      </c>
      <c r="CO98">
        <v>-149.33692500000001</v>
      </c>
      <c r="CP98">
        <v>-18.688311444652161</v>
      </c>
      <c r="CQ98">
        <v>1.798591356972173</v>
      </c>
      <c r="CR98">
        <v>-1</v>
      </c>
      <c r="CS98">
        <v>8.0677377500000009</v>
      </c>
      <c r="CT98">
        <v>1.12094262664166</v>
      </c>
      <c r="CU98">
        <v>0.10872004995601089</v>
      </c>
      <c r="CV98">
        <v>-1</v>
      </c>
      <c r="CW98">
        <v>0</v>
      </c>
      <c r="CX98">
        <v>0</v>
      </c>
      <c r="CY98" t="s">
        <v>333</v>
      </c>
      <c r="CZ98">
        <v>2.36382</v>
      </c>
      <c r="DA98">
        <v>2.7137099999999998</v>
      </c>
      <c r="DB98">
        <v>0.127081</v>
      </c>
      <c r="DC98">
        <v>0.14632300000000001</v>
      </c>
      <c r="DD98">
        <v>0.102241</v>
      </c>
      <c r="DE98">
        <v>6.93468E-2</v>
      </c>
      <c r="DF98">
        <v>31870.9</v>
      </c>
      <c r="DG98">
        <v>27518.1</v>
      </c>
      <c r="DH98">
        <v>31170.2</v>
      </c>
      <c r="DI98">
        <v>28088.799999999999</v>
      </c>
      <c r="DJ98">
        <v>37997</v>
      </c>
      <c r="DK98">
        <v>37179.800000000003</v>
      </c>
      <c r="DL98">
        <v>44360.6</v>
      </c>
      <c r="DM98">
        <v>42582</v>
      </c>
      <c r="DN98">
        <v>1.42808</v>
      </c>
      <c r="DO98">
        <v>2.0423800000000001</v>
      </c>
      <c r="DP98">
        <v>0.17271900000000001</v>
      </c>
      <c r="DQ98">
        <v>0.15134400000000001</v>
      </c>
      <c r="DR98">
        <v>24.092600000000001</v>
      </c>
      <c r="DS98">
        <v>23.622199999999999</v>
      </c>
      <c r="DT98">
        <v>53.9</v>
      </c>
      <c r="DU98">
        <v>29.3</v>
      </c>
      <c r="DV98">
        <v>22.228300000000001</v>
      </c>
      <c r="DW98">
        <v>62.073</v>
      </c>
      <c r="DX98">
        <v>36.658700000000003</v>
      </c>
      <c r="DY98">
        <v>1</v>
      </c>
      <c r="DZ98">
        <v>-6.7464399999999994E-2</v>
      </c>
      <c r="EA98">
        <v>1.4883999999999999</v>
      </c>
      <c r="EB98">
        <v>20.182200000000002</v>
      </c>
      <c r="EC98">
        <v>5.2401999999999997</v>
      </c>
      <c r="ED98">
        <v>12.039899999999999</v>
      </c>
      <c r="EE98">
        <v>5.0166500000000003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1.8646199999999999</v>
      </c>
      <c r="EM98">
        <v>1.8692</v>
      </c>
      <c r="EN98">
        <v>1.8672299999999999</v>
      </c>
      <c r="EO98">
        <v>1.86338</v>
      </c>
      <c r="EP98">
        <v>1.8644799999999999</v>
      </c>
      <c r="EQ98">
        <v>1.87015</v>
      </c>
      <c r="ER98">
        <v>1.8694299999999999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5.5E-2</v>
      </c>
      <c r="FG98">
        <v>0.2114</v>
      </c>
      <c r="FH98">
        <v>0.49996858830924029</v>
      </c>
      <c r="FI98">
        <v>-6.1462078757559423E-4</v>
      </c>
      <c r="FJ98">
        <v>-1.8861989874597051E-7</v>
      </c>
      <c r="FK98">
        <v>1.1980462299894961E-10</v>
      </c>
      <c r="FL98">
        <v>-3.8593581000597899E-2</v>
      </c>
      <c r="FM98">
        <v>-1.6848085045870601E-2</v>
      </c>
      <c r="FN98">
        <v>1.9789084769509481E-3</v>
      </c>
      <c r="FO98">
        <v>-2.7142391389806329E-5</v>
      </c>
      <c r="FP98">
        <v>3</v>
      </c>
      <c r="FQ98">
        <v>2158</v>
      </c>
      <c r="FR98">
        <v>1</v>
      </c>
      <c r="FS98">
        <v>19</v>
      </c>
      <c r="FT98">
        <v>22.6</v>
      </c>
      <c r="FU98">
        <v>22.6</v>
      </c>
      <c r="FV98">
        <v>1.78101</v>
      </c>
      <c r="FW98">
        <v>2.5903299999999998</v>
      </c>
      <c r="FX98">
        <v>1.5490699999999999</v>
      </c>
      <c r="FY98">
        <v>2.3290999999999999</v>
      </c>
      <c r="FZ98">
        <v>1.50146</v>
      </c>
      <c r="GA98">
        <v>2.32422</v>
      </c>
      <c r="GB98">
        <v>34.099800000000002</v>
      </c>
      <c r="GC98">
        <v>23.982399999999998</v>
      </c>
      <c r="GD98">
        <v>19</v>
      </c>
      <c r="GE98">
        <v>264.07100000000003</v>
      </c>
      <c r="GF98">
        <v>591.46400000000006</v>
      </c>
      <c r="GG98">
        <v>20.5868</v>
      </c>
      <c r="GH98">
        <v>26.486999999999998</v>
      </c>
      <c r="GI98">
        <v>30</v>
      </c>
      <c r="GJ98">
        <v>26.644300000000001</v>
      </c>
      <c r="GK98">
        <v>26.630600000000001</v>
      </c>
      <c r="GL98">
        <v>35.609000000000002</v>
      </c>
      <c r="GM98">
        <v>48.202100000000002</v>
      </c>
      <c r="GN98">
        <v>80.970299999999995</v>
      </c>
      <c r="GO98">
        <v>20.6248</v>
      </c>
      <c r="GP98">
        <v>800</v>
      </c>
      <c r="GQ98">
        <v>12.2386</v>
      </c>
      <c r="GR98">
        <v>99.7346</v>
      </c>
      <c r="GS98">
        <v>99.605599999999995</v>
      </c>
    </row>
    <row r="99" spans="1:201" x14ac:dyDescent="0.25">
      <c r="A99">
        <v>83</v>
      </c>
      <c r="B99">
        <v>1690307620</v>
      </c>
      <c r="C99">
        <v>1001.400000095367</v>
      </c>
      <c r="D99" t="s">
        <v>499</v>
      </c>
      <c r="E99" t="s">
        <v>500</v>
      </c>
      <c r="F99" t="s">
        <v>330</v>
      </c>
      <c r="H99">
        <v>1690307620</v>
      </c>
      <c r="I99">
        <f t="shared" si="30"/>
        <v>8.3109829857636866E-4</v>
      </c>
      <c r="J99">
        <f t="shared" si="31"/>
        <v>0.83109829857636863</v>
      </c>
      <c r="K99">
        <f t="shared" si="32"/>
        <v>14.450773980356077</v>
      </c>
      <c r="L99">
        <f t="shared" si="33"/>
        <v>644.22199999999998</v>
      </c>
      <c r="M99">
        <f t="shared" si="34"/>
        <v>251.79853517987962</v>
      </c>
      <c r="N99">
        <f t="shared" si="35"/>
        <v>25.00748722281666</v>
      </c>
      <c r="O99">
        <f t="shared" si="36"/>
        <v>63.981203950009004</v>
      </c>
      <c r="P99">
        <f t="shared" si="37"/>
        <v>6.1237140546152709E-2</v>
      </c>
      <c r="Q99">
        <f t="shared" si="38"/>
        <v>2.1985931684392148</v>
      </c>
      <c r="R99">
        <f t="shared" si="39"/>
        <v>6.0305130869389864E-2</v>
      </c>
      <c r="S99">
        <f t="shared" si="40"/>
        <v>3.7773262509390115E-2</v>
      </c>
      <c r="T99">
        <f t="shared" si="41"/>
        <v>276.11554552199999</v>
      </c>
      <c r="U99">
        <f t="shared" si="42"/>
        <v>26.044563394778439</v>
      </c>
      <c r="V99">
        <f t="shared" si="43"/>
        <v>26.044563394778439</v>
      </c>
      <c r="W99">
        <f t="shared" si="44"/>
        <v>3.3831664857237915</v>
      </c>
      <c r="X99">
        <f t="shared" si="45"/>
        <v>67.692564445402638</v>
      </c>
      <c r="Y99">
        <f t="shared" si="46"/>
        <v>2.0518971194538</v>
      </c>
      <c r="Z99">
        <f t="shared" si="47"/>
        <v>3.0312001565677948</v>
      </c>
      <c r="AA99">
        <f t="shared" si="48"/>
        <v>1.3312693662699915</v>
      </c>
      <c r="AB99">
        <f t="shared" si="49"/>
        <v>-36.65143496721786</v>
      </c>
      <c r="AC99">
        <f t="shared" si="50"/>
        <v>-218.60156355911982</v>
      </c>
      <c r="AD99">
        <f t="shared" si="51"/>
        <v>-21.057544037549722</v>
      </c>
      <c r="AE99">
        <f t="shared" si="52"/>
        <v>-0.19499704188740452</v>
      </c>
      <c r="AF99">
        <v>15</v>
      </c>
      <c r="AG99">
        <v>5</v>
      </c>
      <c r="AH99">
        <f t="shared" si="53"/>
        <v>1</v>
      </c>
      <c r="AI99">
        <f t="shared" si="54"/>
        <v>0</v>
      </c>
      <c r="AJ99">
        <f t="shared" si="55"/>
        <v>53067.757361242802</v>
      </c>
      <c r="AK99">
        <f t="shared" si="56"/>
        <v>1800</v>
      </c>
      <c r="AL99">
        <f t="shared" si="57"/>
        <v>1499.1130512</v>
      </c>
      <c r="AM99">
        <f t="shared" si="58"/>
        <v>0.83284058399999994</v>
      </c>
      <c r="AN99">
        <f t="shared" si="59"/>
        <v>0.15339752529</v>
      </c>
      <c r="AO99">
        <v>31.2</v>
      </c>
      <c r="AP99">
        <v>0.5</v>
      </c>
      <c r="AQ99" t="s">
        <v>331</v>
      </c>
      <c r="AR99">
        <v>2</v>
      </c>
      <c r="AS99">
        <v>1690307620</v>
      </c>
      <c r="AT99">
        <v>644.22199999999998</v>
      </c>
      <c r="AU99">
        <v>800.00199999999995</v>
      </c>
      <c r="AV99">
        <v>20.660399999999999</v>
      </c>
      <c r="AW99">
        <v>12.1997</v>
      </c>
      <c r="AX99">
        <v>644.16399999999999</v>
      </c>
      <c r="AY99">
        <v>20.4481</v>
      </c>
      <c r="AZ99">
        <v>300.14699999999999</v>
      </c>
      <c r="BA99">
        <v>99.215500000000006</v>
      </c>
      <c r="BB99">
        <v>9.9959500000000007E-2</v>
      </c>
      <c r="BC99">
        <v>24.200299999999999</v>
      </c>
      <c r="BD99">
        <v>26.944400000000002</v>
      </c>
      <c r="BE99">
        <v>26.118400000000001</v>
      </c>
      <c r="BF99">
        <v>0</v>
      </c>
      <c r="BG99">
        <v>0</v>
      </c>
      <c r="BH99">
        <v>10021.9</v>
      </c>
      <c r="BI99">
        <v>1039.4100000000001</v>
      </c>
      <c r="BJ99">
        <v>1.62592</v>
      </c>
      <c r="BK99">
        <v>-155.78</v>
      </c>
      <c r="BL99">
        <v>657.81200000000001</v>
      </c>
      <c r="BM99">
        <v>809.88199999999995</v>
      </c>
      <c r="BN99">
        <v>8.4606700000000004</v>
      </c>
      <c r="BO99">
        <v>800.00199999999995</v>
      </c>
      <c r="BP99">
        <v>12.1997</v>
      </c>
      <c r="BQ99">
        <v>2.04983</v>
      </c>
      <c r="BR99">
        <v>1.2103999999999999</v>
      </c>
      <c r="BS99">
        <v>17.834599999999998</v>
      </c>
      <c r="BT99">
        <v>9.7300699999999996</v>
      </c>
      <c r="BU99">
        <v>1800</v>
      </c>
      <c r="BV99">
        <v>0.91000700000000001</v>
      </c>
      <c r="BW99">
        <v>3.4004399999999997E-2</v>
      </c>
      <c r="BX99">
        <v>2.20027E-2</v>
      </c>
      <c r="BY99">
        <v>3.3985700000000001E-2</v>
      </c>
      <c r="BZ99">
        <v>26</v>
      </c>
      <c r="CA99">
        <v>33528.199999999997</v>
      </c>
      <c r="CB99">
        <v>1690306253.5999999</v>
      </c>
      <c r="CC99" t="s">
        <v>332</v>
      </c>
      <c r="CD99">
        <v>1690306253.5999999</v>
      </c>
      <c r="CE99">
        <v>1690306251.5999999</v>
      </c>
      <c r="CF99">
        <v>9</v>
      </c>
      <c r="CG99">
        <v>0.19</v>
      </c>
      <c r="CH99">
        <v>-8.7999999999999995E-2</v>
      </c>
      <c r="CI99">
        <v>-5.0999999999999997E-2</v>
      </c>
      <c r="CJ99">
        <v>5.0999999999999997E-2</v>
      </c>
      <c r="CK99">
        <v>799</v>
      </c>
      <c r="CL99">
        <v>15</v>
      </c>
      <c r="CM99">
        <v>0.28000000000000003</v>
      </c>
      <c r="CN99">
        <v>0.03</v>
      </c>
      <c r="CO99">
        <v>-152.21012195121949</v>
      </c>
      <c r="CP99">
        <v>-18.504250871080039</v>
      </c>
      <c r="CQ99">
        <v>1.8251697307657471</v>
      </c>
      <c r="CR99">
        <v>-1</v>
      </c>
      <c r="CS99">
        <v>8.2471573170731709</v>
      </c>
      <c r="CT99">
        <v>1.235214982578398</v>
      </c>
      <c r="CU99">
        <v>0.12269665389963889</v>
      </c>
      <c r="CV99">
        <v>-1</v>
      </c>
      <c r="CW99">
        <v>0</v>
      </c>
      <c r="CX99">
        <v>0</v>
      </c>
      <c r="CY99" t="s">
        <v>333</v>
      </c>
      <c r="CZ99">
        <v>2.36422</v>
      </c>
      <c r="DA99">
        <v>2.7137699999999998</v>
      </c>
      <c r="DB99">
        <v>0.12665599999999999</v>
      </c>
      <c r="DC99">
        <v>0.146316</v>
      </c>
      <c r="DD99">
        <v>0.10234799999999999</v>
      </c>
      <c r="DE99">
        <v>6.8845299999999998E-2</v>
      </c>
      <c r="DF99">
        <v>31886.799999999999</v>
      </c>
      <c r="DG99">
        <v>27518.6</v>
      </c>
      <c r="DH99">
        <v>31170.5</v>
      </c>
      <c r="DI99">
        <v>28089.1</v>
      </c>
      <c r="DJ99">
        <v>37992.800000000003</v>
      </c>
      <c r="DK99">
        <v>37200.300000000003</v>
      </c>
      <c r="DL99">
        <v>44361.2</v>
      </c>
      <c r="DM99">
        <v>42582.5</v>
      </c>
      <c r="DN99">
        <v>1.4283999999999999</v>
      </c>
      <c r="DO99">
        <v>2.0419800000000001</v>
      </c>
      <c r="DP99">
        <v>0.174619</v>
      </c>
      <c r="DQ99">
        <v>0.152618</v>
      </c>
      <c r="DR99">
        <v>24.081700000000001</v>
      </c>
      <c r="DS99">
        <v>23.613700000000001</v>
      </c>
      <c r="DT99">
        <v>53.8</v>
      </c>
      <c r="DU99">
        <v>29.3</v>
      </c>
      <c r="DV99">
        <v>22.193000000000001</v>
      </c>
      <c r="DW99">
        <v>61.552999999999997</v>
      </c>
      <c r="DX99">
        <v>35.961500000000001</v>
      </c>
      <c r="DY99">
        <v>1</v>
      </c>
      <c r="DZ99">
        <v>-6.8338399999999994E-2</v>
      </c>
      <c r="EA99">
        <v>1.3971499999999999</v>
      </c>
      <c r="EB99">
        <v>20.1831</v>
      </c>
      <c r="EC99">
        <v>5.2404999999999999</v>
      </c>
      <c r="ED99">
        <v>12.039899999999999</v>
      </c>
      <c r="EE99">
        <v>5.0166500000000003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1.8689100000000001</v>
      </c>
      <c r="EL99">
        <v>1.8646199999999999</v>
      </c>
      <c r="EM99">
        <v>1.8692</v>
      </c>
      <c r="EN99">
        <v>1.8672500000000001</v>
      </c>
      <c r="EO99">
        <v>1.8633999999999999</v>
      </c>
      <c r="EP99">
        <v>1.8644700000000001</v>
      </c>
      <c r="EQ99">
        <v>1.87016</v>
      </c>
      <c r="ER99">
        <v>1.86941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5.8000000000000003E-2</v>
      </c>
      <c r="FG99">
        <v>0.21229999999999999</v>
      </c>
      <c r="FH99">
        <v>0.49996858830924029</v>
      </c>
      <c r="FI99">
        <v>-6.1462078757559423E-4</v>
      </c>
      <c r="FJ99">
        <v>-1.8861989874597051E-7</v>
      </c>
      <c r="FK99">
        <v>1.1980462299894961E-10</v>
      </c>
      <c r="FL99">
        <v>-3.8593581000597899E-2</v>
      </c>
      <c r="FM99">
        <v>-1.6848085045870601E-2</v>
      </c>
      <c r="FN99">
        <v>1.9789084769509481E-3</v>
      </c>
      <c r="FO99">
        <v>-2.7142391389806329E-5</v>
      </c>
      <c r="FP99">
        <v>3</v>
      </c>
      <c r="FQ99">
        <v>2158</v>
      </c>
      <c r="FR99">
        <v>1</v>
      </c>
      <c r="FS99">
        <v>19</v>
      </c>
      <c r="FT99">
        <v>22.8</v>
      </c>
      <c r="FU99">
        <v>22.8</v>
      </c>
      <c r="FV99">
        <v>1.78101</v>
      </c>
      <c r="FW99">
        <v>2.5964399999999999</v>
      </c>
      <c r="FX99">
        <v>1.5490699999999999</v>
      </c>
      <c r="FY99">
        <v>2.3278799999999999</v>
      </c>
      <c r="FZ99">
        <v>1.50146</v>
      </c>
      <c r="GA99">
        <v>2.3290999999999999</v>
      </c>
      <c r="GB99">
        <v>34.099800000000002</v>
      </c>
      <c r="GC99">
        <v>23.982399999999998</v>
      </c>
      <c r="GD99">
        <v>19</v>
      </c>
      <c r="GE99">
        <v>264.18599999999998</v>
      </c>
      <c r="GF99">
        <v>591.08699999999999</v>
      </c>
      <c r="GG99">
        <v>20.694099999999999</v>
      </c>
      <c r="GH99">
        <v>26.479900000000001</v>
      </c>
      <c r="GI99">
        <v>29.999700000000001</v>
      </c>
      <c r="GJ99">
        <v>26.639800000000001</v>
      </c>
      <c r="GK99">
        <v>26.626899999999999</v>
      </c>
      <c r="GL99">
        <v>35.606299999999997</v>
      </c>
      <c r="GM99">
        <v>48.760599999999997</v>
      </c>
      <c r="GN99">
        <v>80.182100000000005</v>
      </c>
      <c r="GO99">
        <v>20.724499999999999</v>
      </c>
      <c r="GP99">
        <v>800</v>
      </c>
      <c r="GQ99">
        <v>12.0722</v>
      </c>
      <c r="GR99">
        <v>99.735799999999998</v>
      </c>
      <c r="GS99">
        <v>99.606800000000007</v>
      </c>
    </row>
    <row r="100" spans="1:201" x14ac:dyDescent="0.25">
      <c r="A100">
        <v>84</v>
      </c>
      <c r="B100">
        <v>1690307630</v>
      </c>
      <c r="C100">
        <v>1011.400000095367</v>
      </c>
      <c r="D100" t="s">
        <v>501</v>
      </c>
      <c r="E100" t="s">
        <v>502</v>
      </c>
      <c r="F100" t="s">
        <v>330</v>
      </c>
      <c r="H100">
        <v>1690307630</v>
      </c>
      <c r="I100">
        <f t="shared" si="30"/>
        <v>8.5349491296443365E-4</v>
      </c>
      <c r="J100">
        <f t="shared" si="31"/>
        <v>0.85349491296443369</v>
      </c>
      <c r="K100">
        <f t="shared" si="32"/>
        <v>14.74037916962669</v>
      </c>
      <c r="L100">
        <f t="shared" si="33"/>
        <v>641.22500000000002</v>
      </c>
      <c r="M100">
        <f t="shared" si="34"/>
        <v>251.98106551322425</v>
      </c>
      <c r="N100">
        <f t="shared" si="35"/>
        <v>25.025889588135279</v>
      </c>
      <c r="O100">
        <f t="shared" si="36"/>
        <v>63.684253491299998</v>
      </c>
      <c r="P100">
        <f t="shared" si="37"/>
        <v>6.3005357596219613E-2</v>
      </c>
      <c r="Q100">
        <f t="shared" si="38"/>
        <v>2.1952253682875034</v>
      </c>
      <c r="R100">
        <f t="shared" si="39"/>
        <v>6.2017727408884248E-2</v>
      </c>
      <c r="S100">
        <f t="shared" si="40"/>
        <v>3.8848524656233764E-2</v>
      </c>
      <c r="T100">
        <f t="shared" si="41"/>
        <v>276.11554552199999</v>
      </c>
      <c r="U100">
        <f t="shared" si="42"/>
        <v>26.047715162366437</v>
      </c>
      <c r="V100">
        <f t="shared" si="43"/>
        <v>26.047715162366437</v>
      </c>
      <c r="W100">
        <f t="shared" si="44"/>
        <v>3.3837972886108689</v>
      </c>
      <c r="X100">
        <f t="shared" si="45"/>
        <v>67.742221107145411</v>
      </c>
      <c r="Y100">
        <f t="shared" si="46"/>
        <v>2.0544124536540003</v>
      </c>
      <c r="Z100">
        <f t="shared" si="47"/>
        <v>3.0326913113826168</v>
      </c>
      <c r="AA100">
        <f t="shared" si="48"/>
        <v>1.3293848349568687</v>
      </c>
      <c r="AB100">
        <f t="shared" si="49"/>
        <v>-37.639125661731526</v>
      </c>
      <c r="AC100">
        <f t="shared" si="50"/>
        <v>-217.6692569601237</v>
      </c>
      <c r="AD100">
        <f t="shared" si="51"/>
        <v>-21.001102372637416</v>
      </c>
      <c r="AE100">
        <f t="shared" si="52"/>
        <v>-0.19393947249264443</v>
      </c>
      <c r="AF100">
        <v>15</v>
      </c>
      <c r="AG100">
        <v>5</v>
      </c>
      <c r="AH100">
        <f t="shared" si="53"/>
        <v>1</v>
      </c>
      <c r="AI100">
        <f t="shared" si="54"/>
        <v>0</v>
      </c>
      <c r="AJ100">
        <f t="shared" si="55"/>
        <v>52927.083923706741</v>
      </c>
      <c r="AK100">
        <f t="shared" si="56"/>
        <v>1800</v>
      </c>
      <c r="AL100">
        <f t="shared" si="57"/>
        <v>1499.1130512</v>
      </c>
      <c r="AM100">
        <f t="shared" si="58"/>
        <v>0.83284058399999994</v>
      </c>
      <c r="AN100">
        <f t="shared" si="59"/>
        <v>0.15339752529</v>
      </c>
      <c r="AO100">
        <v>31.2</v>
      </c>
      <c r="AP100">
        <v>0.5</v>
      </c>
      <c r="AQ100" t="s">
        <v>331</v>
      </c>
      <c r="AR100">
        <v>2</v>
      </c>
      <c r="AS100">
        <v>1690307630</v>
      </c>
      <c r="AT100">
        <v>641.22500000000002</v>
      </c>
      <c r="AU100">
        <v>800.08799999999997</v>
      </c>
      <c r="AV100">
        <v>20.685500000000001</v>
      </c>
      <c r="AW100">
        <v>11.9998</v>
      </c>
      <c r="AX100">
        <v>641.16499999999996</v>
      </c>
      <c r="AY100">
        <v>20.4725</v>
      </c>
      <c r="AZ100">
        <v>300.24299999999999</v>
      </c>
      <c r="BA100">
        <v>99.216499999999996</v>
      </c>
      <c r="BB100">
        <v>0.100048</v>
      </c>
      <c r="BC100">
        <v>24.208500000000001</v>
      </c>
      <c r="BD100">
        <v>26.966999999999999</v>
      </c>
      <c r="BE100">
        <v>26.1142</v>
      </c>
      <c r="BF100">
        <v>0</v>
      </c>
      <c r="BG100">
        <v>0</v>
      </c>
      <c r="BH100">
        <v>9994.3799999999992</v>
      </c>
      <c r="BI100">
        <v>1039.47</v>
      </c>
      <c r="BJ100">
        <v>1.62592</v>
      </c>
      <c r="BK100">
        <v>-158.863</v>
      </c>
      <c r="BL100">
        <v>654.76900000000001</v>
      </c>
      <c r="BM100">
        <v>809.80499999999995</v>
      </c>
      <c r="BN100">
        <v>8.6857600000000001</v>
      </c>
      <c r="BO100">
        <v>800.08799999999997</v>
      </c>
      <c r="BP100">
        <v>11.9998</v>
      </c>
      <c r="BQ100">
        <v>2.0523500000000001</v>
      </c>
      <c r="BR100">
        <v>1.19058</v>
      </c>
      <c r="BS100">
        <v>17.854099999999999</v>
      </c>
      <c r="BT100">
        <v>9.4842200000000005</v>
      </c>
      <c r="BU100">
        <v>1800</v>
      </c>
      <c r="BV100">
        <v>0.91000700000000001</v>
      </c>
      <c r="BW100">
        <v>3.4004399999999997E-2</v>
      </c>
      <c r="BX100">
        <v>2.20027E-2</v>
      </c>
      <c r="BY100">
        <v>3.3985700000000001E-2</v>
      </c>
      <c r="BZ100">
        <v>26</v>
      </c>
      <c r="CA100">
        <v>33528.300000000003</v>
      </c>
      <c r="CB100">
        <v>1690306253.5999999</v>
      </c>
      <c r="CC100" t="s">
        <v>332</v>
      </c>
      <c r="CD100">
        <v>1690306253.5999999</v>
      </c>
      <c r="CE100">
        <v>1690306251.5999999</v>
      </c>
      <c r="CF100">
        <v>9</v>
      </c>
      <c r="CG100">
        <v>0.19</v>
      </c>
      <c r="CH100">
        <v>-8.7999999999999995E-2</v>
      </c>
      <c r="CI100">
        <v>-5.0999999999999997E-2</v>
      </c>
      <c r="CJ100">
        <v>5.0999999999999997E-2</v>
      </c>
      <c r="CK100">
        <v>799</v>
      </c>
      <c r="CL100">
        <v>15</v>
      </c>
      <c r="CM100">
        <v>0.28000000000000003</v>
      </c>
      <c r="CN100">
        <v>0.03</v>
      </c>
      <c r="CO100">
        <v>-155.55179999999999</v>
      </c>
      <c r="CP100">
        <v>-18.684067542213761</v>
      </c>
      <c r="CQ100">
        <v>1.7976536401654239</v>
      </c>
      <c r="CR100">
        <v>-1</v>
      </c>
      <c r="CS100">
        <v>8.4568820000000002</v>
      </c>
      <c r="CT100">
        <v>1.0753992495309359</v>
      </c>
      <c r="CU100">
        <v>0.103959727736273</v>
      </c>
      <c r="CV100">
        <v>-1</v>
      </c>
      <c r="CW100">
        <v>0</v>
      </c>
      <c r="CX100">
        <v>0</v>
      </c>
      <c r="CY100" t="s">
        <v>333</v>
      </c>
      <c r="CZ100">
        <v>2.3645299999999998</v>
      </c>
      <c r="DA100">
        <v>2.7138300000000002</v>
      </c>
      <c r="DB100">
        <v>0.126248</v>
      </c>
      <c r="DC100">
        <v>0.14632600000000001</v>
      </c>
      <c r="DD100">
        <v>0.102438</v>
      </c>
      <c r="DE100">
        <v>6.7996399999999999E-2</v>
      </c>
      <c r="DF100">
        <v>31902.2</v>
      </c>
      <c r="DG100">
        <v>27518.5</v>
      </c>
      <c r="DH100">
        <v>31171</v>
      </c>
      <c r="DI100">
        <v>28089.3</v>
      </c>
      <c r="DJ100">
        <v>37989.699999999997</v>
      </c>
      <c r="DK100">
        <v>37234.6</v>
      </c>
      <c r="DL100">
        <v>44362</v>
      </c>
      <c r="DM100">
        <v>42582.8</v>
      </c>
      <c r="DN100">
        <v>1.42875</v>
      </c>
      <c r="DO100">
        <v>2.0417700000000001</v>
      </c>
      <c r="DP100">
        <v>0.176594</v>
      </c>
      <c r="DQ100">
        <v>0.15276699999999999</v>
      </c>
      <c r="DR100">
        <v>24.071899999999999</v>
      </c>
      <c r="DS100">
        <v>23.607099999999999</v>
      </c>
      <c r="DT100">
        <v>53.6</v>
      </c>
      <c r="DU100">
        <v>29.3</v>
      </c>
      <c r="DV100">
        <v>22.1081</v>
      </c>
      <c r="DW100">
        <v>61.813000000000002</v>
      </c>
      <c r="DX100">
        <v>35.396599999999999</v>
      </c>
      <c r="DY100">
        <v>1</v>
      </c>
      <c r="DZ100">
        <v>-6.9039600000000007E-2</v>
      </c>
      <c r="EA100">
        <v>1.4483600000000001</v>
      </c>
      <c r="EB100">
        <v>20.182400000000001</v>
      </c>
      <c r="EC100">
        <v>5.2397499999999999</v>
      </c>
      <c r="ED100">
        <v>12.039899999999999</v>
      </c>
      <c r="EE100">
        <v>5.0164499999999999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1.86463</v>
      </c>
      <c r="EM100">
        <v>1.8692</v>
      </c>
      <c r="EN100">
        <v>1.86724</v>
      </c>
      <c r="EO100">
        <v>1.8633999999999999</v>
      </c>
      <c r="EP100">
        <v>1.8644700000000001</v>
      </c>
      <c r="EQ100">
        <v>1.87019</v>
      </c>
      <c r="ER100">
        <v>1.8694599999999999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0.06</v>
      </c>
      <c r="FG100">
        <v>0.21299999999999999</v>
      </c>
      <c r="FH100">
        <v>0.49996858830924029</v>
      </c>
      <c r="FI100">
        <v>-6.1462078757559423E-4</v>
      </c>
      <c r="FJ100">
        <v>-1.8861989874597051E-7</v>
      </c>
      <c r="FK100">
        <v>1.1980462299894961E-10</v>
      </c>
      <c r="FL100">
        <v>-3.8593581000597899E-2</v>
      </c>
      <c r="FM100">
        <v>-1.6848085045870601E-2</v>
      </c>
      <c r="FN100">
        <v>1.9789084769509481E-3</v>
      </c>
      <c r="FO100">
        <v>-2.7142391389806329E-5</v>
      </c>
      <c r="FP100">
        <v>3</v>
      </c>
      <c r="FQ100">
        <v>2158</v>
      </c>
      <c r="FR100">
        <v>1</v>
      </c>
      <c r="FS100">
        <v>19</v>
      </c>
      <c r="FT100">
        <v>22.9</v>
      </c>
      <c r="FU100">
        <v>23</v>
      </c>
      <c r="FV100">
        <v>1.78101</v>
      </c>
      <c r="FW100">
        <v>2.5903299999999998</v>
      </c>
      <c r="FX100">
        <v>1.5490699999999999</v>
      </c>
      <c r="FY100">
        <v>2.3278799999999999</v>
      </c>
      <c r="FZ100">
        <v>1.50146</v>
      </c>
      <c r="GA100">
        <v>2.3962400000000001</v>
      </c>
      <c r="GB100">
        <v>34.099800000000002</v>
      </c>
      <c r="GC100">
        <v>23.982399999999998</v>
      </c>
      <c r="GD100">
        <v>19</v>
      </c>
      <c r="GE100">
        <v>264.30900000000003</v>
      </c>
      <c r="GF100">
        <v>590.86900000000003</v>
      </c>
      <c r="GG100">
        <v>20.7761</v>
      </c>
      <c r="GH100">
        <v>26.4726</v>
      </c>
      <c r="GI100">
        <v>29.9998</v>
      </c>
      <c r="GJ100">
        <v>26.635000000000002</v>
      </c>
      <c r="GK100">
        <v>26.622499999999999</v>
      </c>
      <c r="GL100">
        <v>35.598399999999998</v>
      </c>
      <c r="GM100">
        <v>49.036099999999998</v>
      </c>
      <c r="GN100">
        <v>79.808000000000007</v>
      </c>
      <c r="GO100">
        <v>20.780799999999999</v>
      </c>
      <c r="GP100">
        <v>800</v>
      </c>
      <c r="GQ100">
        <v>11.9079</v>
      </c>
      <c r="GR100">
        <v>99.737499999999997</v>
      </c>
      <c r="GS100">
        <v>99.607500000000002</v>
      </c>
    </row>
    <row r="101" spans="1:201" x14ac:dyDescent="0.25">
      <c r="A101">
        <v>85</v>
      </c>
      <c r="B101">
        <v>1690307640</v>
      </c>
      <c r="C101">
        <v>1021.400000095367</v>
      </c>
      <c r="D101" t="s">
        <v>503</v>
      </c>
      <c r="E101" t="s">
        <v>504</v>
      </c>
      <c r="F101" t="s">
        <v>330</v>
      </c>
      <c r="H101">
        <v>1690307640</v>
      </c>
      <c r="I101">
        <f t="shared" si="30"/>
        <v>8.6552676889757694E-4</v>
      </c>
      <c r="J101">
        <f t="shared" si="31"/>
        <v>0.86552676889757696</v>
      </c>
      <c r="K101">
        <f t="shared" si="32"/>
        <v>15.026721321058428</v>
      </c>
      <c r="L101">
        <f t="shared" si="33"/>
        <v>638.02300000000002</v>
      </c>
      <c r="M101">
        <f t="shared" si="34"/>
        <v>246.95828959071588</v>
      </c>
      <c r="N101">
        <f t="shared" si="35"/>
        <v>24.527342283394045</v>
      </c>
      <c r="O101">
        <f t="shared" si="36"/>
        <v>63.367010403307503</v>
      </c>
      <c r="P101">
        <f t="shared" si="37"/>
        <v>6.3919349114940432E-2</v>
      </c>
      <c r="Q101">
        <f t="shared" si="38"/>
        <v>2.1956251007904481</v>
      </c>
      <c r="R101">
        <f t="shared" si="39"/>
        <v>6.2903287841536509E-2</v>
      </c>
      <c r="S101">
        <f t="shared" si="40"/>
        <v>3.9404498562368162E-2</v>
      </c>
      <c r="T101">
        <f t="shared" si="41"/>
        <v>276.11612460000003</v>
      </c>
      <c r="U101">
        <f t="shared" si="42"/>
        <v>26.050211311261609</v>
      </c>
      <c r="V101">
        <f t="shared" si="43"/>
        <v>26.050211311261609</v>
      </c>
      <c r="W101">
        <f t="shared" si="44"/>
        <v>3.3842969471737181</v>
      </c>
      <c r="X101">
        <f t="shared" si="45"/>
        <v>67.738257232004983</v>
      </c>
      <c r="Y101">
        <f t="shared" si="46"/>
        <v>2.0551425253815001</v>
      </c>
      <c r="Z101">
        <f t="shared" si="47"/>
        <v>3.0339465604238871</v>
      </c>
      <c r="AA101">
        <f t="shared" si="48"/>
        <v>1.329154421792218</v>
      </c>
      <c r="AB101">
        <f t="shared" si="49"/>
        <v>-38.16973050838314</v>
      </c>
      <c r="AC101">
        <f t="shared" si="50"/>
        <v>-217.18760650811294</v>
      </c>
      <c r="AD101">
        <f t="shared" si="51"/>
        <v>-20.95180646219978</v>
      </c>
      <c r="AE101">
        <f t="shared" si="52"/>
        <v>-0.19301887869582401</v>
      </c>
      <c r="AF101">
        <v>15</v>
      </c>
      <c r="AG101">
        <v>5</v>
      </c>
      <c r="AH101">
        <f t="shared" si="53"/>
        <v>1</v>
      </c>
      <c r="AI101">
        <f t="shared" si="54"/>
        <v>0</v>
      </c>
      <c r="AJ101">
        <f t="shared" si="55"/>
        <v>52942.397234558208</v>
      </c>
      <c r="AK101">
        <f t="shared" si="56"/>
        <v>1800</v>
      </c>
      <c r="AL101">
        <f t="shared" si="57"/>
        <v>1499.1132150000001</v>
      </c>
      <c r="AM101">
        <f t="shared" si="58"/>
        <v>0.83284067500000003</v>
      </c>
      <c r="AN101">
        <f t="shared" si="59"/>
        <v>0.153397847</v>
      </c>
      <c r="AO101">
        <v>31.2</v>
      </c>
      <c r="AP101">
        <v>0.5</v>
      </c>
      <c r="AQ101" t="s">
        <v>331</v>
      </c>
      <c r="AR101">
        <v>2</v>
      </c>
      <c r="AS101">
        <v>1690307640</v>
      </c>
      <c r="AT101">
        <v>638.02300000000002</v>
      </c>
      <c r="AU101">
        <v>799.99599999999998</v>
      </c>
      <c r="AV101">
        <v>20.692599999999999</v>
      </c>
      <c r="AW101">
        <v>11.88</v>
      </c>
      <c r="AX101">
        <v>637.96100000000001</v>
      </c>
      <c r="AY101">
        <v>20.479399999999998</v>
      </c>
      <c r="AZ101">
        <v>300.089</v>
      </c>
      <c r="BA101">
        <v>99.217799999999997</v>
      </c>
      <c r="BB101">
        <v>9.99525E-2</v>
      </c>
      <c r="BC101">
        <v>24.215399999999999</v>
      </c>
      <c r="BD101">
        <v>26.9421</v>
      </c>
      <c r="BE101">
        <v>26.1051</v>
      </c>
      <c r="BF101">
        <v>0</v>
      </c>
      <c r="BG101">
        <v>0</v>
      </c>
      <c r="BH101">
        <v>9997.5</v>
      </c>
      <c r="BI101">
        <v>1039.3699999999999</v>
      </c>
      <c r="BJ101">
        <v>1.62592</v>
      </c>
      <c r="BK101">
        <v>-161.97300000000001</v>
      </c>
      <c r="BL101">
        <v>651.505</v>
      </c>
      <c r="BM101">
        <v>809.61500000000001</v>
      </c>
      <c r="BN101">
        <v>8.8126800000000003</v>
      </c>
      <c r="BO101">
        <v>799.99599999999998</v>
      </c>
      <c r="BP101">
        <v>11.88</v>
      </c>
      <c r="BQ101">
        <v>2.05308</v>
      </c>
      <c r="BR101">
        <v>1.1787000000000001</v>
      </c>
      <c r="BS101">
        <v>17.8597</v>
      </c>
      <c r="BT101">
        <v>9.3352400000000006</v>
      </c>
      <c r="BU101">
        <v>1800</v>
      </c>
      <c r="BV101">
        <v>0.91000300000000001</v>
      </c>
      <c r="BW101">
        <v>3.4003899999999997E-2</v>
      </c>
      <c r="BX101">
        <v>2.2007499999999999E-2</v>
      </c>
      <c r="BY101">
        <v>3.39852E-2</v>
      </c>
      <c r="BZ101">
        <v>26</v>
      </c>
      <c r="CA101">
        <v>33528.300000000003</v>
      </c>
      <c r="CB101">
        <v>1690306253.5999999</v>
      </c>
      <c r="CC101" t="s">
        <v>332</v>
      </c>
      <c r="CD101">
        <v>1690306253.5999999</v>
      </c>
      <c r="CE101">
        <v>1690306251.5999999</v>
      </c>
      <c r="CF101">
        <v>9</v>
      </c>
      <c r="CG101">
        <v>0.19</v>
      </c>
      <c r="CH101">
        <v>-8.7999999999999995E-2</v>
      </c>
      <c r="CI101">
        <v>-5.0999999999999997E-2</v>
      </c>
      <c r="CJ101">
        <v>5.0999999999999997E-2</v>
      </c>
      <c r="CK101">
        <v>799</v>
      </c>
      <c r="CL101">
        <v>15</v>
      </c>
      <c r="CM101">
        <v>0.28000000000000003</v>
      </c>
      <c r="CN101">
        <v>0.03</v>
      </c>
      <c r="CO101">
        <v>-158.41087804878049</v>
      </c>
      <c r="CP101">
        <v>-18.429972125435398</v>
      </c>
      <c r="CQ101">
        <v>1.817974284010369</v>
      </c>
      <c r="CR101">
        <v>-1</v>
      </c>
      <c r="CS101">
        <v>8.63726951219512</v>
      </c>
      <c r="CT101">
        <v>1.2062993728223159</v>
      </c>
      <c r="CU101">
        <v>0.1197814408229242</v>
      </c>
      <c r="CV101">
        <v>-1</v>
      </c>
      <c r="CW101">
        <v>0</v>
      </c>
      <c r="CX101">
        <v>0</v>
      </c>
      <c r="CY101" t="s">
        <v>333</v>
      </c>
      <c r="CZ101">
        <v>2.3640500000000002</v>
      </c>
      <c r="DA101">
        <v>2.71374</v>
      </c>
      <c r="DB101">
        <v>0.12581200000000001</v>
      </c>
      <c r="DC101">
        <v>0.146315</v>
      </c>
      <c r="DD101">
        <v>0.102465</v>
      </c>
      <c r="DE101">
        <v>6.7486000000000004E-2</v>
      </c>
      <c r="DF101">
        <v>31918.400000000001</v>
      </c>
      <c r="DG101">
        <v>27519</v>
      </c>
      <c r="DH101">
        <v>31171.3</v>
      </c>
      <c r="DI101">
        <v>28089.5</v>
      </c>
      <c r="DJ101">
        <v>37988.699999999997</v>
      </c>
      <c r="DK101">
        <v>37255.300000000003</v>
      </c>
      <c r="DL101">
        <v>44362.3</v>
      </c>
      <c r="DM101">
        <v>42583.199999999997</v>
      </c>
      <c r="DN101">
        <v>1.42825</v>
      </c>
      <c r="DO101">
        <v>2.0418699999999999</v>
      </c>
      <c r="DP101">
        <v>0.175565</v>
      </c>
      <c r="DQ101">
        <v>0.15248400000000001</v>
      </c>
      <c r="DR101">
        <v>24.063800000000001</v>
      </c>
      <c r="DS101">
        <v>23.602599999999999</v>
      </c>
      <c r="DT101">
        <v>53.4</v>
      </c>
      <c r="DU101">
        <v>29.3</v>
      </c>
      <c r="DV101">
        <v>22.023900000000001</v>
      </c>
      <c r="DW101">
        <v>61.953000000000003</v>
      </c>
      <c r="DX101">
        <v>36.342100000000002</v>
      </c>
      <c r="DY101">
        <v>1</v>
      </c>
      <c r="DZ101">
        <v>-6.9618899999999997E-2</v>
      </c>
      <c r="EA101">
        <v>1.3964000000000001</v>
      </c>
      <c r="EB101">
        <v>20.182700000000001</v>
      </c>
      <c r="EC101">
        <v>5.2403500000000003</v>
      </c>
      <c r="ED101">
        <v>12.039899999999999</v>
      </c>
      <c r="EE101">
        <v>5.0165499999999996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</v>
      </c>
      <c r="EL101">
        <v>1.8646199999999999</v>
      </c>
      <c r="EM101">
        <v>1.8692</v>
      </c>
      <c r="EN101">
        <v>1.8672299999999999</v>
      </c>
      <c r="EO101">
        <v>1.8633999999999999</v>
      </c>
      <c r="EP101">
        <v>1.8644799999999999</v>
      </c>
      <c r="EQ101">
        <v>1.87019</v>
      </c>
      <c r="ER101">
        <v>1.86944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6.2E-2</v>
      </c>
      <c r="FG101">
        <v>0.2132</v>
      </c>
      <c r="FH101">
        <v>0.49996858830924029</v>
      </c>
      <c r="FI101">
        <v>-6.1462078757559423E-4</v>
      </c>
      <c r="FJ101">
        <v>-1.8861989874597051E-7</v>
      </c>
      <c r="FK101">
        <v>1.1980462299894961E-10</v>
      </c>
      <c r="FL101">
        <v>-3.8593581000597899E-2</v>
      </c>
      <c r="FM101">
        <v>-1.6848085045870601E-2</v>
      </c>
      <c r="FN101">
        <v>1.9789084769509481E-3</v>
      </c>
      <c r="FO101">
        <v>-2.7142391389806329E-5</v>
      </c>
      <c r="FP101">
        <v>3</v>
      </c>
      <c r="FQ101">
        <v>2158</v>
      </c>
      <c r="FR101">
        <v>1</v>
      </c>
      <c r="FS101">
        <v>19</v>
      </c>
      <c r="FT101">
        <v>23.1</v>
      </c>
      <c r="FU101">
        <v>23.1</v>
      </c>
      <c r="FV101">
        <v>1.77979</v>
      </c>
      <c r="FW101">
        <v>2.5891099999999998</v>
      </c>
      <c r="FX101">
        <v>1.5490699999999999</v>
      </c>
      <c r="FY101">
        <v>2.3278799999999999</v>
      </c>
      <c r="FZ101">
        <v>1.50146</v>
      </c>
      <c r="GA101">
        <v>2.3864700000000001</v>
      </c>
      <c r="GB101">
        <v>34.099800000000002</v>
      </c>
      <c r="GC101">
        <v>23.991199999999999</v>
      </c>
      <c r="GD101">
        <v>19</v>
      </c>
      <c r="GE101">
        <v>264.08499999999998</v>
      </c>
      <c r="GF101">
        <v>590.91300000000001</v>
      </c>
      <c r="GG101">
        <v>20.819800000000001</v>
      </c>
      <c r="GH101">
        <v>26.465699999999998</v>
      </c>
      <c r="GI101">
        <v>29.9998</v>
      </c>
      <c r="GJ101">
        <v>26.629899999999999</v>
      </c>
      <c r="GK101">
        <v>26.6189</v>
      </c>
      <c r="GL101">
        <v>35.596400000000003</v>
      </c>
      <c r="GM101">
        <v>49.331499999999998</v>
      </c>
      <c r="GN101">
        <v>79.0321</v>
      </c>
      <c r="GO101">
        <v>20.852799999999998</v>
      </c>
      <c r="GP101">
        <v>800</v>
      </c>
      <c r="GQ101">
        <v>11.7538</v>
      </c>
      <c r="GR101">
        <v>99.738299999999995</v>
      </c>
      <c r="GS101">
        <v>99.6083</v>
      </c>
    </row>
    <row r="102" spans="1:201" x14ac:dyDescent="0.25">
      <c r="A102">
        <v>86</v>
      </c>
      <c r="B102">
        <v>1690307650</v>
      </c>
      <c r="C102">
        <v>1031.400000095367</v>
      </c>
      <c r="D102" t="s">
        <v>505</v>
      </c>
      <c r="E102" t="s">
        <v>506</v>
      </c>
      <c r="F102" t="s">
        <v>330</v>
      </c>
      <c r="H102">
        <v>1690307650</v>
      </c>
      <c r="I102">
        <f t="shared" si="30"/>
        <v>8.8680383153217984E-4</v>
      </c>
      <c r="J102">
        <f t="shared" si="31"/>
        <v>0.88680383153217979</v>
      </c>
      <c r="K102">
        <f t="shared" si="32"/>
        <v>15.326961572039778</v>
      </c>
      <c r="L102">
        <f t="shared" si="33"/>
        <v>634.99300000000005</v>
      </c>
      <c r="M102">
        <f t="shared" si="34"/>
        <v>245.96098590466505</v>
      </c>
      <c r="N102">
        <f t="shared" si="35"/>
        <v>24.427875541844898</v>
      </c>
      <c r="O102">
        <f t="shared" si="36"/>
        <v>63.065001617594007</v>
      </c>
      <c r="P102">
        <f t="shared" si="37"/>
        <v>6.5560627988625594E-2</v>
      </c>
      <c r="Q102">
        <f t="shared" si="38"/>
        <v>2.1940652024444369</v>
      </c>
      <c r="R102">
        <f t="shared" si="39"/>
        <v>6.4491441213892761E-2</v>
      </c>
      <c r="S102">
        <f t="shared" si="40"/>
        <v>4.0401760491721325E-2</v>
      </c>
      <c r="T102">
        <f t="shared" si="41"/>
        <v>276.11601168599998</v>
      </c>
      <c r="U102">
        <f t="shared" si="42"/>
        <v>26.050051440948955</v>
      </c>
      <c r="V102">
        <f t="shared" si="43"/>
        <v>26.050051440948955</v>
      </c>
      <c r="W102">
        <f t="shared" si="44"/>
        <v>3.3842649437177097</v>
      </c>
      <c r="X102">
        <f t="shared" si="45"/>
        <v>67.742589414606087</v>
      </c>
      <c r="Y102">
        <f t="shared" si="46"/>
        <v>2.0560013062927998</v>
      </c>
      <c r="Z102">
        <f t="shared" si="47"/>
        <v>3.0350202495352243</v>
      </c>
      <c r="AA102">
        <f t="shared" si="48"/>
        <v>1.3282636374249099</v>
      </c>
      <c r="AB102">
        <f t="shared" si="49"/>
        <v>-39.108048970569129</v>
      </c>
      <c r="AC102">
        <f t="shared" si="50"/>
        <v>-216.31650343609175</v>
      </c>
      <c r="AD102">
        <f t="shared" si="51"/>
        <v>-20.883210281802178</v>
      </c>
      <c r="AE102">
        <f t="shared" si="52"/>
        <v>-0.19175100246309285</v>
      </c>
      <c r="AF102">
        <v>15</v>
      </c>
      <c r="AG102">
        <v>5</v>
      </c>
      <c r="AH102">
        <f t="shared" si="53"/>
        <v>1</v>
      </c>
      <c r="AI102">
        <f t="shared" si="54"/>
        <v>0</v>
      </c>
      <c r="AJ102">
        <f t="shared" si="55"/>
        <v>52876.883689863811</v>
      </c>
      <c r="AK102">
        <f t="shared" si="56"/>
        <v>1800</v>
      </c>
      <c r="AL102">
        <f t="shared" si="57"/>
        <v>1499.1123185999998</v>
      </c>
      <c r="AM102">
        <f t="shared" si="58"/>
        <v>0.8328401769999999</v>
      </c>
      <c r="AN102">
        <f t="shared" si="59"/>
        <v>0.15339778426999998</v>
      </c>
      <c r="AO102">
        <v>31.2</v>
      </c>
      <c r="AP102">
        <v>0.5</v>
      </c>
      <c r="AQ102" t="s">
        <v>331</v>
      </c>
      <c r="AR102">
        <v>2</v>
      </c>
      <c r="AS102">
        <v>1690307650</v>
      </c>
      <c r="AT102">
        <v>634.99300000000005</v>
      </c>
      <c r="AU102">
        <v>800.16499999999996</v>
      </c>
      <c r="AV102">
        <v>20.701599999999999</v>
      </c>
      <c r="AW102">
        <v>11.6744</v>
      </c>
      <c r="AX102">
        <v>634.92899999999997</v>
      </c>
      <c r="AY102">
        <v>20.488099999999999</v>
      </c>
      <c r="AZ102">
        <v>300.154</v>
      </c>
      <c r="BA102">
        <v>99.215999999999994</v>
      </c>
      <c r="BB102">
        <v>0.10005799999999999</v>
      </c>
      <c r="BC102">
        <v>24.221299999999999</v>
      </c>
      <c r="BD102">
        <v>26.9255</v>
      </c>
      <c r="BE102">
        <v>26.122199999999999</v>
      </c>
      <c r="BF102">
        <v>0</v>
      </c>
      <c r="BG102">
        <v>0</v>
      </c>
      <c r="BH102">
        <v>9985</v>
      </c>
      <c r="BI102">
        <v>1039.23</v>
      </c>
      <c r="BJ102">
        <v>1.62592</v>
      </c>
      <c r="BK102">
        <v>-165.172</v>
      </c>
      <c r="BL102">
        <v>648.41600000000005</v>
      </c>
      <c r="BM102">
        <v>809.61699999999996</v>
      </c>
      <c r="BN102">
        <v>9.0272000000000006</v>
      </c>
      <c r="BO102">
        <v>800.16499999999996</v>
      </c>
      <c r="BP102">
        <v>11.6744</v>
      </c>
      <c r="BQ102">
        <v>2.0539299999999998</v>
      </c>
      <c r="BR102">
        <v>1.15829</v>
      </c>
      <c r="BS102">
        <v>17.866299999999999</v>
      </c>
      <c r="BT102">
        <v>9.0759600000000002</v>
      </c>
      <c r="BU102">
        <v>1800</v>
      </c>
      <c r="BV102">
        <v>0.90999600000000003</v>
      </c>
      <c r="BW102">
        <v>3.40033E-2</v>
      </c>
      <c r="BX102">
        <v>2.2004599999999999E-2</v>
      </c>
      <c r="BY102">
        <v>3.39963E-2</v>
      </c>
      <c r="BZ102">
        <v>26</v>
      </c>
      <c r="CA102">
        <v>33528.300000000003</v>
      </c>
      <c r="CB102">
        <v>1690306253.5999999</v>
      </c>
      <c r="CC102" t="s">
        <v>332</v>
      </c>
      <c r="CD102">
        <v>1690306253.5999999</v>
      </c>
      <c r="CE102">
        <v>1690306251.5999999</v>
      </c>
      <c r="CF102">
        <v>9</v>
      </c>
      <c r="CG102">
        <v>0.19</v>
      </c>
      <c r="CH102">
        <v>-8.7999999999999995E-2</v>
      </c>
      <c r="CI102">
        <v>-5.0999999999999997E-2</v>
      </c>
      <c r="CJ102">
        <v>5.0999999999999997E-2</v>
      </c>
      <c r="CK102">
        <v>799</v>
      </c>
      <c r="CL102">
        <v>15</v>
      </c>
      <c r="CM102">
        <v>0.28000000000000003</v>
      </c>
      <c r="CN102">
        <v>0.03</v>
      </c>
      <c r="CO102">
        <v>-161.761225</v>
      </c>
      <c r="CP102">
        <v>-19.131320825515989</v>
      </c>
      <c r="CQ102">
        <v>1.8411757994213931</v>
      </c>
      <c r="CR102">
        <v>-1</v>
      </c>
      <c r="CS102">
        <v>8.8238319999999995</v>
      </c>
      <c r="CT102">
        <v>0.85081350844277415</v>
      </c>
      <c r="CU102">
        <v>8.2610995218554278E-2</v>
      </c>
      <c r="CV102">
        <v>-1</v>
      </c>
      <c r="CW102">
        <v>0</v>
      </c>
      <c r="CX102">
        <v>0</v>
      </c>
      <c r="CY102" t="s">
        <v>333</v>
      </c>
      <c r="CZ102">
        <v>2.3642500000000002</v>
      </c>
      <c r="DA102">
        <v>2.7138399999999998</v>
      </c>
      <c r="DB102">
        <v>0.12539500000000001</v>
      </c>
      <c r="DC102">
        <v>0.14632999999999999</v>
      </c>
      <c r="DD102">
        <v>0.102495</v>
      </c>
      <c r="DE102">
        <v>6.6602599999999998E-2</v>
      </c>
      <c r="DF102">
        <v>31933.7</v>
      </c>
      <c r="DG102">
        <v>27519.3</v>
      </c>
      <c r="DH102">
        <v>31171.3</v>
      </c>
      <c r="DI102">
        <v>28090.2</v>
      </c>
      <c r="DJ102">
        <v>37987.5</v>
      </c>
      <c r="DK102">
        <v>37291.4</v>
      </c>
      <c r="DL102">
        <v>44362.400000000001</v>
      </c>
      <c r="DM102">
        <v>42584</v>
      </c>
      <c r="DN102">
        <v>1.42913</v>
      </c>
      <c r="DO102">
        <v>2.0416500000000002</v>
      </c>
      <c r="DP102">
        <v>0.174955</v>
      </c>
      <c r="DQ102">
        <v>0.15369099999999999</v>
      </c>
      <c r="DR102">
        <v>24.057200000000002</v>
      </c>
      <c r="DS102">
        <v>23.599900000000002</v>
      </c>
      <c r="DT102">
        <v>53.2</v>
      </c>
      <c r="DU102">
        <v>29.3</v>
      </c>
      <c r="DV102">
        <v>21.942299999999999</v>
      </c>
      <c r="DW102">
        <v>62.033000000000001</v>
      </c>
      <c r="DX102">
        <v>36.578499999999998</v>
      </c>
      <c r="DY102">
        <v>1</v>
      </c>
      <c r="DZ102">
        <v>-7.0147399999999999E-2</v>
      </c>
      <c r="EA102">
        <v>1.2798</v>
      </c>
      <c r="EB102">
        <v>20.183700000000002</v>
      </c>
      <c r="EC102">
        <v>5.2409499999999998</v>
      </c>
      <c r="ED102">
        <v>12.039899999999999</v>
      </c>
      <c r="EE102">
        <v>5.0168999999999997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1.8689100000000001</v>
      </c>
      <c r="EL102">
        <v>1.8646400000000001</v>
      </c>
      <c r="EM102">
        <v>1.8692</v>
      </c>
      <c r="EN102">
        <v>1.8672299999999999</v>
      </c>
      <c r="EO102">
        <v>1.8633999999999999</v>
      </c>
      <c r="EP102">
        <v>1.8644799999999999</v>
      </c>
      <c r="EQ102">
        <v>1.8702000000000001</v>
      </c>
      <c r="ER102">
        <v>1.86941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6.4000000000000001E-2</v>
      </c>
      <c r="FG102">
        <v>0.2135</v>
      </c>
      <c r="FH102">
        <v>0.49996858830924029</v>
      </c>
      <c r="FI102">
        <v>-6.1462078757559423E-4</v>
      </c>
      <c r="FJ102">
        <v>-1.8861989874597051E-7</v>
      </c>
      <c r="FK102">
        <v>1.1980462299894961E-10</v>
      </c>
      <c r="FL102">
        <v>-3.8593581000597899E-2</v>
      </c>
      <c r="FM102">
        <v>-1.6848085045870601E-2</v>
      </c>
      <c r="FN102">
        <v>1.9789084769509481E-3</v>
      </c>
      <c r="FO102">
        <v>-2.7142391389806329E-5</v>
      </c>
      <c r="FP102">
        <v>3</v>
      </c>
      <c r="FQ102">
        <v>2158</v>
      </c>
      <c r="FR102">
        <v>1</v>
      </c>
      <c r="FS102">
        <v>19</v>
      </c>
      <c r="FT102">
        <v>23.3</v>
      </c>
      <c r="FU102">
        <v>23.3</v>
      </c>
      <c r="FV102">
        <v>1.77979</v>
      </c>
      <c r="FW102">
        <v>2.5964399999999999</v>
      </c>
      <c r="FX102">
        <v>1.5490699999999999</v>
      </c>
      <c r="FY102">
        <v>2.3278799999999999</v>
      </c>
      <c r="FZ102">
        <v>1.50146</v>
      </c>
      <c r="GA102">
        <v>2.2741699999999998</v>
      </c>
      <c r="GB102">
        <v>34.077100000000002</v>
      </c>
      <c r="GC102">
        <v>23.973700000000001</v>
      </c>
      <c r="GD102">
        <v>19</v>
      </c>
      <c r="GE102">
        <v>264.423</v>
      </c>
      <c r="GF102">
        <v>590.68100000000004</v>
      </c>
      <c r="GG102">
        <v>20.904</v>
      </c>
      <c r="GH102">
        <v>26.458500000000001</v>
      </c>
      <c r="GI102">
        <v>29.9998</v>
      </c>
      <c r="GJ102">
        <v>26.625499999999999</v>
      </c>
      <c r="GK102">
        <v>26.614999999999998</v>
      </c>
      <c r="GL102">
        <v>35.586199999999998</v>
      </c>
      <c r="GM102">
        <v>49.627699999999997</v>
      </c>
      <c r="GN102">
        <v>78.6524</v>
      </c>
      <c r="GO102">
        <v>20.939800000000002</v>
      </c>
      <c r="GP102">
        <v>800</v>
      </c>
      <c r="GQ102">
        <v>11.5913</v>
      </c>
      <c r="GR102">
        <v>99.738399999999999</v>
      </c>
      <c r="GS102">
        <v>99.610399999999998</v>
      </c>
    </row>
    <row r="103" spans="1:201" x14ac:dyDescent="0.25">
      <c r="A103">
        <v>87</v>
      </c>
      <c r="B103">
        <v>1690307660</v>
      </c>
      <c r="C103">
        <v>1041.400000095367</v>
      </c>
      <c r="D103" t="s">
        <v>507</v>
      </c>
      <c r="E103" t="s">
        <v>508</v>
      </c>
      <c r="F103" t="s">
        <v>330</v>
      </c>
      <c r="H103">
        <v>1690307660</v>
      </c>
      <c r="I103">
        <f t="shared" si="30"/>
        <v>8.9957462277884628E-4</v>
      </c>
      <c r="J103">
        <f t="shared" si="31"/>
        <v>0.89957462277884626</v>
      </c>
      <c r="K103">
        <f t="shared" si="32"/>
        <v>15.603146598938395</v>
      </c>
      <c r="L103">
        <f t="shared" si="33"/>
        <v>631.85900000000004</v>
      </c>
      <c r="M103">
        <f t="shared" si="34"/>
        <v>241.63244289093029</v>
      </c>
      <c r="N103">
        <f t="shared" si="35"/>
        <v>23.996922951962304</v>
      </c>
      <c r="O103">
        <f t="shared" si="36"/>
        <v>62.750976475241693</v>
      </c>
      <c r="P103">
        <f t="shared" si="37"/>
        <v>6.6529219628448807E-2</v>
      </c>
      <c r="Q103">
        <f t="shared" si="38"/>
        <v>2.1996129730942977</v>
      </c>
      <c r="R103">
        <f t="shared" si="39"/>
        <v>6.5431219918379677E-2</v>
      </c>
      <c r="S103">
        <f t="shared" si="40"/>
        <v>4.099165388707008E-2</v>
      </c>
      <c r="T103">
        <f t="shared" si="41"/>
        <v>276.11665029</v>
      </c>
      <c r="U103">
        <f t="shared" si="42"/>
        <v>26.055288043277994</v>
      </c>
      <c r="V103">
        <f t="shared" si="43"/>
        <v>26.055288043277994</v>
      </c>
      <c r="W103">
        <f t="shared" si="44"/>
        <v>3.3853133644525628</v>
      </c>
      <c r="X103">
        <f t="shared" si="45"/>
        <v>67.730974236400201</v>
      </c>
      <c r="Y103">
        <f t="shared" si="46"/>
        <v>2.0573506173984297</v>
      </c>
      <c r="Z103">
        <f t="shared" si="47"/>
        <v>3.0375328874167615</v>
      </c>
      <c r="AA103">
        <f t="shared" si="48"/>
        <v>1.3279627470541331</v>
      </c>
      <c r="AB103">
        <f t="shared" si="49"/>
        <v>-39.671240864547123</v>
      </c>
      <c r="AC103">
        <f t="shared" si="50"/>
        <v>-215.8479721945867</v>
      </c>
      <c r="AD103">
        <f t="shared" si="51"/>
        <v>-20.787410592173092</v>
      </c>
      <c r="AE103">
        <f t="shared" si="52"/>
        <v>-0.18997336130692588</v>
      </c>
      <c r="AF103">
        <v>15</v>
      </c>
      <c r="AG103">
        <v>5</v>
      </c>
      <c r="AH103">
        <f t="shared" si="53"/>
        <v>1</v>
      </c>
      <c r="AI103">
        <f t="shared" si="54"/>
        <v>0</v>
      </c>
      <c r="AJ103">
        <f t="shared" si="55"/>
        <v>53103.660364866832</v>
      </c>
      <c r="AK103">
        <f t="shared" si="56"/>
        <v>1800</v>
      </c>
      <c r="AL103">
        <f t="shared" si="57"/>
        <v>1499.1108389999999</v>
      </c>
      <c r="AM103">
        <f t="shared" si="58"/>
        <v>0.83283935499999995</v>
      </c>
      <c r="AN103">
        <f t="shared" si="59"/>
        <v>0.15339813904999999</v>
      </c>
      <c r="AO103">
        <v>31.2</v>
      </c>
      <c r="AP103">
        <v>0.5</v>
      </c>
      <c r="AQ103" t="s">
        <v>331</v>
      </c>
      <c r="AR103">
        <v>2</v>
      </c>
      <c r="AS103">
        <v>1690307660</v>
      </c>
      <c r="AT103">
        <v>631.85900000000004</v>
      </c>
      <c r="AU103">
        <v>799.96299999999997</v>
      </c>
      <c r="AV103">
        <v>20.716100000000001</v>
      </c>
      <c r="AW103">
        <v>11.5587</v>
      </c>
      <c r="AX103">
        <v>631.79300000000001</v>
      </c>
      <c r="AY103">
        <v>20.502199999999998</v>
      </c>
      <c r="AZ103">
        <v>300.14299999999997</v>
      </c>
      <c r="BA103">
        <v>99.211699999999993</v>
      </c>
      <c r="BB103">
        <v>9.9976300000000004E-2</v>
      </c>
      <c r="BC103">
        <v>24.235099999999999</v>
      </c>
      <c r="BD103">
        <v>26.959199999999999</v>
      </c>
      <c r="BE103">
        <v>26.132899999999999</v>
      </c>
      <c r="BF103">
        <v>0</v>
      </c>
      <c r="BG103">
        <v>0</v>
      </c>
      <c r="BH103">
        <v>10030.6</v>
      </c>
      <c r="BI103">
        <v>1039.28</v>
      </c>
      <c r="BJ103">
        <v>1.62592</v>
      </c>
      <c r="BK103">
        <v>-168.10400000000001</v>
      </c>
      <c r="BL103">
        <v>645.226</v>
      </c>
      <c r="BM103">
        <v>809.31799999999998</v>
      </c>
      <c r="BN103">
        <v>9.1574399999999994</v>
      </c>
      <c r="BO103">
        <v>799.96299999999997</v>
      </c>
      <c r="BP103">
        <v>11.5587</v>
      </c>
      <c r="BQ103">
        <v>2.0552800000000002</v>
      </c>
      <c r="BR103">
        <v>1.14676</v>
      </c>
      <c r="BS103">
        <v>17.876799999999999</v>
      </c>
      <c r="BT103">
        <v>8.9277300000000004</v>
      </c>
      <c r="BU103">
        <v>1800</v>
      </c>
      <c r="BV103">
        <v>0.90998199999999996</v>
      </c>
      <c r="BW103">
        <v>3.40021E-2</v>
      </c>
      <c r="BX103">
        <v>2.2009000000000001E-2</v>
      </c>
      <c r="BY103">
        <v>3.40069E-2</v>
      </c>
      <c r="BZ103">
        <v>26</v>
      </c>
      <c r="CA103">
        <v>33528.199999999997</v>
      </c>
      <c r="CB103">
        <v>1690306253.5999999</v>
      </c>
      <c r="CC103" t="s">
        <v>332</v>
      </c>
      <c r="CD103">
        <v>1690306253.5999999</v>
      </c>
      <c r="CE103">
        <v>1690306251.5999999</v>
      </c>
      <c r="CF103">
        <v>9</v>
      </c>
      <c r="CG103">
        <v>0.19</v>
      </c>
      <c r="CH103">
        <v>-8.7999999999999995E-2</v>
      </c>
      <c r="CI103">
        <v>-5.0999999999999997E-2</v>
      </c>
      <c r="CJ103">
        <v>5.0999999999999997E-2</v>
      </c>
      <c r="CK103">
        <v>799</v>
      </c>
      <c r="CL103">
        <v>15</v>
      </c>
      <c r="CM103">
        <v>0.28000000000000003</v>
      </c>
      <c r="CN103">
        <v>0.03</v>
      </c>
      <c r="CO103">
        <v>-164.88992500000001</v>
      </c>
      <c r="CP103">
        <v>-18.685879924952779</v>
      </c>
      <c r="CQ103">
        <v>1.798737020627251</v>
      </c>
      <c r="CR103">
        <v>-1</v>
      </c>
      <c r="CS103">
        <v>8.9911892499999997</v>
      </c>
      <c r="CT103">
        <v>1.1202275797373189</v>
      </c>
      <c r="CU103">
        <v>0.1087608861077248</v>
      </c>
      <c r="CV103">
        <v>-1</v>
      </c>
      <c r="CW103">
        <v>0</v>
      </c>
      <c r="CX103">
        <v>0</v>
      </c>
      <c r="CY103" t="s">
        <v>333</v>
      </c>
      <c r="CZ103">
        <v>2.3642400000000001</v>
      </c>
      <c r="DA103">
        <v>2.7137899999999999</v>
      </c>
      <c r="DB103">
        <v>0.124959</v>
      </c>
      <c r="DC103">
        <v>0.14629800000000001</v>
      </c>
      <c r="DD103">
        <v>0.10254199999999999</v>
      </c>
      <c r="DE103">
        <v>6.6101099999999996E-2</v>
      </c>
      <c r="DF103">
        <v>31950.5</v>
      </c>
      <c r="DG103">
        <v>27520.2</v>
      </c>
      <c r="DH103">
        <v>31172.1</v>
      </c>
      <c r="DI103">
        <v>28090</v>
      </c>
      <c r="DJ103">
        <v>37986.300000000003</v>
      </c>
      <c r="DK103">
        <v>37311.4</v>
      </c>
      <c r="DL103">
        <v>44363.4</v>
      </c>
      <c r="DM103">
        <v>42583.8</v>
      </c>
      <c r="DN103">
        <v>1.4289700000000001</v>
      </c>
      <c r="DO103">
        <v>2.0413299999999999</v>
      </c>
      <c r="DP103">
        <v>0.177287</v>
      </c>
      <c r="DQ103">
        <v>0.15446499999999999</v>
      </c>
      <c r="DR103">
        <v>24.052700000000002</v>
      </c>
      <c r="DS103">
        <v>23.597899999999999</v>
      </c>
      <c r="DT103">
        <v>53</v>
      </c>
      <c r="DU103">
        <v>29.3</v>
      </c>
      <c r="DV103">
        <v>21.8612</v>
      </c>
      <c r="DW103">
        <v>61.363</v>
      </c>
      <c r="DX103">
        <v>35.681100000000001</v>
      </c>
      <c r="DY103">
        <v>1</v>
      </c>
      <c r="DZ103">
        <v>-7.0546200000000003E-2</v>
      </c>
      <c r="EA103">
        <v>1.2452300000000001</v>
      </c>
      <c r="EB103">
        <v>20.184200000000001</v>
      </c>
      <c r="EC103">
        <v>5.2401999999999997</v>
      </c>
      <c r="ED103">
        <v>12.039899999999999</v>
      </c>
      <c r="EE103">
        <v>5.0165499999999996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</v>
      </c>
      <c r="EL103">
        <v>1.86463</v>
      </c>
      <c r="EM103">
        <v>1.8692</v>
      </c>
      <c r="EN103">
        <v>1.8672599999999999</v>
      </c>
      <c r="EO103">
        <v>1.8633999999999999</v>
      </c>
      <c r="EP103">
        <v>1.8644700000000001</v>
      </c>
      <c r="EQ103">
        <v>1.87018</v>
      </c>
      <c r="ER103">
        <v>1.8694299999999999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6.6000000000000003E-2</v>
      </c>
      <c r="FG103">
        <v>0.21390000000000001</v>
      </c>
      <c r="FH103">
        <v>0.49996858830924029</v>
      </c>
      <c r="FI103">
        <v>-6.1462078757559423E-4</v>
      </c>
      <c r="FJ103">
        <v>-1.8861989874597051E-7</v>
      </c>
      <c r="FK103">
        <v>1.1980462299894961E-10</v>
      </c>
      <c r="FL103">
        <v>-3.8593581000597899E-2</v>
      </c>
      <c r="FM103">
        <v>-1.6848085045870601E-2</v>
      </c>
      <c r="FN103">
        <v>1.9789084769509481E-3</v>
      </c>
      <c r="FO103">
        <v>-2.7142391389806329E-5</v>
      </c>
      <c r="FP103">
        <v>3</v>
      </c>
      <c r="FQ103">
        <v>2158</v>
      </c>
      <c r="FR103">
        <v>1</v>
      </c>
      <c r="FS103">
        <v>19</v>
      </c>
      <c r="FT103">
        <v>23.4</v>
      </c>
      <c r="FU103">
        <v>23.5</v>
      </c>
      <c r="FV103">
        <v>1.77979</v>
      </c>
      <c r="FW103">
        <v>2.5927699999999998</v>
      </c>
      <c r="FX103">
        <v>1.5490699999999999</v>
      </c>
      <c r="FY103">
        <v>2.3278799999999999</v>
      </c>
      <c r="FZ103">
        <v>1.50146</v>
      </c>
      <c r="GA103">
        <v>2.3559600000000001</v>
      </c>
      <c r="GB103">
        <v>34.099800000000002</v>
      </c>
      <c r="GC103">
        <v>23.982399999999998</v>
      </c>
      <c r="GD103">
        <v>19</v>
      </c>
      <c r="GE103">
        <v>264.34100000000001</v>
      </c>
      <c r="GF103">
        <v>590.36699999999996</v>
      </c>
      <c r="GG103">
        <v>21.000699999999998</v>
      </c>
      <c r="GH103">
        <v>26.450800000000001</v>
      </c>
      <c r="GI103">
        <v>29.999500000000001</v>
      </c>
      <c r="GJ103">
        <v>26.6204</v>
      </c>
      <c r="GK103">
        <v>26.6113</v>
      </c>
      <c r="GL103">
        <v>35.583599999999997</v>
      </c>
      <c r="GM103">
        <v>49.908200000000001</v>
      </c>
      <c r="GN103">
        <v>77.889600000000002</v>
      </c>
      <c r="GO103">
        <v>21.015000000000001</v>
      </c>
      <c r="GP103">
        <v>800</v>
      </c>
      <c r="GQ103">
        <v>11.425000000000001</v>
      </c>
      <c r="GR103">
        <v>99.740899999999996</v>
      </c>
      <c r="GS103">
        <v>99.61</v>
      </c>
    </row>
    <row r="104" spans="1:201" x14ac:dyDescent="0.25">
      <c r="A104">
        <v>88</v>
      </c>
      <c r="B104">
        <v>1690307670</v>
      </c>
      <c r="C104">
        <v>1051.400000095367</v>
      </c>
      <c r="D104" t="s">
        <v>509</v>
      </c>
      <c r="E104" t="s">
        <v>510</v>
      </c>
      <c r="F104" t="s">
        <v>330</v>
      </c>
      <c r="H104">
        <v>1690307670</v>
      </c>
      <c r="I104">
        <f t="shared" si="30"/>
        <v>9.2180441074358891E-4</v>
      </c>
      <c r="J104">
        <f t="shared" si="31"/>
        <v>0.92180441074358888</v>
      </c>
      <c r="K104">
        <f t="shared" si="32"/>
        <v>15.915880981850259</v>
      </c>
      <c r="L104">
        <f t="shared" si="33"/>
        <v>628.61800000000005</v>
      </c>
      <c r="M104">
        <f t="shared" si="34"/>
        <v>239.97090244155982</v>
      </c>
      <c r="N104">
        <f t="shared" si="35"/>
        <v>23.832230714120431</v>
      </c>
      <c r="O104">
        <f t="shared" si="36"/>
        <v>62.429940691236006</v>
      </c>
      <c r="P104">
        <f t="shared" si="37"/>
        <v>6.8162769731156481E-2</v>
      </c>
      <c r="Q104">
        <f t="shared" si="38"/>
        <v>2.1942594047790189</v>
      </c>
      <c r="R104">
        <f t="shared" si="39"/>
        <v>6.700793155812608E-2</v>
      </c>
      <c r="S104">
        <f t="shared" si="40"/>
        <v>4.1982085097377053E-2</v>
      </c>
      <c r="T104">
        <f t="shared" si="41"/>
        <v>276.11660665799997</v>
      </c>
      <c r="U104">
        <f t="shared" si="42"/>
        <v>26.068949812923176</v>
      </c>
      <c r="V104">
        <f t="shared" si="43"/>
        <v>26.068949812923176</v>
      </c>
      <c r="W104">
        <f t="shared" si="44"/>
        <v>3.3880499243739033</v>
      </c>
      <c r="X104">
        <f t="shared" si="45"/>
        <v>67.725425611123413</v>
      </c>
      <c r="Y104">
        <f t="shared" si="46"/>
        <v>2.0593047529709998</v>
      </c>
      <c r="Z104">
        <f t="shared" si="47"/>
        <v>3.0406671266939571</v>
      </c>
      <c r="AA104">
        <f t="shared" si="48"/>
        <v>1.3287451714029035</v>
      </c>
      <c r="AB104">
        <f t="shared" si="49"/>
        <v>-40.651574513792269</v>
      </c>
      <c r="AC104">
        <f t="shared" si="50"/>
        <v>-214.90406492614954</v>
      </c>
      <c r="AD104">
        <f t="shared" si="51"/>
        <v>-20.75022308223204</v>
      </c>
      <c r="AE104">
        <f t="shared" si="52"/>
        <v>-0.18925586417387308</v>
      </c>
      <c r="AF104">
        <v>15</v>
      </c>
      <c r="AG104">
        <v>5</v>
      </c>
      <c r="AH104">
        <f t="shared" si="53"/>
        <v>1</v>
      </c>
      <c r="AI104">
        <f t="shared" si="54"/>
        <v>0</v>
      </c>
      <c r="AJ104">
        <f t="shared" si="55"/>
        <v>52879.321483217776</v>
      </c>
      <c r="AK104">
        <f t="shared" si="56"/>
        <v>1800</v>
      </c>
      <c r="AL104">
        <f t="shared" si="57"/>
        <v>1499.1094458000002</v>
      </c>
      <c r="AM104">
        <f t="shared" si="58"/>
        <v>0.83283858100000008</v>
      </c>
      <c r="AN104">
        <f t="shared" si="59"/>
        <v>0.15339811480999999</v>
      </c>
      <c r="AO104">
        <v>31.2</v>
      </c>
      <c r="AP104">
        <v>0.5</v>
      </c>
      <c r="AQ104" t="s">
        <v>331</v>
      </c>
      <c r="AR104">
        <v>2</v>
      </c>
      <c r="AS104">
        <v>1690307670</v>
      </c>
      <c r="AT104">
        <v>628.61800000000005</v>
      </c>
      <c r="AU104">
        <v>800.053</v>
      </c>
      <c r="AV104">
        <v>20.735499999999998</v>
      </c>
      <c r="AW104">
        <v>11.353899999999999</v>
      </c>
      <c r="AX104">
        <v>628.54899999999998</v>
      </c>
      <c r="AY104">
        <v>20.521100000000001</v>
      </c>
      <c r="AZ104">
        <v>300.20400000000001</v>
      </c>
      <c r="BA104">
        <v>99.212999999999994</v>
      </c>
      <c r="BB104">
        <v>0.10000199999999999</v>
      </c>
      <c r="BC104">
        <v>24.252300000000002</v>
      </c>
      <c r="BD104">
        <v>27.002099999999999</v>
      </c>
      <c r="BE104">
        <v>26.1478</v>
      </c>
      <c r="BF104">
        <v>0</v>
      </c>
      <c r="BG104">
        <v>0</v>
      </c>
      <c r="BH104">
        <v>9986.8799999999992</v>
      </c>
      <c r="BI104">
        <v>1039.27</v>
      </c>
      <c r="BJ104">
        <v>1.62592</v>
      </c>
      <c r="BK104">
        <v>-171.435</v>
      </c>
      <c r="BL104">
        <v>641.92899999999997</v>
      </c>
      <c r="BM104">
        <v>809.24099999999999</v>
      </c>
      <c r="BN104">
        <v>9.3816299999999995</v>
      </c>
      <c r="BO104">
        <v>800.053</v>
      </c>
      <c r="BP104">
        <v>11.353899999999999</v>
      </c>
      <c r="BQ104">
        <v>2.0572300000000001</v>
      </c>
      <c r="BR104">
        <v>1.12645</v>
      </c>
      <c r="BS104">
        <v>17.8919</v>
      </c>
      <c r="BT104">
        <v>8.6635000000000009</v>
      </c>
      <c r="BU104">
        <v>1800</v>
      </c>
      <c r="BV104">
        <v>0.90997600000000001</v>
      </c>
      <c r="BW104">
        <v>3.4001799999999999E-2</v>
      </c>
      <c r="BX104">
        <v>2.2008799999999999E-2</v>
      </c>
      <c r="BY104">
        <v>3.4013099999999998E-2</v>
      </c>
      <c r="BZ104">
        <v>26</v>
      </c>
      <c r="CA104">
        <v>33528.199999999997</v>
      </c>
      <c r="CB104">
        <v>1690306253.5999999</v>
      </c>
      <c r="CC104" t="s">
        <v>332</v>
      </c>
      <c r="CD104">
        <v>1690306253.5999999</v>
      </c>
      <c r="CE104">
        <v>1690306251.5999999</v>
      </c>
      <c r="CF104">
        <v>9</v>
      </c>
      <c r="CG104">
        <v>0.19</v>
      </c>
      <c r="CH104">
        <v>-8.7999999999999995E-2</v>
      </c>
      <c r="CI104">
        <v>-5.0999999999999997E-2</v>
      </c>
      <c r="CJ104">
        <v>5.0999999999999997E-2</v>
      </c>
      <c r="CK104">
        <v>799</v>
      </c>
      <c r="CL104">
        <v>15</v>
      </c>
      <c r="CM104">
        <v>0.28000000000000003</v>
      </c>
      <c r="CN104">
        <v>0.03</v>
      </c>
      <c r="CO104">
        <v>-168.0776585365854</v>
      </c>
      <c r="CP104">
        <v>-18.94827177700359</v>
      </c>
      <c r="CQ104">
        <v>1.869965978688253</v>
      </c>
      <c r="CR104">
        <v>-1</v>
      </c>
      <c r="CS104">
        <v>9.1741670731707323</v>
      </c>
      <c r="CT104">
        <v>0.99877735191637318</v>
      </c>
      <c r="CU104">
        <v>0.1000881365071927</v>
      </c>
      <c r="CV104">
        <v>-1</v>
      </c>
      <c r="CW104">
        <v>0</v>
      </c>
      <c r="CX104">
        <v>0</v>
      </c>
      <c r="CY104" t="s">
        <v>333</v>
      </c>
      <c r="CZ104">
        <v>2.3644500000000002</v>
      </c>
      <c r="DA104">
        <v>2.7137799999999999</v>
      </c>
      <c r="DB104">
        <v>0.124514</v>
      </c>
      <c r="DC104">
        <v>0.14630799999999999</v>
      </c>
      <c r="DD104">
        <v>0.10261199999999999</v>
      </c>
      <c r="DE104">
        <v>6.5214300000000003E-2</v>
      </c>
      <c r="DF104">
        <v>31967.1</v>
      </c>
      <c r="DG104">
        <v>27520.5</v>
      </c>
      <c r="DH104">
        <v>31172.400000000001</v>
      </c>
      <c r="DI104">
        <v>28090.7</v>
      </c>
      <c r="DJ104">
        <v>37983.699999999997</v>
      </c>
      <c r="DK104">
        <v>37347.800000000003</v>
      </c>
      <c r="DL104">
        <v>44364</v>
      </c>
      <c r="DM104">
        <v>42584.9</v>
      </c>
      <c r="DN104">
        <v>1.4290799999999999</v>
      </c>
      <c r="DO104">
        <v>2.0411999999999999</v>
      </c>
      <c r="DP104">
        <v>0.18013999999999999</v>
      </c>
      <c r="DQ104">
        <v>0.15537400000000001</v>
      </c>
      <c r="DR104">
        <v>24.048999999999999</v>
      </c>
      <c r="DS104">
        <v>23.597899999999999</v>
      </c>
      <c r="DT104">
        <v>52.8</v>
      </c>
      <c r="DU104">
        <v>29.3</v>
      </c>
      <c r="DV104">
        <v>21.779399999999999</v>
      </c>
      <c r="DW104">
        <v>61.652999999999999</v>
      </c>
      <c r="DX104">
        <v>35.785299999999999</v>
      </c>
      <c r="DY104">
        <v>1</v>
      </c>
      <c r="DZ104">
        <v>-7.0373500000000005E-2</v>
      </c>
      <c r="EA104">
        <v>1.35202</v>
      </c>
      <c r="EB104">
        <v>20.1831</v>
      </c>
      <c r="EC104">
        <v>5.2409499999999998</v>
      </c>
      <c r="ED104">
        <v>12.039899999999999</v>
      </c>
      <c r="EE104">
        <v>5.0167000000000002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1.86893</v>
      </c>
      <c r="EL104">
        <v>1.8646400000000001</v>
      </c>
      <c r="EM104">
        <v>1.8692</v>
      </c>
      <c r="EN104">
        <v>1.8672599999999999</v>
      </c>
      <c r="EO104">
        <v>1.8633999999999999</v>
      </c>
      <c r="EP104">
        <v>1.8644700000000001</v>
      </c>
      <c r="EQ104">
        <v>1.87016</v>
      </c>
      <c r="ER104">
        <v>1.8694500000000001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6.9000000000000006E-2</v>
      </c>
      <c r="FG104">
        <v>0.21440000000000001</v>
      </c>
      <c r="FH104">
        <v>0.49996858830924029</v>
      </c>
      <c r="FI104">
        <v>-6.1462078757559423E-4</v>
      </c>
      <c r="FJ104">
        <v>-1.8861989874597051E-7</v>
      </c>
      <c r="FK104">
        <v>1.1980462299894961E-10</v>
      </c>
      <c r="FL104">
        <v>-3.8593581000597899E-2</v>
      </c>
      <c r="FM104">
        <v>-1.6848085045870601E-2</v>
      </c>
      <c r="FN104">
        <v>1.9789084769509481E-3</v>
      </c>
      <c r="FO104">
        <v>-2.7142391389806329E-5</v>
      </c>
      <c r="FP104">
        <v>3</v>
      </c>
      <c r="FQ104">
        <v>2158</v>
      </c>
      <c r="FR104">
        <v>1</v>
      </c>
      <c r="FS104">
        <v>19</v>
      </c>
      <c r="FT104">
        <v>23.6</v>
      </c>
      <c r="FU104">
        <v>23.6</v>
      </c>
      <c r="FV104">
        <v>1.77979</v>
      </c>
      <c r="FW104">
        <v>2.5927699999999998</v>
      </c>
      <c r="FX104">
        <v>1.5490699999999999</v>
      </c>
      <c r="FY104">
        <v>2.3278799999999999</v>
      </c>
      <c r="FZ104">
        <v>1.50146</v>
      </c>
      <c r="GA104">
        <v>2.4035600000000001</v>
      </c>
      <c r="GB104">
        <v>34.099800000000002</v>
      </c>
      <c r="GC104">
        <v>23.982399999999998</v>
      </c>
      <c r="GD104">
        <v>19</v>
      </c>
      <c r="GE104">
        <v>264.36200000000002</v>
      </c>
      <c r="GF104">
        <v>590.21199999999999</v>
      </c>
      <c r="GG104">
        <v>21.0488</v>
      </c>
      <c r="GH104">
        <v>26.4434</v>
      </c>
      <c r="GI104">
        <v>30.0001</v>
      </c>
      <c r="GJ104">
        <v>26.615400000000001</v>
      </c>
      <c r="GK104">
        <v>26.6069</v>
      </c>
      <c r="GL104">
        <v>35.576700000000002</v>
      </c>
      <c r="GM104">
        <v>50.460999999999999</v>
      </c>
      <c r="GN104">
        <v>77.498599999999996</v>
      </c>
      <c r="GO104">
        <v>21.0379</v>
      </c>
      <c r="GP104">
        <v>800</v>
      </c>
      <c r="GQ104">
        <v>11.254300000000001</v>
      </c>
      <c r="GR104">
        <v>99.742000000000004</v>
      </c>
      <c r="GS104">
        <v>99.612399999999994</v>
      </c>
    </row>
    <row r="105" spans="1:201" x14ac:dyDescent="0.25">
      <c r="A105">
        <v>89</v>
      </c>
      <c r="B105">
        <v>1690307680</v>
      </c>
      <c r="C105">
        <v>1061.400000095367</v>
      </c>
      <c r="D105" t="s">
        <v>511</v>
      </c>
      <c r="E105" t="s">
        <v>512</v>
      </c>
      <c r="F105" t="s">
        <v>330</v>
      </c>
      <c r="H105">
        <v>1690307680</v>
      </c>
      <c r="I105">
        <f t="shared" si="30"/>
        <v>9.3407686649880006E-4</v>
      </c>
      <c r="J105">
        <f t="shared" si="31"/>
        <v>0.93407686649880006</v>
      </c>
      <c r="K105">
        <f t="shared" si="32"/>
        <v>16.193856546006923</v>
      </c>
      <c r="L105">
        <f t="shared" si="33"/>
        <v>625.53399999999999</v>
      </c>
      <c r="M105">
        <f t="shared" si="34"/>
        <v>235.1911646775647</v>
      </c>
      <c r="N105">
        <f t="shared" si="35"/>
        <v>23.358595369821543</v>
      </c>
      <c r="O105">
        <f t="shared" si="36"/>
        <v>62.126464725397803</v>
      </c>
      <c r="P105">
        <f t="shared" si="37"/>
        <v>6.9041939544381675E-2</v>
      </c>
      <c r="Q105">
        <f t="shared" si="38"/>
        <v>2.1959287036777644</v>
      </c>
      <c r="R105">
        <f t="shared" si="39"/>
        <v>6.7858281701091261E-2</v>
      </c>
      <c r="S105">
        <f t="shared" si="40"/>
        <v>4.2516082726784463E-2</v>
      </c>
      <c r="T105">
        <f t="shared" si="41"/>
        <v>276.11648710200001</v>
      </c>
      <c r="U105">
        <f t="shared" si="42"/>
        <v>26.072201874920527</v>
      </c>
      <c r="V105">
        <f t="shared" si="43"/>
        <v>26.072201874920527</v>
      </c>
      <c r="W105">
        <f t="shared" si="44"/>
        <v>3.3887016225844038</v>
      </c>
      <c r="X105">
        <f t="shared" si="45"/>
        <v>67.682719372067595</v>
      </c>
      <c r="Y105">
        <f t="shared" si="46"/>
        <v>2.0590799295104096</v>
      </c>
      <c r="Z105">
        <f t="shared" si="47"/>
        <v>3.0422535450905426</v>
      </c>
      <c r="AA105">
        <f t="shared" si="48"/>
        <v>1.3296216930739941</v>
      </c>
      <c r="AB105">
        <f t="shared" si="49"/>
        <v>-41.192789812597084</v>
      </c>
      <c r="AC105">
        <f t="shared" si="50"/>
        <v>-214.42259022951464</v>
      </c>
      <c r="AD105">
        <f t="shared" si="51"/>
        <v>-20.68923820345767</v>
      </c>
      <c r="AE105">
        <f t="shared" si="52"/>
        <v>-0.18813114356939309</v>
      </c>
      <c r="AF105">
        <v>15</v>
      </c>
      <c r="AG105">
        <v>5</v>
      </c>
      <c r="AH105">
        <f t="shared" si="53"/>
        <v>1</v>
      </c>
      <c r="AI105">
        <f t="shared" si="54"/>
        <v>0</v>
      </c>
      <c r="AJ105">
        <f t="shared" si="55"/>
        <v>52946.811933304634</v>
      </c>
      <c r="AK105">
        <f t="shared" si="56"/>
        <v>1800</v>
      </c>
      <c r="AL105">
        <f t="shared" si="57"/>
        <v>1499.1094242000001</v>
      </c>
      <c r="AM105">
        <f t="shared" si="58"/>
        <v>0.83283856900000008</v>
      </c>
      <c r="AN105">
        <f t="shared" si="59"/>
        <v>0.15339804839000001</v>
      </c>
      <c r="AO105">
        <v>31.2</v>
      </c>
      <c r="AP105">
        <v>0.5</v>
      </c>
      <c r="AQ105" t="s">
        <v>331</v>
      </c>
      <c r="AR105">
        <v>2</v>
      </c>
      <c r="AS105">
        <v>1690307680</v>
      </c>
      <c r="AT105">
        <v>625.53399999999999</v>
      </c>
      <c r="AU105">
        <v>800.01400000000001</v>
      </c>
      <c r="AV105">
        <v>20.732299999999999</v>
      </c>
      <c r="AW105">
        <v>11.22</v>
      </c>
      <c r="AX105">
        <v>625.46299999999997</v>
      </c>
      <c r="AY105">
        <v>20.518000000000001</v>
      </c>
      <c r="AZ105">
        <v>300.02199999999999</v>
      </c>
      <c r="BA105">
        <v>99.217500000000001</v>
      </c>
      <c r="BB105">
        <v>9.9986699999999998E-2</v>
      </c>
      <c r="BC105">
        <v>24.260999999999999</v>
      </c>
      <c r="BD105">
        <v>27.021999999999998</v>
      </c>
      <c r="BE105">
        <v>26.154599999999999</v>
      </c>
      <c r="BF105">
        <v>0</v>
      </c>
      <c r="BG105">
        <v>0</v>
      </c>
      <c r="BH105">
        <v>10000</v>
      </c>
      <c r="BI105">
        <v>1039.3399999999999</v>
      </c>
      <c r="BJ105">
        <v>1.62592</v>
      </c>
      <c r="BK105">
        <v>-174.47900000000001</v>
      </c>
      <c r="BL105">
        <v>638.77800000000002</v>
      </c>
      <c r="BM105">
        <v>809.09199999999998</v>
      </c>
      <c r="BN105">
        <v>9.5122999999999998</v>
      </c>
      <c r="BO105">
        <v>800.01400000000001</v>
      </c>
      <c r="BP105">
        <v>11.22</v>
      </c>
      <c r="BQ105">
        <v>2.05701</v>
      </c>
      <c r="BR105">
        <v>1.1132299999999999</v>
      </c>
      <c r="BS105">
        <v>17.8901</v>
      </c>
      <c r="BT105">
        <v>8.4890699999999999</v>
      </c>
      <c r="BU105">
        <v>1800</v>
      </c>
      <c r="BV105">
        <v>0.90997700000000004</v>
      </c>
      <c r="BW105">
        <v>3.4000900000000001E-2</v>
      </c>
      <c r="BX105">
        <v>2.2008199999999999E-2</v>
      </c>
      <c r="BY105">
        <v>3.4013500000000002E-2</v>
      </c>
      <c r="BZ105">
        <v>26</v>
      </c>
      <c r="CA105">
        <v>33528.199999999997</v>
      </c>
      <c r="CB105">
        <v>1690306253.5999999</v>
      </c>
      <c r="CC105" t="s">
        <v>332</v>
      </c>
      <c r="CD105">
        <v>1690306253.5999999</v>
      </c>
      <c r="CE105">
        <v>1690306251.5999999</v>
      </c>
      <c r="CF105">
        <v>9</v>
      </c>
      <c r="CG105">
        <v>0.19</v>
      </c>
      <c r="CH105">
        <v>-8.7999999999999995E-2</v>
      </c>
      <c r="CI105">
        <v>-5.0999999999999997E-2</v>
      </c>
      <c r="CJ105">
        <v>5.0999999999999997E-2</v>
      </c>
      <c r="CK105">
        <v>799</v>
      </c>
      <c r="CL105">
        <v>15</v>
      </c>
      <c r="CM105">
        <v>0.28000000000000003</v>
      </c>
      <c r="CN105">
        <v>0.03</v>
      </c>
      <c r="CO105">
        <v>-171.15004999999999</v>
      </c>
      <c r="CP105">
        <v>-19.112960600374659</v>
      </c>
      <c r="CQ105">
        <v>1.839710723863943</v>
      </c>
      <c r="CR105">
        <v>-1</v>
      </c>
      <c r="CS105">
        <v>9.3428239999999985</v>
      </c>
      <c r="CT105">
        <v>1.1316878048780481</v>
      </c>
      <c r="CU105">
        <v>0.1098459901817084</v>
      </c>
      <c r="CV105">
        <v>-1</v>
      </c>
      <c r="CW105">
        <v>0</v>
      </c>
      <c r="CX105">
        <v>0</v>
      </c>
      <c r="CY105" t="s">
        <v>333</v>
      </c>
      <c r="CZ105">
        <v>2.3638599999999999</v>
      </c>
      <c r="DA105">
        <v>2.7137799999999999</v>
      </c>
      <c r="DB105">
        <v>0.124094</v>
      </c>
      <c r="DC105">
        <v>0.14630899999999999</v>
      </c>
      <c r="DD105">
        <v>0.102607</v>
      </c>
      <c r="DE105">
        <v>6.46341E-2</v>
      </c>
      <c r="DF105">
        <v>31983</v>
      </c>
      <c r="DG105">
        <v>27521.1</v>
      </c>
      <c r="DH105">
        <v>31173</v>
      </c>
      <c r="DI105">
        <v>28091.3</v>
      </c>
      <c r="DJ105">
        <v>37984.400000000001</v>
      </c>
      <c r="DK105">
        <v>37371.800000000003</v>
      </c>
      <c r="DL105">
        <v>44364.6</v>
      </c>
      <c r="DM105">
        <v>42585.7</v>
      </c>
      <c r="DN105">
        <v>1.4289700000000001</v>
      </c>
      <c r="DO105">
        <v>2.04122</v>
      </c>
      <c r="DP105">
        <v>0.181481</v>
      </c>
      <c r="DQ105">
        <v>0.15579200000000001</v>
      </c>
      <c r="DR105">
        <v>24.046900000000001</v>
      </c>
      <c r="DS105">
        <v>23.597899999999999</v>
      </c>
      <c r="DT105">
        <v>52.5</v>
      </c>
      <c r="DU105">
        <v>29.3</v>
      </c>
      <c r="DV105">
        <v>21.650600000000001</v>
      </c>
      <c r="DW105">
        <v>61.942999999999998</v>
      </c>
      <c r="DX105">
        <v>36.670699999999997</v>
      </c>
      <c r="DY105">
        <v>1</v>
      </c>
      <c r="DZ105">
        <v>-7.15422E-2</v>
      </c>
      <c r="EA105">
        <v>1.4124000000000001</v>
      </c>
      <c r="EB105">
        <v>20.182700000000001</v>
      </c>
      <c r="EC105">
        <v>5.2404999999999999</v>
      </c>
      <c r="ED105">
        <v>12.039899999999999</v>
      </c>
      <c r="EE105">
        <v>5.01675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1.8689100000000001</v>
      </c>
      <c r="EL105">
        <v>1.8646400000000001</v>
      </c>
      <c r="EM105">
        <v>1.8692</v>
      </c>
      <c r="EN105">
        <v>1.8672299999999999</v>
      </c>
      <c r="EO105">
        <v>1.8633999999999999</v>
      </c>
      <c r="EP105">
        <v>1.8644700000000001</v>
      </c>
      <c r="EQ105">
        <v>1.87019</v>
      </c>
      <c r="ER105">
        <v>1.86944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7.0999999999999994E-2</v>
      </c>
      <c r="FG105">
        <v>0.21429999999999999</v>
      </c>
      <c r="FH105">
        <v>0.49996858830924029</v>
      </c>
      <c r="FI105">
        <v>-6.1462078757559423E-4</v>
      </c>
      <c r="FJ105">
        <v>-1.8861989874597051E-7</v>
      </c>
      <c r="FK105">
        <v>1.1980462299894961E-10</v>
      </c>
      <c r="FL105">
        <v>-3.8593581000597899E-2</v>
      </c>
      <c r="FM105">
        <v>-1.6848085045870601E-2</v>
      </c>
      <c r="FN105">
        <v>1.9789084769509481E-3</v>
      </c>
      <c r="FO105">
        <v>-2.7142391389806329E-5</v>
      </c>
      <c r="FP105">
        <v>3</v>
      </c>
      <c r="FQ105">
        <v>2158</v>
      </c>
      <c r="FR105">
        <v>1</v>
      </c>
      <c r="FS105">
        <v>19</v>
      </c>
      <c r="FT105">
        <v>23.8</v>
      </c>
      <c r="FU105">
        <v>23.8</v>
      </c>
      <c r="FV105">
        <v>1.7785599999999999</v>
      </c>
      <c r="FW105">
        <v>2.5939899999999998</v>
      </c>
      <c r="FX105">
        <v>1.5490699999999999</v>
      </c>
      <c r="FY105">
        <v>2.3278799999999999</v>
      </c>
      <c r="FZ105">
        <v>1.50146</v>
      </c>
      <c r="GA105">
        <v>2.3168899999999999</v>
      </c>
      <c r="GB105">
        <v>34.099800000000002</v>
      </c>
      <c r="GC105">
        <v>23.982399999999998</v>
      </c>
      <c r="GD105">
        <v>19</v>
      </c>
      <c r="GE105">
        <v>264.30099999999999</v>
      </c>
      <c r="GF105">
        <v>590.18200000000002</v>
      </c>
      <c r="GG105">
        <v>21.046099999999999</v>
      </c>
      <c r="GH105">
        <v>26.436699999999998</v>
      </c>
      <c r="GI105">
        <v>29.999700000000001</v>
      </c>
      <c r="GJ105">
        <v>26.610399999999998</v>
      </c>
      <c r="GK105">
        <v>26.602399999999999</v>
      </c>
      <c r="GL105">
        <v>35.570300000000003</v>
      </c>
      <c r="GM105">
        <v>50.765999999999998</v>
      </c>
      <c r="GN105">
        <v>76.712100000000007</v>
      </c>
      <c r="GO105">
        <v>21.0456</v>
      </c>
      <c r="GP105">
        <v>800</v>
      </c>
      <c r="GQ105">
        <v>11.0985</v>
      </c>
      <c r="GR105">
        <v>99.743600000000001</v>
      </c>
      <c r="GS105">
        <v>99.614400000000003</v>
      </c>
    </row>
    <row r="106" spans="1:201" x14ac:dyDescent="0.25">
      <c r="A106">
        <v>90</v>
      </c>
      <c r="B106">
        <v>1690307690</v>
      </c>
      <c r="C106">
        <v>1071.400000095367</v>
      </c>
      <c r="D106" t="s">
        <v>513</v>
      </c>
      <c r="E106" t="s">
        <v>514</v>
      </c>
      <c r="F106" t="s">
        <v>330</v>
      </c>
      <c r="H106">
        <v>1690307690</v>
      </c>
      <c r="I106">
        <f t="shared" si="30"/>
        <v>9.4746371546059014E-4</v>
      </c>
      <c r="J106">
        <f t="shared" si="31"/>
        <v>0.94746371546059016</v>
      </c>
      <c r="K106">
        <f t="shared" si="32"/>
        <v>16.500108303769473</v>
      </c>
      <c r="L106">
        <f t="shared" si="33"/>
        <v>622.32799999999997</v>
      </c>
      <c r="M106">
        <f t="shared" si="34"/>
        <v>230.67263226449904</v>
      </c>
      <c r="N106">
        <f t="shared" si="35"/>
        <v>22.910584307925632</v>
      </c>
      <c r="O106">
        <f t="shared" si="36"/>
        <v>61.810098455173595</v>
      </c>
      <c r="P106">
        <f t="shared" si="37"/>
        <v>7.0102846099656987E-2</v>
      </c>
      <c r="Q106">
        <f t="shared" si="38"/>
        <v>2.2002650269035944</v>
      </c>
      <c r="R106">
        <f t="shared" si="39"/>
        <v>6.8885238095702822E-2</v>
      </c>
      <c r="S106">
        <f t="shared" si="40"/>
        <v>4.3160909489572657E-2</v>
      </c>
      <c r="T106">
        <f t="shared" si="41"/>
        <v>276.11652457800005</v>
      </c>
      <c r="U106">
        <f t="shared" si="42"/>
        <v>26.055913695880783</v>
      </c>
      <c r="V106">
        <f t="shared" si="43"/>
        <v>26.055913695880783</v>
      </c>
      <c r="W106">
        <f t="shared" si="44"/>
        <v>3.3854386453980716</v>
      </c>
      <c r="X106">
        <f t="shared" si="45"/>
        <v>67.641721156613272</v>
      </c>
      <c r="Y106">
        <f t="shared" si="46"/>
        <v>2.0567842421664499</v>
      </c>
      <c r="Z106">
        <f t="shared" si="47"/>
        <v>3.04070358795913</v>
      </c>
      <c r="AA106">
        <f t="shared" si="48"/>
        <v>1.3286544032316217</v>
      </c>
      <c r="AB106">
        <f t="shared" si="49"/>
        <v>-41.783149851812027</v>
      </c>
      <c r="AC106">
        <f t="shared" si="50"/>
        <v>-213.92217358921414</v>
      </c>
      <c r="AD106">
        <f t="shared" si="51"/>
        <v>-20.597703929739545</v>
      </c>
      <c r="AE106">
        <f t="shared" si="52"/>
        <v>-0.18650279276565129</v>
      </c>
      <c r="AF106">
        <v>15</v>
      </c>
      <c r="AG106">
        <v>5</v>
      </c>
      <c r="AH106">
        <f t="shared" si="53"/>
        <v>1</v>
      </c>
      <c r="AI106">
        <f t="shared" si="54"/>
        <v>0</v>
      </c>
      <c r="AJ106">
        <f t="shared" si="55"/>
        <v>53127.746832834215</v>
      </c>
      <c r="AK106">
        <f t="shared" si="56"/>
        <v>1800</v>
      </c>
      <c r="AL106">
        <f t="shared" si="57"/>
        <v>1499.1102557999998</v>
      </c>
      <c r="AM106">
        <f t="shared" si="58"/>
        <v>0.8328390309999999</v>
      </c>
      <c r="AN106">
        <f t="shared" si="59"/>
        <v>0.15339806921000002</v>
      </c>
      <c r="AO106">
        <v>31.2</v>
      </c>
      <c r="AP106">
        <v>0.5</v>
      </c>
      <c r="AQ106" t="s">
        <v>331</v>
      </c>
      <c r="AR106">
        <v>2</v>
      </c>
      <c r="AS106">
        <v>1690307690</v>
      </c>
      <c r="AT106">
        <v>622.32799999999997</v>
      </c>
      <c r="AU106">
        <v>799.97900000000004</v>
      </c>
      <c r="AV106">
        <v>20.708500000000001</v>
      </c>
      <c r="AW106">
        <v>11.0634</v>
      </c>
      <c r="AX106">
        <v>622.255</v>
      </c>
      <c r="AY106">
        <v>20.494900000000001</v>
      </c>
      <c r="AZ106">
        <v>300.13900000000001</v>
      </c>
      <c r="BA106">
        <v>99.220799999999997</v>
      </c>
      <c r="BB106">
        <v>9.9973699999999999E-2</v>
      </c>
      <c r="BC106">
        <v>24.252500000000001</v>
      </c>
      <c r="BD106">
        <v>26.981200000000001</v>
      </c>
      <c r="BE106">
        <v>26.192599999999999</v>
      </c>
      <c r="BF106">
        <v>0</v>
      </c>
      <c r="BG106">
        <v>0</v>
      </c>
      <c r="BH106">
        <v>10035</v>
      </c>
      <c r="BI106">
        <v>1039.3900000000001</v>
      </c>
      <c r="BJ106">
        <v>1.62592</v>
      </c>
      <c r="BK106">
        <v>-177.65</v>
      </c>
      <c r="BL106">
        <v>635.48800000000006</v>
      </c>
      <c r="BM106">
        <v>808.928</v>
      </c>
      <c r="BN106">
        <v>9.6451700000000002</v>
      </c>
      <c r="BO106">
        <v>799.97900000000004</v>
      </c>
      <c r="BP106">
        <v>11.0634</v>
      </c>
      <c r="BQ106">
        <v>2.0547200000000001</v>
      </c>
      <c r="BR106">
        <v>1.09772</v>
      </c>
      <c r="BS106">
        <v>17.872399999999999</v>
      </c>
      <c r="BT106">
        <v>8.2822200000000006</v>
      </c>
      <c r="BU106">
        <v>1800</v>
      </c>
      <c r="BV106">
        <v>0.90997899999999998</v>
      </c>
      <c r="BW106">
        <v>3.4000299999999997E-2</v>
      </c>
      <c r="BX106">
        <v>2.2007800000000001E-2</v>
      </c>
      <c r="BY106">
        <v>3.4012899999999999E-2</v>
      </c>
      <c r="BZ106">
        <v>26</v>
      </c>
      <c r="CA106">
        <v>33528.199999999997</v>
      </c>
      <c r="CB106">
        <v>1690306253.5999999</v>
      </c>
      <c r="CC106" t="s">
        <v>332</v>
      </c>
      <c r="CD106">
        <v>1690306253.5999999</v>
      </c>
      <c r="CE106">
        <v>1690306251.5999999</v>
      </c>
      <c r="CF106">
        <v>9</v>
      </c>
      <c r="CG106">
        <v>0.19</v>
      </c>
      <c r="CH106">
        <v>-8.7999999999999995E-2</v>
      </c>
      <c r="CI106">
        <v>-5.0999999999999997E-2</v>
      </c>
      <c r="CJ106">
        <v>5.0999999999999997E-2</v>
      </c>
      <c r="CK106">
        <v>799</v>
      </c>
      <c r="CL106">
        <v>15</v>
      </c>
      <c r="CM106">
        <v>0.28000000000000003</v>
      </c>
      <c r="CN106">
        <v>0.03</v>
      </c>
      <c r="CO106">
        <v>-174.05412195121951</v>
      </c>
      <c r="CP106">
        <v>-18.6499233449481</v>
      </c>
      <c r="CQ106">
        <v>1.8393468378764131</v>
      </c>
      <c r="CR106">
        <v>-1</v>
      </c>
      <c r="CS106">
        <v>9.5065475609756085</v>
      </c>
      <c r="CT106">
        <v>0.94270996515679406</v>
      </c>
      <c r="CU106">
        <v>9.3656926033535703E-2</v>
      </c>
      <c r="CV106">
        <v>-1</v>
      </c>
      <c r="CW106">
        <v>0</v>
      </c>
      <c r="CX106">
        <v>0</v>
      </c>
      <c r="CY106" t="s">
        <v>333</v>
      </c>
      <c r="CZ106">
        <v>2.3642699999999999</v>
      </c>
      <c r="DA106">
        <v>2.7138</v>
      </c>
      <c r="DB106">
        <v>0.123654</v>
      </c>
      <c r="DC106">
        <v>0.14630799999999999</v>
      </c>
      <c r="DD106">
        <v>0.102529</v>
      </c>
      <c r="DE106">
        <v>6.3950199999999999E-2</v>
      </c>
      <c r="DF106">
        <v>31999.599999999999</v>
      </c>
      <c r="DG106">
        <v>27521.8</v>
      </c>
      <c r="DH106">
        <v>31173.5</v>
      </c>
      <c r="DI106">
        <v>28092</v>
      </c>
      <c r="DJ106">
        <v>37988.199999999997</v>
      </c>
      <c r="DK106">
        <v>37400.1</v>
      </c>
      <c r="DL106">
        <v>44365.2</v>
      </c>
      <c r="DM106">
        <v>42586.8</v>
      </c>
      <c r="DN106">
        <v>1.42848</v>
      </c>
      <c r="DO106">
        <v>2.04122</v>
      </c>
      <c r="DP106">
        <v>0.17898500000000001</v>
      </c>
      <c r="DQ106">
        <v>0.158109</v>
      </c>
      <c r="DR106">
        <v>24.046900000000001</v>
      </c>
      <c r="DS106">
        <v>23.597899999999999</v>
      </c>
      <c r="DT106">
        <v>52.4</v>
      </c>
      <c r="DU106">
        <v>29.3</v>
      </c>
      <c r="DV106">
        <v>21.611799999999999</v>
      </c>
      <c r="DW106">
        <v>61.243000000000002</v>
      </c>
      <c r="DX106">
        <v>35.853400000000001</v>
      </c>
      <c r="DY106">
        <v>1</v>
      </c>
      <c r="DZ106">
        <v>-6.8823700000000002E-2</v>
      </c>
      <c r="EA106">
        <v>2.25156</v>
      </c>
      <c r="EB106">
        <v>20.1707</v>
      </c>
      <c r="EC106">
        <v>5.2403500000000003</v>
      </c>
      <c r="ED106">
        <v>12.039899999999999</v>
      </c>
      <c r="EE106">
        <v>5.0168999999999997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1.86893</v>
      </c>
      <c r="EL106">
        <v>1.86466</v>
      </c>
      <c r="EM106">
        <v>1.8692</v>
      </c>
      <c r="EN106">
        <v>1.8672299999999999</v>
      </c>
      <c r="EO106">
        <v>1.8633999999999999</v>
      </c>
      <c r="EP106">
        <v>1.8644799999999999</v>
      </c>
      <c r="EQ106">
        <v>1.87019</v>
      </c>
      <c r="ER106">
        <v>1.8694500000000001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7.2999999999999995E-2</v>
      </c>
      <c r="FG106">
        <v>0.21360000000000001</v>
      </c>
      <c r="FH106">
        <v>0.49996858830924029</v>
      </c>
      <c r="FI106">
        <v>-6.1462078757559423E-4</v>
      </c>
      <c r="FJ106">
        <v>-1.8861989874597051E-7</v>
      </c>
      <c r="FK106">
        <v>1.1980462299894961E-10</v>
      </c>
      <c r="FL106">
        <v>-3.8593581000597899E-2</v>
      </c>
      <c r="FM106">
        <v>-1.6848085045870601E-2</v>
      </c>
      <c r="FN106">
        <v>1.9789084769509481E-3</v>
      </c>
      <c r="FO106">
        <v>-2.7142391389806329E-5</v>
      </c>
      <c r="FP106">
        <v>3</v>
      </c>
      <c r="FQ106">
        <v>2158</v>
      </c>
      <c r="FR106">
        <v>1</v>
      </c>
      <c r="FS106">
        <v>19</v>
      </c>
      <c r="FT106">
        <v>23.9</v>
      </c>
      <c r="FU106">
        <v>24</v>
      </c>
      <c r="FV106">
        <v>1.77979</v>
      </c>
      <c r="FW106">
        <v>2.5952099999999998</v>
      </c>
      <c r="FX106">
        <v>1.5490699999999999</v>
      </c>
      <c r="FY106">
        <v>2.3278799999999999</v>
      </c>
      <c r="FZ106">
        <v>1.50146</v>
      </c>
      <c r="GA106">
        <v>2.3339799999999999</v>
      </c>
      <c r="GB106">
        <v>34.077100000000002</v>
      </c>
      <c r="GC106">
        <v>23.973700000000001</v>
      </c>
      <c r="GD106">
        <v>19</v>
      </c>
      <c r="GE106">
        <v>264.07499999999999</v>
      </c>
      <c r="GF106">
        <v>590.13599999999997</v>
      </c>
      <c r="GG106">
        <v>20.7409</v>
      </c>
      <c r="GH106">
        <v>26.429500000000001</v>
      </c>
      <c r="GI106">
        <v>30.001200000000001</v>
      </c>
      <c r="GJ106">
        <v>26.604800000000001</v>
      </c>
      <c r="GK106">
        <v>26.598299999999998</v>
      </c>
      <c r="GL106">
        <v>35.573099999999997</v>
      </c>
      <c r="GM106">
        <v>51.048400000000001</v>
      </c>
      <c r="GN106">
        <v>75.930499999999995</v>
      </c>
      <c r="GO106">
        <v>20.770800000000001</v>
      </c>
      <c r="GP106">
        <v>800</v>
      </c>
      <c r="GQ106">
        <v>10.965</v>
      </c>
      <c r="GR106">
        <v>99.745000000000005</v>
      </c>
      <c r="GS106">
        <v>99.616799999999998</v>
      </c>
    </row>
    <row r="107" spans="1:201" x14ac:dyDescent="0.25">
      <c r="A107">
        <v>91</v>
      </c>
      <c r="B107">
        <v>1690307700</v>
      </c>
      <c r="C107">
        <v>1081.400000095367</v>
      </c>
      <c r="D107" t="s">
        <v>515</v>
      </c>
      <c r="E107" t="s">
        <v>516</v>
      </c>
      <c r="F107" t="s">
        <v>330</v>
      </c>
      <c r="H107">
        <v>1690307700</v>
      </c>
      <c r="I107">
        <f t="shared" si="30"/>
        <v>9.5481801391664861E-4</v>
      </c>
      <c r="J107">
        <f t="shared" si="31"/>
        <v>0.95481801391664867</v>
      </c>
      <c r="K107">
        <f t="shared" si="32"/>
        <v>16.798196283178502</v>
      </c>
      <c r="L107">
        <f t="shared" si="33"/>
        <v>619.26599999999996</v>
      </c>
      <c r="M107">
        <f t="shared" si="34"/>
        <v>223.49913680481205</v>
      </c>
      <c r="N107">
        <f t="shared" si="35"/>
        <v>22.196522199907601</v>
      </c>
      <c r="O107">
        <f t="shared" si="36"/>
        <v>61.501586597411993</v>
      </c>
      <c r="P107">
        <f t="shared" si="37"/>
        <v>7.0600197471240828E-2</v>
      </c>
      <c r="Q107">
        <f t="shared" si="38"/>
        <v>2.1961139048261735</v>
      </c>
      <c r="R107">
        <f t="shared" si="39"/>
        <v>6.9363125416037938E-2</v>
      </c>
      <c r="S107">
        <f t="shared" si="40"/>
        <v>4.3461293882394753E-2</v>
      </c>
      <c r="T107">
        <f t="shared" si="41"/>
        <v>276.11652457800005</v>
      </c>
      <c r="U107">
        <f t="shared" si="42"/>
        <v>26.031764207599917</v>
      </c>
      <c r="V107">
        <f t="shared" si="43"/>
        <v>26.031764207599917</v>
      </c>
      <c r="W107">
        <f t="shared" si="44"/>
        <v>3.3806058786910524</v>
      </c>
      <c r="X107">
        <f t="shared" si="45"/>
        <v>67.548153870569706</v>
      </c>
      <c r="Y107">
        <f t="shared" si="46"/>
        <v>2.0508871215091999</v>
      </c>
      <c r="Z107">
        <f t="shared" si="47"/>
        <v>3.0361853048403713</v>
      </c>
      <c r="AA107">
        <f t="shared" si="48"/>
        <v>1.3297187571818525</v>
      </c>
      <c r="AB107">
        <f t="shared" si="49"/>
        <v>-42.107474413724205</v>
      </c>
      <c r="AC107">
        <f t="shared" si="50"/>
        <v>-213.59559665825438</v>
      </c>
      <c r="AD107">
        <f t="shared" si="51"/>
        <v>-20.600060064000306</v>
      </c>
      <c r="AE107">
        <f t="shared" si="52"/>
        <v>-0.18660655797881986</v>
      </c>
      <c r="AF107">
        <v>15</v>
      </c>
      <c r="AG107">
        <v>5</v>
      </c>
      <c r="AH107">
        <f t="shared" si="53"/>
        <v>1</v>
      </c>
      <c r="AI107">
        <f t="shared" si="54"/>
        <v>0</v>
      </c>
      <c r="AJ107">
        <f t="shared" si="55"/>
        <v>52960.311555064873</v>
      </c>
      <c r="AK107">
        <f t="shared" si="56"/>
        <v>1800</v>
      </c>
      <c r="AL107">
        <f t="shared" si="57"/>
        <v>1499.1102557999998</v>
      </c>
      <c r="AM107">
        <f t="shared" si="58"/>
        <v>0.8328390309999999</v>
      </c>
      <c r="AN107">
        <f t="shared" si="59"/>
        <v>0.15339806921000002</v>
      </c>
      <c r="AO107">
        <v>31.2</v>
      </c>
      <c r="AP107">
        <v>0.5</v>
      </c>
      <c r="AQ107" t="s">
        <v>331</v>
      </c>
      <c r="AR107">
        <v>2</v>
      </c>
      <c r="AS107">
        <v>1690307700</v>
      </c>
      <c r="AT107">
        <v>619.26599999999996</v>
      </c>
      <c r="AU107">
        <v>799.95399999999995</v>
      </c>
      <c r="AV107">
        <v>20.650600000000001</v>
      </c>
      <c r="AW107">
        <v>10.9343</v>
      </c>
      <c r="AX107">
        <v>619.19000000000005</v>
      </c>
      <c r="AY107">
        <v>20.438600000000001</v>
      </c>
      <c r="AZ107">
        <v>300.27</v>
      </c>
      <c r="BA107">
        <v>99.2136</v>
      </c>
      <c r="BB107">
        <v>0.100082</v>
      </c>
      <c r="BC107">
        <v>24.227699999999999</v>
      </c>
      <c r="BD107">
        <v>26.972300000000001</v>
      </c>
      <c r="BE107">
        <v>26.155100000000001</v>
      </c>
      <c r="BF107">
        <v>0</v>
      </c>
      <c r="BG107">
        <v>0</v>
      </c>
      <c r="BH107">
        <v>10001.9</v>
      </c>
      <c r="BI107">
        <v>1039.33</v>
      </c>
      <c r="BJ107">
        <v>1.62592</v>
      </c>
      <c r="BK107">
        <v>-180.68799999999999</v>
      </c>
      <c r="BL107">
        <v>632.32399999999996</v>
      </c>
      <c r="BM107">
        <v>808.798</v>
      </c>
      <c r="BN107">
        <v>9.7162500000000005</v>
      </c>
      <c r="BO107">
        <v>799.95399999999995</v>
      </c>
      <c r="BP107">
        <v>10.9343</v>
      </c>
      <c r="BQ107">
        <v>2.0488200000000001</v>
      </c>
      <c r="BR107">
        <v>1.08484</v>
      </c>
      <c r="BS107">
        <v>17.826799999999999</v>
      </c>
      <c r="BT107">
        <v>8.1084800000000001</v>
      </c>
      <c r="BU107">
        <v>1800</v>
      </c>
      <c r="BV107">
        <v>0.90997899999999998</v>
      </c>
      <c r="BW107">
        <v>3.4000299999999997E-2</v>
      </c>
      <c r="BX107">
        <v>2.2007800000000001E-2</v>
      </c>
      <c r="BY107">
        <v>3.4012899999999999E-2</v>
      </c>
      <c r="BZ107">
        <v>26</v>
      </c>
      <c r="CA107">
        <v>33528.199999999997</v>
      </c>
      <c r="CB107">
        <v>1690306253.5999999</v>
      </c>
      <c r="CC107" t="s">
        <v>332</v>
      </c>
      <c r="CD107">
        <v>1690306253.5999999</v>
      </c>
      <c r="CE107">
        <v>1690306251.5999999</v>
      </c>
      <c r="CF107">
        <v>9</v>
      </c>
      <c r="CG107">
        <v>0.19</v>
      </c>
      <c r="CH107">
        <v>-8.7999999999999995E-2</v>
      </c>
      <c r="CI107">
        <v>-5.0999999999999997E-2</v>
      </c>
      <c r="CJ107">
        <v>5.0999999999999997E-2</v>
      </c>
      <c r="CK107">
        <v>799</v>
      </c>
      <c r="CL107">
        <v>15</v>
      </c>
      <c r="CM107">
        <v>0.28000000000000003</v>
      </c>
      <c r="CN107">
        <v>0.03</v>
      </c>
      <c r="CO107">
        <v>-177.41772499999999</v>
      </c>
      <c r="CP107">
        <v>-18.883013133208021</v>
      </c>
      <c r="CQ107">
        <v>1.8173409969994581</v>
      </c>
      <c r="CR107">
        <v>-1</v>
      </c>
      <c r="CS107">
        <v>9.6359835</v>
      </c>
      <c r="CT107">
        <v>0.53008345215757746</v>
      </c>
      <c r="CU107">
        <v>5.4154879953241628E-2</v>
      </c>
      <c r="CV107">
        <v>-1</v>
      </c>
      <c r="CW107">
        <v>0</v>
      </c>
      <c r="CX107">
        <v>0</v>
      </c>
      <c r="CY107" t="s">
        <v>333</v>
      </c>
      <c r="CZ107">
        <v>2.36469</v>
      </c>
      <c r="DA107">
        <v>2.7138800000000001</v>
      </c>
      <c r="DB107">
        <v>0.123219</v>
      </c>
      <c r="DC107">
        <v>0.14629300000000001</v>
      </c>
      <c r="DD107">
        <v>0.102322</v>
      </c>
      <c r="DE107">
        <v>6.3378500000000004E-2</v>
      </c>
      <c r="DF107">
        <v>32015.7</v>
      </c>
      <c r="DG107">
        <v>27522.5</v>
      </c>
      <c r="DH107">
        <v>31173.7</v>
      </c>
      <c r="DI107">
        <v>28092.2</v>
      </c>
      <c r="DJ107">
        <v>37997.599999999999</v>
      </c>
      <c r="DK107">
        <v>37423.300000000003</v>
      </c>
      <c r="DL107">
        <v>44366</v>
      </c>
      <c r="DM107">
        <v>42587.199999999997</v>
      </c>
      <c r="DN107">
        <v>1.42943</v>
      </c>
      <c r="DO107">
        <v>2.04087</v>
      </c>
      <c r="DP107">
        <v>0.17861299999999999</v>
      </c>
      <c r="DQ107">
        <v>0.155941</v>
      </c>
      <c r="DR107">
        <v>24.0441</v>
      </c>
      <c r="DS107">
        <v>23.5959</v>
      </c>
      <c r="DT107">
        <v>52.1</v>
      </c>
      <c r="DU107">
        <v>29.3</v>
      </c>
      <c r="DV107">
        <v>21.491499999999998</v>
      </c>
      <c r="DW107">
        <v>61.652999999999999</v>
      </c>
      <c r="DX107">
        <v>35.649000000000001</v>
      </c>
      <c r="DY107">
        <v>1</v>
      </c>
      <c r="DZ107">
        <v>-7.2215399999999999E-2</v>
      </c>
      <c r="EA107">
        <v>1.5385599999999999</v>
      </c>
      <c r="EB107">
        <v>20.1812</v>
      </c>
      <c r="EC107">
        <v>5.2398999999999996</v>
      </c>
      <c r="ED107">
        <v>12.039899999999999</v>
      </c>
      <c r="EE107">
        <v>5.0166000000000004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1.8689100000000001</v>
      </c>
      <c r="EL107">
        <v>1.86463</v>
      </c>
      <c r="EM107">
        <v>1.8692</v>
      </c>
      <c r="EN107">
        <v>1.8672500000000001</v>
      </c>
      <c r="EO107">
        <v>1.8633999999999999</v>
      </c>
      <c r="EP107">
        <v>1.86449</v>
      </c>
      <c r="EQ107">
        <v>1.87022</v>
      </c>
      <c r="ER107">
        <v>1.86944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7.5999999999999998E-2</v>
      </c>
      <c r="FG107">
        <v>0.21199999999999999</v>
      </c>
      <c r="FH107">
        <v>0.49996858830924029</v>
      </c>
      <c r="FI107">
        <v>-6.1462078757559423E-4</v>
      </c>
      <c r="FJ107">
        <v>-1.8861989874597051E-7</v>
      </c>
      <c r="FK107">
        <v>1.1980462299894961E-10</v>
      </c>
      <c r="FL107">
        <v>-3.8593581000597899E-2</v>
      </c>
      <c r="FM107">
        <v>-1.6848085045870601E-2</v>
      </c>
      <c r="FN107">
        <v>1.9789084769509481E-3</v>
      </c>
      <c r="FO107">
        <v>-2.7142391389806329E-5</v>
      </c>
      <c r="FP107">
        <v>3</v>
      </c>
      <c r="FQ107">
        <v>2158</v>
      </c>
      <c r="FR107">
        <v>1</v>
      </c>
      <c r="FS107">
        <v>19</v>
      </c>
      <c r="FT107">
        <v>24.1</v>
      </c>
      <c r="FU107">
        <v>24.1</v>
      </c>
      <c r="FV107">
        <v>1.7785599999999999</v>
      </c>
      <c r="FW107">
        <v>2.5878899999999998</v>
      </c>
      <c r="FX107">
        <v>1.5490699999999999</v>
      </c>
      <c r="FY107">
        <v>2.3278799999999999</v>
      </c>
      <c r="FZ107">
        <v>1.50146</v>
      </c>
      <c r="GA107">
        <v>2.4035600000000001</v>
      </c>
      <c r="GB107">
        <v>34.099800000000002</v>
      </c>
      <c r="GC107">
        <v>23.982399999999998</v>
      </c>
      <c r="GD107">
        <v>19</v>
      </c>
      <c r="GE107">
        <v>264.44099999999997</v>
      </c>
      <c r="GF107">
        <v>589.79300000000001</v>
      </c>
      <c r="GG107">
        <v>20.7517</v>
      </c>
      <c r="GH107">
        <v>26.422799999999999</v>
      </c>
      <c r="GI107">
        <v>29.999099999999999</v>
      </c>
      <c r="GJ107">
        <v>26.599599999999999</v>
      </c>
      <c r="GK107">
        <v>26.593900000000001</v>
      </c>
      <c r="GL107">
        <v>35.567399999999999</v>
      </c>
      <c r="GM107">
        <v>51.048400000000001</v>
      </c>
      <c r="GN107">
        <v>75.546999999999997</v>
      </c>
      <c r="GO107">
        <v>20.810099999999998</v>
      </c>
      <c r="GP107">
        <v>800</v>
      </c>
      <c r="GQ107">
        <v>10.8482</v>
      </c>
      <c r="GR107">
        <v>99.746300000000005</v>
      </c>
      <c r="GS107">
        <v>99.617800000000003</v>
      </c>
    </row>
    <row r="108" spans="1:201" x14ac:dyDescent="0.25">
      <c r="A108">
        <v>92</v>
      </c>
      <c r="B108">
        <v>1690307710</v>
      </c>
      <c r="C108">
        <v>1091.400000095367</v>
      </c>
      <c r="D108" t="s">
        <v>517</v>
      </c>
      <c r="E108" t="s">
        <v>518</v>
      </c>
      <c r="F108" t="s">
        <v>330</v>
      </c>
      <c r="H108">
        <v>1690307710</v>
      </c>
      <c r="I108">
        <f t="shared" si="30"/>
        <v>9.7170266177570245E-4</v>
      </c>
      <c r="J108">
        <f t="shared" si="31"/>
        <v>0.97170266177570241</v>
      </c>
      <c r="K108">
        <f t="shared" si="32"/>
        <v>17.081073879569725</v>
      </c>
      <c r="L108">
        <f t="shared" si="33"/>
        <v>616.20500000000004</v>
      </c>
      <c r="M108">
        <f t="shared" si="34"/>
        <v>222.32000225013056</v>
      </c>
      <c r="N108">
        <f t="shared" si="35"/>
        <v>22.080011822434759</v>
      </c>
      <c r="O108">
        <f t="shared" si="36"/>
        <v>61.199233300365009</v>
      </c>
      <c r="P108">
        <f t="shared" si="37"/>
        <v>7.2147282245958677E-2</v>
      </c>
      <c r="Q108">
        <f t="shared" si="38"/>
        <v>2.1989833352822039</v>
      </c>
      <c r="R108">
        <f t="shared" si="39"/>
        <v>7.0857586534829056E-2</v>
      </c>
      <c r="S108">
        <f t="shared" si="40"/>
        <v>4.4399945333793787E-2</v>
      </c>
      <c r="T108">
        <f t="shared" si="41"/>
        <v>276.11634934800003</v>
      </c>
      <c r="U108">
        <f t="shared" si="42"/>
        <v>26.019986361758413</v>
      </c>
      <c r="V108">
        <f t="shared" si="43"/>
        <v>26.019986361758413</v>
      </c>
      <c r="W108">
        <f t="shared" si="44"/>
        <v>3.3782510969381589</v>
      </c>
      <c r="X108">
        <f t="shared" si="45"/>
        <v>67.650838818789154</v>
      </c>
      <c r="Y108">
        <f t="shared" si="46"/>
        <v>2.0535245044398001</v>
      </c>
      <c r="Z108">
        <f t="shared" si="47"/>
        <v>3.0354753027385373</v>
      </c>
      <c r="AA108">
        <f t="shared" si="48"/>
        <v>1.3247265924983589</v>
      </c>
      <c r="AB108">
        <f t="shared" si="49"/>
        <v>-42.852087384308476</v>
      </c>
      <c r="AC108">
        <f t="shared" si="50"/>
        <v>-212.94074835352976</v>
      </c>
      <c r="AD108">
        <f t="shared" si="51"/>
        <v>-20.50848589903028</v>
      </c>
      <c r="AE108">
        <f t="shared" si="52"/>
        <v>-0.18497228886849371</v>
      </c>
      <c r="AF108">
        <v>14</v>
      </c>
      <c r="AG108">
        <v>5</v>
      </c>
      <c r="AH108">
        <f t="shared" si="53"/>
        <v>1</v>
      </c>
      <c r="AI108">
        <f t="shared" si="54"/>
        <v>0</v>
      </c>
      <c r="AJ108">
        <f t="shared" si="55"/>
        <v>53079.723078748262</v>
      </c>
      <c r="AK108">
        <f t="shared" si="56"/>
        <v>1800</v>
      </c>
      <c r="AL108">
        <f t="shared" si="57"/>
        <v>1499.1101478</v>
      </c>
      <c r="AM108">
        <f t="shared" si="58"/>
        <v>0.83283897100000004</v>
      </c>
      <c r="AN108">
        <f t="shared" si="59"/>
        <v>0.15339797186000001</v>
      </c>
      <c r="AO108">
        <v>31.2</v>
      </c>
      <c r="AP108">
        <v>0.5</v>
      </c>
      <c r="AQ108" t="s">
        <v>331</v>
      </c>
      <c r="AR108">
        <v>2</v>
      </c>
      <c r="AS108">
        <v>1690307710</v>
      </c>
      <c r="AT108">
        <v>616.20500000000004</v>
      </c>
      <c r="AU108">
        <v>800</v>
      </c>
      <c r="AV108">
        <v>20.676600000000001</v>
      </c>
      <c r="AW108">
        <v>10.783899999999999</v>
      </c>
      <c r="AX108">
        <v>616.12699999999995</v>
      </c>
      <c r="AY108">
        <v>20.463899999999999</v>
      </c>
      <c r="AZ108">
        <v>300.12299999999999</v>
      </c>
      <c r="BA108">
        <v>99.216300000000004</v>
      </c>
      <c r="BB108">
        <v>0.100053</v>
      </c>
      <c r="BC108">
        <v>24.223800000000001</v>
      </c>
      <c r="BD108">
        <v>26.952200000000001</v>
      </c>
      <c r="BE108">
        <v>26.130700000000001</v>
      </c>
      <c r="BF108">
        <v>0</v>
      </c>
      <c r="BG108">
        <v>0</v>
      </c>
      <c r="BH108">
        <v>10025</v>
      </c>
      <c r="BI108">
        <v>1039.3900000000001</v>
      </c>
      <c r="BJ108">
        <v>1.62592</v>
      </c>
      <c r="BK108">
        <v>-183.79599999999999</v>
      </c>
      <c r="BL108">
        <v>629.21500000000003</v>
      </c>
      <c r="BM108">
        <v>808.721</v>
      </c>
      <c r="BN108">
        <v>9.8926999999999996</v>
      </c>
      <c r="BO108">
        <v>800</v>
      </c>
      <c r="BP108">
        <v>10.783899999999999</v>
      </c>
      <c r="BQ108">
        <v>2.0514600000000001</v>
      </c>
      <c r="BR108">
        <v>1.0699399999999999</v>
      </c>
      <c r="BS108">
        <v>17.847200000000001</v>
      </c>
      <c r="BT108">
        <v>7.9052800000000003</v>
      </c>
      <c r="BU108">
        <v>1800</v>
      </c>
      <c r="BV108">
        <v>0.90998100000000004</v>
      </c>
      <c r="BW108">
        <v>3.3999399999999999E-2</v>
      </c>
      <c r="BX108">
        <v>2.20073E-2</v>
      </c>
      <c r="BY108">
        <v>3.4012000000000001E-2</v>
      </c>
      <c r="BZ108">
        <v>26</v>
      </c>
      <c r="CA108">
        <v>33528.300000000003</v>
      </c>
      <c r="CB108">
        <v>1690306253.5999999</v>
      </c>
      <c r="CC108" t="s">
        <v>332</v>
      </c>
      <c r="CD108">
        <v>1690306253.5999999</v>
      </c>
      <c r="CE108">
        <v>1690306251.5999999</v>
      </c>
      <c r="CF108">
        <v>9</v>
      </c>
      <c r="CG108">
        <v>0.19</v>
      </c>
      <c r="CH108">
        <v>-8.7999999999999995E-2</v>
      </c>
      <c r="CI108">
        <v>-5.0999999999999997E-2</v>
      </c>
      <c r="CJ108">
        <v>5.0999999999999997E-2</v>
      </c>
      <c r="CK108">
        <v>799</v>
      </c>
      <c r="CL108">
        <v>15</v>
      </c>
      <c r="CM108">
        <v>0.28000000000000003</v>
      </c>
      <c r="CN108">
        <v>0.03</v>
      </c>
      <c r="CO108">
        <v>-180.28870731707309</v>
      </c>
      <c r="CP108">
        <v>-18.265630662021209</v>
      </c>
      <c r="CQ108">
        <v>1.801851232914701</v>
      </c>
      <c r="CR108">
        <v>-1</v>
      </c>
      <c r="CS108">
        <v>9.713311219512196</v>
      </c>
      <c r="CT108">
        <v>0.56201874564460663</v>
      </c>
      <c r="CU108">
        <v>5.8923138533265057E-2</v>
      </c>
      <c r="CV108">
        <v>-1</v>
      </c>
      <c r="CW108">
        <v>0</v>
      </c>
      <c r="CX108">
        <v>0</v>
      </c>
      <c r="CY108" t="s">
        <v>333</v>
      </c>
      <c r="CZ108">
        <v>2.3642400000000001</v>
      </c>
      <c r="DA108">
        <v>2.71387</v>
      </c>
      <c r="DB108">
        <v>0.122797</v>
      </c>
      <c r="DC108">
        <v>0.14630099999999999</v>
      </c>
      <c r="DD108">
        <v>0.10241599999999999</v>
      </c>
      <c r="DE108">
        <v>6.2715499999999993E-2</v>
      </c>
      <c r="DF108">
        <v>32031.599999999999</v>
      </c>
      <c r="DG108">
        <v>27522.9</v>
      </c>
      <c r="DH108">
        <v>31174.1</v>
      </c>
      <c r="DI108">
        <v>28092.9</v>
      </c>
      <c r="DJ108">
        <v>37993.800000000003</v>
      </c>
      <c r="DK108">
        <v>37451</v>
      </c>
      <c r="DL108">
        <v>44366.3</v>
      </c>
      <c r="DM108">
        <v>42588.4</v>
      </c>
      <c r="DN108">
        <v>1.4297</v>
      </c>
      <c r="DO108">
        <v>2.04095</v>
      </c>
      <c r="DP108">
        <v>0.17757000000000001</v>
      </c>
      <c r="DQ108">
        <v>0.15468199999999999</v>
      </c>
      <c r="DR108">
        <v>24.0411</v>
      </c>
      <c r="DS108">
        <v>23.592099999999999</v>
      </c>
      <c r="DT108">
        <v>51.9</v>
      </c>
      <c r="DU108">
        <v>29.3</v>
      </c>
      <c r="DV108">
        <v>21.4053</v>
      </c>
      <c r="DW108">
        <v>61.552999999999997</v>
      </c>
      <c r="DX108">
        <v>36.634599999999999</v>
      </c>
      <c r="DY108">
        <v>1</v>
      </c>
      <c r="DZ108">
        <v>-7.3069099999999998E-2</v>
      </c>
      <c r="EA108">
        <v>1.4464999999999999</v>
      </c>
      <c r="EB108">
        <v>20.182400000000001</v>
      </c>
      <c r="EC108">
        <v>5.2404999999999999</v>
      </c>
      <c r="ED108">
        <v>12.039899999999999</v>
      </c>
      <c r="EE108">
        <v>5.0168999999999997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1.8689199999999999</v>
      </c>
      <c r="EL108">
        <v>1.86463</v>
      </c>
      <c r="EM108">
        <v>1.86921</v>
      </c>
      <c r="EN108">
        <v>1.8672500000000001</v>
      </c>
      <c r="EO108">
        <v>1.8633999999999999</v>
      </c>
      <c r="EP108">
        <v>1.86449</v>
      </c>
      <c r="EQ108">
        <v>1.8702099999999999</v>
      </c>
      <c r="ER108">
        <v>1.8694599999999999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7.8E-2</v>
      </c>
      <c r="FG108">
        <v>0.2127</v>
      </c>
      <c r="FH108">
        <v>0.49996858830924029</v>
      </c>
      <c r="FI108">
        <v>-6.1462078757559423E-4</v>
      </c>
      <c r="FJ108">
        <v>-1.8861989874597051E-7</v>
      </c>
      <c r="FK108">
        <v>1.1980462299894961E-10</v>
      </c>
      <c r="FL108">
        <v>-3.8593581000597899E-2</v>
      </c>
      <c r="FM108">
        <v>-1.6848085045870601E-2</v>
      </c>
      <c r="FN108">
        <v>1.9789084769509481E-3</v>
      </c>
      <c r="FO108">
        <v>-2.7142391389806329E-5</v>
      </c>
      <c r="FP108">
        <v>3</v>
      </c>
      <c r="FQ108">
        <v>2158</v>
      </c>
      <c r="FR108">
        <v>1</v>
      </c>
      <c r="FS108">
        <v>19</v>
      </c>
      <c r="FT108">
        <v>24.3</v>
      </c>
      <c r="FU108">
        <v>24.3</v>
      </c>
      <c r="FV108">
        <v>1.7785599999999999</v>
      </c>
      <c r="FW108">
        <v>2.5878899999999998</v>
      </c>
      <c r="FX108">
        <v>1.5490699999999999</v>
      </c>
      <c r="FY108">
        <v>2.3278799999999999</v>
      </c>
      <c r="FZ108">
        <v>1.50146</v>
      </c>
      <c r="GA108">
        <v>2.33765</v>
      </c>
      <c r="GB108">
        <v>34.077100000000002</v>
      </c>
      <c r="GC108">
        <v>23.982399999999998</v>
      </c>
      <c r="GD108">
        <v>19</v>
      </c>
      <c r="GE108">
        <v>264.53500000000003</v>
      </c>
      <c r="GF108">
        <v>589.81200000000001</v>
      </c>
      <c r="GG108">
        <v>20.823599999999999</v>
      </c>
      <c r="GH108">
        <v>26.4161</v>
      </c>
      <c r="GI108">
        <v>29.999500000000001</v>
      </c>
      <c r="GJ108">
        <v>26.595099999999999</v>
      </c>
      <c r="GK108">
        <v>26.59</v>
      </c>
      <c r="GL108">
        <v>35.563099999999999</v>
      </c>
      <c r="GM108">
        <v>51.335299999999997</v>
      </c>
      <c r="GN108">
        <v>74.778099999999995</v>
      </c>
      <c r="GO108">
        <v>20.842199999999998</v>
      </c>
      <c r="GP108">
        <v>800</v>
      </c>
      <c r="GQ108">
        <v>10.6806</v>
      </c>
      <c r="GR108">
        <v>99.747299999999996</v>
      </c>
      <c r="GS108">
        <v>99.620400000000004</v>
      </c>
    </row>
    <row r="109" spans="1:201" x14ac:dyDescent="0.25">
      <c r="A109">
        <v>93</v>
      </c>
      <c r="B109">
        <v>1690307720</v>
      </c>
      <c r="C109">
        <v>1101.400000095367</v>
      </c>
      <c r="D109" t="s">
        <v>519</v>
      </c>
      <c r="E109" t="s">
        <v>520</v>
      </c>
      <c r="F109" t="s">
        <v>330</v>
      </c>
      <c r="H109">
        <v>1690307720</v>
      </c>
      <c r="I109">
        <f t="shared" si="30"/>
        <v>9.9033134322407167E-4</v>
      </c>
      <c r="J109">
        <f t="shared" si="31"/>
        <v>0.99033134322407168</v>
      </c>
      <c r="K109">
        <f t="shared" si="32"/>
        <v>17.371645914571044</v>
      </c>
      <c r="L109">
        <f t="shared" si="33"/>
        <v>613.16399999999999</v>
      </c>
      <c r="M109">
        <f t="shared" si="34"/>
        <v>221.33529232864797</v>
      </c>
      <c r="N109">
        <f t="shared" si="35"/>
        <v>21.982420530097937</v>
      </c>
      <c r="O109">
        <f t="shared" si="36"/>
        <v>60.897784352904004</v>
      </c>
      <c r="P109">
        <f t="shared" si="37"/>
        <v>7.3783934686267663E-2</v>
      </c>
      <c r="Q109">
        <f t="shared" si="38"/>
        <v>2.1928487761884825</v>
      </c>
      <c r="R109">
        <f t="shared" si="39"/>
        <v>7.2431954089379122E-2</v>
      </c>
      <c r="S109">
        <f t="shared" si="40"/>
        <v>4.5389377983079932E-2</v>
      </c>
      <c r="T109">
        <f t="shared" si="41"/>
        <v>276.11630863199997</v>
      </c>
      <c r="U109">
        <f t="shared" si="42"/>
        <v>26.017331362861867</v>
      </c>
      <c r="V109">
        <f t="shared" si="43"/>
        <v>26.017331362861867</v>
      </c>
      <c r="W109">
        <f t="shared" si="44"/>
        <v>3.3777204725690551</v>
      </c>
      <c r="X109">
        <f t="shared" si="45"/>
        <v>67.767357465532925</v>
      </c>
      <c r="Y109">
        <f t="shared" si="46"/>
        <v>2.0569503786174002</v>
      </c>
      <c r="Z109">
        <f t="shared" si="47"/>
        <v>3.0353114767144098</v>
      </c>
      <c r="AA109">
        <f t="shared" si="48"/>
        <v>1.3207700939516549</v>
      </c>
      <c r="AB109">
        <f t="shared" si="49"/>
        <v>-43.673612236181562</v>
      </c>
      <c r="AC109">
        <f t="shared" si="50"/>
        <v>-212.13922470993293</v>
      </c>
      <c r="AD109">
        <f t="shared" si="51"/>
        <v>-20.488080848048298</v>
      </c>
      <c r="AE109">
        <f t="shared" si="52"/>
        <v>-0.18460916216281475</v>
      </c>
      <c r="AF109">
        <v>14</v>
      </c>
      <c r="AG109">
        <v>5</v>
      </c>
      <c r="AH109">
        <f t="shared" si="53"/>
        <v>1</v>
      </c>
      <c r="AI109">
        <f t="shared" si="54"/>
        <v>0</v>
      </c>
      <c r="AJ109">
        <f t="shared" si="55"/>
        <v>52826.419824931218</v>
      </c>
      <c r="AK109">
        <f t="shared" si="56"/>
        <v>1800</v>
      </c>
      <c r="AL109">
        <f t="shared" si="57"/>
        <v>1499.1099912000002</v>
      </c>
      <c r="AM109">
        <f t="shared" si="58"/>
        <v>0.83283888400000006</v>
      </c>
      <c r="AN109">
        <f t="shared" si="59"/>
        <v>0.15339794924</v>
      </c>
      <c r="AO109">
        <v>31.2</v>
      </c>
      <c r="AP109">
        <v>0.5</v>
      </c>
      <c r="AQ109" t="s">
        <v>331</v>
      </c>
      <c r="AR109">
        <v>2</v>
      </c>
      <c r="AS109">
        <v>1690307720</v>
      </c>
      <c r="AT109">
        <v>613.16399999999999</v>
      </c>
      <c r="AU109">
        <v>800.06399999999996</v>
      </c>
      <c r="AV109">
        <v>20.710899999999999</v>
      </c>
      <c r="AW109">
        <v>10.629099999999999</v>
      </c>
      <c r="AX109">
        <v>613.08399999999995</v>
      </c>
      <c r="AY109">
        <v>20.4971</v>
      </c>
      <c r="AZ109">
        <v>300.12900000000002</v>
      </c>
      <c r="BA109">
        <v>99.217200000000005</v>
      </c>
      <c r="BB109">
        <v>0.10008599999999999</v>
      </c>
      <c r="BC109">
        <v>24.222899999999999</v>
      </c>
      <c r="BD109">
        <v>26.957000000000001</v>
      </c>
      <c r="BE109">
        <v>26.1068</v>
      </c>
      <c r="BF109">
        <v>0</v>
      </c>
      <c r="BG109">
        <v>0</v>
      </c>
      <c r="BH109">
        <v>9975</v>
      </c>
      <c r="BI109">
        <v>1039.3699999999999</v>
      </c>
      <c r="BJ109">
        <v>1.62592</v>
      </c>
      <c r="BK109">
        <v>-186.90100000000001</v>
      </c>
      <c r="BL109">
        <v>626.13099999999997</v>
      </c>
      <c r="BM109">
        <v>808.65899999999999</v>
      </c>
      <c r="BN109">
        <v>10.081799999999999</v>
      </c>
      <c r="BO109">
        <v>800.06399999999996</v>
      </c>
      <c r="BP109">
        <v>10.629099999999999</v>
      </c>
      <c r="BQ109">
        <v>2.0548700000000002</v>
      </c>
      <c r="BR109">
        <v>1.0545899999999999</v>
      </c>
      <c r="BS109">
        <v>17.8736</v>
      </c>
      <c r="BT109">
        <v>7.6931500000000002</v>
      </c>
      <c r="BU109">
        <v>1800</v>
      </c>
      <c r="BV109">
        <v>0.90998100000000004</v>
      </c>
      <c r="BW109">
        <v>3.3999399999999999E-2</v>
      </c>
      <c r="BX109">
        <v>2.2007200000000001E-2</v>
      </c>
      <c r="BY109">
        <v>3.4012000000000001E-2</v>
      </c>
      <c r="BZ109">
        <v>26</v>
      </c>
      <c r="CA109">
        <v>33528.199999999997</v>
      </c>
      <c r="CB109">
        <v>1690306253.5999999</v>
      </c>
      <c r="CC109" t="s">
        <v>332</v>
      </c>
      <c r="CD109">
        <v>1690306253.5999999</v>
      </c>
      <c r="CE109">
        <v>1690306251.5999999</v>
      </c>
      <c r="CF109">
        <v>9</v>
      </c>
      <c r="CG109">
        <v>0.19</v>
      </c>
      <c r="CH109">
        <v>-8.7999999999999995E-2</v>
      </c>
      <c r="CI109">
        <v>-5.0999999999999997E-2</v>
      </c>
      <c r="CJ109">
        <v>5.0999999999999997E-2</v>
      </c>
      <c r="CK109">
        <v>799</v>
      </c>
      <c r="CL109">
        <v>15</v>
      </c>
      <c r="CM109">
        <v>0.28000000000000003</v>
      </c>
      <c r="CN109">
        <v>0.03</v>
      </c>
      <c r="CO109">
        <v>-183.67836585365851</v>
      </c>
      <c r="CP109">
        <v>-18.610912891986121</v>
      </c>
      <c r="CQ109">
        <v>1.8365270346711271</v>
      </c>
      <c r="CR109">
        <v>-1</v>
      </c>
      <c r="CS109">
        <v>9.8654263414634151</v>
      </c>
      <c r="CT109">
        <v>1.1005461324041801</v>
      </c>
      <c r="CU109">
        <v>0.10964209176504761</v>
      </c>
      <c r="CV109">
        <v>-1</v>
      </c>
      <c r="CW109">
        <v>0</v>
      </c>
      <c r="CX109">
        <v>0</v>
      </c>
      <c r="CY109" t="s">
        <v>333</v>
      </c>
      <c r="CZ109">
        <v>2.3642699999999999</v>
      </c>
      <c r="DA109">
        <v>2.7138499999999999</v>
      </c>
      <c r="DB109">
        <v>0.122374</v>
      </c>
      <c r="DC109">
        <v>0.14630799999999999</v>
      </c>
      <c r="DD109">
        <v>0.102537</v>
      </c>
      <c r="DE109">
        <v>6.2028300000000001E-2</v>
      </c>
      <c r="DF109">
        <v>32047.5</v>
      </c>
      <c r="DG109">
        <v>27522.9</v>
      </c>
      <c r="DH109">
        <v>31174.5</v>
      </c>
      <c r="DI109">
        <v>28093</v>
      </c>
      <c r="DJ109">
        <v>37989.199999999997</v>
      </c>
      <c r="DK109">
        <v>37478.5</v>
      </c>
      <c r="DL109">
        <v>44367</v>
      </c>
      <c r="DM109">
        <v>42588.4</v>
      </c>
      <c r="DN109">
        <v>1.4302699999999999</v>
      </c>
      <c r="DO109">
        <v>2.0407199999999999</v>
      </c>
      <c r="DP109">
        <v>0.17807600000000001</v>
      </c>
      <c r="DQ109">
        <v>0.15354899999999999</v>
      </c>
      <c r="DR109">
        <v>24.037500000000001</v>
      </c>
      <c r="DS109">
        <v>23.5867</v>
      </c>
      <c r="DT109">
        <v>51.7</v>
      </c>
      <c r="DU109">
        <v>29.3</v>
      </c>
      <c r="DV109">
        <v>21.3233</v>
      </c>
      <c r="DW109">
        <v>61.783000000000001</v>
      </c>
      <c r="DX109">
        <v>36.2179</v>
      </c>
      <c r="DY109">
        <v>1</v>
      </c>
      <c r="DZ109">
        <v>-7.3671200000000006E-2</v>
      </c>
      <c r="EA109">
        <v>1.3677699999999999</v>
      </c>
      <c r="EB109">
        <v>20.183299999999999</v>
      </c>
      <c r="EC109">
        <v>5.2397499999999999</v>
      </c>
      <c r="ED109">
        <v>12.039899999999999</v>
      </c>
      <c r="EE109">
        <v>5.0164499999999999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1.8689199999999999</v>
      </c>
      <c r="EL109">
        <v>1.86463</v>
      </c>
      <c r="EM109">
        <v>1.8692</v>
      </c>
      <c r="EN109">
        <v>1.8672500000000001</v>
      </c>
      <c r="EO109">
        <v>1.8633999999999999</v>
      </c>
      <c r="EP109">
        <v>1.8644799999999999</v>
      </c>
      <c r="EQ109">
        <v>1.87019</v>
      </c>
      <c r="ER109">
        <v>1.8694500000000001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0.08</v>
      </c>
      <c r="FG109">
        <v>0.21379999999999999</v>
      </c>
      <c r="FH109">
        <v>0.49996858830924029</v>
      </c>
      <c r="FI109">
        <v>-6.1462078757559423E-4</v>
      </c>
      <c r="FJ109">
        <v>-1.8861989874597051E-7</v>
      </c>
      <c r="FK109">
        <v>1.1980462299894961E-10</v>
      </c>
      <c r="FL109">
        <v>-3.8593581000597899E-2</v>
      </c>
      <c r="FM109">
        <v>-1.6848085045870601E-2</v>
      </c>
      <c r="FN109">
        <v>1.9789084769509481E-3</v>
      </c>
      <c r="FO109">
        <v>-2.7142391389806329E-5</v>
      </c>
      <c r="FP109">
        <v>3</v>
      </c>
      <c r="FQ109">
        <v>2158</v>
      </c>
      <c r="FR109">
        <v>1</v>
      </c>
      <c r="FS109">
        <v>19</v>
      </c>
      <c r="FT109">
        <v>24.4</v>
      </c>
      <c r="FU109">
        <v>24.5</v>
      </c>
      <c r="FV109">
        <v>1.7785599999999999</v>
      </c>
      <c r="FW109">
        <v>2.5976599999999999</v>
      </c>
      <c r="FX109">
        <v>1.5490699999999999</v>
      </c>
      <c r="FY109">
        <v>2.3278799999999999</v>
      </c>
      <c r="FZ109">
        <v>1.50146</v>
      </c>
      <c r="GA109">
        <v>2.3156699999999999</v>
      </c>
      <c r="GB109">
        <v>34.099800000000002</v>
      </c>
      <c r="GC109">
        <v>23.973700000000001</v>
      </c>
      <c r="GD109">
        <v>19</v>
      </c>
      <c r="GE109">
        <v>264.75</v>
      </c>
      <c r="GF109">
        <v>589.57299999999998</v>
      </c>
      <c r="GG109">
        <v>20.880199999999999</v>
      </c>
      <c r="GH109">
        <v>26.408799999999999</v>
      </c>
      <c r="GI109">
        <v>29.9999</v>
      </c>
      <c r="GJ109">
        <v>26.590299999999999</v>
      </c>
      <c r="GK109">
        <v>26.5855</v>
      </c>
      <c r="GL109">
        <v>35.553899999999999</v>
      </c>
      <c r="GM109">
        <v>51.931699999999999</v>
      </c>
      <c r="GN109">
        <v>74.408100000000005</v>
      </c>
      <c r="GO109">
        <v>20.907699999999998</v>
      </c>
      <c r="GP109">
        <v>800</v>
      </c>
      <c r="GQ109">
        <v>10.5039</v>
      </c>
      <c r="GR109">
        <v>99.748800000000003</v>
      </c>
      <c r="GS109">
        <v>99.620500000000007</v>
      </c>
    </row>
    <row r="110" spans="1:201" x14ac:dyDescent="0.25">
      <c r="A110">
        <v>94</v>
      </c>
      <c r="B110">
        <v>1690307730</v>
      </c>
      <c r="C110">
        <v>1111.400000095367</v>
      </c>
      <c r="D110" t="s">
        <v>521</v>
      </c>
      <c r="E110" t="s">
        <v>522</v>
      </c>
      <c r="F110" t="s">
        <v>330</v>
      </c>
      <c r="H110">
        <v>1690307730</v>
      </c>
      <c r="I110">
        <f t="shared" si="30"/>
        <v>1.0113706210362324E-3</v>
      </c>
      <c r="J110">
        <f t="shared" si="31"/>
        <v>1.0113706210362323</v>
      </c>
      <c r="K110">
        <f t="shared" si="32"/>
        <v>17.64893242564516</v>
      </c>
      <c r="L110">
        <f t="shared" si="33"/>
        <v>610.21</v>
      </c>
      <c r="M110">
        <f t="shared" si="34"/>
        <v>221.14201753867872</v>
      </c>
      <c r="N110">
        <f t="shared" si="35"/>
        <v>21.961901909815033</v>
      </c>
      <c r="O110">
        <f t="shared" si="36"/>
        <v>60.60075020363</v>
      </c>
      <c r="P110">
        <f t="shared" si="37"/>
        <v>7.5522387880856939E-2</v>
      </c>
      <c r="Q110">
        <f t="shared" si="38"/>
        <v>2.1957756853798083</v>
      </c>
      <c r="R110">
        <f t="shared" si="39"/>
        <v>7.4108455560988676E-2</v>
      </c>
      <c r="S110">
        <f t="shared" si="40"/>
        <v>4.6442616055101395E-2</v>
      </c>
      <c r="T110">
        <f t="shared" si="41"/>
        <v>276.11631712800005</v>
      </c>
      <c r="U110">
        <f t="shared" si="42"/>
        <v>26.0185774696272</v>
      </c>
      <c r="V110">
        <f t="shared" si="43"/>
        <v>26.0185774696272</v>
      </c>
      <c r="W110">
        <f t="shared" si="44"/>
        <v>3.3779695086601103</v>
      </c>
      <c r="X110">
        <f t="shared" si="45"/>
        <v>67.816673992911717</v>
      </c>
      <c r="Y110">
        <f t="shared" si="46"/>
        <v>2.0597561487411999</v>
      </c>
      <c r="Z110">
        <f t="shared" si="47"/>
        <v>3.0372414739131681</v>
      </c>
      <c r="AA110">
        <f t="shared" si="48"/>
        <v>1.3182133599189103</v>
      </c>
      <c r="AB110">
        <f t="shared" si="49"/>
        <v>-44.601444387697846</v>
      </c>
      <c r="AC110">
        <f t="shared" si="50"/>
        <v>-211.31507661966214</v>
      </c>
      <c r="AD110">
        <f t="shared" si="51"/>
        <v>-20.382494837762746</v>
      </c>
      <c r="AE110">
        <f t="shared" si="52"/>
        <v>-0.18269871712269037</v>
      </c>
      <c r="AF110">
        <v>15</v>
      </c>
      <c r="AG110">
        <v>5</v>
      </c>
      <c r="AH110">
        <f t="shared" si="53"/>
        <v>1</v>
      </c>
      <c r="AI110">
        <f t="shared" si="54"/>
        <v>0</v>
      </c>
      <c r="AJ110">
        <f t="shared" si="55"/>
        <v>52945.253014028036</v>
      </c>
      <c r="AK110">
        <f t="shared" si="56"/>
        <v>1800</v>
      </c>
      <c r="AL110">
        <f t="shared" si="57"/>
        <v>1499.1106967999999</v>
      </c>
      <c r="AM110">
        <f t="shared" si="58"/>
        <v>0.83283927599999996</v>
      </c>
      <c r="AN110">
        <f t="shared" si="59"/>
        <v>0.15339795396000003</v>
      </c>
      <c r="AO110">
        <v>31.2</v>
      </c>
      <c r="AP110">
        <v>0.5</v>
      </c>
      <c r="AQ110" t="s">
        <v>331</v>
      </c>
      <c r="AR110">
        <v>2</v>
      </c>
      <c r="AS110">
        <v>1690307730</v>
      </c>
      <c r="AT110">
        <v>610.21</v>
      </c>
      <c r="AU110">
        <v>800.00199999999995</v>
      </c>
      <c r="AV110">
        <v>20.740400000000001</v>
      </c>
      <c r="AW110">
        <v>10.4498</v>
      </c>
      <c r="AX110">
        <v>610.12800000000004</v>
      </c>
      <c r="AY110">
        <v>20.5258</v>
      </c>
      <c r="AZ110">
        <v>300.27699999999999</v>
      </c>
      <c r="BA110">
        <v>99.211299999999994</v>
      </c>
      <c r="BB110">
        <v>0.10000299999999999</v>
      </c>
      <c r="BC110">
        <v>24.233499999999999</v>
      </c>
      <c r="BD110">
        <v>26.944099999999999</v>
      </c>
      <c r="BE110">
        <v>26.1205</v>
      </c>
      <c r="BF110">
        <v>0</v>
      </c>
      <c r="BG110">
        <v>0</v>
      </c>
      <c r="BH110">
        <v>9999.3799999999992</v>
      </c>
      <c r="BI110">
        <v>1039.27</v>
      </c>
      <c r="BJ110">
        <v>1.62592</v>
      </c>
      <c r="BK110">
        <v>-189.792</v>
      </c>
      <c r="BL110">
        <v>623.13400000000001</v>
      </c>
      <c r="BM110">
        <v>808.45100000000002</v>
      </c>
      <c r="BN110">
        <v>10.2906</v>
      </c>
      <c r="BO110">
        <v>800.00199999999995</v>
      </c>
      <c r="BP110">
        <v>10.4498</v>
      </c>
      <c r="BQ110">
        <v>2.05768</v>
      </c>
      <c r="BR110">
        <v>1.03674</v>
      </c>
      <c r="BS110">
        <v>17.895299999999999</v>
      </c>
      <c r="BT110">
        <v>7.4432</v>
      </c>
      <c r="BU110">
        <v>1800</v>
      </c>
      <c r="BV110">
        <v>0.90998299999999999</v>
      </c>
      <c r="BW110">
        <v>3.39987E-2</v>
      </c>
      <c r="BX110">
        <v>2.20068E-2</v>
      </c>
      <c r="BY110">
        <v>3.4011399999999997E-2</v>
      </c>
      <c r="BZ110">
        <v>26</v>
      </c>
      <c r="CA110">
        <v>33528.199999999997</v>
      </c>
      <c r="CB110">
        <v>1690306253.5999999</v>
      </c>
      <c r="CC110" t="s">
        <v>332</v>
      </c>
      <c r="CD110">
        <v>1690306253.5999999</v>
      </c>
      <c r="CE110">
        <v>1690306251.5999999</v>
      </c>
      <c r="CF110">
        <v>9</v>
      </c>
      <c r="CG110">
        <v>0.19</v>
      </c>
      <c r="CH110">
        <v>-8.7999999999999995E-2</v>
      </c>
      <c r="CI110">
        <v>-5.0999999999999997E-2</v>
      </c>
      <c r="CJ110">
        <v>5.0999999999999997E-2</v>
      </c>
      <c r="CK110">
        <v>799</v>
      </c>
      <c r="CL110">
        <v>15</v>
      </c>
      <c r="CM110">
        <v>0.28000000000000003</v>
      </c>
      <c r="CN110">
        <v>0.03</v>
      </c>
      <c r="CO110">
        <v>-186.73699999999999</v>
      </c>
      <c r="CP110">
        <v>-17.896160278745299</v>
      </c>
      <c r="CQ110">
        <v>1.765568436067837</v>
      </c>
      <c r="CR110">
        <v>-1</v>
      </c>
      <c r="CS110">
        <v>10.064250243902441</v>
      </c>
      <c r="CT110">
        <v>1.217285226480852</v>
      </c>
      <c r="CU110">
        <v>0.1204996196429136</v>
      </c>
      <c r="CV110">
        <v>-1</v>
      </c>
      <c r="CW110">
        <v>0</v>
      </c>
      <c r="CX110">
        <v>0</v>
      </c>
      <c r="CY110" t="s">
        <v>333</v>
      </c>
      <c r="CZ110">
        <v>2.36477</v>
      </c>
      <c r="DA110">
        <v>2.7137899999999999</v>
      </c>
      <c r="DB110">
        <v>0.12195499999999999</v>
      </c>
      <c r="DC110">
        <v>0.14629</v>
      </c>
      <c r="DD110">
        <v>0.102634</v>
      </c>
      <c r="DE110">
        <v>6.1224300000000002E-2</v>
      </c>
      <c r="DF110">
        <v>32063</v>
      </c>
      <c r="DG110">
        <v>27523.7</v>
      </c>
      <c r="DH110">
        <v>31174.7</v>
      </c>
      <c r="DI110">
        <v>28093.200000000001</v>
      </c>
      <c r="DJ110">
        <v>37985.199999999997</v>
      </c>
      <c r="DK110">
        <v>37511.1</v>
      </c>
      <c r="DL110">
        <v>44367.3</v>
      </c>
      <c r="DM110">
        <v>42588.9</v>
      </c>
      <c r="DN110">
        <v>1.4299200000000001</v>
      </c>
      <c r="DO110">
        <v>2.0407000000000002</v>
      </c>
      <c r="DP110">
        <v>0.17765900000000001</v>
      </c>
      <c r="DQ110">
        <v>0.154719</v>
      </c>
      <c r="DR110">
        <v>24.031400000000001</v>
      </c>
      <c r="DS110">
        <v>23.581199999999999</v>
      </c>
      <c r="DT110">
        <v>51.5</v>
      </c>
      <c r="DU110">
        <v>29.3</v>
      </c>
      <c r="DV110">
        <v>21.2392</v>
      </c>
      <c r="DW110">
        <v>61.563000000000002</v>
      </c>
      <c r="DX110">
        <v>35.528799999999997</v>
      </c>
      <c r="DY110">
        <v>1</v>
      </c>
      <c r="DZ110">
        <v>-7.4133599999999994E-2</v>
      </c>
      <c r="EA110">
        <v>1.29169</v>
      </c>
      <c r="EB110">
        <v>20.184000000000001</v>
      </c>
      <c r="EC110">
        <v>5.2397499999999999</v>
      </c>
      <c r="ED110">
        <v>12.039899999999999</v>
      </c>
      <c r="EE110">
        <v>5.0164499999999999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1.86893</v>
      </c>
      <c r="EL110">
        <v>1.8646499999999999</v>
      </c>
      <c r="EM110">
        <v>1.8692</v>
      </c>
      <c r="EN110">
        <v>1.8672599999999999</v>
      </c>
      <c r="EO110">
        <v>1.8633999999999999</v>
      </c>
      <c r="EP110">
        <v>1.8645</v>
      </c>
      <c r="EQ110">
        <v>1.87022</v>
      </c>
      <c r="ER110">
        <v>1.8694200000000001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8.2000000000000003E-2</v>
      </c>
      <c r="FG110">
        <v>0.21460000000000001</v>
      </c>
      <c r="FH110">
        <v>0.49996858830924029</v>
      </c>
      <c r="FI110">
        <v>-6.1462078757559423E-4</v>
      </c>
      <c r="FJ110">
        <v>-1.8861989874597051E-7</v>
      </c>
      <c r="FK110">
        <v>1.1980462299894961E-10</v>
      </c>
      <c r="FL110">
        <v>-3.8593581000597899E-2</v>
      </c>
      <c r="FM110">
        <v>-1.6848085045870601E-2</v>
      </c>
      <c r="FN110">
        <v>1.9789084769509481E-3</v>
      </c>
      <c r="FO110">
        <v>-2.7142391389806329E-5</v>
      </c>
      <c r="FP110">
        <v>3</v>
      </c>
      <c r="FQ110">
        <v>2158</v>
      </c>
      <c r="FR110">
        <v>1</v>
      </c>
      <c r="FS110">
        <v>19</v>
      </c>
      <c r="FT110">
        <v>24.6</v>
      </c>
      <c r="FU110">
        <v>24.6</v>
      </c>
      <c r="FV110">
        <v>1.7785599999999999</v>
      </c>
      <c r="FW110">
        <v>2.5939899999999998</v>
      </c>
      <c r="FX110">
        <v>1.5490699999999999</v>
      </c>
      <c r="FY110">
        <v>2.3278799999999999</v>
      </c>
      <c r="FZ110">
        <v>1.50146</v>
      </c>
      <c r="GA110">
        <v>2.3901400000000002</v>
      </c>
      <c r="GB110">
        <v>34.077100000000002</v>
      </c>
      <c r="GC110">
        <v>23.982399999999998</v>
      </c>
      <c r="GD110">
        <v>19</v>
      </c>
      <c r="GE110">
        <v>264.584</v>
      </c>
      <c r="GF110">
        <v>589.49599999999998</v>
      </c>
      <c r="GG110">
        <v>20.950399999999998</v>
      </c>
      <c r="GH110">
        <v>26.402100000000001</v>
      </c>
      <c r="GI110">
        <v>29.9999</v>
      </c>
      <c r="GJ110">
        <v>26.584700000000002</v>
      </c>
      <c r="GK110">
        <v>26.580500000000001</v>
      </c>
      <c r="GL110">
        <v>35.554600000000001</v>
      </c>
      <c r="GM110">
        <v>52.494500000000002</v>
      </c>
      <c r="GN110">
        <v>73.647800000000004</v>
      </c>
      <c r="GO110">
        <v>20.9802</v>
      </c>
      <c r="GP110">
        <v>800</v>
      </c>
      <c r="GQ110">
        <v>10.3271</v>
      </c>
      <c r="GR110">
        <v>99.749399999999994</v>
      </c>
      <c r="GS110">
        <v>99.621600000000001</v>
      </c>
    </row>
    <row r="111" spans="1:201" x14ac:dyDescent="0.25">
      <c r="A111">
        <v>95</v>
      </c>
      <c r="B111">
        <v>1690307740</v>
      </c>
      <c r="C111">
        <v>1121.400000095367</v>
      </c>
      <c r="D111" t="s">
        <v>523</v>
      </c>
      <c r="E111" t="s">
        <v>524</v>
      </c>
      <c r="F111" t="s">
        <v>330</v>
      </c>
      <c r="H111">
        <v>1690307740</v>
      </c>
      <c r="I111">
        <f t="shared" si="30"/>
        <v>1.0286085158251134E-3</v>
      </c>
      <c r="J111">
        <f t="shared" si="31"/>
        <v>1.0286085158251135</v>
      </c>
      <c r="K111">
        <f t="shared" si="32"/>
        <v>17.929359383849459</v>
      </c>
      <c r="L111">
        <f t="shared" si="33"/>
        <v>607.26599999999996</v>
      </c>
      <c r="M111">
        <f t="shared" si="34"/>
        <v>219.29891492652794</v>
      </c>
      <c r="N111">
        <f t="shared" si="35"/>
        <v>21.778725022512383</v>
      </c>
      <c r="O111">
        <f t="shared" si="36"/>
        <v>60.308001222677994</v>
      </c>
      <c r="P111">
        <f t="shared" si="37"/>
        <v>7.6954394854934854E-2</v>
      </c>
      <c r="Q111">
        <f t="shared" si="38"/>
        <v>2.1972191760207478</v>
      </c>
      <c r="R111">
        <f t="shared" si="39"/>
        <v>7.5487839814965221E-2</v>
      </c>
      <c r="S111">
        <f t="shared" si="40"/>
        <v>4.7309336140104234E-2</v>
      </c>
      <c r="T111">
        <f t="shared" si="41"/>
        <v>276.11640556199995</v>
      </c>
      <c r="U111">
        <f t="shared" si="42"/>
        <v>26.017939942610315</v>
      </c>
      <c r="V111">
        <f t="shared" si="43"/>
        <v>26.017939942610315</v>
      </c>
      <c r="W111">
        <f t="shared" si="44"/>
        <v>3.3778420960361704</v>
      </c>
      <c r="X111">
        <f t="shared" si="45"/>
        <v>67.854373157818642</v>
      </c>
      <c r="Y111">
        <f t="shared" si="46"/>
        <v>2.0616798480116998</v>
      </c>
      <c r="Z111">
        <f t="shared" si="47"/>
        <v>3.0383890559515678</v>
      </c>
      <c r="AA111">
        <f t="shared" si="48"/>
        <v>1.3161622480244706</v>
      </c>
      <c r="AB111">
        <f t="shared" si="49"/>
        <v>-45.361635547887502</v>
      </c>
      <c r="AC111">
        <f t="shared" si="50"/>
        <v>-210.63219893599771</v>
      </c>
      <c r="AD111">
        <f t="shared" si="51"/>
        <v>-20.303857325159353</v>
      </c>
      <c r="AE111">
        <f t="shared" si="52"/>
        <v>-0.18128624704459639</v>
      </c>
      <c r="AF111">
        <v>14</v>
      </c>
      <c r="AG111">
        <v>5</v>
      </c>
      <c r="AH111">
        <f t="shared" si="53"/>
        <v>1</v>
      </c>
      <c r="AI111">
        <f t="shared" si="54"/>
        <v>0</v>
      </c>
      <c r="AJ111">
        <f t="shared" si="55"/>
        <v>53003.773311575387</v>
      </c>
      <c r="AK111">
        <f t="shared" si="56"/>
        <v>1800</v>
      </c>
      <c r="AL111">
        <f t="shared" si="57"/>
        <v>1499.1113951999998</v>
      </c>
      <c r="AM111">
        <f t="shared" si="58"/>
        <v>0.83283966399999987</v>
      </c>
      <c r="AN111">
        <f t="shared" si="59"/>
        <v>0.15339800308999998</v>
      </c>
      <c r="AO111">
        <v>31.2</v>
      </c>
      <c r="AP111">
        <v>0.5</v>
      </c>
      <c r="AQ111" t="s">
        <v>331</v>
      </c>
      <c r="AR111">
        <v>2</v>
      </c>
      <c r="AS111">
        <v>1690307740</v>
      </c>
      <c r="AT111">
        <v>607.26599999999996</v>
      </c>
      <c r="AU111">
        <v>800.15300000000002</v>
      </c>
      <c r="AV111">
        <v>20.759899999999998</v>
      </c>
      <c r="AW111">
        <v>10.288500000000001</v>
      </c>
      <c r="AX111">
        <v>607.18200000000002</v>
      </c>
      <c r="AY111">
        <v>20.544799999999999</v>
      </c>
      <c r="AZ111">
        <v>300.11599999999999</v>
      </c>
      <c r="BA111">
        <v>99.210599999999999</v>
      </c>
      <c r="BB111">
        <v>0.10008300000000001</v>
      </c>
      <c r="BC111">
        <v>24.239799999999999</v>
      </c>
      <c r="BD111">
        <v>26.969100000000001</v>
      </c>
      <c r="BE111">
        <v>26.125599999999999</v>
      </c>
      <c r="BF111">
        <v>0</v>
      </c>
      <c r="BG111">
        <v>0</v>
      </c>
      <c r="BH111">
        <v>10011.200000000001</v>
      </c>
      <c r="BI111">
        <v>1039.3800000000001</v>
      </c>
      <c r="BJ111">
        <v>1.62592</v>
      </c>
      <c r="BK111">
        <v>-192.887</v>
      </c>
      <c r="BL111">
        <v>620.14</v>
      </c>
      <c r="BM111">
        <v>808.471</v>
      </c>
      <c r="BN111">
        <v>10.471500000000001</v>
      </c>
      <c r="BO111">
        <v>800.15300000000002</v>
      </c>
      <c r="BP111">
        <v>10.288500000000001</v>
      </c>
      <c r="BQ111">
        <v>2.0596100000000002</v>
      </c>
      <c r="BR111">
        <v>1.0207299999999999</v>
      </c>
      <c r="BS111">
        <v>17.9102</v>
      </c>
      <c r="BT111">
        <v>7.21563</v>
      </c>
      <c r="BU111">
        <v>1800</v>
      </c>
      <c r="BV111">
        <v>0.90998400000000002</v>
      </c>
      <c r="BW111">
        <v>3.3998500000000001E-2</v>
      </c>
      <c r="BX111">
        <v>2.2006700000000001E-2</v>
      </c>
      <c r="BY111">
        <v>3.4011100000000002E-2</v>
      </c>
      <c r="BZ111">
        <v>26</v>
      </c>
      <c r="CA111">
        <v>33528.300000000003</v>
      </c>
      <c r="CB111">
        <v>1690306253.5999999</v>
      </c>
      <c r="CC111" t="s">
        <v>332</v>
      </c>
      <c r="CD111">
        <v>1690306253.5999999</v>
      </c>
      <c r="CE111">
        <v>1690306251.5999999</v>
      </c>
      <c r="CF111">
        <v>9</v>
      </c>
      <c r="CG111">
        <v>0.19</v>
      </c>
      <c r="CH111">
        <v>-8.7999999999999995E-2</v>
      </c>
      <c r="CI111">
        <v>-5.0999999999999997E-2</v>
      </c>
      <c r="CJ111">
        <v>5.0999999999999997E-2</v>
      </c>
      <c r="CK111">
        <v>799</v>
      </c>
      <c r="CL111">
        <v>15</v>
      </c>
      <c r="CM111">
        <v>0.28000000000000003</v>
      </c>
      <c r="CN111">
        <v>0.03</v>
      </c>
      <c r="CO111">
        <v>-189.40951219512189</v>
      </c>
      <c r="CP111">
        <v>-17.71743554007023</v>
      </c>
      <c r="CQ111">
        <v>1.7473911860737861</v>
      </c>
      <c r="CR111">
        <v>-1</v>
      </c>
      <c r="CS111">
        <v>10.25271463414634</v>
      </c>
      <c r="CT111">
        <v>1.2307944250871059</v>
      </c>
      <c r="CU111">
        <v>0.1217267683268769</v>
      </c>
      <c r="CV111">
        <v>-1</v>
      </c>
      <c r="CW111">
        <v>0</v>
      </c>
      <c r="CX111">
        <v>0</v>
      </c>
      <c r="CY111" t="s">
        <v>333</v>
      </c>
      <c r="CZ111">
        <v>2.3642500000000002</v>
      </c>
      <c r="DA111">
        <v>2.7138800000000001</v>
      </c>
      <c r="DB111">
        <v>0.121541</v>
      </c>
      <c r="DC111">
        <v>0.14630599999999999</v>
      </c>
      <c r="DD111">
        <v>0.102703</v>
      </c>
      <c r="DE111">
        <v>6.0499299999999999E-2</v>
      </c>
      <c r="DF111">
        <v>32077.9</v>
      </c>
      <c r="DG111">
        <v>27523.7</v>
      </c>
      <c r="DH111">
        <v>31174.5</v>
      </c>
      <c r="DI111">
        <v>28093.8</v>
      </c>
      <c r="DJ111">
        <v>37982.1</v>
      </c>
      <c r="DK111">
        <v>37540.800000000003</v>
      </c>
      <c r="DL111">
        <v>44367.199999999997</v>
      </c>
      <c r="DM111">
        <v>42589.599999999999</v>
      </c>
      <c r="DN111">
        <v>1.4300999999999999</v>
      </c>
      <c r="DO111">
        <v>2.0404</v>
      </c>
      <c r="DP111">
        <v>0.179619</v>
      </c>
      <c r="DQ111">
        <v>0.15539700000000001</v>
      </c>
      <c r="DR111">
        <v>24.0244</v>
      </c>
      <c r="DS111">
        <v>23.575299999999999</v>
      </c>
      <c r="DT111">
        <v>51.3</v>
      </c>
      <c r="DU111">
        <v>29.3</v>
      </c>
      <c r="DV111">
        <v>21.1585</v>
      </c>
      <c r="DW111">
        <v>61.133000000000003</v>
      </c>
      <c r="DX111">
        <v>36.366199999999999</v>
      </c>
      <c r="DY111">
        <v>1</v>
      </c>
      <c r="DZ111">
        <v>-7.5177800000000003E-2</v>
      </c>
      <c r="EA111">
        <v>1.22515</v>
      </c>
      <c r="EB111">
        <v>20.184799999999999</v>
      </c>
      <c r="EC111">
        <v>5.2397499999999999</v>
      </c>
      <c r="ED111">
        <v>12.039899999999999</v>
      </c>
      <c r="EE111">
        <v>5.0165499999999996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1.86893</v>
      </c>
      <c r="EL111">
        <v>1.8646199999999999</v>
      </c>
      <c r="EM111">
        <v>1.8692</v>
      </c>
      <c r="EN111">
        <v>1.86727</v>
      </c>
      <c r="EO111">
        <v>1.8633999999999999</v>
      </c>
      <c r="EP111">
        <v>1.8644799999999999</v>
      </c>
      <c r="EQ111">
        <v>1.8701700000000001</v>
      </c>
      <c r="ER111">
        <v>1.8694500000000001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8.4000000000000005E-2</v>
      </c>
      <c r="FG111">
        <v>0.21510000000000001</v>
      </c>
      <c r="FH111">
        <v>0.49996858830924029</v>
      </c>
      <c r="FI111">
        <v>-6.1462078757559423E-4</v>
      </c>
      <c r="FJ111">
        <v>-1.8861989874597051E-7</v>
      </c>
      <c r="FK111">
        <v>1.1980462299894961E-10</v>
      </c>
      <c r="FL111">
        <v>-3.8593581000597899E-2</v>
      </c>
      <c r="FM111">
        <v>-1.6848085045870601E-2</v>
      </c>
      <c r="FN111">
        <v>1.9789084769509481E-3</v>
      </c>
      <c r="FO111">
        <v>-2.7142391389806329E-5</v>
      </c>
      <c r="FP111">
        <v>3</v>
      </c>
      <c r="FQ111">
        <v>2158</v>
      </c>
      <c r="FR111">
        <v>1</v>
      </c>
      <c r="FS111">
        <v>19</v>
      </c>
      <c r="FT111">
        <v>24.8</v>
      </c>
      <c r="FU111">
        <v>24.8</v>
      </c>
      <c r="FV111">
        <v>1.7773399999999999</v>
      </c>
      <c r="FW111">
        <v>2.5891099999999998</v>
      </c>
      <c r="FX111">
        <v>1.5490699999999999</v>
      </c>
      <c r="FY111">
        <v>2.3278799999999999</v>
      </c>
      <c r="FZ111">
        <v>1.50146</v>
      </c>
      <c r="GA111">
        <v>2.3852500000000001</v>
      </c>
      <c r="GB111">
        <v>34.077100000000002</v>
      </c>
      <c r="GC111">
        <v>23.982399999999998</v>
      </c>
      <c r="GD111">
        <v>19</v>
      </c>
      <c r="GE111">
        <v>264.63499999999999</v>
      </c>
      <c r="GF111">
        <v>589.19500000000005</v>
      </c>
      <c r="GG111">
        <v>21.027999999999999</v>
      </c>
      <c r="GH111">
        <v>26.395499999999998</v>
      </c>
      <c r="GI111">
        <v>29.999700000000001</v>
      </c>
      <c r="GJ111">
        <v>26.579599999999999</v>
      </c>
      <c r="GK111">
        <v>26.5761</v>
      </c>
      <c r="GL111">
        <v>35.546199999999999</v>
      </c>
      <c r="GM111">
        <v>53.091099999999997</v>
      </c>
      <c r="GN111">
        <v>72.886799999999994</v>
      </c>
      <c r="GO111">
        <v>21.058800000000002</v>
      </c>
      <c r="GP111">
        <v>800</v>
      </c>
      <c r="GQ111">
        <v>10.1502</v>
      </c>
      <c r="GR111">
        <v>99.748900000000006</v>
      </c>
      <c r="GS111">
        <v>99.6233</v>
      </c>
    </row>
    <row r="112" spans="1:201" x14ac:dyDescent="0.25">
      <c r="A112">
        <v>96</v>
      </c>
      <c r="B112">
        <v>1690307750</v>
      </c>
      <c r="C112">
        <v>1131.400000095367</v>
      </c>
      <c r="D112" t="s">
        <v>525</v>
      </c>
      <c r="E112" t="s">
        <v>526</v>
      </c>
      <c r="F112" t="s">
        <v>330</v>
      </c>
      <c r="H112">
        <v>1690307750</v>
      </c>
      <c r="I112">
        <f t="shared" si="30"/>
        <v>1.0494599159384822E-3</v>
      </c>
      <c r="J112">
        <f t="shared" si="31"/>
        <v>1.0494599159384821</v>
      </c>
      <c r="K112">
        <f t="shared" si="32"/>
        <v>18.187407815217366</v>
      </c>
      <c r="L112">
        <f t="shared" si="33"/>
        <v>604.33699999999999</v>
      </c>
      <c r="M112">
        <f t="shared" si="34"/>
        <v>218.58781487960186</v>
      </c>
      <c r="N112">
        <f t="shared" si="35"/>
        <v>21.708302575967661</v>
      </c>
      <c r="O112">
        <f t="shared" si="36"/>
        <v>60.017665948482005</v>
      </c>
      <c r="P112">
        <f t="shared" si="37"/>
        <v>7.8544517944275735E-2</v>
      </c>
      <c r="Q112">
        <f t="shared" si="38"/>
        <v>2.1893100695605749</v>
      </c>
      <c r="R112">
        <f t="shared" si="39"/>
        <v>7.7011976539454893E-2</v>
      </c>
      <c r="S112">
        <f t="shared" si="40"/>
        <v>4.8267687494737407E-2</v>
      </c>
      <c r="T112">
        <f t="shared" si="41"/>
        <v>276.11642430000001</v>
      </c>
      <c r="U112">
        <f t="shared" si="42"/>
        <v>26.027875049196638</v>
      </c>
      <c r="V112">
        <f t="shared" si="43"/>
        <v>26.027875049196638</v>
      </c>
      <c r="W112">
        <f t="shared" si="44"/>
        <v>3.3798281485422694</v>
      </c>
      <c r="X112">
        <f t="shared" si="45"/>
        <v>67.871172487420608</v>
      </c>
      <c r="Y112">
        <f t="shared" si="46"/>
        <v>2.0635755831768003</v>
      </c>
      <c r="Z112">
        <f t="shared" si="47"/>
        <v>3.0404301377868022</v>
      </c>
      <c r="AA112">
        <f t="shared" si="48"/>
        <v>1.3162525653654691</v>
      </c>
      <c r="AB112">
        <f t="shared" si="49"/>
        <v>-46.28118229288706</v>
      </c>
      <c r="AC112">
        <f t="shared" si="50"/>
        <v>-209.72471214958045</v>
      </c>
      <c r="AD112">
        <f t="shared" si="51"/>
        <v>-20.291571379911385</v>
      </c>
      <c r="AE112">
        <f t="shared" si="52"/>
        <v>-0.18104152237887661</v>
      </c>
      <c r="AF112">
        <v>14</v>
      </c>
      <c r="AG112">
        <v>5</v>
      </c>
      <c r="AH112">
        <f t="shared" si="53"/>
        <v>1</v>
      </c>
      <c r="AI112">
        <f t="shared" si="54"/>
        <v>0</v>
      </c>
      <c r="AJ112">
        <f t="shared" si="55"/>
        <v>52675.431240195503</v>
      </c>
      <c r="AK112">
        <f t="shared" si="56"/>
        <v>1800</v>
      </c>
      <c r="AL112">
        <f t="shared" si="57"/>
        <v>1499.1118110000002</v>
      </c>
      <c r="AM112">
        <f t="shared" si="58"/>
        <v>0.83283989500000011</v>
      </c>
      <c r="AN112">
        <f t="shared" si="59"/>
        <v>0.15339801350000001</v>
      </c>
      <c r="AO112">
        <v>31.2</v>
      </c>
      <c r="AP112">
        <v>0.5</v>
      </c>
      <c r="AQ112" t="s">
        <v>331</v>
      </c>
      <c r="AR112">
        <v>2</v>
      </c>
      <c r="AS112">
        <v>1690307750</v>
      </c>
      <c r="AT112">
        <v>604.33699999999999</v>
      </c>
      <c r="AU112">
        <v>800.00699999999995</v>
      </c>
      <c r="AV112">
        <v>20.7788</v>
      </c>
      <c r="AW112">
        <v>10.0953</v>
      </c>
      <c r="AX112">
        <v>604.25099999999998</v>
      </c>
      <c r="AY112">
        <v>20.563099999999999</v>
      </c>
      <c r="AZ112">
        <v>300.11500000000001</v>
      </c>
      <c r="BA112">
        <v>99.211500000000001</v>
      </c>
      <c r="BB112">
        <v>0.10008599999999999</v>
      </c>
      <c r="BC112">
        <v>24.251000000000001</v>
      </c>
      <c r="BD112">
        <v>26.943300000000001</v>
      </c>
      <c r="BE112">
        <v>26.142600000000002</v>
      </c>
      <c r="BF112">
        <v>0</v>
      </c>
      <c r="BG112">
        <v>0</v>
      </c>
      <c r="BH112">
        <v>9946.8799999999992</v>
      </c>
      <c r="BI112">
        <v>1039.45</v>
      </c>
      <c r="BJ112">
        <v>1.62592</v>
      </c>
      <c r="BK112">
        <v>-195.67</v>
      </c>
      <c r="BL112">
        <v>617.16099999999994</v>
      </c>
      <c r="BM112">
        <v>808.16600000000005</v>
      </c>
      <c r="BN112">
        <v>10.6835</v>
      </c>
      <c r="BO112">
        <v>800.00699999999995</v>
      </c>
      <c r="BP112">
        <v>10.0953</v>
      </c>
      <c r="BQ112">
        <v>2.06149</v>
      </c>
      <c r="BR112">
        <v>1.0015700000000001</v>
      </c>
      <c r="BS112">
        <v>17.924700000000001</v>
      </c>
      <c r="BT112">
        <v>6.93926</v>
      </c>
      <c r="BU112">
        <v>1800</v>
      </c>
      <c r="BV112">
        <v>0.90998500000000004</v>
      </c>
      <c r="BW112">
        <v>3.3998199999999999E-2</v>
      </c>
      <c r="BX112">
        <v>2.2006499999999998E-2</v>
      </c>
      <c r="BY112">
        <v>3.4010800000000001E-2</v>
      </c>
      <c r="BZ112">
        <v>26</v>
      </c>
      <c r="CA112">
        <v>33528.199999999997</v>
      </c>
      <c r="CB112">
        <v>1690306253.5999999</v>
      </c>
      <c r="CC112" t="s">
        <v>332</v>
      </c>
      <c r="CD112">
        <v>1690306253.5999999</v>
      </c>
      <c r="CE112">
        <v>1690306251.5999999</v>
      </c>
      <c r="CF112">
        <v>9</v>
      </c>
      <c r="CG112">
        <v>0.19</v>
      </c>
      <c r="CH112">
        <v>-8.7999999999999995E-2</v>
      </c>
      <c r="CI112">
        <v>-5.0999999999999997E-2</v>
      </c>
      <c r="CJ112">
        <v>5.0999999999999997E-2</v>
      </c>
      <c r="CK112">
        <v>799</v>
      </c>
      <c r="CL112">
        <v>15</v>
      </c>
      <c r="CM112">
        <v>0.28000000000000003</v>
      </c>
      <c r="CN112">
        <v>0.03</v>
      </c>
      <c r="CO112">
        <v>-192.58670000000001</v>
      </c>
      <c r="CP112">
        <v>-17.59357598499065</v>
      </c>
      <c r="CQ112">
        <v>1.693067145744668</v>
      </c>
      <c r="CR112">
        <v>-1</v>
      </c>
      <c r="CS112">
        <v>10.4706975</v>
      </c>
      <c r="CT112">
        <v>1.165025515947449</v>
      </c>
      <c r="CU112">
        <v>0.1124445696498946</v>
      </c>
      <c r="CV112">
        <v>-1</v>
      </c>
      <c r="CW112">
        <v>0</v>
      </c>
      <c r="CX112">
        <v>0</v>
      </c>
      <c r="CY112" t="s">
        <v>333</v>
      </c>
      <c r="CZ112">
        <v>2.3642599999999998</v>
      </c>
      <c r="DA112">
        <v>2.7138300000000002</v>
      </c>
      <c r="DB112">
        <v>0.121131</v>
      </c>
      <c r="DC112">
        <v>0.146287</v>
      </c>
      <c r="DD112">
        <v>0.10277</v>
      </c>
      <c r="DE112">
        <v>5.9626899999999997E-2</v>
      </c>
      <c r="DF112">
        <v>32093</v>
      </c>
      <c r="DG112">
        <v>27524</v>
      </c>
      <c r="DH112">
        <v>31174.6</v>
      </c>
      <c r="DI112">
        <v>28093.4</v>
      </c>
      <c r="DJ112">
        <v>37979.199999999997</v>
      </c>
      <c r="DK112">
        <v>37575.4</v>
      </c>
      <c r="DL112">
        <v>44367.199999999997</v>
      </c>
      <c r="DM112">
        <v>42589.2</v>
      </c>
      <c r="DN112">
        <v>1.43042</v>
      </c>
      <c r="DO112">
        <v>2.0401199999999999</v>
      </c>
      <c r="DP112">
        <v>0.17841199999999999</v>
      </c>
      <c r="DQ112">
        <v>0.15662599999999999</v>
      </c>
      <c r="DR112">
        <v>24.0183</v>
      </c>
      <c r="DS112">
        <v>23.572099999999999</v>
      </c>
      <c r="DT112">
        <v>51.1</v>
      </c>
      <c r="DU112">
        <v>29.3</v>
      </c>
      <c r="DV112">
        <v>21.081900000000001</v>
      </c>
      <c r="DW112">
        <v>61.662999999999997</v>
      </c>
      <c r="DX112">
        <v>36.682699999999997</v>
      </c>
      <c r="DY112">
        <v>1</v>
      </c>
      <c r="DZ112">
        <v>-7.5645299999999999E-2</v>
      </c>
      <c r="EA112">
        <v>1.18309</v>
      </c>
      <c r="EB112">
        <v>20.184999999999999</v>
      </c>
      <c r="EC112">
        <v>5.2401999999999997</v>
      </c>
      <c r="ED112">
        <v>12.039899999999999</v>
      </c>
      <c r="EE112">
        <v>5.0163500000000001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1.86894</v>
      </c>
      <c r="EL112">
        <v>1.8646199999999999</v>
      </c>
      <c r="EM112">
        <v>1.8692</v>
      </c>
      <c r="EN112">
        <v>1.86727</v>
      </c>
      <c r="EO112">
        <v>1.8633999999999999</v>
      </c>
      <c r="EP112">
        <v>1.8644799999999999</v>
      </c>
      <c r="EQ112">
        <v>1.8702000000000001</v>
      </c>
      <c r="ER112">
        <v>1.8694299999999999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8.5999999999999993E-2</v>
      </c>
      <c r="FG112">
        <v>0.2157</v>
      </c>
      <c r="FH112">
        <v>0.49996858830924029</v>
      </c>
      <c r="FI112">
        <v>-6.1462078757559423E-4</v>
      </c>
      <c r="FJ112">
        <v>-1.8861989874597051E-7</v>
      </c>
      <c r="FK112">
        <v>1.1980462299894961E-10</v>
      </c>
      <c r="FL112">
        <v>-3.8593581000597899E-2</v>
      </c>
      <c r="FM112">
        <v>-1.6848085045870601E-2</v>
      </c>
      <c r="FN112">
        <v>1.9789084769509481E-3</v>
      </c>
      <c r="FO112">
        <v>-2.7142391389806329E-5</v>
      </c>
      <c r="FP112">
        <v>3</v>
      </c>
      <c r="FQ112">
        <v>2158</v>
      </c>
      <c r="FR112">
        <v>1</v>
      </c>
      <c r="FS112">
        <v>19</v>
      </c>
      <c r="FT112">
        <v>24.9</v>
      </c>
      <c r="FU112">
        <v>25</v>
      </c>
      <c r="FV112">
        <v>1.7773399999999999</v>
      </c>
      <c r="FW112">
        <v>2.5976599999999999</v>
      </c>
      <c r="FX112">
        <v>1.5490699999999999</v>
      </c>
      <c r="FY112">
        <v>2.3278799999999999</v>
      </c>
      <c r="FZ112">
        <v>1.50146</v>
      </c>
      <c r="GA112">
        <v>2.3120099999999999</v>
      </c>
      <c r="GB112">
        <v>34.077100000000002</v>
      </c>
      <c r="GC112">
        <v>23.982399999999998</v>
      </c>
      <c r="GD112">
        <v>19</v>
      </c>
      <c r="GE112">
        <v>264.74599999999998</v>
      </c>
      <c r="GF112">
        <v>588.90899999999999</v>
      </c>
      <c r="GG112">
        <v>21.103100000000001</v>
      </c>
      <c r="GH112">
        <v>26.3888</v>
      </c>
      <c r="GI112">
        <v>29.9999</v>
      </c>
      <c r="GJ112">
        <v>26.574000000000002</v>
      </c>
      <c r="GK112">
        <v>26.571100000000001</v>
      </c>
      <c r="GL112">
        <v>35.544899999999998</v>
      </c>
      <c r="GM112">
        <v>53.662199999999999</v>
      </c>
      <c r="GN112">
        <v>72.497299999999996</v>
      </c>
      <c r="GO112">
        <v>21.133800000000001</v>
      </c>
      <c r="GP112">
        <v>800</v>
      </c>
      <c r="GQ112">
        <v>9.96875</v>
      </c>
      <c r="GR112">
        <v>99.748999999999995</v>
      </c>
      <c r="GS112">
        <v>99.622299999999996</v>
      </c>
    </row>
    <row r="113" spans="1:201" x14ac:dyDescent="0.25">
      <c r="A113">
        <v>97</v>
      </c>
      <c r="B113">
        <v>1690307760</v>
      </c>
      <c r="C113">
        <v>1141.400000095367</v>
      </c>
      <c r="D113" t="s">
        <v>527</v>
      </c>
      <c r="E113" t="s">
        <v>528</v>
      </c>
      <c r="F113" t="s">
        <v>330</v>
      </c>
      <c r="H113">
        <v>1690307760</v>
      </c>
      <c r="I113">
        <f t="shared" si="30"/>
        <v>1.0680366296066249E-3</v>
      </c>
      <c r="J113">
        <f t="shared" si="31"/>
        <v>1.068036629606625</v>
      </c>
      <c r="K113">
        <f t="shared" si="32"/>
        <v>18.473708574617543</v>
      </c>
      <c r="L113">
        <f t="shared" si="33"/>
        <v>601.29999999999995</v>
      </c>
      <c r="M113">
        <f t="shared" si="34"/>
        <v>216.71019003217629</v>
      </c>
      <c r="N113">
        <f t="shared" si="35"/>
        <v>21.522653139236276</v>
      </c>
      <c r="O113">
        <f t="shared" si="36"/>
        <v>59.718333183599995</v>
      </c>
      <c r="P113">
        <f t="shared" si="37"/>
        <v>8.0036891346720249E-2</v>
      </c>
      <c r="Q113">
        <f t="shared" si="38"/>
        <v>2.1932871038495994</v>
      </c>
      <c r="R113">
        <f t="shared" si="39"/>
        <v>7.844901728515756E-2</v>
      </c>
      <c r="S113">
        <f t="shared" si="40"/>
        <v>4.917067615330889E-2</v>
      </c>
      <c r="T113">
        <f t="shared" si="41"/>
        <v>276.11622820800005</v>
      </c>
      <c r="U113">
        <f t="shared" si="42"/>
        <v>26.03089078066505</v>
      </c>
      <c r="V113">
        <f t="shared" si="43"/>
        <v>26.03089078066505</v>
      </c>
      <c r="W113">
        <f t="shared" si="44"/>
        <v>3.3804312024978271</v>
      </c>
      <c r="X113">
        <f t="shared" si="45"/>
        <v>67.880521362739628</v>
      </c>
      <c r="Y113">
        <f t="shared" si="46"/>
        <v>2.0653823391863999</v>
      </c>
      <c r="Z113">
        <f t="shared" si="47"/>
        <v>3.0426730639698816</v>
      </c>
      <c r="AA113">
        <f t="shared" si="48"/>
        <v>1.3150488633114272</v>
      </c>
      <c r="AB113">
        <f t="shared" si="49"/>
        <v>-47.100415365652161</v>
      </c>
      <c r="AC113">
        <f t="shared" si="50"/>
        <v>-209.00787806462711</v>
      </c>
      <c r="AD113">
        <f t="shared" si="51"/>
        <v>-20.187100409674194</v>
      </c>
      <c r="AE113">
        <f t="shared" si="52"/>
        <v>-0.17916563195342405</v>
      </c>
      <c r="AF113">
        <v>14</v>
      </c>
      <c r="AG113">
        <v>5</v>
      </c>
      <c r="AH113">
        <f t="shared" si="53"/>
        <v>1</v>
      </c>
      <c r="AI113">
        <f t="shared" si="54"/>
        <v>0</v>
      </c>
      <c r="AJ113">
        <f t="shared" si="55"/>
        <v>52837.284706487233</v>
      </c>
      <c r="AK113">
        <f t="shared" si="56"/>
        <v>1800</v>
      </c>
      <c r="AL113">
        <f t="shared" si="57"/>
        <v>1499.1109758</v>
      </c>
      <c r="AM113">
        <f t="shared" si="58"/>
        <v>0.83283943100000002</v>
      </c>
      <c r="AN113">
        <f t="shared" si="59"/>
        <v>0.15339790456000002</v>
      </c>
      <c r="AO113">
        <v>31.2</v>
      </c>
      <c r="AP113">
        <v>0.5</v>
      </c>
      <c r="AQ113" t="s">
        <v>331</v>
      </c>
      <c r="AR113">
        <v>2</v>
      </c>
      <c r="AS113">
        <v>1690307760</v>
      </c>
      <c r="AT113">
        <v>601.29999999999995</v>
      </c>
      <c r="AU113">
        <v>800.03599999999994</v>
      </c>
      <c r="AV113">
        <v>20.796199999999999</v>
      </c>
      <c r="AW113">
        <v>9.9234200000000001</v>
      </c>
      <c r="AX113">
        <v>601.21100000000001</v>
      </c>
      <c r="AY113">
        <v>20.579899999999999</v>
      </c>
      <c r="AZ113">
        <v>300.10500000000002</v>
      </c>
      <c r="BA113">
        <v>99.215299999999999</v>
      </c>
      <c r="BB113">
        <v>0.10007199999999999</v>
      </c>
      <c r="BC113">
        <v>24.263300000000001</v>
      </c>
      <c r="BD113">
        <v>26.952000000000002</v>
      </c>
      <c r="BE113">
        <v>26.1525</v>
      </c>
      <c r="BF113">
        <v>0</v>
      </c>
      <c r="BG113">
        <v>0</v>
      </c>
      <c r="BH113">
        <v>9978.75</v>
      </c>
      <c r="BI113">
        <v>1039.49</v>
      </c>
      <c r="BJ113">
        <v>1.62592</v>
      </c>
      <c r="BK113">
        <v>-198.73599999999999</v>
      </c>
      <c r="BL113">
        <v>614.07000000000005</v>
      </c>
      <c r="BM113">
        <v>808.05499999999995</v>
      </c>
      <c r="BN113">
        <v>10.8728</v>
      </c>
      <c r="BO113">
        <v>800.03599999999994</v>
      </c>
      <c r="BP113">
        <v>9.9234200000000001</v>
      </c>
      <c r="BQ113">
        <v>2.0632999999999999</v>
      </c>
      <c r="BR113">
        <v>0.98455499999999996</v>
      </c>
      <c r="BS113">
        <v>17.938600000000001</v>
      </c>
      <c r="BT113">
        <v>6.6898</v>
      </c>
      <c r="BU113">
        <v>1800</v>
      </c>
      <c r="BV113">
        <v>0.90998500000000004</v>
      </c>
      <c r="BW113">
        <v>3.3998E-2</v>
      </c>
      <c r="BX113">
        <v>2.2006299999999999E-2</v>
      </c>
      <c r="BY113">
        <v>3.4010600000000002E-2</v>
      </c>
      <c r="BZ113">
        <v>26</v>
      </c>
      <c r="CA113">
        <v>33528.199999999997</v>
      </c>
      <c r="CB113">
        <v>1690306253.5999999</v>
      </c>
      <c r="CC113" t="s">
        <v>332</v>
      </c>
      <c r="CD113">
        <v>1690306253.5999999</v>
      </c>
      <c r="CE113">
        <v>1690306251.5999999</v>
      </c>
      <c r="CF113">
        <v>9</v>
      </c>
      <c r="CG113">
        <v>0.19</v>
      </c>
      <c r="CH113">
        <v>-8.7999999999999995E-2</v>
      </c>
      <c r="CI113">
        <v>-5.0999999999999997E-2</v>
      </c>
      <c r="CJ113">
        <v>5.0999999999999997E-2</v>
      </c>
      <c r="CK113">
        <v>799</v>
      </c>
      <c r="CL113">
        <v>15</v>
      </c>
      <c r="CM113">
        <v>0.28000000000000003</v>
      </c>
      <c r="CN113">
        <v>0.03</v>
      </c>
      <c r="CO113">
        <v>-195.50315000000001</v>
      </c>
      <c r="CP113">
        <v>-17.451151969981321</v>
      </c>
      <c r="CQ113">
        <v>1.6798359079088661</v>
      </c>
      <c r="CR113">
        <v>-1</v>
      </c>
      <c r="CS113">
        <v>10.6691725</v>
      </c>
      <c r="CT113">
        <v>1.2121452157597941</v>
      </c>
      <c r="CU113">
        <v>0.1168569188955023</v>
      </c>
      <c r="CV113">
        <v>-1</v>
      </c>
      <c r="CW113">
        <v>0</v>
      </c>
      <c r="CX113">
        <v>0</v>
      </c>
      <c r="CY113" t="s">
        <v>333</v>
      </c>
      <c r="CZ113">
        <v>2.3642300000000001</v>
      </c>
      <c r="DA113">
        <v>2.7138399999999998</v>
      </c>
      <c r="DB113">
        <v>0.120708</v>
      </c>
      <c r="DC113">
        <v>0.14629400000000001</v>
      </c>
      <c r="DD113">
        <v>0.102835</v>
      </c>
      <c r="DE113">
        <v>5.8847299999999998E-2</v>
      </c>
      <c r="DF113">
        <v>32108.7</v>
      </c>
      <c r="DG113">
        <v>27524</v>
      </c>
      <c r="DH113">
        <v>31174.799999999999</v>
      </c>
      <c r="DI113">
        <v>28093.7</v>
      </c>
      <c r="DJ113">
        <v>37976.800000000003</v>
      </c>
      <c r="DK113">
        <v>37606.699999999997</v>
      </c>
      <c r="DL113">
        <v>44367.6</v>
      </c>
      <c r="DM113">
        <v>42589.3</v>
      </c>
      <c r="DN113">
        <v>1.4300999999999999</v>
      </c>
      <c r="DO113">
        <v>2.0402999999999998</v>
      </c>
      <c r="DP113">
        <v>0.179172</v>
      </c>
      <c r="DQ113">
        <v>0.15723000000000001</v>
      </c>
      <c r="DR113">
        <v>24.014600000000002</v>
      </c>
      <c r="DS113">
        <v>23.572099999999999</v>
      </c>
      <c r="DT113">
        <v>50.8</v>
      </c>
      <c r="DU113">
        <v>29.3</v>
      </c>
      <c r="DV113">
        <v>20.952000000000002</v>
      </c>
      <c r="DW113">
        <v>61.563000000000002</v>
      </c>
      <c r="DX113">
        <v>35.773200000000003</v>
      </c>
      <c r="DY113">
        <v>1</v>
      </c>
      <c r="DZ113">
        <v>-7.6222100000000001E-2</v>
      </c>
      <c r="EA113">
        <v>1.1228899999999999</v>
      </c>
      <c r="EB113">
        <v>20.185600000000001</v>
      </c>
      <c r="EC113">
        <v>5.2409499999999998</v>
      </c>
      <c r="ED113">
        <v>12.039899999999999</v>
      </c>
      <c r="EE113">
        <v>5.0165499999999996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1.8689100000000001</v>
      </c>
      <c r="EL113">
        <v>1.86463</v>
      </c>
      <c r="EM113">
        <v>1.8692</v>
      </c>
      <c r="EN113">
        <v>1.86724</v>
      </c>
      <c r="EO113">
        <v>1.8633999999999999</v>
      </c>
      <c r="EP113">
        <v>1.8644799999999999</v>
      </c>
      <c r="EQ113">
        <v>1.87019</v>
      </c>
      <c r="ER113">
        <v>1.8694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8.8999999999999996E-2</v>
      </c>
      <c r="FG113">
        <v>0.21629999999999999</v>
      </c>
      <c r="FH113">
        <v>0.49996858830924029</v>
      </c>
      <c r="FI113">
        <v>-6.1462078757559423E-4</v>
      </c>
      <c r="FJ113">
        <v>-1.8861989874597051E-7</v>
      </c>
      <c r="FK113">
        <v>1.1980462299894961E-10</v>
      </c>
      <c r="FL113">
        <v>-3.8593581000597899E-2</v>
      </c>
      <c r="FM113">
        <v>-1.6848085045870601E-2</v>
      </c>
      <c r="FN113">
        <v>1.9789084769509481E-3</v>
      </c>
      <c r="FO113">
        <v>-2.7142391389806329E-5</v>
      </c>
      <c r="FP113">
        <v>3</v>
      </c>
      <c r="FQ113">
        <v>2158</v>
      </c>
      <c r="FR113">
        <v>1</v>
      </c>
      <c r="FS113">
        <v>19</v>
      </c>
      <c r="FT113">
        <v>25.1</v>
      </c>
      <c r="FU113">
        <v>25.1</v>
      </c>
      <c r="FV113">
        <v>1.7773399999999999</v>
      </c>
      <c r="FW113">
        <v>2.5939899999999998</v>
      </c>
      <c r="FX113">
        <v>1.5490699999999999</v>
      </c>
      <c r="FY113">
        <v>2.3290999999999999</v>
      </c>
      <c r="FZ113">
        <v>1.50146</v>
      </c>
      <c r="GA113">
        <v>2.34131</v>
      </c>
      <c r="GB113">
        <v>34.077100000000002</v>
      </c>
      <c r="GC113">
        <v>23.973700000000001</v>
      </c>
      <c r="GD113">
        <v>19</v>
      </c>
      <c r="GE113">
        <v>264.59300000000002</v>
      </c>
      <c r="GF113">
        <v>588.99800000000005</v>
      </c>
      <c r="GG113">
        <v>21.188800000000001</v>
      </c>
      <c r="GH113">
        <v>26.382100000000001</v>
      </c>
      <c r="GI113">
        <v>29.9999</v>
      </c>
      <c r="GJ113">
        <v>26.569099999999999</v>
      </c>
      <c r="GK113">
        <v>26.566099999999999</v>
      </c>
      <c r="GL113">
        <v>35.538899999999998</v>
      </c>
      <c r="GM113">
        <v>53.953699999999998</v>
      </c>
      <c r="GN113">
        <v>71.719899999999996</v>
      </c>
      <c r="GO113">
        <v>21.212599999999998</v>
      </c>
      <c r="GP113">
        <v>800</v>
      </c>
      <c r="GQ113">
        <v>9.7866400000000002</v>
      </c>
      <c r="GR113">
        <v>99.749899999999997</v>
      </c>
      <c r="GS113">
        <v>99.622799999999998</v>
      </c>
    </row>
    <row r="114" spans="1:201" x14ac:dyDescent="0.25">
      <c r="A114">
        <v>98</v>
      </c>
      <c r="B114">
        <v>1690307770</v>
      </c>
      <c r="C114">
        <v>1151.400000095367</v>
      </c>
      <c r="D114" t="s">
        <v>529</v>
      </c>
      <c r="E114" t="s">
        <v>530</v>
      </c>
      <c r="F114" t="s">
        <v>330</v>
      </c>
      <c r="H114">
        <v>1690307770</v>
      </c>
      <c r="I114">
        <f t="shared" si="30"/>
        <v>1.0883166517688674E-3</v>
      </c>
      <c r="J114">
        <f t="shared" si="31"/>
        <v>1.0883166517688674</v>
      </c>
      <c r="K114">
        <f t="shared" si="32"/>
        <v>18.724570199998947</v>
      </c>
      <c r="L114">
        <f t="shared" si="33"/>
        <v>598.53800000000001</v>
      </c>
      <c r="M114">
        <f t="shared" si="34"/>
        <v>216.09568674001258</v>
      </c>
      <c r="N114">
        <f t="shared" si="35"/>
        <v>21.460935467513234</v>
      </c>
      <c r="O114">
        <f t="shared" si="36"/>
        <v>59.442118381143999</v>
      </c>
      <c r="P114">
        <f t="shared" si="37"/>
        <v>8.1607533524104367E-2</v>
      </c>
      <c r="Q114">
        <f t="shared" si="38"/>
        <v>2.1951721006333975</v>
      </c>
      <c r="R114">
        <f t="shared" si="39"/>
        <v>7.9958805608983705E-2</v>
      </c>
      <c r="S114">
        <f t="shared" si="40"/>
        <v>5.01196108239048E-2</v>
      </c>
      <c r="T114">
        <f t="shared" si="41"/>
        <v>276.11622709200003</v>
      </c>
      <c r="U114">
        <f t="shared" si="42"/>
        <v>26.033990413214312</v>
      </c>
      <c r="V114">
        <f t="shared" si="43"/>
        <v>26.033990413214312</v>
      </c>
      <c r="W114">
        <f t="shared" si="44"/>
        <v>3.3810511320338983</v>
      </c>
      <c r="X114">
        <f t="shared" si="45"/>
        <v>67.86719920098237</v>
      </c>
      <c r="Y114">
        <f t="shared" si="46"/>
        <v>2.0663886957159998</v>
      </c>
      <c r="Z114">
        <f t="shared" si="47"/>
        <v>3.0447531650695985</v>
      </c>
      <c r="AA114">
        <f t="shared" si="48"/>
        <v>1.3146624363178985</v>
      </c>
      <c r="AB114">
        <f t="shared" si="49"/>
        <v>-47.994764343007049</v>
      </c>
      <c r="AC114">
        <f t="shared" si="50"/>
        <v>-208.20519134757652</v>
      </c>
      <c r="AD114">
        <f t="shared" si="51"/>
        <v>-20.093768594723034</v>
      </c>
      <c r="AE114">
        <f t="shared" si="52"/>
        <v>-0.17749719330655012</v>
      </c>
      <c r="AF114">
        <v>14</v>
      </c>
      <c r="AG114">
        <v>5</v>
      </c>
      <c r="AH114">
        <f t="shared" si="53"/>
        <v>1</v>
      </c>
      <c r="AI114">
        <f t="shared" si="54"/>
        <v>0</v>
      </c>
      <c r="AJ114">
        <f t="shared" si="55"/>
        <v>52913.004283709372</v>
      </c>
      <c r="AK114">
        <f t="shared" si="56"/>
        <v>1800</v>
      </c>
      <c r="AL114">
        <f t="shared" si="57"/>
        <v>1499.1119621999999</v>
      </c>
      <c r="AM114">
        <f t="shared" si="58"/>
        <v>0.83283997899999995</v>
      </c>
      <c r="AN114">
        <f t="shared" si="59"/>
        <v>0.15339790394000002</v>
      </c>
      <c r="AO114">
        <v>31.2</v>
      </c>
      <c r="AP114">
        <v>0.5</v>
      </c>
      <c r="AQ114" t="s">
        <v>331</v>
      </c>
      <c r="AR114">
        <v>2</v>
      </c>
      <c r="AS114">
        <v>1690307770</v>
      </c>
      <c r="AT114">
        <v>598.53800000000001</v>
      </c>
      <c r="AU114">
        <v>799.99099999999999</v>
      </c>
      <c r="AV114">
        <v>20.806999999999999</v>
      </c>
      <c r="AW114">
        <v>9.72715</v>
      </c>
      <c r="AX114">
        <v>598.44799999999998</v>
      </c>
      <c r="AY114">
        <v>20.590399999999999</v>
      </c>
      <c r="AZ114">
        <v>300.08499999999998</v>
      </c>
      <c r="BA114">
        <v>99.212199999999996</v>
      </c>
      <c r="BB114">
        <v>9.9987999999999994E-2</v>
      </c>
      <c r="BC114">
        <v>24.274699999999999</v>
      </c>
      <c r="BD114">
        <v>26.986899999999999</v>
      </c>
      <c r="BE114">
        <v>26.168800000000001</v>
      </c>
      <c r="BF114">
        <v>0</v>
      </c>
      <c r="BG114">
        <v>0</v>
      </c>
      <c r="BH114">
        <v>9994.3799999999992</v>
      </c>
      <c r="BI114">
        <v>1039.48</v>
      </c>
      <c r="BJ114">
        <v>1.62592</v>
      </c>
      <c r="BK114">
        <v>-201.453</v>
      </c>
      <c r="BL114">
        <v>611.25699999999995</v>
      </c>
      <c r="BM114">
        <v>807.84900000000005</v>
      </c>
      <c r="BN114">
        <v>11.079800000000001</v>
      </c>
      <c r="BO114">
        <v>799.99099999999999</v>
      </c>
      <c r="BP114">
        <v>9.72715</v>
      </c>
      <c r="BQ114">
        <v>2.0643099999999999</v>
      </c>
      <c r="BR114">
        <v>0.96505200000000002</v>
      </c>
      <c r="BS114">
        <v>17.946400000000001</v>
      </c>
      <c r="BT114">
        <v>6.3991699999999998</v>
      </c>
      <c r="BU114">
        <v>1800</v>
      </c>
      <c r="BV114">
        <v>0.90998800000000002</v>
      </c>
      <c r="BW114">
        <v>3.3996999999999999E-2</v>
      </c>
      <c r="BX114">
        <v>2.20057E-2</v>
      </c>
      <c r="BY114">
        <v>3.4009600000000001E-2</v>
      </c>
      <c r="BZ114">
        <v>26</v>
      </c>
      <c r="CA114">
        <v>33528.300000000003</v>
      </c>
      <c r="CB114">
        <v>1690306253.5999999</v>
      </c>
      <c r="CC114" t="s">
        <v>332</v>
      </c>
      <c r="CD114">
        <v>1690306253.5999999</v>
      </c>
      <c r="CE114">
        <v>1690306251.5999999</v>
      </c>
      <c r="CF114">
        <v>9</v>
      </c>
      <c r="CG114">
        <v>0.19</v>
      </c>
      <c r="CH114">
        <v>-8.7999999999999995E-2</v>
      </c>
      <c r="CI114">
        <v>-5.0999999999999997E-2</v>
      </c>
      <c r="CJ114">
        <v>5.0999999999999997E-2</v>
      </c>
      <c r="CK114">
        <v>799</v>
      </c>
      <c r="CL114">
        <v>15</v>
      </c>
      <c r="CM114">
        <v>0.28000000000000003</v>
      </c>
      <c r="CN114">
        <v>0.03</v>
      </c>
      <c r="CO114">
        <v>-198.20821951219509</v>
      </c>
      <c r="CP114">
        <v>-17.79694076655057</v>
      </c>
      <c r="CQ114">
        <v>1.7559701857599439</v>
      </c>
      <c r="CR114">
        <v>-1</v>
      </c>
      <c r="CS114">
        <v>10.852187804878049</v>
      </c>
      <c r="CT114">
        <v>1.20084041811849</v>
      </c>
      <c r="CU114">
        <v>0.11870006718127819</v>
      </c>
      <c r="CV114">
        <v>-1</v>
      </c>
      <c r="CW114">
        <v>0</v>
      </c>
      <c r="CX114">
        <v>0</v>
      </c>
      <c r="CY114" t="s">
        <v>333</v>
      </c>
      <c r="CZ114">
        <v>2.3641999999999999</v>
      </c>
      <c r="DA114">
        <v>2.7137699999999998</v>
      </c>
      <c r="DB114">
        <v>0.12031500000000001</v>
      </c>
      <c r="DC114">
        <v>0.146282</v>
      </c>
      <c r="DD114">
        <v>0.102871</v>
      </c>
      <c r="DE114">
        <v>5.7947100000000001E-2</v>
      </c>
      <c r="DF114">
        <v>32123.5</v>
      </c>
      <c r="DG114">
        <v>27525.200000000001</v>
      </c>
      <c r="DH114">
        <v>31175.200000000001</v>
      </c>
      <c r="DI114">
        <v>28094.5</v>
      </c>
      <c r="DJ114">
        <v>37975.599999999999</v>
      </c>
      <c r="DK114">
        <v>37644</v>
      </c>
      <c r="DL114">
        <v>44368.1</v>
      </c>
      <c r="DM114">
        <v>42590.7</v>
      </c>
      <c r="DN114">
        <v>1.4302699999999999</v>
      </c>
      <c r="DO114">
        <v>2.0401199999999999</v>
      </c>
      <c r="DP114">
        <v>0.18130199999999999</v>
      </c>
      <c r="DQ114">
        <v>0.15811600000000001</v>
      </c>
      <c r="DR114">
        <v>24.014600000000002</v>
      </c>
      <c r="DS114">
        <v>23.573899999999998</v>
      </c>
      <c r="DT114">
        <v>50.6</v>
      </c>
      <c r="DU114">
        <v>29.3</v>
      </c>
      <c r="DV114">
        <v>20.8705</v>
      </c>
      <c r="DW114">
        <v>61.703000000000003</v>
      </c>
      <c r="DX114">
        <v>35.873399999999997</v>
      </c>
      <c r="DY114">
        <v>1</v>
      </c>
      <c r="DZ114">
        <v>-7.5795199999999993E-2</v>
      </c>
      <c r="EA114">
        <v>1.1046100000000001</v>
      </c>
      <c r="EB114">
        <v>20.1858</v>
      </c>
      <c r="EC114">
        <v>5.2408000000000001</v>
      </c>
      <c r="ED114">
        <v>12.039899999999999</v>
      </c>
      <c r="EE114">
        <v>5.0166500000000003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1.86893</v>
      </c>
      <c r="EL114">
        <v>1.8646199999999999</v>
      </c>
      <c r="EM114">
        <v>1.8692</v>
      </c>
      <c r="EN114">
        <v>1.86724</v>
      </c>
      <c r="EO114">
        <v>1.8633999999999999</v>
      </c>
      <c r="EP114">
        <v>1.8644799999999999</v>
      </c>
      <c r="EQ114">
        <v>1.8701700000000001</v>
      </c>
      <c r="ER114">
        <v>1.8694200000000001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0.09</v>
      </c>
      <c r="FG114">
        <v>0.21659999999999999</v>
      </c>
      <c r="FH114">
        <v>0.49996858830924029</v>
      </c>
      <c r="FI114">
        <v>-6.1462078757559423E-4</v>
      </c>
      <c r="FJ114">
        <v>-1.8861989874597051E-7</v>
      </c>
      <c r="FK114">
        <v>1.1980462299894961E-10</v>
      </c>
      <c r="FL114">
        <v>-3.8593581000597899E-2</v>
      </c>
      <c r="FM114">
        <v>-1.6848085045870601E-2</v>
      </c>
      <c r="FN114">
        <v>1.9789084769509481E-3</v>
      </c>
      <c r="FO114">
        <v>-2.7142391389806329E-5</v>
      </c>
      <c r="FP114">
        <v>3</v>
      </c>
      <c r="FQ114">
        <v>2158</v>
      </c>
      <c r="FR114">
        <v>1</v>
      </c>
      <c r="FS114">
        <v>19</v>
      </c>
      <c r="FT114">
        <v>25.3</v>
      </c>
      <c r="FU114">
        <v>25.3</v>
      </c>
      <c r="FV114">
        <v>1.7773399999999999</v>
      </c>
      <c r="FW114">
        <v>2.5878899999999998</v>
      </c>
      <c r="FX114">
        <v>1.5490699999999999</v>
      </c>
      <c r="FY114">
        <v>2.3278799999999999</v>
      </c>
      <c r="FZ114">
        <v>1.50146</v>
      </c>
      <c r="GA114">
        <v>2.3840300000000001</v>
      </c>
      <c r="GB114">
        <v>34.077100000000002</v>
      </c>
      <c r="GC114">
        <v>23.991199999999999</v>
      </c>
      <c r="GD114">
        <v>19</v>
      </c>
      <c r="GE114">
        <v>264.64100000000002</v>
      </c>
      <c r="GF114">
        <v>588.79499999999996</v>
      </c>
      <c r="GG114">
        <v>21.259399999999999</v>
      </c>
      <c r="GH114">
        <v>26.375399999999999</v>
      </c>
      <c r="GI114">
        <v>30.000599999999999</v>
      </c>
      <c r="GJ114">
        <v>26.563500000000001</v>
      </c>
      <c r="GK114">
        <v>26.5611</v>
      </c>
      <c r="GL114">
        <v>35.5364</v>
      </c>
      <c r="GM114">
        <v>54.574199999999998</v>
      </c>
      <c r="GN114">
        <v>70.926900000000003</v>
      </c>
      <c r="GO114">
        <v>21.2807</v>
      </c>
      <c r="GP114">
        <v>800</v>
      </c>
      <c r="GQ114">
        <v>9.6125900000000009</v>
      </c>
      <c r="GR114">
        <v>99.751199999999997</v>
      </c>
      <c r="GS114">
        <v>99.625900000000001</v>
      </c>
    </row>
    <row r="115" spans="1:201" x14ac:dyDescent="0.25">
      <c r="A115">
        <v>99</v>
      </c>
      <c r="B115">
        <v>1690307780</v>
      </c>
      <c r="C115">
        <v>1161.400000095367</v>
      </c>
      <c r="D115" t="s">
        <v>531</v>
      </c>
      <c r="E115" t="s">
        <v>532</v>
      </c>
      <c r="F115" t="s">
        <v>330</v>
      </c>
      <c r="H115">
        <v>1690307780</v>
      </c>
      <c r="I115">
        <f t="shared" si="30"/>
        <v>1.1026334162377476E-3</v>
      </c>
      <c r="J115">
        <f t="shared" si="31"/>
        <v>1.1026334162377476</v>
      </c>
      <c r="K115">
        <f t="shared" si="32"/>
        <v>19.000065208164379</v>
      </c>
      <c r="L115">
        <f t="shared" si="33"/>
        <v>595.678</v>
      </c>
      <c r="M115">
        <f t="shared" si="34"/>
        <v>212.64300011237867</v>
      </c>
      <c r="N115">
        <f t="shared" si="35"/>
        <v>21.11743663470925</v>
      </c>
      <c r="O115">
        <f t="shared" si="36"/>
        <v>59.156390819553998</v>
      </c>
      <c r="P115">
        <f t="shared" si="37"/>
        <v>8.2679687055891612E-2</v>
      </c>
      <c r="Q115">
        <f t="shared" si="38"/>
        <v>2.1974375938479938</v>
      </c>
      <c r="R115">
        <f t="shared" si="39"/>
        <v>8.0989542599125261E-2</v>
      </c>
      <c r="S115">
        <f t="shared" si="40"/>
        <v>5.0767439233372583E-2</v>
      </c>
      <c r="T115">
        <f t="shared" si="41"/>
        <v>276.11605297800003</v>
      </c>
      <c r="U115">
        <f t="shared" si="42"/>
        <v>26.037852866067723</v>
      </c>
      <c r="V115">
        <f t="shared" si="43"/>
        <v>26.037852866067723</v>
      </c>
      <c r="W115">
        <f t="shared" si="44"/>
        <v>3.381823765327105</v>
      </c>
      <c r="X115">
        <f t="shared" si="45"/>
        <v>67.840562295126986</v>
      </c>
      <c r="Y115">
        <f t="shared" si="46"/>
        <v>2.0668657702531998</v>
      </c>
      <c r="Z115">
        <f t="shared" si="47"/>
        <v>3.0466518854335378</v>
      </c>
      <c r="AA115">
        <f t="shared" si="48"/>
        <v>1.3149579950739052</v>
      </c>
      <c r="AB115">
        <f t="shared" si="49"/>
        <v>-48.626133656084669</v>
      </c>
      <c r="AC115">
        <f t="shared" si="50"/>
        <v>-207.64557447001502</v>
      </c>
      <c r="AD115">
        <f t="shared" si="51"/>
        <v>-20.020535054812644</v>
      </c>
      <c r="AE115">
        <f t="shared" si="52"/>
        <v>-0.17619020291229504</v>
      </c>
      <c r="AF115">
        <v>14</v>
      </c>
      <c r="AG115">
        <v>5</v>
      </c>
      <c r="AH115">
        <f t="shared" si="53"/>
        <v>1</v>
      </c>
      <c r="AI115">
        <f t="shared" si="54"/>
        <v>0</v>
      </c>
      <c r="AJ115">
        <f t="shared" si="55"/>
        <v>53004.69937076277</v>
      </c>
      <c r="AK115">
        <f t="shared" si="56"/>
        <v>1800</v>
      </c>
      <c r="AL115">
        <f t="shared" si="57"/>
        <v>1499.1108677999998</v>
      </c>
      <c r="AM115">
        <f t="shared" si="58"/>
        <v>0.83283937099999994</v>
      </c>
      <c r="AN115">
        <f t="shared" si="59"/>
        <v>0.15339780721000001</v>
      </c>
      <c r="AO115">
        <v>31.2</v>
      </c>
      <c r="AP115">
        <v>0.5</v>
      </c>
      <c r="AQ115" t="s">
        <v>331</v>
      </c>
      <c r="AR115">
        <v>2</v>
      </c>
      <c r="AS115">
        <v>1690307780</v>
      </c>
      <c r="AT115">
        <v>595.678</v>
      </c>
      <c r="AU115">
        <v>800.02099999999996</v>
      </c>
      <c r="AV115">
        <v>20.8124</v>
      </c>
      <c r="AW115">
        <v>9.5885400000000001</v>
      </c>
      <c r="AX115">
        <v>595.58600000000001</v>
      </c>
      <c r="AY115">
        <v>20.595700000000001</v>
      </c>
      <c r="AZ115">
        <v>300.13</v>
      </c>
      <c r="BA115">
        <v>99.209400000000002</v>
      </c>
      <c r="BB115">
        <v>9.9943000000000004E-2</v>
      </c>
      <c r="BC115">
        <v>24.2851</v>
      </c>
      <c r="BD115">
        <v>27.0062</v>
      </c>
      <c r="BE115">
        <v>26.157900000000001</v>
      </c>
      <c r="BF115">
        <v>0</v>
      </c>
      <c r="BG115">
        <v>0</v>
      </c>
      <c r="BH115">
        <v>10013.1</v>
      </c>
      <c r="BI115">
        <v>1039.6300000000001</v>
      </c>
      <c r="BJ115">
        <v>1.62592</v>
      </c>
      <c r="BK115">
        <v>-204.34299999999999</v>
      </c>
      <c r="BL115">
        <v>608.33900000000006</v>
      </c>
      <c r="BM115">
        <v>807.76599999999996</v>
      </c>
      <c r="BN115">
        <v>11.2239</v>
      </c>
      <c r="BO115">
        <v>800.02099999999996</v>
      </c>
      <c r="BP115">
        <v>9.5885400000000001</v>
      </c>
      <c r="BQ115">
        <v>2.0647899999999999</v>
      </c>
      <c r="BR115">
        <v>0.95127300000000004</v>
      </c>
      <c r="BS115">
        <v>17.950099999999999</v>
      </c>
      <c r="BT115">
        <v>6.1906800000000004</v>
      </c>
      <c r="BU115">
        <v>1800</v>
      </c>
      <c r="BV115">
        <v>0.90998699999999999</v>
      </c>
      <c r="BW115">
        <v>3.3997100000000002E-2</v>
      </c>
      <c r="BX115">
        <v>2.2005799999999999E-2</v>
      </c>
      <c r="BY115">
        <v>3.4009699999999997E-2</v>
      </c>
      <c r="BZ115">
        <v>26</v>
      </c>
      <c r="CA115">
        <v>33528.300000000003</v>
      </c>
      <c r="CB115">
        <v>1690306253.5999999</v>
      </c>
      <c r="CC115" t="s">
        <v>332</v>
      </c>
      <c r="CD115">
        <v>1690306253.5999999</v>
      </c>
      <c r="CE115">
        <v>1690306251.5999999</v>
      </c>
      <c r="CF115">
        <v>9</v>
      </c>
      <c r="CG115">
        <v>0.19</v>
      </c>
      <c r="CH115">
        <v>-8.7999999999999995E-2</v>
      </c>
      <c r="CI115">
        <v>-5.0999999999999997E-2</v>
      </c>
      <c r="CJ115">
        <v>5.0999999999999997E-2</v>
      </c>
      <c r="CK115">
        <v>799</v>
      </c>
      <c r="CL115">
        <v>15</v>
      </c>
      <c r="CM115">
        <v>0.28000000000000003</v>
      </c>
      <c r="CN115">
        <v>0.03</v>
      </c>
      <c r="CO115">
        <v>-201.33510000000001</v>
      </c>
      <c r="CP115">
        <v>-17.138544090055859</v>
      </c>
      <c r="CQ115">
        <v>1.6503580641788009</v>
      </c>
      <c r="CR115">
        <v>-1</v>
      </c>
      <c r="CS115">
        <v>11.056915</v>
      </c>
      <c r="CT115">
        <v>1.1114836772983021</v>
      </c>
      <c r="CU115">
        <v>0.10762117949084191</v>
      </c>
      <c r="CV115">
        <v>-1</v>
      </c>
      <c r="CW115">
        <v>0</v>
      </c>
      <c r="CX115">
        <v>0</v>
      </c>
      <c r="CY115" t="s">
        <v>333</v>
      </c>
      <c r="CZ115">
        <v>2.36436</v>
      </c>
      <c r="DA115">
        <v>2.71374</v>
      </c>
      <c r="DB115">
        <v>0.119908</v>
      </c>
      <c r="DC115">
        <v>0.14627999999999999</v>
      </c>
      <c r="DD115">
        <v>0.10288799999999999</v>
      </c>
      <c r="DE115">
        <v>5.7307299999999999E-2</v>
      </c>
      <c r="DF115">
        <v>32138.5</v>
      </c>
      <c r="DG115">
        <v>27525.9</v>
      </c>
      <c r="DH115">
        <v>31175.3</v>
      </c>
      <c r="DI115">
        <v>28095.1</v>
      </c>
      <c r="DJ115">
        <v>37975.1</v>
      </c>
      <c r="DK115">
        <v>37670.300000000003</v>
      </c>
      <c r="DL115">
        <v>44368.4</v>
      </c>
      <c r="DM115">
        <v>42591.4</v>
      </c>
      <c r="DN115">
        <v>1.4307700000000001</v>
      </c>
      <c r="DO115">
        <v>2.0397500000000002</v>
      </c>
      <c r="DP115">
        <v>0.18260599999999999</v>
      </c>
      <c r="DQ115">
        <v>0.15742300000000001</v>
      </c>
      <c r="DR115">
        <v>24.012499999999999</v>
      </c>
      <c r="DS115">
        <v>23.574400000000001</v>
      </c>
      <c r="DT115">
        <v>50.3</v>
      </c>
      <c r="DU115">
        <v>29.3</v>
      </c>
      <c r="DV115">
        <v>20.7468</v>
      </c>
      <c r="DW115">
        <v>61.482999999999997</v>
      </c>
      <c r="DX115">
        <v>36.694699999999997</v>
      </c>
      <c r="DY115">
        <v>1</v>
      </c>
      <c r="DZ115">
        <v>-7.6813999999999993E-2</v>
      </c>
      <c r="EA115">
        <v>1.20299</v>
      </c>
      <c r="EB115">
        <v>20.184699999999999</v>
      </c>
      <c r="EC115">
        <v>5.2398999999999996</v>
      </c>
      <c r="ED115">
        <v>12.039899999999999</v>
      </c>
      <c r="EE115">
        <v>5.0165499999999996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1.8689100000000001</v>
      </c>
      <c r="EL115">
        <v>1.86463</v>
      </c>
      <c r="EM115">
        <v>1.8692</v>
      </c>
      <c r="EN115">
        <v>1.8672500000000001</v>
      </c>
      <c r="EO115">
        <v>1.8633999999999999</v>
      </c>
      <c r="EP115">
        <v>1.8644799999999999</v>
      </c>
      <c r="EQ115">
        <v>1.8701700000000001</v>
      </c>
      <c r="ER115">
        <v>1.8693900000000001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9.1999999999999998E-2</v>
      </c>
      <c r="FG115">
        <v>0.2167</v>
      </c>
      <c r="FH115">
        <v>0.49996858830924029</v>
      </c>
      <c r="FI115">
        <v>-6.1462078757559423E-4</v>
      </c>
      <c r="FJ115">
        <v>-1.8861989874597051E-7</v>
      </c>
      <c r="FK115">
        <v>1.1980462299894961E-10</v>
      </c>
      <c r="FL115">
        <v>-3.8593581000597899E-2</v>
      </c>
      <c r="FM115">
        <v>-1.6848085045870601E-2</v>
      </c>
      <c r="FN115">
        <v>1.9789084769509481E-3</v>
      </c>
      <c r="FO115">
        <v>-2.7142391389806329E-5</v>
      </c>
      <c r="FP115">
        <v>3</v>
      </c>
      <c r="FQ115">
        <v>2158</v>
      </c>
      <c r="FR115">
        <v>1</v>
      </c>
      <c r="FS115">
        <v>19</v>
      </c>
      <c r="FT115">
        <v>25.4</v>
      </c>
      <c r="FU115">
        <v>25.5</v>
      </c>
      <c r="FV115">
        <v>1.7773399999999999</v>
      </c>
      <c r="FW115">
        <v>2.5891099999999998</v>
      </c>
      <c r="FX115">
        <v>1.5490699999999999</v>
      </c>
      <c r="FY115">
        <v>2.3278799999999999</v>
      </c>
      <c r="FZ115">
        <v>1.50024</v>
      </c>
      <c r="GA115">
        <v>2.3596200000000001</v>
      </c>
      <c r="GB115">
        <v>34.077100000000002</v>
      </c>
      <c r="GC115">
        <v>23.982399999999998</v>
      </c>
      <c r="GD115">
        <v>19</v>
      </c>
      <c r="GE115">
        <v>264.822</v>
      </c>
      <c r="GF115">
        <v>588.42600000000004</v>
      </c>
      <c r="GG115">
        <v>21.3035</v>
      </c>
      <c r="GH115">
        <v>26.369299999999999</v>
      </c>
      <c r="GI115">
        <v>29.999700000000001</v>
      </c>
      <c r="GJ115">
        <v>26.5579</v>
      </c>
      <c r="GK115">
        <v>26.556100000000001</v>
      </c>
      <c r="GL115">
        <v>35.528399999999998</v>
      </c>
      <c r="GM115">
        <v>54.574199999999998</v>
      </c>
      <c r="GN115">
        <v>70.553200000000004</v>
      </c>
      <c r="GO115">
        <v>21.296900000000001</v>
      </c>
      <c r="GP115">
        <v>800</v>
      </c>
      <c r="GQ115">
        <v>9.5233299999999996</v>
      </c>
      <c r="GR115">
        <v>99.7517</v>
      </c>
      <c r="GS115">
        <v>99.627799999999993</v>
      </c>
    </row>
    <row r="116" spans="1:201" x14ac:dyDescent="0.25">
      <c r="A116">
        <v>100</v>
      </c>
      <c r="B116">
        <v>1690307790</v>
      </c>
      <c r="C116">
        <v>1171.400000095367</v>
      </c>
      <c r="D116" t="s">
        <v>533</v>
      </c>
      <c r="E116" t="s">
        <v>534</v>
      </c>
      <c r="F116" t="s">
        <v>330</v>
      </c>
      <c r="H116">
        <v>1690307790</v>
      </c>
      <c r="I116">
        <f t="shared" si="30"/>
        <v>1.112969452683109E-3</v>
      </c>
      <c r="J116">
        <f t="shared" si="31"/>
        <v>1.1129694526831091</v>
      </c>
      <c r="K116">
        <f t="shared" si="32"/>
        <v>19.282487644535244</v>
      </c>
      <c r="L116">
        <f t="shared" si="33"/>
        <v>592.76</v>
      </c>
      <c r="M116">
        <f t="shared" si="34"/>
        <v>206.94080201152897</v>
      </c>
      <c r="N116">
        <f t="shared" si="35"/>
        <v>20.552341230946993</v>
      </c>
      <c r="O116">
        <f t="shared" si="36"/>
        <v>58.870003738448005</v>
      </c>
      <c r="P116">
        <f t="shared" si="37"/>
        <v>8.328833556806757E-2</v>
      </c>
      <c r="Q116">
        <f t="shared" si="38"/>
        <v>2.1899719248810787</v>
      </c>
      <c r="R116">
        <f t="shared" si="39"/>
        <v>8.1567777732475713E-2</v>
      </c>
      <c r="S116">
        <f t="shared" si="40"/>
        <v>5.1131486015600615E-2</v>
      </c>
      <c r="T116">
        <f t="shared" si="41"/>
        <v>276.11611880400005</v>
      </c>
      <c r="U116">
        <f t="shared" si="42"/>
        <v>26.048069948303553</v>
      </c>
      <c r="V116">
        <f t="shared" si="43"/>
        <v>26.048069948303553</v>
      </c>
      <c r="W116">
        <f t="shared" si="44"/>
        <v>3.3838683028145855</v>
      </c>
      <c r="X116">
        <f t="shared" si="45"/>
        <v>67.775871387508019</v>
      </c>
      <c r="Y116">
        <f t="shared" si="46"/>
        <v>2.0659223914671601</v>
      </c>
      <c r="Z116">
        <f t="shared" si="47"/>
        <v>3.0481679529507852</v>
      </c>
      <c r="AA116">
        <f t="shared" si="48"/>
        <v>1.3179459113474254</v>
      </c>
      <c r="AB116">
        <f t="shared" si="49"/>
        <v>-49.081952863325107</v>
      </c>
      <c r="AC116">
        <f t="shared" si="50"/>
        <v>-207.16645225040409</v>
      </c>
      <c r="AD116">
        <f t="shared" si="51"/>
        <v>-20.044300120720973</v>
      </c>
      <c r="AE116">
        <f t="shared" si="52"/>
        <v>-0.17658643045010081</v>
      </c>
      <c r="AF116">
        <v>14</v>
      </c>
      <c r="AG116">
        <v>5</v>
      </c>
      <c r="AH116">
        <f t="shared" si="53"/>
        <v>1</v>
      </c>
      <c r="AI116">
        <f t="shared" si="54"/>
        <v>0</v>
      </c>
      <c r="AJ116">
        <f t="shared" si="55"/>
        <v>52695.255322668367</v>
      </c>
      <c r="AK116">
        <f t="shared" si="56"/>
        <v>1800</v>
      </c>
      <c r="AL116">
        <f t="shared" si="57"/>
        <v>1499.1118343999999</v>
      </c>
      <c r="AM116">
        <f t="shared" si="58"/>
        <v>0.83283990799999996</v>
      </c>
      <c r="AN116">
        <f t="shared" si="59"/>
        <v>0.15339784378000004</v>
      </c>
      <c r="AO116">
        <v>31.2</v>
      </c>
      <c r="AP116">
        <v>0.5</v>
      </c>
      <c r="AQ116" t="s">
        <v>331</v>
      </c>
      <c r="AR116">
        <v>2</v>
      </c>
      <c r="AS116">
        <v>1690307790</v>
      </c>
      <c r="AT116">
        <v>592.76</v>
      </c>
      <c r="AU116">
        <v>800.07399999999996</v>
      </c>
      <c r="AV116">
        <v>20.8017</v>
      </c>
      <c r="AW116">
        <v>9.4722399999999993</v>
      </c>
      <c r="AX116">
        <v>592.66600000000005</v>
      </c>
      <c r="AY116">
        <v>20.5853</v>
      </c>
      <c r="AZ116">
        <v>300.12299999999999</v>
      </c>
      <c r="BA116">
        <v>99.215100000000007</v>
      </c>
      <c r="BB116">
        <v>9.9974800000000003E-2</v>
      </c>
      <c r="BC116">
        <v>24.293399999999998</v>
      </c>
      <c r="BD116">
        <v>27.056799999999999</v>
      </c>
      <c r="BE116">
        <v>26.186</v>
      </c>
      <c r="BF116">
        <v>0</v>
      </c>
      <c r="BG116">
        <v>0</v>
      </c>
      <c r="BH116">
        <v>9951.8799999999992</v>
      </c>
      <c r="BI116">
        <v>1039.67</v>
      </c>
      <c r="BJ116">
        <v>1.62592</v>
      </c>
      <c r="BK116">
        <v>-207.31399999999999</v>
      </c>
      <c r="BL116">
        <v>605.35299999999995</v>
      </c>
      <c r="BM116">
        <v>807.72500000000002</v>
      </c>
      <c r="BN116">
        <v>11.329499999999999</v>
      </c>
      <c r="BO116">
        <v>800.07399999999996</v>
      </c>
      <c r="BP116">
        <v>9.4722399999999993</v>
      </c>
      <c r="BQ116">
        <v>2.06385</v>
      </c>
      <c r="BR116">
        <v>0.93978899999999999</v>
      </c>
      <c r="BS116">
        <v>17.942900000000002</v>
      </c>
      <c r="BT116">
        <v>6.0148799999999998</v>
      </c>
      <c r="BU116">
        <v>1800</v>
      </c>
      <c r="BV116">
        <v>0.90998900000000005</v>
      </c>
      <c r="BW116">
        <v>3.3996499999999999E-2</v>
      </c>
      <c r="BX116">
        <v>2.2005400000000001E-2</v>
      </c>
      <c r="BY116">
        <v>3.4009200000000003E-2</v>
      </c>
      <c r="BZ116">
        <v>26</v>
      </c>
      <c r="CA116">
        <v>33528.199999999997</v>
      </c>
      <c r="CB116">
        <v>1690306253.5999999</v>
      </c>
      <c r="CC116" t="s">
        <v>332</v>
      </c>
      <c r="CD116">
        <v>1690306253.5999999</v>
      </c>
      <c r="CE116">
        <v>1690306251.5999999</v>
      </c>
      <c r="CF116">
        <v>9</v>
      </c>
      <c r="CG116">
        <v>0.19</v>
      </c>
      <c r="CH116">
        <v>-8.7999999999999995E-2</v>
      </c>
      <c r="CI116">
        <v>-5.0999999999999997E-2</v>
      </c>
      <c r="CJ116">
        <v>5.0999999999999997E-2</v>
      </c>
      <c r="CK116">
        <v>799</v>
      </c>
      <c r="CL116">
        <v>15</v>
      </c>
      <c r="CM116">
        <v>0.28000000000000003</v>
      </c>
      <c r="CN116">
        <v>0.03</v>
      </c>
      <c r="CO116">
        <v>-204.17477500000001</v>
      </c>
      <c r="CP116">
        <v>-17.04604502814238</v>
      </c>
      <c r="CQ116">
        <v>1.6411832086561819</v>
      </c>
      <c r="CR116">
        <v>-1</v>
      </c>
      <c r="CS116">
        <v>11.204115</v>
      </c>
      <c r="CT116">
        <v>0.68644277673546095</v>
      </c>
      <c r="CU116">
        <v>6.7057645164440488E-2</v>
      </c>
      <c r="CV116">
        <v>-1</v>
      </c>
      <c r="CW116">
        <v>0</v>
      </c>
      <c r="CX116">
        <v>0</v>
      </c>
      <c r="CY116" t="s">
        <v>333</v>
      </c>
      <c r="CZ116">
        <v>2.3643100000000001</v>
      </c>
      <c r="DA116">
        <v>2.7137199999999999</v>
      </c>
      <c r="DB116">
        <v>0.1195</v>
      </c>
      <c r="DC116">
        <v>0.14629400000000001</v>
      </c>
      <c r="DD116">
        <v>0.102858</v>
      </c>
      <c r="DE116">
        <v>5.6772499999999997E-2</v>
      </c>
      <c r="DF116">
        <v>32154.3</v>
      </c>
      <c r="DG116">
        <v>27525.7</v>
      </c>
      <c r="DH116">
        <v>31176.2</v>
      </c>
      <c r="DI116">
        <v>28095.3</v>
      </c>
      <c r="DJ116">
        <v>37977.4</v>
      </c>
      <c r="DK116">
        <v>37692</v>
      </c>
      <c r="DL116">
        <v>44369.7</v>
      </c>
      <c r="DM116">
        <v>42591.8</v>
      </c>
      <c r="DN116">
        <v>1.4304699999999999</v>
      </c>
      <c r="DO116">
        <v>2.0396000000000001</v>
      </c>
      <c r="DP116">
        <v>0.185698</v>
      </c>
      <c r="DQ116">
        <v>0.158913</v>
      </c>
      <c r="DR116">
        <v>24.012499999999999</v>
      </c>
      <c r="DS116">
        <v>23.578099999999999</v>
      </c>
      <c r="DT116">
        <v>50</v>
      </c>
      <c r="DU116">
        <v>29.3</v>
      </c>
      <c r="DV116">
        <v>20.624099999999999</v>
      </c>
      <c r="DW116">
        <v>61.802999999999997</v>
      </c>
      <c r="DX116">
        <v>36.462299999999999</v>
      </c>
      <c r="DY116">
        <v>1</v>
      </c>
      <c r="DZ116">
        <v>-7.5101600000000004E-2</v>
      </c>
      <c r="EA116">
        <v>2.0767799999999998</v>
      </c>
      <c r="EB116">
        <v>20.173999999999999</v>
      </c>
      <c r="EC116">
        <v>5.2398999999999996</v>
      </c>
      <c r="ED116">
        <v>12.039899999999999</v>
      </c>
      <c r="EE116">
        <v>5.0166500000000003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1.86894</v>
      </c>
      <c r="EL116">
        <v>1.8646199999999999</v>
      </c>
      <c r="EM116">
        <v>1.8692</v>
      </c>
      <c r="EN116">
        <v>1.8672800000000001</v>
      </c>
      <c r="EO116">
        <v>1.8633999999999999</v>
      </c>
      <c r="EP116">
        <v>1.8644700000000001</v>
      </c>
      <c r="EQ116">
        <v>1.87015</v>
      </c>
      <c r="ER116">
        <v>1.86941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9.4E-2</v>
      </c>
      <c r="FG116">
        <v>0.21640000000000001</v>
      </c>
      <c r="FH116">
        <v>0.49996858830924029</v>
      </c>
      <c r="FI116">
        <v>-6.1462078757559423E-4</v>
      </c>
      <c r="FJ116">
        <v>-1.8861989874597051E-7</v>
      </c>
      <c r="FK116">
        <v>1.1980462299894961E-10</v>
      </c>
      <c r="FL116">
        <v>-3.8593581000597899E-2</v>
      </c>
      <c r="FM116">
        <v>-1.6848085045870601E-2</v>
      </c>
      <c r="FN116">
        <v>1.9789084769509481E-3</v>
      </c>
      <c r="FO116">
        <v>-2.7142391389806329E-5</v>
      </c>
      <c r="FP116">
        <v>3</v>
      </c>
      <c r="FQ116">
        <v>2158</v>
      </c>
      <c r="FR116">
        <v>1</v>
      </c>
      <c r="FS116">
        <v>19</v>
      </c>
      <c r="FT116">
        <v>25.6</v>
      </c>
      <c r="FU116">
        <v>25.6</v>
      </c>
      <c r="FV116">
        <v>1.7773399999999999</v>
      </c>
      <c r="FW116">
        <v>2.5964399999999999</v>
      </c>
      <c r="FX116">
        <v>1.5490699999999999</v>
      </c>
      <c r="FY116">
        <v>2.3278799999999999</v>
      </c>
      <c r="FZ116">
        <v>1.50146</v>
      </c>
      <c r="GA116">
        <v>2.2900399999999999</v>
      </c>
      <c r="GB116">
        <v>34.077100000000002</v>
      </c>
      <c r="GC116">
        <v>23.973700000000001</v>
      </c>
      <c r="GD116">
        <v>19</v>
      </c>
      <c r="GE116">
        <v>264.67700000000002</v>
      </c>
      <c r="GF116">
        <v>588.25099999999998</v>
      </c>
      <c r="GG116">
        <v>21.0671</v>
      </c>
      <c r="GH116">
        <v>26.3626</v>
      </c>
      <c r="GI116">
        <v>30.001000000000001</v>
      </c>
      <c r="GJ116">
        <v>26.552299999999999</v>
      </c>
      <c r="GK116">
        <v>26.551600000000001</v>
      </c>
      <c r="GL116">
        <v>35.527900000000002</v>
      </c>
      <c r="GM116">
        <v>54.875799999999998</v>
      </c>
      <c r="GN116">
        <v>69.774699999999996</v>
      </c>
      <c r="GO116">
        <v>21.009399999999999</v>
      </c>
      <c r="GP116">
        <v>800</v>
      </c>
      <c r="GQ116">
        <v>9.3853000000000009</v>
      </c>
      <c r="GR116">
        <v>99.754599999999996</v>
      </c>
      <c r="GS116">
        <v>99.628600000000006</v>
      </c>
    </row>
    <row r="117" spans="1:201" x14ac:dyDescent="0.25">
      <c r="A117">
        <v>101</v>
      </c>
      <c r="B117">
        <v>1690307800</v>
      </c>
      <c r="C117">
        <v>1181.400000095367</v>
      </c>
      <c r="D117" t="s">
        <v>535</v>
      </c>
      <c r="E117" t="s">
        <v>536</v>
      </c>
      <c r="F117" t="s">
        <v>330</v>
      </c>
      <c r="H117">
        <v>1690307800</v>
      </c>
      <c r="I117">
        <f t="shared" si="30"/>
        <v>1.1215788723978239E-3</v>
      </c>
      <c r="J117">
        <f t="shared" si="31"/>
        <v>1.1215788723978239</v>
      </c>
      <c r="K117">
        <f t="shared" si="32"/>
        <v>19.565270062525936</v>
      </c>
      <c r="L117">
        <f t="shared" si="33"/>
        <v>589.91600000000005</v>
      </c>
      <c r="M117">
        <f t="shared" si="34"/>
        <v>202.08876489654517</v>
      </c>
      <c r="N117">
        <f t="shared" si="35"/>
        <v>20.069693329437548</v>
      </c>
      <c r="O117">
        <f t="shared" si="36"/>
        <v>58.585311341723603</v>
      </c>
      <c r="P117">
        <f t="shared" si="37"/>
        <v>8.4048351456814552E-2</v>
      </c>
      <c r="Q117">
        <f t="shared" si="38"/>
        <v>2.1993015199453003</v>
      </c>
      <c r="R117">
        <f t="shared" si="39"/>
        <v>8.2303870435114362E-2</v>
      </c>
      <c r="S117">
        <f t="shared" si="40"/>
        <v>5.1593637983576641E-2</v>
      </c>
      <c r="T117">
        <f t="shared" si="41"/>
        <v>276.11599240800001</v>
      </c>
      <c r="U117">
        <f t="shared" si="42"/>
        <v>26.013589435120451</v>
      </c>
      <c r="V117">
        <f t="shared" si="43"/>
        <v>26.013589435120451</v>
      </c>
      <c r="W117">
        <f t="shared" si="44"/>
        <v>3.3769727397148075</v>
      </c>
      <c r="X117">
        <f t="shared" si="45"/>
        <v>67.704433641529988</v>
      </c>
      <c r="Y117">
        <f t="shared" si="46"/>
        <v>2.0606792064418702</v>
      </c>
      <c r="Z117">
        <f t="shared" si="47"/>
        <v>3.0436399739379056</v>
      </c>
      <c r="AA117">
        <f t="shared" si="48"/>
        <v>1.3162935332729373</v>
      </c>
      <c r="AB117">
        <f t="shared" si="49"/>
        <v>-49.461628272744036</v>
      </c>
      <c r="AC117">
        <f t="shared" si="50"/>
        <v>-206.90120481854916</v>
      </c>
      <c r="AD117">
        <f t="shared" si="51"/>
        <v>-19.92776980162186</v>
      </c>
      <c r="AE117">
        <f t="shared" si="52"/>
        <v>-0.17461048491506403</v>
      </c>
      <c r="AF117">
        <v>14</v>
      </c>
      <c r="AG117">
        <v>5</v>
      </c>
      <c r="AH117">
        <f t="shared" si="53"/>
        <v>1</v>
      </c>
      <c r="AI117">
        <f t="shared" si="54"/>
        <v>0</v>
      </c>
      <c r="AJ117">
        <f t="shared" si="55"/>
        <v>53084.778196112275</v>
      </c>
      <c r="AK117">
        <f t="shared" si="56"/>
        <v>1800</v>
      </c>
      <c r="AL117">
        <f t="shared" si="57"/>
        <v>1499.1112818000001</v>
      </c>
      <c r="AM117">
        <f t="shared" si="58"/>
        <v>0.8328396010000001</v>
      </c>
      <c r="AN117">
        <f t="shared" si="59"/>
        <v>0.15339777356000001</v>
      </c>
      <c r="AO117">
        <v>31.2</v>
      </c>
      <c r="AP117">
        <v>0.5</v>
      </c>
      <c r="AQ117" t="s">
        <v>331</v>
      </c>
      <c r="AR117">
        <v>2</v>
      </c>
      <c r="AS117">
        <v>1690307800</v>
      </c>
      <c r="AT117">
        <v>589.91600000000005</v>
      </c>
      <c r="AU117">
        <v>800.15599999999995</v>
      </c>
      <c r="AV117">
        <v>20.749700000000001</v>
      </c>
      <c r="AW117">
        <v>9.3338199999999993</v>
      </c>
      <c r="AX117">
        <v>589.82000000000005</v>
      </c>
      <c r="AY117">
        <v>20.534800000000001</v>
      </c>
      <c r="AZ117">
        <v>300.17099999999999</v>
      </c>
      <c r="BA117">
        <v>99.211299999999994</v>
      </c>
      <c r="BB117">
        <v>9.9977099999999999E-2</v>
      </c>
      <c r="BC117">
        <v>24.268599999999999</v>
      </c>
      <c r="BD117">
        <v>26.951599999999999</v>
      </c>
      <c r="BE117">
        <v>26.159199999999998</v>
      </c>
      <c r="BF117">
        <v>0</v>
      </c>
      <c r="BG117">
        <v>0</v>
      </c>
      <c r="BH117">
        <v>10028.1</v>
      </c>
      <c r="BI117">
        <v>1039.73</v>
      </c>
      <c r="BJ117">
        <v>1.62592</v>
      </c>
      <c r="BK117">
        <v>-210.24</v>
      </c>
      <c r="BL117">
        <v>602.41600000000005</v>
      </c>
      <c r="BM117">
        <v>807.69500000000005</v>
      </c>
      <c r="BN117">
        <v>11.415900000000001</v>
      </c>
      <c r="BO117">
        <v>800.15599999999995</v>
      </c>
      <c r="BP117">
        <v>9.3338199999999993</v>
      </c>
      <c r="BQ117">
        <v>2.0586000000000002</v>
      </c>
      <c r="BR117">
        <v>0.92601999999999995</v>
      </c>
      <c r="BS117">
        <v>17.9024</v>
      </c>
      <c r="BT117">
        <v>5.80159</v>
      </c>
      <c r="BU117">
        <v>1800</v>
      </c>
      <c r="BV117">
        <v>0.90998900000000005</v>
      </c>
      <c r="BW117">
        <v>3.3996400000000003E-2</v>
      </c>
      <c r="BX117">
        <v>2.2005299999999998E-2</v>
      </c>
      <c r="BY117">
        <v>3.4008999999999998E-2</v>
      </c>
      <c r="BZ117">
        <v>26</v>
      </c>
      <c r="CA117">
        <v>33528.300000000003</v>
      </c>
      <c r="CB117">
        <v>1690306253.5999999</v>
      </c>
      <c r="CC117" t="s">
        <v>332</v>
      </c>
      <c r="CD117">
        <v>1690306253.5999999</v>
      </c>
      <c r="CE117">
        <v>1690306251.5999999</v>
      </c>
      <c r="CF117">
        <v>9</v>
      </c>
      <c r="CG117">
        <v>0.19</v>
      </c>
      <c r="CH117">
        <v>-8.7999999999999995E-2</v>
      </c>
      <c r="CI117">
        <v>-5.0999999999999997E-2</v>
      </c>
      <c r="CJ117">
        <v>5.0999999999999997E-2</v>
      </c>
      <c r="CK117">
        <v>799</v>
      </c>
      <c r="CL117">
        <v>15</v>
      </c>
      <c r="CM117">
        <v>0.28000000000000003</v>
      </c>
      <c r="CN117">
        <v>0.03</v>
      </c>
      <c r="CO117">
        <v>-206.83429268292679</v>
      </c>
      <c r="CP117">
        <v>-17.552090592334871</v>
      </c>
      <c r="CQ117">
        <v>1.7311256487897351</v>
      </c>
      <c r="CR117">
        <v>-1</v>
      </c>
      <c r="CS117">
        <v>11.312363414634151</v>
      </c>
      <c r="CT117">
        <v>0.67365574912893122</v>
      </c>
      <c r="CU117">
        <v>6.7329020148773303E-2</v>
      </c>
      <c r="CV117">
        <v>-1</v>
      </c>
      <c r="CW117">
        <v>0</v>
      </c>
      <c r="CX117">
        <v>0</v>
      </c>
      <c r="CY117" t="s">
        <v>333</v>
      </c>
      <c r="CZ117">
        <v>2.36449</v>
      </c>
      <c r="DA117">
        <v>2.7137899999999999</v>
      </c>
      <c r="DB117">
        <v>0.119091</v>
      </c>
      <c r="DC117">
        <v>0.14629800000000001</v>
      </c>
      <c r="DD117">
        <v>0.102676</v>
      </c>
      <c r="DE117">
        <v>5.6127400000000001E-2</v>
      </c>
      <c r="DF117">
        <v>32169.599999999999</v>
      </c>
      <c r="DG117">
        <v>27526</v>
      </c>
      <c r="DH117">
        <v>31176.6</v>
      </c>
      <c r="DI117">
        <v>28095.8</v>
      </c>
      <c r="DJ117">
        <v>37985.699999999997</v>
      </c>
      <c r="DK117">
        <v>37718.300000000003</v>
      </c>
      <c r="DL117">
        <v>44370.3</v>
      </c>
      <c r="DM117">
        <v>42592.3</v>
      </c>
      <c r="DN117">
        <v>1.4307000000000001</v>
      </c>
      <c r="DO117">
        <v>2.0395799999999999</v>
      </c>
      <c r="DP117">
        <v>0.179142</v>
      </c>
      <c r="DQ117">
        <v>0.15715499999999999</v>
      </c>
      <c r="DR117">
        <v>24.014600000000002</v>
      </c>
      <c r="DS117">
        <v>23.580100000000002</v>
      </c>
      <c r="DT117">
        <v>49.7</v>
      </c>
      <c r="DU117">
        <v>29.3</v>
      </c>
      <c r="DV117">
        <v>20.4969</v>
      </c>
      <c r="DW117">
        <v>61.433</v>
      </c>
      <c r="DX117">
        <v>35.584899999999998</v>
      </c>
      <c r="DY117">
        <v>1</v>
      </c>
      <c r="DZ117">
        <v>-7.7306899999999998E-2</v>
      </c>
      <c r="EA117">
        <v>1.62601</v>
      </c>
      <c r="EB117">
        <v>20.180199999999999</v>
      </c>
      <c r="EC117">
        <v>5.2404999999999999</v>
      </c>
      <c r="ED117">
        <v>12.039899999999999</v>
      </c>
      <c r="EE117">
        <v>5.0164999999999997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1.8689199999999999</v>
      </c>
      <c r="EL117">
        <v>1.8646400000000001</v>
      </c>
      <c r="EM117">
        <v>1.8692</v>
      </c>
      <c r="EN117">
        <v>1.8672800000000001</v>
      </c>
      <c r="EO117">
        <v>1.8633999999999999</v>
      </c>
      <c r="EP117">
        <v>1.8644700000000001</v>
      </c>
      <c r="EQ117">
        <v>1.87018</v>
      </c>
      <c r="ER117">
        <v>1.8694299999999999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9.6000000000000002E-2</v>
      </c>
      <c r="FG117">
        <v>0.21490000000000001</v>
      </c>
      <c r="FH117">
        <v>0.49996858830924029</v>
      </c>
      <c r="FI117">
        <v>-6.1462078757559423E-4</v>
      </c>
      <c r="FJ117">
        <v>-1.8861989874597051E-7</v>
      </c>
      <c r="FK117">
        <v>1.1980462299894961E-10</v>
      </c>
      <c r="FL117">
        <v>-3.8593581000597899E-2</v>
      </c>
      <c r="FM117">
        <v>-1.6848085045870601E-2</v>
      </c>
      <c r="FN117">
        <v>1.9789084769509481E-3</v>
      </c>
      <c r="FO117">
        <v>-2.7142391389806329E-5</v>
      </c>
      <c r="FP117">
        <v>3</v>
      </c>
      <c r="FQ117">
        <v>2158</v>
      </c>
      <c r="FR117">
        <v>1</v>
      </c>
      <c r="FS117">
        <v>19</v>
      </c>
      <c r="FT117">
        <v>25.8</v>
      </c>
      <c r="FU117">
        <v>25.8</v>
      </c>
      <c r="FV117">
        <v>1.7761199999999999</v>
      </c>
      <c r="FW117">
        <v>2.5903299999999998</v>
      </c>
      <c r="FX117">
        <v>1.5490699999999999</v>
      </c>
      <c r="FY117">
        <v>2.3278799999999999</v>
      </c>
      <c r="FZ117">
        <v>1.50146</v>
      </c>
      <c r="GA117">
        <v>2.3779300000000001</v>
      </c>
      <c r="GB117">
        <v>34.077100000000002</v>
      </c>
      <c r="GC117">
        <v>23.982399999999998</v>
      </c>
      <c r="GD117">
        <v>19</v>
      </c>
      <c r="GE117">
        <v>264.745</v>
      </c>
      <c r="GF117">
        <v>588.173</v>
      </c>
      <c r="GG117">
        <v>20.9313</v>
      </c>
      <c r="GH117">
        <v>26.356000000000002</v>
      </c>
      <c r="GI117">
        <v>29.999300000000002</v>
      </c>
      <c r="GJ117">
        <v>26.546199999999999</v>
      </c>
      <c r="GK117">
        <v>26.546600000000002</v>
      </c>
      <c r="GL117">
        <v>35.5197</v>
      </c>
      <c r="GM117">
        <v>54.875799999999998</v>
      </c>
      <c r="GN117">
        <v>69.004199999999997</v>
      </c>
      <c r="GO117">
        <v>20.991199999999999</v>
      </c>
      <c r="GP117">
        <v>800</v>
      </c>
      <c r="GQ117">
        <v>9.2705000000000002</v>
      </c>
      <c r="GR117">
        <v>99.755899999999997</v>
      </c>
      <c r="GS117">
        <v>99.629900000000006</v>
      </c>
    </row>
    <row r="118" spans="1:201" x14ac:dyDescent="0.25">
      <c r="A118">
        <v>102</v>
      </c>
      <c r="B118">
        <v>1690307810</v>
      </c>
      <c r="C118">
        <v>1191.400000095367</v>
      </c>
      <c r="D118" t="s">
        <v>537</v>
      </c>
      <c r="E118" t="s">
        <v>538</v>
      </c>
      <c r="F118" t="s">
        <v>330</v>
      </c>
      <c r="H118">
        <v>1690307810</v>
      </c>
      <c r="I118">
        <f t="shared" si="30"/>
        <v>1.1315846973549224E-3</v>
      </c>
      <c r="J118">
        <f t="shared" si="31"/>
        <v>1.1315846973549224</v>
      </c>
      <c r="K118">
        <f t="shared" si="32"/>
        <v>19.81459760529258</v>
      </c>
      <c r="L118">
        <f t="shared" si="33"/>
        <v>587.07600000000002</v>
      </c>
      <c r="M118">
        <f t="shared" si="34"/>
        <v>198.99003708762581</v>
      </c>
      <c r="N118">
        <f t="shared" si="35"/>
        <v>19.761979368214082</v>
      </c>
      <c r="O118">
        <f t="shared" si="36"/>
        <v>58.303340053476006</v>
      </c>
      <c r="P118">
        <f t="shared" si="37"/>
        <v>8.5063196657252843E-2</v>
      </c>
      <c r="Q118">
        <f t="shared" si="38"/>
        <v>2.1943158773106042</v>
      </c>
      <c r="R118">
        <f t="shared" si="39"/>
        <v>8.3272849389623149E-2</v>
      </c>
      <c r="S118">
        <f t="shared" si="40"/>
        <v>5.2203247967529107E-2</v>
      </c>
      <c r="T118">
        <f t="shared" si="41"/>
        <v>276.11587450800005</v>
      </c>
      <c r="U118">
        <f t="shared" si="42"/>
        <v>25.999524775496681</v>
      </c>
      <c r="V118">
        <f t="shared" si="43"/>
        <v>25.999524775496681</v>
      </c>
      <c r="W118">
        <f t="shared" si="44"/>
        <v>3.3741635537981991</v>
      </c>
      <c r="X118">
        <f t="shared" si="45"/>
        <v>67.791651447270851</v>
      </c>
      <c r="Y118">
        <f t="shared" si="46"/>
        <v>2.0615656487986</v>
      </c>
      <c r="Z118">
        <f t="shared" si="47"/>
        <v>3.0410317565461731</v>
      </c>
      <c r="AA118">
        <f t="shared" si="48"/>
        <v>1.3125979049995991</v>
      </c>
      <c r="AB118">
        <f t="shared" si="49"/>
        <v>-49.902885153352081</v>
      </c>
      <c r="AC118">
        <f t="shared" si="50"/>
        <v>-206.46001690458019</v>
      </c>
      <c r="AD118">
        <f t="shared" si="51"/>
        <v>-19.927613357975257</v>
      </c>
      <c r="AE118">
        <f t="shared" si="52"/>
        <v>-0.17464090790747377</v>
      </c>
      <c r="AF118">
        <v>14</v>
      </c>
      <c r="AG118">
        <v>5</v>
      </c>
      <c r="AH118">
        <f t="shared" si="53"/>
        <v>1</v>
      </c>
      <c r="AI118">
        <f t="shared" si="54"/>
        <v>0</v>
      </c>
      <c r="AJ118">
        <f t="shared" si="55"/>
        <v>52881.262507757856</v>
      </c>
      <c r="AK118">
        <f t="shared" si="56"/>
        <v>1800</v>
      </c>
      <c r="AL118">
        <f t="shared" si="57"/>
        <v>1499.1114347999999</v>
      </c>
      <c r="AM118">
        <f t="shared" si="58"/>
        <v>0.83283968599999991</v>
      </c>
      <c r="AN118">
        <f t="shared" si="59"/>
        <v>0.15339770806000003</v>
      </c>
      <c r="AO118">
        <v>31.2</v>
      </c>
      <c r="AP118">
        <v>0.5</v>
      </c>
      <c r="AQ118" t="s">
        <v>331</v>
      </c>
      <c r="AR118">
        <v>2</v>
      </c>
      <c r="AS118">
        <v>1690307810</v>
      </c>
      <c r="AT118">
        <v>587.07600000000002</v>
      </c>
      <c r="AU118">
        <v>799.98299999999995</v>
      </c>
      <c r="AV118">
        <v>20.758600000000001</v>
      </c>
      <c r="AW118">
        <v>9.23841</v>
      </c>
      <c r="AX118">
        <v>586.97799999999995</v>
      </c>
      <c r="AY118">
        <v>20.543500000000002</v>
      </c>
      <c r="AZ118">
        <v>300.10399999999998</v>
      </c>
      <c r="BA118">
        <v>99.211399999999998</v>
      </c>
      <c r="BB118">
        <v>0.10000100000000001</v>
      </c>
      <c r="BC118">
        <v>24.254300000000001</v>
      </c>
      <c r="BD118">
        <v>26.9482</v>
      </c>
      <c r="BE118">
        <v>26.131599999999999</v>
      </c>
      <c r="BF118">
        <v>0</v>
      </c>
      <c r="BG118">
        <v>0</v>
      </c>
      <c r="BH118">
        <v>9987.5</v>
      </c>
      <c r="BI118">
        <v>1039.72</v>
      </c>
      <c r="BJ118">
        <v>1.62592</v>
      </c>
      <c r="BK118">
        <v>-212.90700000000001</v>
      </c>
      <c r="BL118">
        <v>599.52200000000005</v>
      </c>
      <c r="BM118">
        <v>807.44299999999998</v>
      </c>
      <c r="BN118">
        <v>11.520200000000001</v>
      </c>
      <c r="BO118">
        <v>799.98299999999995</v>
      </c>
      <c r="BP118">
        <v>9.23841</v>
      </c>
      <c r="BQ118">
        <v>2.0594899999999998</v>
      </c>
      <c r="BR118">
        <v>0.91655600000000004</v>
      </c>
      <c r="BS118">
        <v>17.909300000000002</v>
      </c>
      <c r="BT118">
        <v>5.6533499999999997</v>
      </c>
      <c r="BU118">
        <v>1800</v>
      </c>
      <c r="BV118">
        <v>0.90999099999999999</v>
      </c>
      <c r="BW118">
        <v>3.3995600000000001E-2</v>
      </c>
      <c r="BX118">
        <v>2.2004800000000001E-2</v>
      </c>
      <c r="BY118">
        <v>3.4008200000000002E-2</v>
      </c>
      <c r="BZ118">
        <v>26</v>
      </c>
      <c r="CA118">
        <v>33528.400000000001</v>
      </c>
      <c r="CB118">
        <v>1690306253.5999999</v>
      </c>
      <c r="CC118" t="s">
        <v>332</v>
      </c>
      <c r="CD118">
        <v>1690306253.5999999</v>
      </c>
      <c r="CE118">
        <v>1690306251.5999999</v>
      </c>
      <c r="CF118">
        <v>9</v>
      </c>
      <c r="CG118">
        <v>0.19</v>
      </c>
      <c r="CH118">
        <v>-8.7999999999999995E-2</v>
      </c>
      <c r="CI118">
        <v>-5.0999999999999997E-2</v>
      </c>
      <c r="CJ118">
        <v>5.0999999999999997E-2</v>
      </c>
      <c r="CK118">
        <v>799</v>
      </c>
      <c r="CL118">
        <v>15</v>
      </c>
      <c r="CM118">
        <v>0.28000000000000003</v>
      </c>
      <c r="CN118">
        <v>0.03</v>
      </c>
      <c r="CO118">
        <v>-209.93257500000001</v>
      </c>
      <c r="CP118">
        <v>-16.77896060037461</v>
      </c>
      <c r="CQ118">
        <v>1.614857019793082</v>
      </c>
      <c r="CR118">
        <v>-1</v>
      </c>
      <c r="CS118">
        <v>11.413747499999999</v>
      </c>
      <c r="CT118">
        <v>0.42658874296432031</v>
      </c>
      <c r="CU118">
        <v>4.1945166512364761E-2</v>
      </c>
      <c r="CV118">
        <v>-1</v>
      </c>
      <c r="CW118">
        <v>0</v>
      </c>
      <c r="CX118">
        <v>0</v>
      </c>
      <c r="CY118" t="s">
        <v>333</v>
      </c>
      <c r="CZ118">
        <v>2.3642799999999999</v>
      </c>
      <c r="DA118">
        <v>2.7137799999999999</v>
      </c>
      <c r="DB118">
        <v>0.118687</v>
      </c>
      <c r="DC118">
        <v>0.14627599999999999</v>
      </c>
      <c r="DD118">
        <v>0.10270799999999999</v>
      </c>
      <c r="DE118">
        <v>5.5682200000000001E-2</v>
      </c>
      <c r="DF118">
        <v>32184.9</v>
      </c>
      <c r="DG118">
        <v>27527.5</v>
      </c>
      <c r="DH118">
        <v>31177</v>
      </c>
      <c r="DI118">
        <v>28096.6</v>
      </c>
      <c r="DJ118">
        <v>37984.699999999997</v>
      </c>
      <c r="DK118">
        <v>37737.199999999997</v>
      </c>
      <c r="DL118">
        <v>44370.9</v>
      </c>
      <c r="DM118">
        <v>42593.4</v>
      </c>
      <c r="DN118">
        <v>1.43075</v>
      </c>
      <c r="DO118">
        <v>2.0393699999999999</v>
      </c>
      <c r="DP118">
        <v>0.17906</v>
      </c>
      <c r="DQ118">
        <v>0.15559000000000001</v>
      </c>
      <c r="DR118">
        <v>24.012499999999999</v>
      </c>
      <c r="DS118">
        <v>23.578099999999999</v>
      </c>
      <c r="DT118">
        <v>49.4</v>
      </c>
      <c r="DU118">
        <v>29.3</v>
      </c>
      <c r="DV118">
        <v>20.374400000000001</v>
      </c>
      <c r="DW118">
        <v>61.783000000000001</v>
      </c>
      <c r="DX118">
        <v>36.4343</v>
      </c>
      <c r="DY118">
        <v>1</v>
      </c>
      <c r="DZ118">
        <v>-7.8536599999999998E-2</v>
      </c>
      <c r="EA118">
        <v>1.30247</v>
      </c>
      <c r="EB118">
        <v>20.183800000000002</v>
      </c>
      <c r="EC118">
        <v>5.2403500000000003</v>
      </c>
      <c r="ED118">
        <v>12.039899999999999</v>
      </c>
      <c r="EE118">
        <v>5.0166500000000003</v>
      </c>
      <c r="EF118">
        <v>3.2879700000000001</v>
      </c>
      <c r="EG118">
        <v>9999</v>
      </c>
      <c r="EH118">
        <v>9999</v>
      </c>
      <c r="EI118">
        <v>9999</v>
      </c>
      <c r="EJ118">
        <v>999.9</v>
      </c>
      <c r="EK118">
        <v>1.86894</v>
      </c>
      <c r="EL118">
        <v>1.86463</v>
      </c>
      <c r="EM118">
        <v>1.8692</v>
      </c>
      <c r="EN118">
        <v>1.8672299999999999</v>
      </c>
      <c r="EO118">
        <v>1.8633999999999999</v>
      </c>
      <c r="EP118">
        <v>1.8644700000000001</v>
      </c>
      <c r="EQ118">
        <v>1.8701399999999999</v>
      </c>
      <c r="ER118">
        <v>1.8693900000000001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9.8000000000000004E-2</v>
      </c>
      <c r="FG118">
        <v>0.21510000000000001</v>
      </c>
      <c r="FH118">
        <v>0.49996858830924029</v>
      </c>
      <c r="FI118">
        <v>-6.1462078757559423E-4</v>
      </c>
      <c r="FJ118">
        <v>-1.8861989874597051E-7</v>
      </c>
      <c r="FK118">
        <v>1.1980462299894961E-10</v>
      </c>
      <c r="FL118">
        <v>-3.8593581000597899E-2</v>
      </c>
      <c r="FM118">
        <v>-1.6848085045870601E-2</v>
      </c>
      <c r="FN118">
        <v>1.9789084769509481E-3</v>
      </c>
      <c r="FO118">
        <v>-2.7142391389806329E-5</v>
      </c>
      <c r="FP118">
        <v>3</v>
      </c>
      <c r="FQ118">
        <v>2158</v>
      </c>
      <c r="FR118">
        <v>1</v>
      </c>
      <c r="FS118">
        <v>19</v>
      </c>
      <c r="FT118">
        <v>25.9</v>
      </c>
      <c r="FU118">
        <v>26</v>
      </c>
      <c r="FV118">
        <v>1.7761199999999999</v>
      </c>
      <c r="FW118">
        <v>2.5891099999999998</v>
      </c>
      <c r="FX118">
        <v>1.5490699999999999</v>
      </c>
      <c r="FY118">
        <v>2.3278799999999999</v>
      </c>
      <c r="FZ118">
        <v>1.50146</v>
      </c>
      <c r="GA118">
        <v>2.3803700000000001</v>
      </c>
      <c r="GB118">
        <v>34.077100000000002</v>
      </c>
      <c r="GC118">
        <v>23.991199999999999</v>
      </c>
      <c r="GD118">
        <v>19</v>
      </c>
      <c r="GE118">
        <v>264.745</v>
      </c>
      <c r="GF118">
        <v>587.95699999999999</v>
      </c>
      <c r="GG118">
        <v>21.004100000000001</v>
      </c>
      <c r="GH118">
        <v>26.349299999999999</v>
      </c>
      <c r="GI118">
        <v>29.999400000000001</v>
      </c>
      <c r="GJ118">
        <v>26.541499999999999</v>
      </c>
      <c r="GK118">
        <v>26.542200000000001</v>
      </c>
      <c r="GL118">
        <v>35.5182</v>
      </c>
      <c r="GM118">
        <v>55.1599</v>
      </c>
      <c r="GN118">
        <v>68.618200000000002</v>
      </c>
      <c r="GO118">
        <v>21.038799999999998</v>
      </c>
      <c r="GP118">
        <v>800</v>
      </c>
      <c r="GQ118">
        <v>9.1144499999999997</v>
      </c>
      <c r="GR118">
        <v>99.757199999999997</v>
      </c>
      <c r="GS118">
        <v>99.6327</v>
      </c>
    </row>
    <row r="119" spans="1:201" x14ac:dyDescent="0.25">
      <c r="A119">
        <v>103</v>
      </c>
      <c r="B119">
        <v>1690307820</v>
      </c>
      <c r="C119">
        <v>1201.400000095367</v>
      </c>
      <c r="D119" t="s">
        <v>539</v>
      </c>
      <c r="E119" t="s">
        <v>540</v>
      </c>
      <c r="F119" t="s">
        <v>330</v>
      </c>
      <c r="H119">
        <v>1690307820</v>
      </c>
      <c r="I119">
        <f t="shared" si="30"/>
        <v>1.1534226730215205E-3</v>
      </c>
      <c r="J119">
        <f t="shared" si="31"/>
        <v>1.1534226730215205</v>
      </c>
      <c r="K119">
        <f t="shared" si="32"/>
        <v>20.083027165040157</v>
      </c>
      <c r="L119">
        <f t="shared" si="33"/>
        <v>584.30499999999995</v>
      </c>
      <c r="M119">
        <f t="shared" si="34"/>
        <v>200.54250578340128</v>
      </c>
      <c r="N119">
        <f t="shared" si="35"/>
        <v>19.919153033677077</v>
      </c>
      <c r="O119">
        <f t="shared" si="36"/>
        <v>58.036876859977994</v>
      </c>
      <c r="P119">
        <f t="shared" si="37"/>
        <v>8.7232487036804002E-2</v>
      </c>
      <c r="Q119">
        <f t="shared" si="38"/>
        <v>2.1975745630181196</v>
      </c>
      <c r="R119">
        <f t="shared" si="39"/>
        <v>8.5353474091002413E-2</v>
      </c>
      <c r="S119">
        <f t="shared" si="40"/>
        <v>5.3511372081783332E-2</v>
      </c>
      <c r="T119">
        <f t="shared" si="41"/>
        <v>276.11434902687222</v>
      </c>
      <c r="U119">
        <f t="shared" si="42"/>
        <v>25.986635637788158</v>
      </c>
      <c r="V119">
        <f t="shared" si="43"/>
        <v>25.986635637788158</v>
      </c>
      <c r="W119">
        <f t="shared" si="44"/>
        <v>3.371590951652923</v>
      </c>
      <c r="X119">
        <f t="shared" si="45"/>
        <v>67.952964599315607</v>
      </c>
      <c r="Y119">
        <f t="shared" si="46"/>
        <v>2.0660871900195996</v>
      </c>
      <c r="Z119">
        <f t="shared" si="47"/>
        <v>3.0404665965676032</v>
      </c>
      <c r="AA119">
        <f t="shared" si="48"/>
        <v>1.3055037616333234</v>
      </c>
      <c r="AB119">
        <f t="shared" si="49"/>
        <v>-50.865939880249059</v>
      </c>
      <c r="AC119">
        <f t="shared" si="50"/>
        <v>-205.60684759057708</v>
      </c>
      <c r="AD119">
        <f t="shared" si="51"/>
        <v>-19.814241420124677</v>
      </c>
      <c r="AE119">
        <f t="shared" si="52"/>
        <v>-0.17267986407861713</v>
      </c>
      <c r="AF119">
        <v>14</v>
      </c>
      <c r="AG119">
        <v>5</v>
      </c>
      <c r="AH119">
        <f t="shared" si="53"/>
        <v>1</v>
      </c>
      <c r="AI119">
        <f t="shared" si="54"/>
        <v>0</v>
      </c>
      <c r="AJ119">
        <f t="shared" si="55"/>
        <v>53016.781731789066</v>
      </c>
      <c r="AK119">
        <f t="shared" si="56"/>
        <v>1799.99</v>
      </c>
      <c r="AL119">
        <f t="shared" si="57"/>
        <v>1499.1038119992202</v>
      </c>
      <c r="AM119">
        <f t="shared" si="58"/>
        <v>0.83284007800000004</v>
      </c>
      <c r="AN119">
        <f t="shared" si="59"/>
        <v>0.15339771278</v>
      </c>
      <c r="AO119">
        <v>31.2</v>
      </c>
      <c r="AP119">
        <v>0.5</v>
      </c>
      <c r="AQ119" t="s">
        <v>331</v>
      </c>
      <c r="AR119">
        <v>2</v>
      </c>
      <c r="AS119">
        <v>1690307820</v>
      </c>
      <c r="AT119">
        <v>584.30499999999995</v>
      </c>
      <c r="AU119">
        <v>800.07399999999996</v>
      </c>
      <c r="AV119">
        <v>20.800999999999998</v>
      </c>
      <c r="AW119">
        <v>9.0605600000000006</v>
      </c>
      <c r="AX119">
        <v>584.20399999999995</v>
      </c>
      <c r="AY119">
        <v>20.584599999999998</v>
      </c>
      <c r="AZ119">
        <v>300.14400000000001</v>
      </c>
      <c r="BA119">
        <v>99.226399999999998</v>
      </c>
      <c r="BB119">
        <v>9.9939600000000003E-2</v>
      </c>
      <c r="BC119">
        <v>24.251200000000001</v>
      </c>
      <c r="BD119">
        <v>26.960899999999999</v>
      </c>
      <c r="BE119">
        <v>26.1311</v>
      </c>
      <c r="BF119">
        <v>0</v>
      </c>
      <c r="BG119">
        <v>0</v>
      </c>
      <c r="BH119">
        <v>10012.5</v>
      </c>
      <c r="BI119">
        <v>1039.72</v>
      </c>
      <c r="BJ119">
        <v>1.62592</v>
      </c>
      <c r="BK119">
        <v>-215.76900000000001</v>
      </c>
      <c r="BL119">
        <v>596.71699999999998</v>
      </c>
      <c r="BM119">
        <v>807.38900000000001</v>
      </c>
      <c r="BN119">
        <v>11.740399999999999</v>
      </c>
      <c r="BO119">
        <v>800.07399999999996</v>
      </c>
      <c r="BP119">
        <v>9.0605600000000006</v>
      </c>
      <c r="BQ119">
        <v>2.0640100000000001</v>
      </c>
      <c r="BR119">
        <v>0.89904600000000001</v>
      </c>
      <c r="BS119">
        <v>17.944099999999999</v>
      </c>
      <c r="BT119">
        <v>5.3754900000000001</v>
      </c>
      <c r="BU119">
        <v>1799.99</v>
      </c>
      <c r="BV119">
        <v>0.90999300000000005</v>
      </c>
      <c r="BW119">
        <v>3.3994900000000002E-2</v>
      </c>
      <c r="BX119">
        <v>2.20044E-2</v>
      </c>
      <c r="BY119">
        <v>3.4007599999999999E-2</v>
      </c>
      <c r="BZ119">
        <v>26</v>
      </c>
      <c r="CA119">
        <v>33528.199999999997</v>
      </c>
      <c r="CB119">
        <v>1690306253.5999999</v>
      </c>
      <c r="CC119" t="s">
        <v>332</v>
      </c>
      <c r="CD119">
        <v>1690306253.5999999</v>
      </c>
      <c r="CE119">
        <v>1690306251.5999999</v>
      </c>
      <c r="CF119">
        <v>9</v>
      </c>
      <c r="CG119">
        <v>0.19</v>
      </c>
      <c r="CH119">
        <v>-8.7999999999999995E-2</v>
      </c>
      <c r="CI119">
        <v>-5.0999999999999997E-2</v>
      </c>
      <c r="CJ119">
        <v>5.0999999999999997E-2</v>
      </c>
      <c r="CK119">
        <v>799</v>
      </c>
      <c r="CL119">
        <v>15</v>
      </c>
      <c r="CM119">
        <v>0.28000000000000003</v>
      </c>
      <c r="CN119">
        <v>0.03</v>
      </c>
      <c r="CO119">
        <v>-212.751125</v>
      </c>
      <c r="CP119">
        <v>-16.898960600374739</v>
      </c>
      <c r="CQ119">
        <v>1.626806260553177</v>
      </c>
      <c r="CR119">
        <v>-1</v>
      </c>
      <c r="CS119">
        <v>11.530732499999999</v>
      </c>
      <c r="CT119">
        <v>0.99621500938083041</v>
      </c>
      <c r="CU119">
        <v>9.8521105321398003E-2</v>
      </c>
      <c r="CV119">
        <v>-1</v>
      </c>
      <c r="CW119">
        <v>0</v>
      </c>
      <c r="CX119">
        <v>0</v>
      </c>
      <c r="CY119" t="s">
        <v>333</v>
      </c>
      <c r="CZ119">
        <v>2.3643999999999998</v>
      </c>
      <c r="DA119">
        <v>2.71374</v>
      </c>
      <c r="DB119">
        <v>0.118309</v>
      </c>
      <c r="DC119">
        <v>0.14630699999999999</v>
      </c>
      <c r="DD119">
        <v>0.102871</v>
      </c>
      <c r="DE119">
        <v>5.4856000000000002E-2</v>
      </c>
      <c r="DF119">
        <v>32199.5</v>
      </c>
      <c r="DG119">
        <v>27527.1</v>
      </c>
      <c r="DH119">
        <v>31177.8</v>
      </c>
      <c r="DI119">
        <v>28097.200000000001</v>
      </c>
      <c r="DJ119">
        <v>37978.6</v>
      </c>
      <c r="DK119">
        <v>37771</v>
      </c>
      <c r="DL119">
        <v>44371.9</v>
      </c>
      <c r="DM119">
        <v>42594.3</v>
      </c>
      <c r="DN119">
        <v>1.4308799999999999</v>
      </c>
      <c r="DO119">
        <v>2.0389499999999998</v>
      </c>
      <c r="DP119">
        <v>0.180006</v>
      </c>
      <c r="DQ119">
        <v>0.15573200000000001</v>
      </c>
      <c r="DR119">
        <v>24.009699999999999</v>
      </c>
      <c r="DS119">
        <v>23.575299999999999</v>
      </c>
      <c r="DT119">
        <v>49.1</v>
      </c>
      <c r="DU119">
        <v>29.3</v>
      </c>
      <c r="DV119">
        <v>20.246300000000002</v>
      </c>
      <c r="DW119">
        <v>61.412999999999997</v>
      </c>
      <c r="DX119">
        <v>36.446300000000001</v>
      </c>
      <c r="DY119">
        <v>1</v>
      </c>
      <c r="DZ119">
        <v>-7.8643299999999999E-2</v>
      </c>
      <c r="EA119">
        <v>1.2301599999999999</v>
      </c>
      <c r="EB119">
        <v>20.184699999999999</v>
      </c>
      <c r="EC119">
        <v>5.2403500000000003</v>
      </c>
      <c r="ED119">
        <v>12.039899999999999</v>
      </c>
      <c r="EE119">
        <v>5.0166000000000004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1.8689199999999999</v>
      </c>
      <c r="EL119">
        <v>1.8646199999999999</v>
      </c>
      <c r="EM119">
        <v>1.8692</v>
      </c>
      <c r="EN119">
        <v>1.86727</v>
      </c>
      <c r="EO119">
        <v>1.8633999999999999</v>
      </c>
      <c r="EP119">
        <v>1.8644700000000001</v>
      </c>
      <c r="EQ119">
        <v>1.8701700000000001</v>
      </c>
      <c r="ER119">
        <v>1.8694299999999999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0.10100000000000001</v>
      </c>
      <c r="FG119">
        <v>0.21640000000000001</v>
      </c>
      <c r="FH119">
        <v>0.49996858830924029</v>
      </c>
      <c r="FI119">
        <v>-6.1462078757559423E-4</v>
      </c>
      <c r="FJ119">
        <v>-1.8861989874597051E-7</v>
      </c>
      <c r="FK119">
        <v>1.1980462299894961E-10</v>
      </c>
      <c r="FL119">
        <v>-3.8593581000597899E-2</v>
      </c>
      <c r="FM119">
        <v>-1.6848085045870601E-2</v>
      </c>
      <c r="FN119">
        <v>1.9789084769509481E-3</v>
      </c>
      <c r="FO119">
        <v>-2.7142391389806329E-5</v>
      </c>
      <c r="FP119">
        <v>3</v>
      </c>
      <c r="FQ119">
        <v>2158</v>
      </c>
      <c r="FR119">
        <v>1</v>
      </c>
      <c r="FS119">
        <v>19</v>
      </c>
      <c r="FT119">
        <v>26.1</v>
      </c>
      <c r="FU119">
        <v>26.1</v>
      </c>
      <c r="FV119">
        <v>1.7761199999999999</v>
      </c>
      <c r="FW119">
        <v>2.5988799999999999</v>
      </c>
      <c r="FX119">
        <v>1.5490699999999999</v>
      </c>
      <c r="FY119">
        <v>2.32666</v>
      </c>
      <c r="FZ119">
        <v>1.50146</v>
      </c>
      <c r="GA119">
        <v>2.2973599999999998</v>
      </c>
      <c r="GB119">
        <v>34.077100000000002</v>
      </c>
      <c r="GC119">
        <v>23.973700000000001</v>
      </c>
      <c r="GD119">
        <v>19</v>
      </c>
      <c r="GE119">
        <v>264.77800000000002</v>
      </c>
      <c r="GF119">
        <v>587.54100000000005</v>
      </c>
      <c r="GG119">
        <v>21.078800000000001</v>
      </c>
      <c r="GH119">
        <v>26.3432</v>
      </c>
      <c r="GI119">
        <v>29.9998</v>
      </c>
      <c r="GJ119">
        <v>26.5367</v>
      </c>
      <c r="GK119">
        <v>26.5367</v>
      </c>
      <c r="GL119">
        <v>35.512099999999997</v>
      </c>
      <c r="GM119">
        <v>55.759099999999997</v>
      </c>
      <c r="GN119">
        <v>67.833200000000005</v>
      </c>
      <c r="GO119">
        <v>21.101900000000001</v>
      </c>
      <c r="GP119">
        <v>800</v>
      </c>
      <c r="GQ119">
        <v>8.9346899999999998</v>
      </c>
      <c r="GR119">
        <v>99.759500000000003</v>
      </c>
      <c r="GS119">
        <v>99.634799999999998</v>
      </c>
    </row>
    <row r="120" spans="1:201" x14ac:dyDescent="0.25">
      <c r="A120">
        <v>104</v>
      </c>
      <c r="B120">
        <v>1690307830</v>
      </c>
      <c r="C120">
        <v>1211.400000095367</v>
      </c>
      <c r="D120" t="s">
        <v>541</v>
      </c>
      <c r="E120" t="s">
        <v>542</v>
      </c>
      <c r="F120" t="s">
        <v>330</v>
      </c>
      <c r="H120">
        <v>1690307830</v>
      </c>
      <c r="I120">
        <f t="shared" si="30"/>
        <v>1.1763657341808185E-3</v>
      </c>
      <c r="J120">
        <f t="shared" si="31"/>
        <v>1.1763657341808185</v>
      </c>
      <c r="K120">
        <f t="shared" si="32"/>
        <v>20.330129724225142</v>
      </c>
      <c r="L120">
        <f t="shared" si="33"/>
        <v>581.654</v>
      </c>
      <c r="M120">
        <f t="shared" si="34"/>
        <v>201.45370347558386</v>
      </c>
      <c r="N120">
        <f t="shared" si="35"/>
        <v>20.008960928011</v>
      </c>
      <c r="O120">
        <f t="shared" si="36"/>
        <v>57.771547302588388</v>
      </c>
      <c r="P120">
        <f t="shared" si="37"/>
        <v>8.918114580604336E-2</v>
      </c>
      <c r="Q120">
        <f t="shared" si="38"/>
        <v>2.1964625992743505</v>
      </c>
      <c r="R120">
        <f t="shared" si="39"/>
        <v>8.721729341533907E-2</v>
      </c>
      <c r="S120">
        <f t="shared" si="40"/>
        <v>5.4683650824456496E-2</v>
      </c>
      <c r="T120">
        <f t="shared" si="41"/>
        <v>276.11575660800003</v>
      </c>
      <c r="U120">
        <f t="shared" si="42"/>
        <v>25.989734066242395</v>
      </c>
      <c r="V120">
        <f t="shared" si="43"/>
        <v>25.989734066242395</v>
      </c>
      <c r="W120">
        <f t="shared" si="44"/>
        <v>3.372209224742964</v>
      </c>
      <c r="X120">
        <f t="shared" si="45"/>
        <v>68.01621644815387</v>
      </c>
      <c r="Y120">
        <f t="shared" si="46"/>
        <v>2.0692629725540201</v>
      </c>
      <c r="Z120">
        <f t="shared" si="47"/>
        <v>3.0423082620764994</v>
      </c>
      <c r="AA120">
        <f t="shared" si="48"/>
        <v>1.3029462521889439</v>
      </c>
      <c r="AB120">
        <f t="shared" si="49"/>
        <v>-51.877728877374096</v>
      </c>
      <c r="AC120">
        <f t="shared" si="50"/>
        <v>-204.67371542910834</v>
      </c>
      <c r="AD120">
        <f t="shared" si="51"/>
        <v>-19.735610561650216</v>
      </c>
      <c r="AE120">
        <f t="shared" si="52"/>
        <v>-0.17129826013263028</v>
      </c>
      <c r="AF120">
        <v>14</v>
      </c>
      <c r="AG120">
        <v>5</v>
      </c>
      <c r="AH120">
        <f t="shared" si="53"/>
        <v>1</v>
      </c>
      <c r="AI120">
        <f t="shared" si="54"/>
        <v>0</v>
      </c>
      <c r="AJ120">
        <f t="shared" si="55"/>
        <v>52968.937571332572</v>
      </c>
      <c r="AK120">
        <f t="shared" si="56"/>
        <v>1800</v>
      </c>
      <c r="AL120">
        <f t="shared" si="57"/>
        <v>1499.1115878000001</v>
      </c>
      <c r="AM120">
        <f t="shared" si="58"/>
        <v>0.83283977100000006</v>
      </c>
      <c r="AN120">
        <f t="shared" si="59"/>
        <v>0.15339764256000002</v>
      </c>
      <c r="AO120">
        <v>31.2</v>
      </c>
      <c r="AP120">
        <v>0.5</v>
      </c>
      <c r="AQ120" t="s">
        <v>331</v>
      </c>
      <c r="AR120">
        <v>2</v>
      </c>
      <c r="AS120">
        <v>1690307830</v>
      </c>
      <c r="AT120">
        <v>581.654</v>
      </c>
      <c r="AU120">
        <v>800.05200000000002</v>
      </c>
      <c r="AV120">
        <v>20.8337</v>
      </c>
      <c r="AW120">
        <v>8.8626799999999992</v>
      </c>
      <c r="AX120">
        <v>581.55200000000002</v>
      </c>
      <c r="AY120">
        <v>20.616399999999999</v>
      </c>
      <c r="AZ120">
        <v>300.20800000000003</v>
      </c>
      <c r="BA120">
        <v>99.222899999999996</v>
      </c>
      <c r="BB120">
        <v>9.9974599999999997E-2</v>
      </c>
      <c r="BC120">
        <v>24.261299999999999</v>
      </c>
      <c r="BD120">
        <v>26.994499999999999</v>
      </c>
      <c r="BE120">
        <v>26.130700000000001</v>
      </c>
      <c r="BF120">
        <v>0</v>
      </c>
      <c r="BG120">
        <v>0</v>
      </c>
      <c r="BH120">
        <v>10003.799999999999</v>
      </c>
      <c r="BI120">
        <v>1039.73</v>
      </c>
      <c r="BJ120">
        <v>1.62592</v>
      </c>
      <c r="BK120">
        <v>-218.39699999999999</v>
      </c>
      <c r="BL120">
        <v>594.03</v>
      </c>
      <c r="BM120">
        <v>807.20600000000002</v>
      </c>
      <c r="BN120">
        <v>11.971</v>
      </c>
      <c r="BO120">
        <v>800.05200000000002</v>
      </c>
      <c r="BP120">
        <v>8.8626799999999992</v>
      </c>
      <c r="BQ120">
        <v>2.06718</v>
      </c>
      <c r="BR120">
        <v>0.87938000000000005</v>
      </c>
      <c r="BS120">
        <v>17.968499999999999</v>
      </c>
      <c r="BT120">
        <v>5.0576400000000001</v>
      </c>
      <c r="BU120">
        <v>1800</v>
      </c>
      <c r="BV120">
        <v>0.90999300000000005</v>
      </c>
      <c r="BW120">
        <v>3.3994799999999999E-2</v>
      </c>
      <c r="BX120">
        <v>2.2004300000000001E-2</v>
      </c>
      <c r="BY120">
        <v>3.40074E-2</v>
      </c>
      <c r="BZ120">
        <v>26</v>
      </c>
      <c r="CA120">
        <v>33528.300000000003</v>
      </c>
      <c r="CB120">
        <v>1690306253.5999999</v>
      </c>
      <c r="CC120" t="s">
        <v>332</v>
      </c>
      <c r="CD120">
        <v>1690306253.5999999</v>
      </c>
      <c r="CE120">
        <v>1690306251.5999999</v>
      </c>
      <c r="CF120">
        <v>9</v>
      </c>
      <c r="CG120">
        <v>0.19</v>
      </c>
      <c r="CH120">
        <v>-8.7999999999999995E-2</v>
      </c>
      <c r="CI120">
        <v>-5.0999999999999997E-2</v>
      </c>
      <c r="CJ120">
        <v>5.0999999999999997E-2</v>
      </c>
      <c r="CK120">
        <v>799</v>
      </c>
      <c r="CL120">
        <v>15</v>
      </c>
      <c r="CM120">
        <v>0.28000000000000003</v>
      </c>
      <c r="CN120">
        <v>0.03</v>
      </c>
      <c r="CO120">
        <v>-215.3037317073171</v>
      </c>
      <c r="CP120">
        <v>-16.46512891986097</v>
      </c>
      <c r="CQ120">
        <v>1.625322542464547</v>
      </c>
      <c r="CR120">
        <v>-1</v>
      </c>
      <c r="CS120">
        <v>11.70511219512195</v>
      </c>
      <c r="CT120">
        <v>1.301632055749135</v>
      </c>
      <c r="CU120">
        <v>0.1286291591474745</v>
      </c>
      <c r="CV120">
        <v>-1</v>
      </c>
      <c r="CW120">
        <v>0</v>
      </c>
      <c r="CX120">
        <v>0</v>
      </c>
      <c r="CY120" t="s">
        <v>333</v>
      </c>
      <c r="CZ120">
        <v>2.3646199999999999</v>
      </c>
      <c r="DA120">
        <v>2.7137699999999998</v>
      </c>
      <c r="DB120">
        <v>0.117926</v>
      </c>
      <c r="DC120">
        <v>0.14629700000000001</v>
      </c>
      <c r="DD120">
        <v>0.102982</v>
      </c>
      <c r="DE120">
        <v>5.3918800000000003E-2</v>
      </c>
      <c r="DF120">
        <v>32213.9</v>
      </c>
      <c r="DG120">
        <v>27527.5</v>
      </c>
      <c r="DH120">
        <v>31178.1</v>
      </c>
      <c r="DI120">
        <v>28097.200000000001</v>
      </c>
      <c r="DJ120">
        <v>37974.300000000003</v>
      </c>
      <c r="DK120">
        <v>37808.800000000003</v>
      </c>
      <c r="DL120">
        <v>44372.5</v>
      </c>
      <c r="DM120">
        <v>42594.6</v>
      </c>
      <c r="DN120">
        <v>1.43215</v>
      </c>
      <c r="DO120">
        <v>2.0396200000000002</v>
      </c>
      <c r="DP120">
        <v>0.18226400000000001</v>
      </c>
      <c r="DQ120">
        <v>0.155888</v>
      </c>
      <c r="DR120">
        <v>24.006399999999999</v>
      </c>
      <c r="DS120">
        <v>23.572299999999998</v>
      </c>
      <c r="DT120">
        <v>48.8</v>
      </c>
      <c r="DU120">
        <v>29.3</v>
      </c>
      <c r="DV120">
        <v>20.127199999999998</v>
      </c>
      <c r="DW120">
        <v>61.792999999999999</v>
      </c>
      <c r="DX120">
        <v>35.773200000000003</v>
      </c>
      <c r="DY120">
        <v>1</v>
      </c>
      <c r="DZ120">
        <v>-8.0050800000000005E-2</v>
      </c>
      <c r="EA120">
        <v>1.27661</v>
      </c>
      <c r="EB120">
        <v>20.1843</v>
      </c>
      <c r="EC120">
        <v>5.2404999999999999</v>
      </c>
      <c r="ED120">
        <v>12.039899999999999</v>
      </c>
      <c r="EE120">
        <v>5.01675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1.86893</v>
      </c>
      <c r="EL120">
        <v>1.8646199999999999</v>
      </c>
      <c r="EM120">
        <v>1.8692</v>
      </c>
      <c r="EN120">
        <v>1.8672599999999999</v>
      </c>
      <c r="EO120">
        <v>1.8633999999999999</v>
      </c>
      <c r="EP120">
        <v>1.8644700000000001</v>
      </c>
      <c r="EQ120">
        <v>1.87019</v>
      </c>
      <c r="ER120">
        <v>1.8694299999999999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0.10199999999999999</v>
      </c>
      <c r="FG120">
        <v>0.21729999999999999</v>
      </c>
      <c r="FH120">
        <v>0.49996858830924029</v>
      </c>
      <c r="FI120">
        <v>-6.1462078757559423E-4</v>
      </c>
      <c r="FJ120">
        <v>-1.8861989874597051E-7</v>
      </c>
      <c r="FK120">
        <v>1.1980462299894961E-10</v>
      </c>
      <c r="FL120">
        <v>-3.8593581000597899E-2</v>
      </c>
      <c r="FM120">
        <v>-1.6848085045870601E-2</v>
      </c>
      <c r="FN120">
        <v>1.9789084769509481E-3</v>
      </c>
      <c r="FO120">
        <v>-2.7142391389806329E-5</v>
      </c>
      <c r="FP120">
        <v>3</v>
      </c>
      <c r="FQ120">
        <v>2158</v>
      </c>
      <c r="FR120">
        <v>1</v>
      </c>
      <c r="FS120">
        <v>19</v>
      </c>
      <c r="FT120">
        <v>26.3</v>
      </c>
      <c r="FU120">
        <v>26.3</v>
      </c>
      <c r="FV120">
        <v>1.7761199999999999</v>
      </c>
      <c r="FW120">
        <v>2.5915499999999998</v>
      </c>
      <c r="FX120">
        <v>1.5490699999999999</v>
      </c>
      <c r="FY120">
        <v>2.3278799999999999</v>
      </c>
      <c r="FZ120">
        <v>1.50146</v>
      </c>
      <c r="GA120">
        <v>2.3754900000000001</v>
      </c>
      <c r="GB120">
        <v>34.077100000000002</v>
      </c>
      <c r="GC120">
        <v>23.982399999999998</v>
      </c>
      <c r="GD120">
        <v>19</v>
      </c>
      <c r="GE120">
        <v>265.274</v>
      </c>
      <c r="GF120">
        <v>588.04600000000005</v>
      </c>
      <c r="GG120">
        <v>21.1371</v>
      </c>
      <c r="GH120">
        <v>26.336500000000001</v>
      </c>
      <c r="GI120">
        <v>29.999400000000001</v>
      </c>
      <c r="GJ120">
        <v>26.531099999999999</v>
      </c>
      <c r="GK120">
        <v>26.531700000000001</v>
      </c>
      <c r="GL120">
        <v>35.507899999999999</v>
      </c>
      <c r="GM120">
        <v>56.061700000000002</v>
      </c>
      <c r="GN120">
        <v>67.041600000000003</v>
      </c>
      <c r="GO120">
        <v>21.137599999999999</v>
      </c>
      <c r="GP120">
        <v>800</v>
      </c>
      <c r="GQ120">
        <v>8.7557700000000001</v>
      </c>
      <c r="GR120">
        <v>99.760800000000003</v>
      </c>
      <c r="GS120">
        <v>99.635300000000001</v>
      </c>
    </row>
    <row r="121" spans="1:201" x14ac:dyDescent="0.25">
      <c r="A121">
        <v>105</v>
      </c>
      <c r="B121">
        <v>1690307840</v>
      </c>
      <c r="C121">
        <v>1221.400000095367</v>
      </c>
      <c r="D121" t="s">
        <v>543</v>
      </c>
      <c r="E121" t="s">
        <v>544</v>
      </c>
      <c r="F121" t="s">
        <v>330</v>
      </c>
      <c r="H121">
        <v>1690307840</v>
      </c>
      <c r="I121">
        <f t="shared" si="30"/>
        <v>1.1946790813863407E-3</v>
      </c>
      <c r="J121">
        <f t="shared" si="31"/>
        <v>1.1946790813863408</v>
      </c>
      <c r="K121">
        <f t="shared" si="32"/>
        <v>20.564923529456827</v>
      </c>
      <c r="L121">
        <f t="shared" si="33"/>
        <v>579.03800000000001</v>
      </c>
      <c r="M121">
        <f t="shared" si="34"/>
        <v>200.58846584633187</v>
      </c>
      <c r="N121">
        <f t="shared" si="35"/>
        <v>19.921000024548157</v>
      </c>
      <c r="O121">
        <f t="shared" si="36"/>
        <v>57.505878832789598</v>
      </c>
      <c r="P121">
        <f t="shared" si="37"/>
        <v>9.0657604322295637E-2</v>
      </c>
      <c r="Q121">
        <f t="shared" si="38"/>
        <v>2.194179401022986</v>
      </c>
      <c r="R121">
        <f t="shared" si="39"/>
        <v>8.8626924532160478E-2</v>
      </c>
      <c r="S121">
        <f t="shared" si="40"/>
        <v>5.5570487863087978E-2</v>
      </c>
      <c r="T121">
        <f t="shared" si="41"/>
        <v>276.11747319544003</v>
      </c>
      <c r="U121">
        <f t="shared" si="42"/>
        <v>25.99104877132752</v>
      </c>
      <c r="V121">
        <f t="shared" si="43"/>
        <v>25.99104877132752</v>
      </c>
      <c r="W121">
        <f t="shared" si="44"/>
        <v>3.3724715962957301</v>
      </c>
      <c r="X121">
        <f t="shared" si="45"/>
        <v>68.0306178371182</v>
      </c>
      <c r="Y121">
        <f t="shared" si="46"/>
        <v>2.07043330412592</v>
      </c>
      <c r="Z121">
        <f t="shared" si="47"/>
        <v>3.0433845376548532</v>
      </c>
      <c r="AA121">
        <f t="shared" si="48"/>
        <v>1.3020382921698102</v>
      </c>
      <c r="AB121">
        <f t="shared" si="49"/>
        <v>-52.685347489137627</v>
      </c>
      <c r="AC121">
        <f t="shared" si="50"/>
        <v>-203.91855293950582</v>
      </c>
      <c r="AD121">
        <f t="shared" si="51"/>
        <v>-19.683968371826076</v>
      </c>
      <c r="AE121">
        <f t="shared" si="52"/>
        <v>-0.1703956050295119</v>
      </c>
      <c r="AF121">
        <v>14</v>
      </c>
      <c r="AG121">
        <v>5</v>
      </c>
      <c r="AH121">
        <f t="shared" si="53"/>
        <v>1</v>
      </c>
      <c r="AI121">
        <f t="shared" si="54"/>
        <v>0</v>
      </c>
      <c r="AJ121">
        <f t="shared" si="55"/>
        <v>52873.364058392996</v>
      </c>
      <c r="AK121">
        <f t="shared" si="56"/>
        <v>1800.01</v>
      </c>
      <c r="AL121">
        <f t="shared" si="57"/>
        <v>1499.1217162077101</v>
      </c>
      <c r="AM121">
        <f t="shared" si="58"/>
        <v>0.83284077099999998</v>
      </c>
      <c r="AN121">
        <f t="shared" si="59"/>
        <v>0.15339774400999998</v>
      </c>
      <c r="AO121">
        <v>31.2</v>
      </c>
      <c r="AP121">
        <v>0.5</v>
      </c>
      <c r="AQ121" t="s">
        <v>331</v>
      </c>
      <c r="AR121">
        <v>2</v>
      </c>
      <c r="AS121">
        <v>1690307840</v>
      </c>
      <c r="AT121">
        <v>579.03800000000001</v>
      </c>
      <c r="AU121">
        <v>800.02800000000002</v>
      </c>
      <c r="AV121">
        <v>20.8476</v>
      </c>
      <c r="AW121">
        <v>8.6863399999999995</v>
      </c>
      <c r="AX121">
        <v>578.93399999999997</v>
      </c>
      <c r="AY121">
        <v>20.629899999999999</v>
      </c>
      <c r="AZ121">
        <v>300.108</v>
      </c>
      <c r="BA121">
        <v>99.212800000000001</v>
      </c>
      <c r="BB121">
        <v>9.99892E-2</v>
      </c>
      <c r="BC121">
        <v>24.267199999999999</v>
      </c>
      <c r="BD121">
        <v>26.988600000000002</v>
      </c>
      <c r="BE121">
        <v>26.1435</v>
      </c>
      <c r="BF121">
        <v>0</v>
      </c>
      <c r="BG121">
        <v>0</v>
      </c>
      <c r="BH121">
        <v>9986.25</v>
      </c>
      <c r="BI121">
        <v>1039.78</v>
      </c>
      <c r="BJ121">
        <v>1.62592</v>
      </c>
      <c r="BK121">
        <v>-220.99100000000001</v>
      </c>
      <c r="BL121">
        <v>591.36599999999999</v>
      </c>
      <c r="BM121">
        <v>807.03899999999999</v>
      </c>
      <c r="BN121">
        <v>12.161300000000001</v>
      </c>
      <c r="BO121">
        <v>800.02800000000002</v>
      </c>
      <c r="BP121">
        <v>8.6863399999999995</v>
      </c>
      <c r="BQ121">
        <v>2.0683500000000001</v>
      </c>
      <c r="BR121">
        <v>0.86179600000000001</v>
      </c>
      <c r="BS121">
        <v>17.977499999999999</v>
      </c>
      <c r="BT121">
        <v>4.7680800000000003</v>
      </c>
      <c r="BU121">
        <v>1800.01</v>
      </c>
      <c r="BV121">
        <v>0.90999600000000003</v>
      </c>
      <c r="BW121">
        <v>3.3994000000000003E-2</v>
      </c>
      <c r="BX121">
        <v>2.20038E-2</v>
      </c>
      <c r="BY121">
        <v>3.4006700000000001E-2</v>
      </c>
      <c r="BZ121">
        <v>26</v>
      </c>
      <c r="CA121">
        <v>33528.5</v>
      </c>
      <c r="CB121">
        <v>1690306253.5999999</v>
      </c>
      <c r="CC121" t="s">
        <v>332</v>
      </c>
      <c r="CD121">
        <v>1690306253.5999999</v>
      </c>
      <c r="CE121">
        <v>1690306251.5999999</v>
      </c>
      <c r="CF121">
        <v>9</v>
      </c>
      <c r="CG121">
        <v>0.19</v>
      </c>
      <c r="CH121">
        <v>-8.7999999999999995E-2</v>
      </c>
      <c r="CI121">
        <v>-5.0999999999999997E-2</v>
      </c>
      <c r="CJ121">
        <v>5.0999999999999997E-2</v>
      </c>
      <c r="CK121">
        <v>799</v>
      </c>
      <c r="CL121">
        <v>15</v>
      </c>
      <c r="CM121">
        <v>0.28000000000000003</v>
      </c>
      <c r="CN121">
        <v>0.03</v>
      </c>
      <c r="CO121">
        <v>-218.26978048780489</v>
      </c>
      <c r="CP121">
        <v>-15.96869686411128</v>
      </c>
      <c r="CQ121">
        <v>1.5763059241303861</v>
      </c>
      <c r="CR121">
        <v>-1</v>
      </c>
      <c r="CS121">
        <v>11.94693414634146</v>
      </c>
      <c r="CT121">
        <v>1.328820209059236</v>
      </c>
      <c r="CU121">
        <v>0.13124862574844981</v>
      </c>
      <c r="CV121">
        <v>-1</v>
      </c>
      <c r="CW121">
        <v>0</v>
      </c>
      <c r="CX121">
        <v>0</v>
      </c>
      <c r="CY121" t="s">
        <v>333</v>
      </c>
      <c r="CZ121">
        <v>2.3643000000000001</v>
      </c>
      <c r="DA121">
        <v>2.7137699999999998</v>
      </c>
      <c r="DB121">
        <v>0.117539</v>
      </c>
      <c r="DC121">
        <v>0.14627799999999999</v>
      </c>
      <c r="DD121">
        <v>0.103021</v>
      </c>
      <c r="DE121">
        <v>5.3074299999999998E-2</v>
      </c>
      <c r="DF121">
        <v>32228.2</v>
      </c>
      <c r="DG121">
        <v>27528.400000000001</v>
      </c>
      <c r="DH121">
        <v>31178.3</v>
      </c>
      <c r="DI121">
        <v>28097.5</v>
      </c>
      <c r="DJ121">
        <v>37972.699999999997</v>
      </c>
      <c r="DK121">
        <v>37842.699999999997</v>
      </c>
      <c r="DL121">
        <v>44372.7</v>
      </c>
      <c r="DM121">
        <v>42594.7</v>
      </c>
      <c r="DN121">
        <v>1.4314199999999999</v>
      </c>
      <c r="DO121">
        <v>2.03905</v>
      </c>
      <c r="DP121">
        <v>0.182144</v>
      </c>
      <c r="DQ121">
        <v>0.15667800000000001</v>
      </c>
      <c r="DR121">
        <v>24.002400000000002</v>
      </c>
      <c r="DS121">
        <v>23.572099999999999</v>
      </c>
      <c r="DT121">
        <v>48.5</v>
      </c>
      <c r="DU121">
        <v>29.3</v>
      </c>
      <c r="DV121">
        <v>20.005199999999999</v>
      </c>
      <c r="DW121">
        <v>61.753</v>
      </c>
      <c r="DX121">
        <v>36.498399999999997</v>
      </c>
      <c r="DY121">
        <v>1</v>
      </c>
      <c r="DZ121">
        <v>-8.0005099999999996E-2</v>
      </c>
      <c r="EA121">
        <v>1.33138</v>
      </c>
      <c r="EB121">
        <v>20.183599999999998</v>
      </c>
      <c r="EC121">
        <v>5.2403500000000003</v>
      </c>
      <c r="ED121">
        <v>12.039899999999999</v>
      </c>
      <c r="EE121">
        <v>5.01675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1.86893</v>
      </c>
      <c r="EL121">
        <v>1.86463</v>
      </c>
      <c r="EM121">
        <v>1.8692</v>
      </c>
      <c r="EN121">
        <v>1.86724</v>
      </c>
      <c r="EO121">
        <v>1.8633999999999999</v>
      </c>
      <c r="EP121">
        <v>1.8644700000000001</v>
      </c>
      <c r="EQ121">
        <v>1.8701399999999999</v>
      </c>
      <c r="ER121">
        <v>1.8694299999999999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0.104</v>
      </c>
      <c r="FG121">
        <v>0.2177</v>
      </c>
      <c r="FH121">
        <v>0.49996858830924029</v>
      </c>
      <c r="FI121">
        <v>-6.1462078757559423E-4</v>
      </c>
      <c r="FJ121">
        <v>-1.8861989874597051E-7</v>
      </c>
      <c r="FK121">
        <v>1.1980462299894961E-10</v>
      </c>
      <c r="FL121">
        <v>-3.8593581000597899E-2</v>
      </c>
      <c r="FM121">
        <v>-1.6848085045870601E-2</v>
      </c>
      <c r="FN121">
        <v>1.9789084769509481E-3</v>
      </c>
      <c r="FO121">
        <v>-2.7142391389806329E-5</v>
      </c>
      <c r="FP121">
        <v>3</v>
      </c>
      <c r="FQ121">
        <v>2158</v>
      </c>
      <c r="FR121">
        <v>1</v>
      </c>
      <c r="FS121">
        <v>19</v>
      </c>
      <c r="FT121">
        <v>26.4</v>
      </c>
      <c r="FU121">
        <v>26.5</v>
      </c>
      <c r="FV121">
        <v>1.7748999999999999</v>
      </c>
      <c r="FW121">
        <v>2.5891099999999998</v>
      </c>
      <c r="FX121">
        <v>1.5490699999999999</v>
      </c>
      <c r="FY121">
        <v>2.3278799999999999</v>
      </c>
      <c r="FZ121">
        <v>1.50146</v>
      </c>
      <c r="GA121">
        <v>2.3938000000000001</v>
      </c>
      <c r="GB121">
        <v>34.077100000000002</v>
      </c>
      <c r="GC121">
        <v>23.982399999999998</v>
      </c>
      <c r="GD121">
        <v>19</v>
      </c>
      <c r="GE121">
        <v>264.95600000000002</v>
      </c>
      <c r="GF121">
        <v>587.50400000000002</v>
      </c>
      <c r="GG121">
        <v>21.152799999999999</v>
      </c>
      <c r="GH121">
        <v>26.330500000000001</v>
      </c>
      <c r="GI121">
        <v>29.9999</v>
      </c>
      <c r="GJ121">
        <v>26.525500000000001</v>
      </c>
      <c r="GK121">
        <v>26.5261</v>
      </c>
      <c r="GL121">
        <v>35.5</v>
      </c>
      <c r="GM121">
        <v>56.361899999999999</v>
      </c>
      <c r="GN121">
        <v>66.670400000000001</v>
      </c>
      <c r="GO121">
        <v>21.1511</v>
      </c>
      <c r="GP121">
        <v>800</v>
      </c>
      <c r="GQ121">
        <v>8.5897000000000006</v>
      </c>
      <c r="GR121">
        <v>99.761200000000002</v>
      </c>
      <c r="GS121">
        <v>99.6357</v>
      </c>
    </row>
    <row r="122" spans="1:201" x14ac:dyDescent="0.25">
      <c r="A122">
        <v>106</v>
      </c>
      <c r="B122">
        <v>1690307850</v>
      </c>
      <c r="C122">
        <v>1231.400000095367</v>
      </c>
      <c r="D122" t="s">
        <v>545</v>
      </c>
      <c r="E122" t="s">
        <v>546</v>
      </c>
      <c r="F122" t="s">
        <v>330</v>
      </c>
      <c r="H122">
        <v>1690307850</v>
      </c>
      <c r="I122">
        <f t="shared" si="30"/>
        <v>1.2071150907184915E-3</v>
      </c>
      <c r="J122">
        <f t="shared" si="31"/>
        <v>1.2071150907184915</v>
      </c>
      <c r="K122">
        <f t="shared" si="32"/>
        <v>20.810026338331532</v>
      </c>
      <c r="L122">
        <f t="shared" si="33"/>
        <v>576.46500000000003</v>
      </c>
      <c r="M122">
        <f t="shared" si="34"/>
        <v>197.81119247815801</v>
      </c>
      <c r="N122">
        <f t="shared" si="35"/>
        <v>19.645327541360771</v>
      </c>
      <c r="O122">
        <f t="shared" si="36"/>
        <v>57.250773322045504</v>
      </c>
      <c r="P122">
        <f t="shared" si="37"/>
        <v>9.1685750471496838E-2</v>
      </c>
      <c r="Q122">
        <f t="shared" si="38"/>
        <v>2.2014740911292572</v>
      </c>
      <c r="R122">
        <f t="shared" si="39"/>
        <v>8.9616031028291493E-2</v>
      </c>
      <c r="S122">
        <f t="shared" si="40"/>
        <v>5.619208404570554E-2</v>
      </c>
      <c r="T122">
        <f t="shared" si="41"/>
        <v>276.11569603799995</v>
      </c>
      <c r="U122">
        <f t="shared" si="42"/>
        <v>25.987393170752437</v>
      </c>
      <c r="V122">
        <f t="shared" si="43"/>
        <v>25.987393170752437</v>
      </c>
      <c r="W122">
        <f t="shared" si="44"/>
        <v>3.3717421037351967</v>
      </c>
      <c r="X122">
        <f t="shared" si="45"/>
        <v>68.014324796716295</v>
      </c>
      <c r="Y122">
        <f t="shared" si="46"/>
        <v>2.0706572793363898</v>
      </c>
      <c r="Z122">
        <f t="shared" si="47"/>
        <v>3.0444428957065237</v>
      </c>
      <c r="AA122">
        <f t="shared" si="48"/>
        <v>1.3010848243988069</v>
      </c>
      <c r="AB122">
        <f t="shared" si="49"/>
        <v>-53.233775500685475</v>
      </c>
      <c r="AC122">
        <f t="shared" si="50"/>
        <v>-203.47424705173009</v>
      </c>
      <c r="AD122">
        <f t="shared" si="51"/>
        <v>-19.576207913614184</v>
      </c>
      <c r="AE122">
        <f t="shared" si="52"/>
        <v>-0.1685344280297727</v>
      </c>
      <c r="AF122">
        <v>14</v>
      </c>
      <c r="AG122">
        <v>5</v>
      </c>
      <c r="AH122">
        <f t="shared" si="53"/>
        <v>1</v>
      </c>
      <c r="AI122">
        <f t="shared" si="54"/>
        <v>0</v>
      </c>
      <c r="AJ122">
        <f t="shared" si="55"/>
        <v>53173.990304380597</v>
      </c>
      <c r="AK122">
        <f t="shared" si="56"/>
        <v>1800</v>
      </c>
      <c r="AL122">
        <f t="shared" si="57"/>
        <v>1499.1120017999999</v>
      </c>
      <c r="AM122">
        <f t="shared" si="58"/>
        <v>0.832840001</v>
      </c>
      <c r="AN122">
        <f t="shared" si="59"/>
        <v>0.15339760890999998</v>
      </c>
      <c r="AO122">
        <v>31.2</v>
      </c>
      <c r="AP122">
        <v>0.5</v>
      </c>
      <c r="AQ122" t="s">
        <v>331</v>
      </c>
      <c r="AR122">
        <v>2</v>
      </c>
      <c r="AS122">
        <v>1690307850</v>
      </c>
      <c r="AT122">
        <v>576.46500000000003</v>
      </c>
      <c r="AU122">
        <v>800.08</v>
      </c>
      <c r="AV122">
        <v>20.849699999999999</v>
      </c>
      <c r="AW122">
        <v>8.5599900000000009</v>
      </c>
      <c r="AX122">
        <v>576.35900000000004</v>
      </c>
      <c r="AY122">
        <v>20.631900000000002</v>
      </c>
      <c r="AZ122">
        <v>300.06200000000001</v>
      </c>
      <c r="BA122">
        <v>99.2136</v>
      </c>
      <c r="BB122">
        <v>9.9928699999999995E-2</v>
      </c>
      <c r="BC122">
        <v>24.273</v>
      </c>
      <c r="BD122">
        <v>26.945900000000002</v>
      </c>
      <c r="BE122">
        <v>26.137699999999999</v>
      </c>
      <c r="BF122">
        <v>0</v>
      </c>
      <c r="BG122">
        <v>0</v>
      </c>
      <c r="BH122">
        <v>10045.6</v>
      </c>
      <c r="BI122">
        <v>1039.8599999999999</v>
      </c>
      <c r="BJ122">
        <v>1.62592</v>
      </c>
      <c r="BK122">
        <v>-223.61500000000001</v>
      </c>
      <c r="BL122">
        <v>588.74</v>
      </c>
      <c r="BM122">
        <v>806.98800000000006</v>
      </c>
      <c r="BN122">
        <v>12.2897</v>
      </c>
      <c r="BO122">
        <v>800.08</v>
      </c>
      <c r="BP122">
        <v>8.5599900000000009</v>
      </c>
      <c r="BQ122">
        <v>2.0685699999999998</v>
      </c>
      <c r="BR122">
        <v>0.84926699999999999</v>
      </c>
      <c r="BS122">
        <v>17.979199999999999</v>
      </c>
      <c r="BT122">
        <v>4.5585800000000001</v>
      </c>
      <c r="BU122">
        <v>1800</v>
      </c>
      <c r="BV122">
        <v>0.909995</v>
      </c>
      <c r="BW122">
        <v>3.3994099999999999E-2</v>
      </c>
      <c r="BX122">
        <v>2.20038E-2</v>
      </c>
      <c r="BY122">
        <v>3.4006700000000001E-2</v>
      </c>
      <c r="BZ122">
        <v>26</v>
      </c>
      <c r="CA122">
        <v>33528.400000000001</v>
      </c>
      <c r="CB122">
        <v>1690306253.5999999</v>
      </c>
      <c r="CC122" t="s">
        <v>332</v>
      </c>
      <c r="CD122">
        <v>1690306253.5999999</v>
      </c>
      <c r="CE122">
        <v>1690306251.5999999</v>
      </c>
      <c r="CF122">
        <v>9</v>
      </c>
      <c r="CG122">
        <v>0.19</v>
      </c>
      <c r="CH122">
        <v>-8.7999999999999995E-2</v>
      </c>
      <c r="CI122">
        <v>-5.0999999999999997E-2</v>
      </c>
      <c r="CJ122">
        <v>5.0999999999999997E-2</v>
      </c>
      <c r="CK122">
        <v>799</v>
      </c>
      <c r="CL122">
        <v>15</v>
      </c>
      <c r="CM122">
        <v>0.28000000000000003</v>
      </c>
      <c r="CN122">
        <v>0.03</v>
      </c>
      <c r="CO122">
        <v>-220.61665853658539</v>
      </c>
      <c r="CP122">
        <v>-15.20506620209034</v>
      </c>
      <c r="CQ122">
        <v>1.5007879493014959</v>
      </c>
      <c r="CR122">
        <v>-1</v>
      </c>
      <c r="CS122">
        <v>12.117385365853661</v>
      </c>
      <c r="CT122">
        <v>0.97019581881531858</v>
      </c>
      <c r="CU122">
        <v>9.6975437073507587E-2</v>
      </c>
      <c r="CV122">
        <v>-1</v>
      </c>
      <c r="CW122">
        <v>0</v>
      </c>
      <c r="CX122">
        <v>0</v>
      </c>
      <c r="CY122" t="s">
        <v>333</v>
      </c>
      <c r="CZ122">
        <v>2.36416</v>
      </c>
      <c r="DA122">
        <v>2.7137600000000002</v>
      </c>
      <c r="DB122">
        <v>0.11717</v>
      </c>
      <c r="DC122">
        <v>0.146284</v>
      </c>
      <c r="DD122">
        <v>0.10303</v>
      </c>
      <c r="DE122">
        <v>5.24699E-2</v>
      </c>
      <c r="DF122">
        <v>32242</v>
      </c>
      <c r="DG122">
        <v>27528.400000000001</v>
      </c>
      <c r="DH122">
        <v>31178.6</v>
      </c>
      <c r="DI122">
        <v>28097.8</v>
      </c>
      <c r="DJ122">
        <v>37972.699999999997</v>
      </c>
      <c r="DK122">
        <v>37867.300000000003</v>
      </c>
      <c r="DL122">
        <v>44373.2</v>
      </c>
      <c r="DM122">
        <v>42595.1</v>
      </c>
      <c r="DN122">
        <v>1.4314</v>
      </c>
      <c r="DO122">
        <v>2.0387300000000002</v>
      </c>
      <c r="DP122">
        <v>0.17965600000000001</v>
      </c>
      <c r="DQ122">
        <v>0.15632799999999999</v>
      </c>
      <c r="DR122">
        <v>24.000399999999999</v>
      </c>
      <c r="DS122">
        <v>23.572099999999999</v>
      </c>
      <c r="DT122">
        <v>48.2</v>
      </c>
      <c r="DU122">
        <v>29.3</v>
      </c>
      <c r="DV122">
        <v>19.880299999999998</v>
      </c>
      <c r="DW122">
        <v>61.113</v>
      </c>
      <c r="DX122">
        <v>36.582500000000003</v>
      </c>
      <c r="DY122">
        <v>1</v>
      </c>
      <c r="DZ122">
        <v>-8.0398899999999995E-2</v>
      </c>
      <c r="EA122">
        <v>1.2014499999999999</v>
      </c>
      <c r="EB122">
        <v>20.184799999999999</v>
      </c>
      <c r="EC122">
        <v>5.2404999999999999</v>
      </c>
      <c r="ED122">
        <v>12.039899999999999</v>
      </c>
      <c r="EE122">
        <v>5.0169499999999996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1.86893</v>
      </c>
      <c r="EL122">
        <v>1.8646199999999999</v>
      </c>
      <c r="EM122">
        <v>1.8692</v>
      </c>
      <c r="EN122">
        <v>1.8672299999999999</v>
      </c>
      <c r="EO122">
        <v>1.8633999999999999</v>
      </c>
      <c r="EP122">
        <v>1.8644799999999999</v>
      </c>
      <c r="EQ122">
        <v>1.8701700000000001</v>
      </c>
      <c r="ER122">
        <v>1.86941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0.106</v>
      </c>
      <c r="FG122">
        <v>0.21779999999999999</v>
      </c>
      <c r="FH122">
        <v>0.49996858830924029</v>
      </c>
      <c r="FI122">
        <v>-6.1462078757559423E-4</v>
      </c>
      <c r="FJ122">
        <v>-1.8861989874597051E-7</v>
      </c>
      <c r="FK122">
        <v>1.1980462299894961E-10</v>
      </c>
      <c r="FL122">
        <v>-3.8593581000597899E-2</v>
      </c>
      <c r="FM122">
        <v>-1.6848085045870601E-2</v>
      </c>
      <c r="FN122">
        <v>1.9789084769509481E-3</v>
      </c>
      <c r="FO122">
        <v>-2.7142391389806329E-5</v>
      </c>
      <c r="FP122">
        <v>3</v>
      </c>
      <c r="FQ122">
        <v>2158</v>
      </c>
      <c r="FR122">
        <v>1</v>
      </c>
      <c r="FS122">
        <v>19</v>
      </c>
      <c r="FT122">
        <v>26.6</v>
      </c>
      <c r="FU122">
        <v>26.6</v>
      </c>
      <c r="FV122">
        <v>1.7748999999999999</v>
      </c>
      <c r="FW122">
        <v>2.5976599999999999</v>
      </c>
      <c r="FX122">
        <v>1.5490699999999999</v>
      </c>
      <c r="FY122">
        <v>2.32666</v>
      </c>
      <c r="FZ122">
        <v>1.50146</v>
      </c>
      <c r="GA122">
        <v>2.2936999999999999</v>
      </c>
      <c r="GB122">
        <v>34.077100000000002</v>
      </c>
      <c r="GC122">
        <v>23.973700000000001</v>
      </c>
      <c r="GD122">
        <v>19</v>
      </c>
      <c r="GE122">
        <v>264.92399999999998</v>
      </c>
      <c r="GF122">
        <v>587.17700000000002</v>
      </c>
      <c r="GG122">
        <v>21.170300000000001</v>
      </c>
      <c r="GH122">
        <v>26.3248</v>
      </c>
      <c r="GI122">
        <v>29.9998</v>
      </c>
      <c r="GJ122">
        <v>26.5199</v>
      </c>
      <c r="GK122">
        <v>26.521100000000001</v>
      </c>
      <c r="GL122">
        <v>35.493600000000001</v>
      </c>
      <c r="GM122">
        <v>56.942999999999998</v>
      </c>
      <c r="GN122">
        <v>65.876199999999997</v>
      </c>
      <c r="GO122">
        <v>21.212599999999998</v>
      </c>
      <c r="GP122">
        <v>800</v>
      </c>
      <c r="GQ122">
        <v>8.4257600000000004</v>
      </c>
      <c r="GR122">
        <v>99.762299999999996</v>
      </c>
      <c r="GS122">
        <v>99.636700000000005</v>
      </c>
    </row>
    <row r="123" spans="1:201" x14ac:dyDescent="0.25">
      <c r="A123">
        <v>107</v>
      </c>
      <c r="B123">
        <v>1690307860</v>
      </c>
      <c r="C123">
        <v>1241.400000095367</v>
      </c>
      <c r="D123" t="s">
        <v>547</v>
      </c>
      <c r="E123" t="s">
        <v>548</v>
      </c>
      <c r="F123" t="s">
        <v>330</v>
      </c>
      <c r="H123">
        <v>1690307860</v>
      </c>
      <c r="I123">
        <f t="shared" si="30"/>
        <v>1.2283314108125648E-3</v>
      </c>
      <c r="J123">
        <f t="shared" si="31"/>
        <v>1.2283314108125647</v>
      </c>
      <c r="K123">
        <f t="shared" si="32"/>
        <v>21.051613003430788</v>
      </c>
      <c r="L123">
        <f t="shared" si="33"/>
        <v>573.95000000000005</v>
      </c>
      <c r="M123">
        <f t="shared" si="34"/>
        <v>197.77859564350692</v>
      </c>
      <c r="N123">
        <f t="shared" si="35"/>
        <v>19.641720428268986</v>
      </c>
      <c r="O123">
        <f t="shared" si="36"/>
        <v>56.999926625655</v>
      </c>
      <c r="P123">
        <f t="shared" si="37"/>
        <v>9.3402684850694473E-2</v>
      </c>
      <c r="Q123">
        <f t="shared" si="38"/>
        <v>2.19991940181426</v>
      </c>
      <c r="R123">
        <f t="shared" si="39"/>
        <v>9.1254221395823301E-2</v>
      </c>
      <c r="S123">
        <f t="shared" si="40"/>
        <v>5.7222803199460756E-2</v>
      </c>
      <c r="T123">
        <f t="shared" si="41"/>
        <v>276.11412347012526</v>
      </c>
      <c r="U123">
        <f t="shared" si="42"/>
        <v>25.989373377045187</v>
      </c>
      <c r="V123">
        <f t="shared" si="43"/>
        <v>25.989373377045187</v>
      </c>
      <c r="W123">
        <f t="shared" si="44"/>
        <v>3.3721372462525245</v>
      </c>
      <c r="X123">
        <f t="shared" si="45"/>
        <v>68.02502313491064</v>
      </c>
      <c r="Y123">
        <f t="shared" si="46"/>
        <v>2.0719887954601499</v>
      </c>
      <c r="Z123">
        <f t="shared" si="47"/>
        <v>3.0459214859080279</v>
      </c>
      <c r="AA123">
        <f t="shared" si="48"/>
        <v>1.3001484507923746</v>
      </c>
      <c r="AB123">
        <f t="shared" si="49"/>
        <v>-54.169415216834103</v>
      </c>
      <c r="AC123">
        <f t="shared" si="50"/>
        <v>-202.60473266165442</v>
      </c>
      <c r="AD123">
        <f t="shared" si="51"/>
        <v>-19.507315754506031</v>
      </c>
      <c r="AE123">
        <f t="shared" si="52"/>
        <v>-0.1673401628692659</v>
      </c>
      <c r="AF123">
        <v>14</v>
      </c>
      <c r="AG123">
        <v>5</v>
      </c>
      <c r="AH123">
        <f t="shared" si="53"/>
        <v>1</v>
      </c>
      <c r="AI123">
        <f t="shared" si="54"/>
        <v>0</v>
      </c>
      <c r="AJ123">
        <f t="shared" si="55"/>
        <v>53108.125621126048</v>
      </c>
      <c r="AK123">
        <f t="shared" si="56"/>
        <v>1799.99</v>
      </c>
      <c r="AL123">
        <f t="shared" si="57"/>
        <v>1499.1038281991298</v>
      </c>
      <c r="AM123">
        <f t="shared" si="58"/>
        <v>0.8328400869999999</v>
      </c>
      <c r="AN123">
        <f t="shared" si="59"/>
        <v>0.15339758746999999</v>
      </c>
      <c r="AO123">
        <v>31.2</v>
      </c>
      <c r="AP123">
        <v>0.5</v>
      </c>
      <c r="AQ123" t="s">
        <v>331</v>
      </c>
      <c r="AR123">
        <v>2</v>
      </c>
      <c r="AS123">
        <v>1690307860</v>
      </c>
      <c r="AT123">
        <v>573.95000000000005</v>
      </c>
      <c r="AU123">
        <v>800.05899999999997</v>
      </c>
      <c r="AV123">
        <v>20.863499999999998</v>
      </c>
      <c r="AW123">
        <v>8.3642099999999999</v>
      </c>
      <c r="AX123">
        <v>573.84199999999998</v>
      </c>
      <c r="AY123">
        <v>20.645299999999999</v>
      </c>
      <c r="AZ123">
        <v>300.21199999999999</v>
      </c>
      <c r="BA123">
        <v>99.211699999999993</v>
      </c>
      <c r="BB123">
        <v>9.9958900000000003E-2</v>
      </c>
      <c r="BC123">
        <v>24.281099999999999</v>
      </c>
      <c r="BD123">
        <v>26.945799999999998</v>
      </c>
      <c r="BE123">
        <v>26.1617</v>
      </c>
      <c r="BF123">
        <v>0</v>
      </c>
      <c r="BG123">
        <v>0</v>
      </c>
      <c r="BH123">
        <v>10033.1</v>
      </c>
      <c r="BI123">
        <v>1039.9100000000001</v>
      </c>
      <c r="BJ123">
        <v>1.62592</v>
      </c>
      <c r="BK123">
        <v>-226.10900000000001</v>
      </c>
      <c r="BL123">
        <v>586.17999999999995</v>
      </c>
      <c r="BM123">
        <v>806.80799999999999</v>
      </c>
      <c r="BN123">
        <v>12.4993</v>
      </c>
      <c r="BO123">
        <v>800.05899999999997</v>
      </c>
      <c r="BP123">
        <v>8.3642099999999999</v>
      </c>
      <c r="BQ123">
        <v>2.0699100000000001</v>
      </c>
      <c r="BR123">
        <v>0.82982699999999998</v>
      </c>
      <c r="BS123">
        <v>17.9895</v>
      </c>
      <c r="BT123">
        <v>4.2280300000000004</v>
      </c>
      <c r="BU123">
        <v>1799.99</v>
      </c>
      <c r="BV123">
        <v>0.90999600000000003</v>
      </c>
      <c r="BW123">
        <v>3.3993700000000002E-2</v>
      </c>
      <c r="BX123">
        <v>2.2003600000000002E-2</v>
      </c>
      <c r="BY123">
        <v>3.4006300000000003E-2</v>
      </c>
      <c r="BZ123">
        <v>26</v>
      </c>
      <c r="CA123">
        <v>33528.199999999997</v>
      </c>
      <c r="CB123">
        <v>1690306253.5999999</v>
      </c>
      <c r="CC123" t="s">
        <v>332</v>
      </c>
      <c r="CD123">
        <v>1690306253.5999999</v>
      </c>
      <c r="CE123">
        <v>1690306251.5999999</v>
      </c>
      <c r="CF123">
        <v>9</v>
      </c>
      <c r="CG123">
        <v>0.19</v>
      </c>
      <c r="CH123">
        <v>-8.7999999999999995E-2</v>
      </c>
      <c r="CI123">
        <v>-5.0999999999999997E-2</v>
      </c>
      <c r="CJ123">
        <v>5.0999999999999997E-2</v>
      </c>
      <c r="CK123">
        <v>799</v>
      </c>
      <c r="CL123">
        <v>15</v>
      </c>
      <c r="CM123">
        <v>0.28000000000000003</v>
      </c>
      <c r="CN123">
        <v>0.03</v>
      </c>
      <c r="CO123">
        <v>-223.17082926829269</v>
      </c>
      <c r="CP123">
        <v>-15.42867595818756</v>
      </c>
      <c r="CQ123">
        <v>1.522406389487748</v>
      </c>
      <c r="CR123">
        <v>-1</v>
      </c>
      <c r="CS123">
        <v>12.28175853658537</v>
      </c>
      <c r="CT123">
        <v>1.013287108013925</v>
      </c>
      <c r="CU123">
        <v>0.10126196882129899</v>
      </c>
      <c r="CV123">
        <v>-1</v>
      </c>
      <c r="CW123">
        <v>0</v>
      </c>
      <c r="CX123">
        <v>0</v>
      </c>
      <c r="CY123" t="s">
        <v>333</v>
      </c>
      <c r="CZ123">
        <v>2.3646600000000002</v>
      </c>
      <c r="DA123">
        <v>2.7137799999999999</v>
      </c>
      <c r="DB123">
        <v>0.11680599999999999</v>
      </c>
      <c r="DC123">
        <v>0.14627699999999999</v>
      </c>
      <c r="DD123">
        <v>0.103078</v>
      </c>
      <c r="DE123">
        <v>5.1525799999999997E-2</v>
      </c>
      <c r="DF123">
        <v>32255.8</v>
      </c>
      <c r="DG123">
        <v>27529.4</v>
      </c>
      <c r="DH123">
        <v>31179.1</v>
      </c>
      <c r="DI123">
        <v>28098.5</v>
      </c>
      <c r="DJ123">
        <v>37971.300000000003</v>
      </c>
      <c r="DK123">
        <v>37906.300000000003</v>
      </c>
      <c r="DL123">
        <v>44373.9</v>
      </c>
      <c r="DM123">
        <v>42596.3</v>
      </c>
      <c r="DN123">
        <v>1.4321699999999999</v>
      </c>
      <c r="DO123">
        <v>2.03857</v>
      </c>
      <c r="DP123">
        <v>0.179701</v>
      </c>
      <c r="DQ123">
        <v>0.157915</v>
      </c>
      <c r="DR123">
        <v>23.999600000000001</v>
      </c>
      <c r="DS123">
        <v>23.5701</v>
      </c>
      <c r="DT123">
        <v>47.9</v>
      </c>
      <c r="DU123">
        <v>29.3</v>
      </c>
      <c r="DV123">
        <v>19.755099999999999</v>
      </c>
      <c r="DW123">
        <v>61.283000000000001</v>
      </c>
      <c r="DX123">
        <v>35.689100000000003</v>
      </c>
      <c r="DY123">
        <v>1</v>
      </c>
      <c r="DZ123">
        <v>-8.0917199999999995E-2</v>
      </c>
      <c r="EA123">
        <v>1.04227</v>
      </c>
      <c r="EB123">
        <v>20.186199999999999</v>
      </c>
      <c r="EC123">
        <v>5.2406499999999996</v>
      </c>
      <c r="ED123">
        <v>12.039899999999999</v>
      </c>
      <c r="EE123">
        <v>5.0168499999999998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1.8689199999999999</v>
      </c>
      <c r="EL123">
        <v>1.8646199999999999</v>
      </c>
      <c r="EM123">
        <v>1.8692</v>
      </c>
      <c r="EN123">
        <v>1.8672599999999999</v>
      </c>
      <c r="EO123">
        <v>1.8633999999999999</v>
      </c>
      <c r="EP123">
        <v>1.8644700000000001</v>
      </c>
      <c r="EQ123">
        <v>1.87015</v>
      </c>
      <c r="ER123">
        <v>1.86941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0.108</v>
      </c>
      <c r="FG123">
        <v>0.21820000000000001</v>
      </c>
      <c r="FH123">
        <v>0.49996858830924029</v>
      </c>
      <c r="FI123">
        <v>-6.1462078757559423E-4</v>
      </c>
      <c r="FJ123">
        <v>-1.8861989874597051E-7</v>
      </c>
      <c r="FK123">
        <v>1.1980462299894961E-10</v>
      </c>
      <c r="FL123">
        <v>-3.8593581000597899E-2</v>
      </c>
      <c r="FM123">
        <v>-1.6848085045870601E-2</v>
      </c>
      <c r="FN123">
        <v>1.9789084769509481E-3</v>
      </c>
      <c r="FO123">
        <v>-2.7142391389806329E-5</v>
      </c>
      <c r="FP123">
        <v>3</v>
      </c>
      <c r="FQ123">
        <v>2158</v>
      </c>
      <c r="FR123">
        <v>1</v>
      </c>
      <c r="FS123">
        <v>19</v>
      </c>
      <c r="FT123">
        <v>26.8</v>
      </c>
      <c r="FU123">
        <v>26.8</v>
      </c>
      <c r="FV123">
        <v>1.7748999999999999</v>
      </c>
      <c r="FW123">
        <v>2.5915499999999998</v>
      </c>
      <c r="FX123">
        <v>1.5490699999999999</v>
      </c>
      <c r="FY123">
        <v>2.3278799999999999</v>
      </c>
      <c r="FZ123">
        <v>1.50146</v>
      </c>
      <c r="GA123">
        <v>2.36816</v>
      </c>
      <c r="GB123">
        <v>34.077100000000002</v>
      </c>
      <c r="GC123">
        <v>23.982399999999998</v>
      </c>
      <c r="GD123">
        <v>19</v>
      </c>
      <c r="GE123">
        <v>265.21699999999998</v>
      </c>
      <c r="GF123">
        <v>586.99099999999999</v>
      </c>
      <c r="GG123">
        <v>21.2607</v>
      </c>
      <c r="GH123">
        <v>26.3187</v>
      </c>
      <c r="GI123">
        <v>29.9998</v>
      </c>
      <c r="GJ123">
        <v>26.514399999999998</v>
      </c>
      <c r="GK123">
        <v>26.515799999999999</v>
      </c>
      <c r="GL123">
        <v>35.491100000000003</v>
      </c>
      <c r="GM123">
        <v>57.494199999999999</v>
      </c>
      <c r="GN123">
        <v>65.1006</v>
      </c>
      <c r="GO123">
        <v>21.302800000000001</v>
      </c>
      <c r="GP123">
        <v>800</v>
      </c>
      <c r="GQ123">
        <v>8.2526600000000006</v>
      </c>
      <c r="GR123">
        <v>99.763999999999996</v>
      </c>
      <c r="GS123">
        <v>99.639399999999995</v>
      </c>
    </row>
    <row r="124" spans="1:201" x14ac:dyDescent="0.25">
      <c r="A124">
        <v>108</v>
      </c>
      <c r="B124">
        <v>1690307870</v>
      </c>
      <c r="C124">
        <v>1251.400000095367</v>
      </c>
      <c r="D124" t="s">
        <v>549</v>
      </c>
      <c r="E124" t="s">
        <v>550</v>
      </c>
      <c r="F124" t="s">
        <v>330</v>
      </c>
      <c r="H124">
        <v>1690307870</v>
      </c>
      <c r="I124">
        <f t="shared" si="30"/>
        <v>1.2480802438124582E-3</v>
      </c>
      <c r="J124">
        <f t="shared" si="31"/>
        <v>1.2480802438124583</v>
      </c>
      <c r="K124">
        <f t="shared" si="32"/>
        <v>21.283838230255217</v>
      </c>
      <c r="L124">
        <f t="shared" si="33"/>
        <v>571.35199999999998</v>
      </c>
      <c r="M124">
        <f t="shared" si="34"/>
        <v>197.52519157723822</v>
      </c>
      <c r="N124">
        <f t="shared" si="35"/>
        <v>19.616870510134877</v>
      </c>
      <c r="O124">
        <f t="shared" si="36"/>
        <v>56.742829156168</v>
      </c>
      <c r="P124">
        <f t="shared" si="37"/>
        <v>9.506473545912153E-2</v>
      </c>
      <c r="Q124">
        <f t="shared" si="38"/>
        <v>2.1960229212971294</v>
      </c>
      <c r="R124">
        <f t="shared" si="39"/>
        <v>9.283626363029289E-2</v>
      </c>
      <c r="S124">
        <f t="shared" si="40"/>
        <v>5.8218533171664415E-2</v>
      </c>
      <c r="T124">
        <f t="shared" si="41"/>
        <v>276.11556789600002</v>
      </c>
      <c r="U124">
        <f t="shared" si="42"/>
        <v>25.993225086465252</v>
      </c>
      <c r="V124">
        <f t="shared" si="43"/>
        <v>25.993225086465252</v>
      </c>
      <c r="W124">
        <f t="shared" si="44"/>
        <v>3.3729059558379562</v>
      </c>
      <c r="X124">
        <f t="shared" si="45"/>
        <v>68.071234297009696</v>
      </c>
      <c r="Y124">
        <f t="shared" si="46"/>
        <v>2.0743659720588998</v>
      </c>
      <c r="Z124">
        <f t="shared" si="47"/>
        <v>3.0473459068010826</v>
      </c>
      <c r="AA124">
        <f t="shared" si="48"/>
        <v>1.2985399837790563</v>
      </c>
      <c r="AB124">
        <f t="shared" si="49"/>
        <v>-55.040338752129408</v>
      </c>
      <c r="AC124">
        <f t="shared" si="50"/>
        <v>-201.77843472978836</v>
      </c>
      <c r="AD124">
        <f t="shared" si="51"/>
        <v>-19.463369183081216</v>
      </c>
      <c r="AE124">
        <f t="shared" si="52"/>
        <v>-0.16657476899897006</v>
      </c>
      <c r="AF124">
        <v>14</v>
      </c>
      <c r="AG124">
        <v>5</v>
      </c>
      <c r="AH124">
        <f t="shared" si="53"/>
        <v>1</v>
      </c>
      <c r="AI124">
        <f t="shared" si="54"/>
        <v>0</v>
      </c>
      <c r="AJ124">
        <f t="shared" si="55"/>
        <v>52945.641507089611</v>
      </c>
      <c r="AK124">
        <f t="shared" si="56"/>
        <v>1800</v>
      </c>
      <c r="AL124">
        <f t="shared" si="57"/>
        <v>1499.1124446000001</v>
      </c>
      <c r="AM124">
        <f t="shared" si="58"/>
        <v>0.83284024700000003</v>
      </c>
      <c r="AN124">
        <f t="shared" si="59"/>
        <v>0.15339753772</v>
      </c>
      <c r="AO124">
        <v>31.2</v>
      </c>
      <c r="AP124">
        <v>0.5</v>
      </c>
      <c r="AQ124" t="s">
        <v>331</v>
      </c>
      <c r="AR124">
        <v>2</v>
      </c>
      <c r="AS124">
        <v>1690307870</v>
      </c>
      <c r="AT124">
        <v>571.35199999999998</v>
      </c>
      <c r="AU124">
        <v>800.13</v>
      </c>
      <c r="AV124">
        <v>20.8871</v>
      </c>
      <c r="AW124">
        <v>8.1776300000000006</v>
      </c>
      <c r="AX124">
        <v>571.24199999999996</v>
      </c>
      <c r="AY124">
        <v>20.668199999999999</v>
      </c>
      <c r="AZ124">
        <v>299.98700000000002</v>
      </c>
      <c r="BA124">
        <v>99.213200000000001</v>
      </c>
      <c r="BB124">
        <v>0.100059</v>
      </c>
      <c r="BC124">
        <v>24.288900000000002</v>
      </c>
      <c r="BD124">
        <v>26.924399999999999</v>
      </c>
      <c r="BE124">
        <v>26.165800000000001</v>
      </c>
      <c r="BF124">
        <v>0</v>
      </c>
      <c r="BG124">
        <v>0</v>
      </c>
      <c r="BH124">
        <v>10001.200000000001</v>
      </c>
      <c r="BI124">
        <v>1040.03</v>
      </c>
      <c r="BJ124">
        <v>1.62592</v>
      </c>
      <c r="BK124">
        <v>-228.77799999999999</v>
      </c>
      <c r="BL124">
        <v>583.54</v>
      </c>
      <c r="BM124">
        <v>806.72699999999998</v>
      </c>
      <c r="BN124">
        <v>12.7095</v>
      </c>
      <c r="BO124">
        <v>800.13</v>
      </c>
      <c r="BP124">
        <v>8.1776300000000006</v>
      </c>
      <c r="BQ124">
        <v>2.0722700000000001</v>
      </c>
      <c r="BR124">
        <v>0.81132800000000005</v>
      </c>
      <c r="BS124">
        <v>18.0076</v>
      </c>
      <c r="BT124">
        <v>3.90707</v>
      </c>
      <c r="BU124">
        <v>1800</v>
      </c>
      <c r="BV124">
        <v>0.90999799999999997</v>
      </c>
      <c r="BW124">
        <v>3.39929E-2</v>
      </c>
      <c r="BX124">
        <v>2.2003100000000001E-2</v>
      </c>
      <c r="BY124">
        <v>3.4005599999999997E-2</v>
      </c>
      <c r="BZ124">
        <v>26</v>
      </c>
      <c r="CA124">
        <v>33528.400000000001</v>
      </c>
      <c r="CB124">
        <v>1690306253.5999999</v>
      </c>
      <c r="CC124" t="s">
        <v>332</v>
      </c>
      <c r="CD124">
        <v>1690306253.5999999</v>
      </c>
      <c r="CE124">
        <v>1690306251.5999999</v>
      </c>
      <c r="CF124">
        <v>9</v>
      </c>
      <c r="CG124">
        <v>0.19</v>
      </c>
      <c r="CH124">
        <v>-8.7999999999999995E-2</v>
      </c>
      <c r="CI124">
        <v>-5.0999999999999997E-2</v>
      </c>
      <c r="CJ124">
        <v>5.0999999999999997E-2</v>
      </c>
      <c r="CK124">
        <v>799</v>
      </c>
      <c r="CL124">
        <v>15</v>
      </c>
      <c r="CM124">
        <v>0.28000000000000003</v>
      </c>
      <c r="CN124">
        <v>0.03</v>
      </c>
      <c r="CO124">
        <v>-225.73909756097561</v>
      </c>
      <c r="CP124">
        <v>-15.11387456446035</v>
      </c>
      <c r="CQ124">
        <v>1.4909141868105891</v>
      </c>
      <c r="CR124">
        <v>-1</v>
      </c>
      <c r="CS124">
        <v>12.462824390243901</v>
      </c>
      <c r="CT124">
        <v>1.180662020905924</v>
      </c>
      <c r="CU124">
        <v>0.1167272592998423</v>
      </c>
      <c r="CV124">
        <v>-1</v>
      </c>
      <c r="CW124">
        <v>0</v>
      </c>
      <c r="CX124">
        <v>0</v>
      </c>
      <c r="CY124" t="s">
        <v>333</v>
      </c>
      <c r="CZ124">
        <v>2.3639199999999998</v>
      </c>
      <c r="DA124">
        <v>2.7138499999999999</v>
      </c>
      <c r="DB124">
        <v>0.11643299999999999</v>
      </c>
      <c r="DC124">
        <v>0.146286</v>
      </c>
      <c r="DD124">
        <v>0.103162</v>
      </c>
      <c r="DE124">
        <v>5.0620600000000002E-2</v>
      </c>
      <c r="DF124">
        <v>32269.599999999999</v>
      </c>
      <c r="DG124">
        <v>27529.5</v>
      </c>
      <c r="DH124">
        <v>31179.200000000001</v>
      </c>
      <c r="DI124">
        <v>28098.9</v>
      </c>
      <c r="DJ124">
        <v>37968</v>
      </c>
      <c r="DK124">
        <v>37943.199999999997</v>
      </c>
      <c r="DL124">
        <v>44374.400000000001</v>
      </c>
      <c r="DM124">
        <v>42597</v>
      </c>
      <c r="DN124">
        <v>1.4314499999999999</v>
      </c>
      <c r="DO124">
        <v>2.03857</v>
      </c>
      <c r="DP124">
        <v>0.17846400000000001</v>
      </c>
      <c r="DQ124">
        <v>0.158161</v>
      </c>
      <c r="DR124">
        <v>23.9984</v>
      </c>
      <c r="DS124">
        <v>23.5701</v>
      </c>
      <c r="DT124">
        <v>47.6</v>
      </c>
      <c r="DU124">
        <v>29.3</v>
      </c>
      <c r="DV124">
        <v>19.633099999999999</v>
      </c>
      <c r="DW124">
        <v>61.692999999999998</v>
      </c>
      <c r="DX124">
        <v>36.722799999999999</v>
      </c>
      <c r="DY124">
        <v>1</v>
      </c>
      <c r="DZ124">
        <v>-8.2225599999999996E-2</v>
      </c>
      <c r="EA124">
        <v>0.984823</v>
      </c>
      <c r="EB124">
        <v>20.186599999999999</v>
      </c>
      <c r="EC124">
        <v>5.2398999999999996</v>
      </c>
      <c r="ED124">
        <v>12.039899999999999</v>
      </c>
      <c r="EE124">
        <v>5.0159500000000001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1.8689499999999999</v>
      </c>
      <c r="EL124">
        <v>1.8646400000000001</v>
      </c>
      <c r="EM124">
        <v>1.8692</v>
      </c>
      <c r="EN124">
        <v>1.8673</v>
      </c>
      <c r="EO124">
        <v>1.8633999999999999</v>
      </c>
      <c r="EP124">
        <v>1.8645</v>
      </c>
      <c r="EQ124">
        <v>1.87018</v>
      </c>
      <c r="ER124">
        <v>1.86944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0.11</v>
      </c>
      <c r="FG124">
        <v>0.21890000000000001</v>
      </c>
      <c r="FH124">
        <v>0.49996858830924029</v>
      </c>
      <c r="FI124">
        <v>-6.1462078757559423E-4</v>
      </c>
      <c r="FJ124">
        <v>-1.8861989874597051E-7</v>
      </c>
      <c r="FK124">
        <v>1.1980462299894961E-10</v>
      </c>
      <c r="FL124">
        <v>-3.8593581000597899E-2</v>
      </c>
      <c r="FM124">
        <v>-1.6848085045870601E-2</v>
      </c>
      <c r="FN124">
        <v>1.9789084769509481E-3</v>
      </c>
      <c r="FO124">
        <v>-2.7142391389806329E-5</v>
      </c>
      <c r="FP124">
        <v>3</v>
      </c>
      <c r="FQ124">
        <v>2158</v>
      </c>
      <c r="FR124">
        <v>1</v>
      </c>
      <c r="FS124">
        <v>19</v>
      </c>
      <c r="FT124">
        <v>26.9</v>
      </c>
      <c r="FU124">
        <v>27</v>
      </c>
      <c r="FV124">
        <v>1.7748999999999999</v>
      </c>
      <c r="FW124">
        <v>2.5866699999999998</v>
      </c>
      <c r="FX124">
        <v>1.5490699999999999</v>
      </c>
      <c r="FY124">
        <v>2.3278799999999999</v>
      </c>
      <c r="FZ124">
        <v>1.50146</v>
      </c>
      <c r="GA124">
        <v>2.3974600000000001</v>
      </c>
      <c r="GB124">
        <v>34.077100000000002</v>
      </c>
      <c r="GC124">
        <v>23.982399999999998</v>
      </c>
      <c r="GD124">
        <v>19</v>
      </c>
      <c r="GE124">
        <v>264.899</v>
      </c>
      <c r="GF124">
        <v>586.93299999999999</v>
      </c>
      <c r="GG124">
        <v>21.3566</v>
      </c>
      <c r="GH124">
        <v>26.3126</v>
      </c>
      <c r="GI124">
        <v>29.9998</v>
      </c>
      <c r="GJ124">
        <v>26.508800000000001</v>
      </c>
      <c r="GK124">
        <v>26.5106</v>
      </c>
      <c r="GL124">
        <v>35.4861</v>
      </c>
      <c r="GM124">
        <v>57.7956</v>
      </c>
      <c r="GN124">
        <v>64.320499999999996</v>
      </c>
      <c r="GO124">
        <v>21.390499999999999</v>
      </c>
      <c r="GP124">
        <v>800</v>
      </c>
      <c r="GQ124">
        <v>8.0682399999999994</v>
      </c>
      <c r="GR124">
        <v>99.764700000000005</v>
      </c>
      <c r="GS124">
        <v>99.641000000000005</v>
      </c>
    </row>
    <row r="125" spans="1:201" x14ac:dyDescent="0.25">
      <c r="A125">
        <v>109</v>
      </c>
      <c r="B125">
        <v>1690307880</v>
      </c>
      <c r="C125">
        <v>1261.400000095367</v>
      </c>
      <c r="D125" t="s">
        <v>551</v>
      </c>
      <c r="E125" t="s">
        <v>552</v>
      </c>
      <c r="F125" t="s">
        <v>330</v>
      </c>
      <c r="H125">
        <v>1690307880</v>
      </c>
      <c r="I125">
        <f t="shared" si="30"/>
        <v>1.2672720672590508E-3</v>
      </c>
      <c r="J125">
        <f t="shared" si="31"/>
        <v>1.2672720672590507</v>
      </c>
      <c r="K125">
        <f t="shared" si="32"/>
        <v>21.510880776526538</v>
      </c>
      <c r="L125">
        <f t="shared" si="33"/>
        <v>568.82299999999998</v>
      </c>
      <c r="M125">
        <f t="shared" si="34"/>
        <v>196.68463442044435</v>
      </c>
      <c r="N125">
        <f t="shared" si="35"/>
        <v>19.532915531654094</v>
      </c>
      <c r="O125">
        <f t="shared" si="36"/>
        <v>56.490287836674895</v>
      </c>
      <c r="P125">
        <f t="shared" si="37"/>
        <v>9.654802184380791E-2</v>
      </c>
      <c r="Q125">
        <f t="shared" si="38"/>
        <v>2.1933101847292886</v>
      </c>
      <c r="R125">
        <f t="shared" si="39"/>
        <v>9.4247602688706369E-2</v>
      </c>
      <c r="S125">
        <f t="shared" si="40"/>
        <v>5.9106870003736663E-2</v>
      </c>
      <c r="T125">
        <f t="shared" si="41"/>
        <v>276.11558663400001</v>
      </c>
      <c r="U125">
        <f t="shared" si="42"/>
        <v>26.003494479351854</v>
      </c>
      <c r="V125">
        <f t="shared" si="43"/>
        <v>26.003494479351854</v>
      </c>
      <c r="W125">
        <f t="shared" si="44"/>
        <v>3.374956230457073</v>
      </c>
      <c r="X125">
        <f t="shared" si="45"/>
        <v>68.072304164873159</v>
      </c>
      <c r="Y125">
        <f t="shared" si="46"/>
        <v>2.0762519301895801</v>
      </c>
      <c r="Z125">
        <f t="shared" si="47"/>
        <v>3.0500685347169028</v>
      </c>
      <c r="AA125">
        <f t="shared" si="48"/>
        <v>1.298704300267493</v>
      </c>
      <c r="AB125">
        <f t="shared" si="49"/>
        <v>-55.886698166124141</v>
      </c>
      <c r="AC125">
        <f t="shared" si="50"/>
        <v>-200.98162923979157</v>
      </c>
      <c r="AD125">
        <f t="shared" si="51"/>
        <v>-19.412944924714306</v>
      </c>
      <c r="AE125">
        <f t="shared" si="52"/>
        <v>-0.16568569662999266</v>
      </c>
      <c r="AF125">
        <v>14</v>
      </c>
      <c r="AG125">
        <v>5</v>
      </c>
      <c r="AH125">
        <f t="shared" si="53"/>
        <v>1</v>
      </c>
      <c r="AI125">
        <f t="shared" si="54"/>
        <v>0</v>
      </c>
      <c r="AJ125">
        <f t="shared" si="55"/>
        <v>52830.944670477438</v>
      </c>
      <c r="AK125">
        <f t="shared" si="56"/>
        <v>1800</v>
      </c>
      <c r="AL125">
        <f t="shared" si="57"/>
        <v>1499.1128603999998</v>
      </c>
      <c r="AM125">
        <f t="shared" si="58"/>
        <v>0.83284047799999994</v>
      </c>
      <c r="AN125">
        <f t="shared" si="59"/>
        <v>0.15339754813000001</v>
      </c>
      <c r="AO125">
        <v>31.2</v>
      </c>
      <c r="AP125">
        <v>0.5</v>
      </c>
      <c r="AQ125" t="s">
        <v>331</v>
      </c>
      <c r="AR125">
        <v>2</v>
      </c>
      <c r="AS125">
        <v>1690307880</v>
      </c>
      <c r="AT125">
        <v>568.82299999999998</v>
      </c>
      <c r="AU125">
        <v>800.01300000000003</v>
      </c>
      <c r="AV125">
        <v>20.906600000000001</v>
      </c>
      <c r="AW125">
        <v>8.0036299999999994</v>
      </c>
      <c r="AX125">
        <v>568.71100000000001</v>
      </c>
      <c r="AY125">
        <v>20.687200000000001</v>
      </c>
      <c r="AZ125">
        <v>300.02600000000001</v>
      </c>
      <c r="BA125">
        <v>99.210899999999995</v>
      </c>
      <c r="BB125">
        <v>9.9936300000000006E-2</v>
      </c>
      <c r="BC125">
        <v>24.303799999999999</v>
      </c>
      <c r="BD125">
        <v>26.991299999999999</v>
      </c>
      <c r="BE125">
        <v>26.1752</v>
      </c>
      <c r="BF125">
        <v>0</v>
      </c>
      <c r="BG125">
        <v>0</v>
      </c>
      <c r="BH125">
        <v>9979.3799999999992</v>
      </c>
      <c r="BI125">
        <v>1040.02</v>
      </c>
      <c r="BJ125">
        <v>1.62592</v>
      </c>
      <c r="BK125">
        <v>-231.19</v>
      </c>
      <c r="BL125">
        <v>580.96900000000005</v>
      </c>
      <c r="BM125">
        <v>806.46699999999998</v>
      </c>
      <c r="BN125">
        <v>12.903</v>
      </c>
      <c r="BO125">
        <v>800.01300000000003</v>
      </c>
      <c r="BP125">
        <v>8.0036299999999994</v>
      </c>
      <c r="BQ125">
        <v>2.0741700000000001</v>
      </c>
      <c r="BR125">
        <v>0.79404699999999995</v>
      </c>
      <c r="BS125">
        <v>18.022200000000002</v>
      </c>
      <c r="BT125">
        <v>3.6013199999999999</v>
      </c>
      <c r="BU125">
        <v>1800</v>
      </c>
      <c r="BV125">
        <v>0.909999</v>
      </c>
      <c r="BW125">
        <v>3.3992599999999998E-2</v>
      </c>
      <c r="BX125">
        <v>2.2002899999999999E-2</v>
      </c>
      <c r="BY125">
        <v>3.4005300000000002E-2</v>
      </c>
      <c r="BZ125">
        <v>26</v>
      </c>
      <c r="CA125">
        <v>33528.300000000003</v>
      </c>
      <c r="CB125">
        <v>1690306253.5999999</v>
      </c>
      <c r="CC125" t="s">
        <v>332</v>
      </c>
      <c r="CD125">
        <v>1690306253.5999999</v>
      </c>
      <c r="CE125">
        <v>1690306251.5999999</v>
      </c>
      <c r="CF125">
        <v>9</v>
      </c>
      <c r="CG125">
        <v>0.19</v>
      </c>
      <c r="CH125">
        <v>-8.7999999999999995E-2</v>
      </c>
      <c r="CI125">
        <v>-5.0999999999999997E-2</v>
      </c>
      <c r="CJ125">
        <v>5.0999999999999997E-2</v>
      </c>
      <c r="CK125">
        <v>799</v>
      </c>
      <c r="CL125">
        <v>15</v>
      </c>
      <c r="CM125">
        <v>0.28000000000000003</v>
      </c>
      <c r="CN125">
        <v>0.03</v>
      </c>
      <c r="CO125">
        <v>-228.48560000000001</v>
      </c>
      <c r="CP125">
        <v>-15.29329080675388</v>
      </c>
      <c r="CQ125">
        <v>1.4720147044102501</v>
      </c>
      <c r="CR125">
        <v>-1</v>
      </c>
      <c r="CS125">
        <v>12.68135</v>
      </c>
      <c r="CT125">
        <v>1.2433328330205959</v>
      </c>
      <c r="CU125">
        <v>0.1198523737770761</v>
      </c>
      <c r="CV125">
        <v>-1</v>
      </c>
      <c r="CW125">
        <v>0</v>
      </c>
      <c r="CX125">
        <v>0</v>
      </c>
      <c r="CY125" t="s">
        <v>333</v>
      </c>
      <c r="CZ125">
        <v>2.3640500000000002</v>
      </c>
      <c r="DA125">
        <v>2.7137099999999998</v>
      </c>
      <c r="DB125">
        <v>0.116065</v>
      </c>
      <c r="DC125">
        <v>0.14626600000000001</v>
      </c>
      <c r="DD125">
        <v>0.103228</v>
      </c>
      <c r="DE125">
        <v>4.97685E-2</v>
      </c>
      <c r="DF125">
        <v>32283.3</v>
      </c>
      <c r="DG125">
        <v>27530.2</v>
      </c>
      <c r="DH125">
        <v>31179.5</v>
      </c>
      <c r="DI125">
        <v>28098.9</v>
      </c>
      <c r="DJ125">
        <v>37965.4</v>
      </c>
      <c r="DK125">
        <v>37977.4</v>
      </c>
      <c r="DL125">
        <v>44374.7</v>
      </c>
      <c r="DM125">
        <v>42597.1</v>
      </c>
      <c r="DN125">
        <v>1.4319999999999999</v>
      </c>
      <c r="DO125">
        <v>2.0382500000000001</v>
      </c>
      <c r="DP125">
        <v>0.18255399999999999</v>
      </c>
      <c r="DQ125">
        <v>0.15857099999999999</v>
      </c>
      <c r="DR125">
        <v>23.9984</v>
      </c>
      <c r="DS125">
        <v>23.572900000000001</v>
      </c>
      <c r="DT125">
        <v>47.3</v>
      </c>
      <c r="DU125">
        <v>29.3</v>
      </c>
      <c r="DV125">
        <v>19.510400000000001</v>
      </c>
      <c r="DW125">
        <v>61.412999999999997</v>
      </c>
      <c r="DX125">
        <v>36.650599999999997</v>
      </c>
      <c r="DY125">
        <v>1</v>
      </c>
      <c r="DZ125">
        <v>-8.1450700000000001E-2</v>
      </c>
      <c r="EA125">
        <v>1.0047299999999999</v>
      </c>
      <c r="EB125">
        <v>20.186800000000002</v>
      </c>
      <c r="EC125">
        <v>5.2403500000000003</v>
      </c>
      <c r="ED125">
        <v>12.039899999999999</v>
      </c>
      <c r="EE125">
        <v>5.0166500000000003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1.86896</v>
      </c>
      <c r="EL125">
        <v>1.8646400000000001</v>
      </c>
      <c r="EM125">
        <v>1.8692</v>
      </c>
      <c r="EN125">
        <v>1.8672599999999999</v>
      </c>
      <c r="EO125">
        <v>1.8633999999999999</v>
      </c>
      <c r="EP125">
        <v>1.8645099999999999</v>
      </c>
      <c r="EQ125">
        <v>1.87016</v>
      </c>
      <c r="ER125">
        <v>1.8694500000000001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0.112</v>
      </c>
      <c r="FG125">
        <v>0.21940000000000001</v>
      </c>
      <c r="FH125">
        <v>0.49996858830924029</v>
      </c>
      <c r="FI125">
        <v>-6.1462078757559423E-4</v>
      </c>
      <c r="FJ125">
        <v>-1.8861989874597051E-7</v>
      </c>
      <c r="FK125">
        <v>1.1980462299894961E-10</v>
      </c>
      <c r="FL125">
        <v>-3.8593581000597899E-2</v>
      </c>
      <c r="FM125">
        <v>-1.6848085045870601E-2</v>
      </c>
      <c r="FN125">
        <v>1.9789084769509481E-3</v>
      </c>
      <c r="FO125">
        <v>-2.7142391389806329E-5</v>
      </c>
      <c r="FP125">
        <v>3</v>
      </c>
      <c r="FQ125">
        <v>2158</v>
      </c>
      <c r="FR125">
        <v>1</v>
      </c>
      <c r="FS125">
        <v>19</v>
      </c>
      <c r="FT125">
        <v>27.1</v>
      </c>
      <c r="FU125">
        <v>27.1</v>
      </c>
      <c r="FV125">
        <v>1.7748999999999999</v>
      </c>
      <c r="FW125">
        <v>2.5988799999999999</v>
      </c>
      <c r="FX125">
        <v>1.5490699999999999</v>
      </c>
      <c r="FY125">
        <v>2.3278799999999999</v>
      </c>
      <c r="FZ125">
        <v>1.50146</v>
      </c>
      <c r="GA125">
        <v>2.2851599999999999</v>
      </c>
      <c r="GB125">
        <v>34.077100000000002</v>
      </c>
      <c r="GC125">
        <v>23.982399999999998</v>
      </c>
      <c r="GD125">
        <v>19</v>
      </c>
      <c r="GE125">
        <v>265.10300000000001</v>
      </c>
      <c r="GF125">
        <v>586.60699999999997</v>
      </c>
      <c r="GG125">
        <v>21.450399999999998</v>
      </c>
      <c r="GH125">
        <v>26.306999999999999</v>
      </c>
      <c r="GI125">
        <v>30.000399999999999</v>
      </c>
      <c r="GJ125">
        <v>26.503799999999998</v>
      </c>
      <c r="GK125">
        <v>26.505600000000001</v>
      </c>
      <c r="GL125">
        <v>35.4831</v>
      </c>
      <c r="GM125">
        <v>58.343800000000002</v>
      </c>
      <c r="GN125">
        <v>63.943600000000004</v>
      </c>
      <c r="GO125">
        <v>21.4514</v>
      </c>
      <c r="GP125">
        <v>800</v>
      </c>
      <c r="GQ125">
        <v>7.8883099999999997</v>
      </c>
      <c r="GR125">
        <v>99.765500000000003</v>
      </c>
      <c r="GS125">
        <v>99.641199999999998</v>
      </c>
    </row>
    <row r="126" spans="1:201" x14ac:dyDescent="0.25">
      <c r="A126">
        <v>110</v>
      </c>
      <c r="B126">
        <v>1690307890</v>
      </c>
      <c r="C126">
        <v>1271.400000095367</v>
      </c>
      <c r="D126" t="s">
        <v>553</v>
      </c>
      <c r="E126" t="s">
        <v>554</v>
      </c>
      <c r="F126" t="s">
        <v>330</v>
      </c>
      <c r="H126">
        <v>1690307890</v>
      </c>
      <c r="I126">
        <f t="shared" si="30"/>
        <v>1.2846558446674911E-3</v>
      </c>
      <c r="J126">
        <f t="shared" si="31"/>
        <v>1.2846558446674912</v>
      </c>
      <c r="K126">
        <f t="shared" si="32"/>
        <v>21.758116339821623</v>
      </c>
      <c r="L126">
        <f t="shared" si="33"/>
        <v>566.33699999999999</v>
      </c>
      <c r="M126">
        <f t="shared" si="34"/>
        <v>194.81342441372905</v>
      </c>
      <c r="N126">
        <f t="shared" si="35"/>
        <v>19.347412108356956</v>
      </c>
      <c r="O126">
        <f t="shared" si="36"/>
        <v>56.244354639240001</v>
      </c>
      <c r="P126">
        <f t="shared" si="37"/>
        <v>9.7836488903605648E-2</v>
      </c>
      <c r="Q126">
        <f t="shared" si="38"/>
        <v>2.1954057593487115</v>
      </c>
      <c r="R126">
        <f t="shared" si="39"/>
        <v>9.5477264611670803E-2</v>
      </c>
      <c r="S126">
        <f t="shared" si="40"/>
        <v>5.9880518956064978E-2</v>
      </c>
      <c r="T126">
        <f t="shared" si="41"/>
        <v>276.11565308999997</v>
      </c>
      <c r="U126">
        <f t="shared" si="42"/>
        <v>26.009183179479653</v>
      </c>
      <c r="V126">
        <f t="shared" si="43"/>
        <v>26.009183179479653</v>
      </c>
      <c r="W126">
        <f t="shared" si="44"/>
        <v>3.376092442508877</v>
      </c>
      <c r="X126">
        <f t="shared" si="45"/>
        <v>68.027519470959831</v>
      </c>
      <c r="Y126">
        <f t="shared" si="46"/>
        <v>2.0765155494280001</v>
      </c>
      <c r="Z126">
        <f t="shared" si="47"/>
        <v>3.0524640110013723</v>
      </c>
      <c r="AA126">
        <f t="shared" si="48"/>
        <v>1.2995768930808769</v>
      </c>
      <c r="AB126">
        <f t="shared" si="49"/>
        <v>-56.653322749836356</v>
      </c>
      <c r="AC126">
        <f t="shared" si="50"/>
        <v>-200.29646304363948</v>
      </c>
      <c r="AD126">
        <f t="shared" si="51"/>
        <v>-19.330122960595169</v>
      </c>
      <c r="AE126">
        <f t="shared" si="52"/>
        <v>-0.16425566407104952</v>
      </c>
      <c r="AF126">
        <v>14</v>
      </c>
      <c r="AG126">
        <v>5</v>
      </c>
      <c r="AH126">
        <f t="shared" si="53"/>
        <v>1</v>
      </c>
      <c r="AI126">
        <f t="shared" si="54"/>
        <v>0</v>
      </c>
      <c r="AJ126">
        <f t="shared" si="55"/>
        <v>52915.14940071325</v>
      </c>
      <c r="AK126">
        <f t="shared" si="56"/>
        <v>1800</v>
      </c>
      <c r="AL126">
        <f t="shared" si="57"/>
        <v>1499.113818</v>
      </c>
      <c r="AM126">
        <f t="shared" si="58"/>
        <v>0.83284100999999999</v>
      </c>
      <c r="AN126">
        <f t="shared" si="59"/>
        <v>0.15339758504999998</v>
      </c>
      <c r="AO126">
        <v>31.2</v>
      </c>
      <c r="AP126">
        <v>0.5</v>
      </c>
      <c r="AQ126" t="s">
        <v>331</v>
      </c>
      <c r="AR126">
        <v>2</v>
      </c>
      <c r="AS126">
        <v>1690307890</v>
      </c>
      <c r="AT126">
        <v>566.33699999999999</v>
      </c>
      <c r="AU126">
        <v>800.029</v>
      </c>
      <c r="AV126">
        <v>20.908899999999999</v>
      </c>
      <c r="AW126">
        <v>7.8367199999999997</v>
      </c>
      <c r="AX126">
        <v>566.22400000000005</v>
      </c>
      <c r="AY126">
        <v>20.689399999999999</v>
      </c>
      <c r="AZ126">
        <v>300.20400000000001</v>
      </c>
      <c r="BA126">
        <v>99.212500000000006</v>
      </c>
      <c r="BB126">
        <v>0.10002</v>
      </c>
      <c r="BC126">
        <v>24.3169</v>
      </c>
      <c r="BD126">
        <v>26.9925</v>
      </c>
      <c r="BE126">
        <v>26.189</v>
      </c>
      <c r="BF126">
        <v>0</v>
      </c>
      <c r="BG126">
        <v>0</v>
      </c>
      <c r="BH126">
        <v>9996.25</v>
      </c>
      <c r="BI126">
        <v>1040.25</v>
      </c>
      <c r="BJ126">
        <v>1.62592</v>
      </c>
      <c r="BK126">
        <v>-233.69200000000001</v>
      </c>
      <c r="BL126">
        <v>578.43100000000004</v>
      </c>
      <c r="BM126">
        <v>806.34799999999996</v>
      </c>
      <c r="BN126">
        <v>13.0722</v>
      </c>
      <c r="BO126">
        <v>800.029</v>
      </c>
      <c r="BP126">
        <v>7.8367199999999997</v>
      </c>
      <c r="BQ126">
        <v>2.07443</v>
      </c>
      <c r="BR126">
        <v>0.777501</v>
      </c>
      <c r="BS126">
        <v>18.0242</v>
      </c>
      <c r="BT126">
        <v>3.3030300000000001</v>
      </c>
      <c r="BU126">
        <v>1800</v>
      </c>
      <c r="BV126">
        <v>0.91000099999999995</v>
      </c>
      <c r="BW126">
        <v>3.3992099999999997E-2</v>
      </c>
      <c r="BX126">
        <v>2.2002500000000001E-2</v>
      </c>
      <c r="BY126">
        <v>3.4004699999999999E-2</v>
      </c>
      <c r="BZ126">
        <v>26</v>
      </c>
      <c r="CA126">
        <v>33528.400000000001</v>
      </c>
      <c r="CB126">
        <v>1690306253.5999999</v>
      </c>
      <c r="CC126" t="s">
        <v>332</v>
      </c>
      <c r="CD126">
        <v>1690306253.5999999</v>
      </c>
      <c r="CE126">
        <v>1690306251.5999999</v>
      </c>
      <c r="CF126">
        <v>9</v>
      </c>
      <c r="CG126">
        <v>0.19</v>
      </c>
      <c r="CH126">
        <v>-8.7999999999999995E-2</v>
      </c>
      <c r="CI126">
        <v>-5.0999999999999997E-2</v>
      </c>
      <c r="CJ126">
        <v>5.0999999999999997E-2</v>
      </c>
      <c r="CK126">
        <v>799</v>
      </c>
      <c r="CL126">
        <v>15</v>
      </c>
      <c r="CM126">
        <v>0.28000000000000003</v>
      </c>
      <c r="CN126">
        <v>0.03</v>
      </c>
      <c r="CO126">
        <v>-231.03387499999999</v>
      </c>
      <c r="CP126">
        <v>-14.96977485928689</v>
      </c>
      <c r="CQ126">
        <v>1.4411981159351399</v>
      </c>
      <c r="CR126">
        <v>-1</v>
      </c>
      <c r="CS126">
        <v>12.89241</v>
      </c>
      <c r="CT126">
        <v>1.2140667917447929</v>
      </c>
      <c r="CU126">
        <v>0.11738207870028559</v>
      </c>
      <c r="CV126">
        <v>-1</v>
      </c>
      <c r="CW126">
        <v>0</v>
      </c>
      <c r="CX126">
        <v>0</v>
      </c>
      <c r="CY126" t="s">
        <v>333</v>
      </c>
      <c r="CZ126">
        <v>2.3646400000000001</v>
      </c>
      <c r="DA126">
        <v>2.7138100000000001</v>
      </c>
      <c r="DB126">
        <v>0.115707</v>
      </c>
      <c r="DC126">
        <v>0.14626900000000001</v>
      </c>
      <c r="DD126">
        <v>0.103239</v>
      </c>
      <c r="DE126">
        <v>4.8947499999999998E-2</v>
      </c>
      <c r="DF126">
        <v>32296.6</v>
      </c>
      <c r="DG126">
        <v>27531.1</v>
      </c>
      <c r="DH126">
        <v>31179.599999999999</v>
      </c>
      <c r="DI126">
        <v>28099.9</v>
      </c>
      <c r="DJ126">
        <v>37965.1</v>
      </c>
      <c r="DK126">
        <v>38011.4</v>
      </c>
      <c r="DL126">
        <v>44375</v>
      </c>
      <c r="DM126">
        <v>42598.400000000001</v>
      </c>
      <c r="DN126">
        <v>1.43198</v>
      </c>
      <c r="DO126">
        <v>2.0379299999999998</v>
      </c>
      <c r="DP126">
        <v>0.18251700000000001</v>
      </c>
      <c r="DQ126">
        <v>0.15919700000000001</v>
      </c>
      <c r="DR126">
        <v>24.0002</v>
      </c>
      <c r="DS126">
        <v>23.5764</v>
      </c>
      <c r="DT126">
        <v>46.9</v>
      </c>
      <c r="DU126">
        <v>29.3</v>
      </c>
      <c r="DV126">
        <v>19.345400000000001</v>
      </c>
      <c r="DW126">
        <v>61.762999999999998</v>
      </c>
      <c r="DX126">
        <v>35.785299999999999</v>
      </c>
      <c r="DY126">
        <v>1</v>
      </c>
      <c r="DZ126">
        <v>-8.3412100000000003E-2</v>
      </c>
      <c r="EA126">
        <v>1.07545</v>
      </c>
      <c r="EB126">
        <v>20.1859</v>
      </c>
      <c r="EC126">
        <v>5.2403500000000003</v>
      </c>
      <c r="ED126">
        <v>12.039899999999999</v>
      </c>
      <c r="EE126">
        <v>5.0168999999999997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1.86897</v>
      </c>
      <c r="EL126">
        <v>1.86463</v>
      </c>
      <c r="EM126">
        <v>1.8692</v>
      </c>
      <c r="EN126">
        <v>1.8672899999999999</v>
      </c>
      <c r="EO126">
        <v>1.8633999999999999</v>
      </c>
      <c r="EP126">
        <v>1.8645099999999999</v>
      </c>
      <c r="EQ126">
        <v>1.87015</v>
      </c>
      <c r="ER126">
        <v>1.8694500000000001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0.113</v>
      </c>
      <c r="FG126">
        <v>0.2195</v>
      </c>
      <c r="FH126">
        <v>0.49996858830924029</v>
      </c>
      <c r="FI126">
        <v>-6.1462078757559423E-4</v>
      </c>
      <c r="FJ126">
        <v>-1.8861989874597051E-7</v>
      </c>
      <c r="FK126">
        <v>1.1980462299894961E-10</v>
      </c>
      <c r="FL126">
        <v>-3.8593581000597899E-2</v>
      </c>
      <c r="FM126">
        <v>-1.6848085045870601E-2</v>
      </c>
      <c r="FN126">
        <v>1.9789084769509481E-3</v>
      </c>
      <c r="FO126">
        <v>-2.7142391389806329E-5</v>
      </c>
      <c r="FP126">
        <v>3</v>
      </c>
      <c r="FQ126">
        <v>2158</v>
      </c>
      <c r="FR126">
        <v>1</v>
      </c>
      <c r="FS126">
        <v>19</v>
      </c>
      <c r="FT126">
        <v>27.3</v>
      </c>
      <c r="FU126">
        <v>27.3</v>
      </c>
      <c r="FV126">
        <v>1.7748999999999999</v>
      </c>
      <c r="FW126">
        <v>2.5952099999999998</v>
      </c>
      <c r="FX126">
        <v>1.5490699999999999</v>
      </c>
      <c r="FY126">
        <v>2.3278799999999999</v>
      </c>
      <c r="FZ126">
        <v>1.50146</v>
      </c>
      <c r="GA126">
        <v>2.3840300000000001</v>
      </c>
      <c r="GB126">
        <v>34.077100000000002</v>
      </c>
      <c r="GC126">
        <v>23.982399999999998</v>
      </c>
      <c r="GD126">
        <v>19</v>
      </c>
      <c r="GE126">
        <v>265.07</v>
      </c>
      <c r="GF126">
        <v>586.274</v>
      </c>
      <c r="GG126">
        <v>21.478000000000002</v>
      </c>
      <c r="GH126">
        <v>26.300899999999999</v>
      </c>
      <c r="GI126">
        <v>29.999300000000002</v>
      </c>
      <c r="GJ126">
        <v>26.498200000000001</v>
      </c>
      <c r="GK126">
        <v>26.5</v>
      </c>
      <c r="GL126">
        <v>35.476799999999997</v>
      </c>
      <c r="GM126">
        <v>58.616900000000001</v>
      </c>
      <c r="GN126">
        <v>63.197000000000003</v>
      </c>
      <c r="GO126">
        <v>21.4848</v>
      </c>
      <c r="GP126">
        <v>800</v>
      </c>
      <c r="GQ126">
        <v>7.7144300000000001</v>
      </c>
      <c r="GR126">
        <v>99.766000000000005</v>
      </c>
      <c r="GS126">
        <v>99.644400000000005</v>
      </c>
    </row>
    <row r="127" spans="1:201" x14ac:dyDescent="0.25">
      <c r="A127">
        <v>111</v>
      </c>
      <c r="B127">
        <v>1690307900</v>
      </c>
      <c r="C127">
        <v>1281.400000095367</v>
      </c>
      <c r="D127" t="s">
        <v>555</v>
      </c>
      <c r="E127" t="s">
        <v>556</v>
      </c>
      <c r="F127" t="s">
        <v>330</v>
      </c>
      <c r="H127">
        <v>1690307900</v>
      </c>
      <c r="I127">
        <f t="shared" si="30"/>
        <v>1.300436288810478E-3</v>
      </c>
      <c r="J127">
        <f t="shared" si="31"/>
        <v>1.3004362888104779</v>
      </c>
      <c r="K127">
        <f t="shared" si="32"/>
        <v>21.977862019564203</v>
      </c>
      <c r="L127">
        <f t="shared" si="33"/>
        <v>563.89</v>
      </c>
      <c r="M127">
        <f t="shared" si="34"/>
        <v>193.04257217830693</v>
      </c>
      <c r="N127">
        <f t="shared" si="35"/>
        <v>19.171366749751659</v>
      </c>
      <c r="O127">
        <f t="shared" si="36"/>
        <v>56.000818236777988</v>
      </c>
      <c r="P127">
        <f t="shared" si="37"/>
        <v>9.901647189344516E-2</v>
      </c>
      <c r="Q127">
        <f t="shared" si="38"/>
        <v>2.2013770827926766</v>
      </c>
      <c r="R127">
        <f t="shared" si="39"/>
        <v>9.66071341127335E-2</v>
      </c>
      <c r="S127">
        <f t="shared" si="40"/>
        <v>6.0591045336546516E-2</v>
      </c>
      <c r="T127">
        <f t="shared" si="41"/>
        <v>276.11555504399996</v>
      </c>
      <c r="U127">
        <f t="shared" si="42"/>
        <v>26.010722549461214</v>
      </c>
      <c r="V127">
        <f t="shared" si="43"/>
        <v>26.010722549461214</v>
      </c>
      <c r="W127">
        <f t="shared" si="44"/>
        <v>3.3763999604615944</v>
      </c>
      <c r="X127">
        <f t="shared" si="45"/>
        <v>67.973852755349611</v>
      </c>
      <c r="Y127">
        <f t="shared" si="46"/>
        <v>2.0762579695812997</v>
      </c>
      <c r="Z127">
        <f t="shared" si="47"/>
        <v>3.0544950527582033</v>
      </c>
      <c r="AA127">
        <f t="shared" si="48"/>
        <v>1.3001419908802947</v>
      </c>
      <c r="AB127">
        <f t="shared" si="49"/>
        <v>-57.349240336542081</v>
      </c>
      <c r="AC127">
        <f t="shared" si="50"/>
        <v>-199.70659127902547</v>
      </c>
      <c r="AD127">
        <f t="shared" si="51"/>
        <v>-19.222137020871575</v>
      </c>
      <c r="AE127">
        <f t="shared" si="52"/>
        <v>-0.16241359243917941</v>
      </c>
      <c r="AF127">
        <v>14</v>
      </c>
      <c r="AG127">
        <v>5</v>
      </c>
      <c r="AH127">
        <f t="shared" si="53"/>
        <v>1</v>
      </c>
      <c r="AI127">
        <f t="shared" si="54"/>
        <v>0</v>
      </c>
      <c r="AJ127">
        <f t="shared" si="55"/>
        <v>53160.093931344883</v>
      </c>
      <c r="AK127">
        <f t="shared" si="56"/>
        <v>1800</v>
      </c>
      <c r="AL127">
        <f t="shared" si="57"/>
        <v>1499.1134003999998</v>
      </c>
      <c r="AM127">
        <f t="shared" si="58"/>
        <v>0.83284077799999989</v>
      </c>
      <c r="AN127">
        <f t="shared" si="59"/>
        <v>0.15339753057999997</v>
      </c>
      <c r="AO127">
        <v>31.2</v>
      </c>
      <c r="AP127">
        <v>0.5</v>
      </c>
      <c r="AQ127" t="s">
        <v>331</v>
      </c>
      <c r="AR127">
        <v>2</v>
      </c>
      <c r="AS127">
        <v>1690307900</v>
      </c>
      <c r="AT127">
        <v>563.89</v>
      </c>
      <c r="AU127">
        <v>800.02</v>
      </c>
      <c r="AV127">
        <v>20.906500000000001</v>
      </c>
      <c r="AW127">
        <v>7.6684200000000002</v>
      </c>
      <c r="AX127">
        <v>563.77499999999998</v>
      </c>
      <c r="AY127">
        <v>20.687000000000001</v>
      </c>
      <c r="AZ127">
        <v>300.084</v>
      </c>
      <c r="BA127">
        <v>99.211699999999993</v>
      </c>
      <c r="BB127">
        <v>9.9900199999999995E-2</v>
      </c>
      <c r="BC127">
        <v>24.327999999999999</v>
      </c>
      <c r="BD127">
        <v>27.020299999999999</v>
      </c>
      <c r="BE127">
        <v>26.186599999999999</v>
      </c>
      <c r="BF127">
        <v>0</v>
      </c>
      <c r="BG127">
        <v>0</v>
      </c>
      <c r="BH127">
        <v>10045</v>
      </c>
      <c r="BI127">
        <v>1040.3599999999999</v>
      </c>
      <c r="BJ127">
        <v>1.62592</v>
      </c>
      <c r="BK127">
        <v>-236.13</v>
      </c>
      <c r="BL127">
        <v>575.92999999999995</v>
      </c>
      <c r="BM127">
        <v>806.202</v>
      </c>
      <c r="BN127">
        <v>13.238</v>
      </c>
      <c r="BO127">
        <v>800.02</v>
      </c>
      <c r="BP127">
        <v>7.6684200000000002</v>
      </c>
      <c r="BQ127">
        <v>2.0741700000000001</v>
      </c>
      <c r="BR127">
        <v>0.76079699999999995</v>
      </c>
      <c r="BS127">
        <v>18.022200000000002</v>
      </c>
      <c r="BT127">
        <v>2.99614</v>
      </c>
      <c r="BU127">
        <v>1800</v>
      </c>
      <c r="BV127">
        <v>0.91000099999999995</v>
      </c>
      <c r="BW127">
        <v>3.3992000000000001E-2</v>
      </c>
      <c r="BX127">
        <v>2.2002399999999998E-2</v>
      </c>
      <c r="BY127">
        <v>3.4004600000000003E-2</v>
      </c>
      <c r="BZ127">
        <v>26</v>
      </c>
      <c r="CA127">
        <v>33528.400000000001</v>
      </c>
      <c r="CB127">
        <v>1690306253.5999999</v>
      </c>
      <c r="CC127" t="s">
        <v>332</v>
      </c>
      <c r="CD127">
        <v>1690306253.5999999</v>
      </c>
      <c r="CE127">
        <v>1690306251.5999999</v>
      </c>
      <c r="CF127">
        <v>9</v>
      </c>
      <c r="CG127">
        <v>0.19</v>
      </c>
      <c r="CH127">
        <v>-8.7999999999999995E-2</v>
      </c>
      <c r="CI127">
        <v>-5.0999999999999997E-2</v>
      </c>
      <c r="CJ127">
        <v>5.0999999999999997E-2</v>
      </c>
      <c r="CK127">
        <v>799</v>
      </c>
      <c r="CL127">
        <v>15</v>
      </c>
      <c r="CM127">
        <v>0.28000000000000003</v>
      </c>
      <c r="CN127">
        <v>0.03</v>
      </c>
      <c r="CO127">
        <v>-233.53077500000001</v>
      </c>
      <c r="CP127">
        <v>-14.726577861162919</v>
      </c>
      <c r="CQ127">
        <v>1.417939199816058</v>
      </c>
      <c r="CR127">
        <v>-1</v>
      </c>
      <c r="CS127">
        <v>13.070589999999999</v>
      </c>
      <c r="CT127">
        <v>0.92244878048777501</v>
      </c>
      <c r="CU127">
        <v>8.9477178095869844E-2</v>
      </c>
      <c r="CV127">
        <v>-1</v>
      </c>
      <c r="CW127">
        <v>0</v>
      </c>
      <c r="CX127">
        <v>0</v>
      </c>
      <c r="CY127" t="s">
        <v>333</v>
      </c>
      <c r="CZ127">
        <v>2.3642699999999999</v>
      </c>
      <c r="DA127">
        <v>2.71373</v>
      </c>
      <c r="DB127">
        <v>0.11534999999999999</v>
      </c>
      <c r="DC127">
        <v>0.14626500000000001</v>
      </c>
      <c r="DD127">
        <v>0.103231</v>
      </c>
      <c r="DE127">
        <v>4.8112500000000002E-2</v>
      </c>
      <c r="DF127">
        <v>32309.3</v>
      </c>
      <c r="DG127">
        <v>27530.9</v>
      </c>
      <c r="DH127">
        <v>31179.3</v>
      </c>
      <c r="DI127">
        <v>28099.599999999999</v>
      </c>
      <c r="DJ127">
        <v>37965.1</v>
      </c>
      <c r="DK127">
        <v>38044.6</v>
      </c>
      <c r="DL127">
        <v>44374.6</v>
      </c>
      <c r="DM127">
        <v>42598.1</v>
      </c>
      <c r="DN127">
        <v>1.43222</v>
      </c>
      <c r="DO127">
        <v>2.0381</v>
      </c>
      <c r="DP127">
        <v>0.18409600000000001</v>
      </c>
      <c r="DQ127">
        <v>0.15870500000000001</v>
      </c>
      <c r="DR127">
        <v>24.002199999999998</v>
      </c>
      <c r="DS127">
        <v>23.582100000000001</v>
      </c>
      <c r="DT127">
        <v>46.6</v>
      </c>
      <c r="DU127">
        <v>29.3</v>
      </c>
      <c r="DV127">
        <v>19.2197</v>
      </c>
      <c r="DW127">
        <v>61.332999999999998</v>
      </c>
      <c r="DX127">
        <v>36.622599999999998</v>
      </c>
      <c r="DY127">
        <v>1</v>
      </c>
      <c r="DZ127">
        <v>-8.3529000000000006E-2</v>
      </c>
      <c r="EA127">
        <v>1.11588</v>
      </c>
      <c r="EB127">
        <v>20.185500000000001</v>
      </c>
      <c r="EC127">
        <v>5.2403500000000003</v>
      </c>
      <c r="ED127">
        <v>12.039899999999999</v>
      </c>
      <c r="EE127">
        <v>5.0165499999999996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1.86894</v>
      </c>
      <c r="EL127">
        <v>1.86463</v>
      </c>
      <c r="EM127">
        <v>1.8692</v>
      </c>
      <c r="EN127">
        <v>1.86727</v>
      </c>
      <c r="EO127">
        <v>1.8633999999999999</v>
      </c>
      <c r="EP127">
        <v>1.86449</v>
      </c>
      <c r="EQ127">
        <v>1.87016</v>
      </c>
      <c r="ER127">
        <v>1.86941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0.115</v>
      </c>
      <c r="FG127">
        <v>0.2195</v>
      </c>
      <c r="FH127">
        <v>0.49996858830924029</v>
      </c>
      <c r="FI127">
        <v>-6.1462078757559423E-4</v>
      </c>
      <c r="FJ127">
        <v>-1.8861989874597051E-7</v>
      </c>
      <c r="FK127">
        <v>1.1980462299894961E-10</v>
      </c>
      <c r="FL127">
        <v>-3.8593581000597899E-2</v>
      </c>
      <c r="FM127">
        <v>-1.6848085045870601E-2</v>
      </c>
      <c r="FN127">
        <v>1.9789084769509481E-3</v>
      </c>
      <c r="FO127">
        <v>-2.7142391389806329E-5</v>
      </c>
      <c r="FP127">
        <v>3</v>
      </c>
      <c r="FQ127">
        <v>2158</v>
      </c>
      <c r="FR127">
        <v>1</v>
      </c>
      <c r="FS127">
        <v>19</v>
      </c>
      <c r="FT127">
        <v>27.4</v>
      </c>
      <c r="FU127">
        <v>27.5</v>
      </c>
      <c r="FV127">
        <v>1.7736799999999999</v>
      </c>
      <c r="FW127">
        <v>2.5866699999999998</v>
      </c>
      <c r="FX127">
        <v>1.5490699999999999</v>
      </c>
      <c r="FY127">
        <v>2.3278799999999999</v>
      </c>
      <c r="FZ127">
        <v>1.50146</v>
      </c>
      <c r="GA127">
        <v>2.3974600000000001</v>
      </c>
      <c r="GB127">
        <v>34.077100000000002</v>
      </c>
      <c r="GC127">
        <v>23.991199999999999</v>
      </c>
      <c r="GD127">
        <v>19</v>
      </c>
      <c r="GE127">
        <v>265.149</v>
      </c>
      <c r="GF127">
        <v>586.36300000000006</v>
      </c>
      <c r="GG127">
        <v>21.5002</v>
      </c>
      <c r="GH127">
        <v>26.294799999999999</v>
      </c>
      <c r="GI127">
        <v>29.9999</v>
      </c>
      <c r="GJ127">
        <v>26.492699999999999</v>
      </c>
      <c r="GK127">
        <v>26.495100000000001</v>
      </c>
      <c r="GL127">
        <v>35.473199999999999</v>
      </c>
      <c r="GM127">
        <v>59.161099999999998</v>
      </c>
      <c r="GN127">
        <v>62.439599999999999</v>
      </c>
      <c r="GO127">
        <v>21.496600000000001</v>
      </c>
      <c r="GP127">
        <v>800</v>
      </c>
      <c r="GQ127">
        <v>7.5468299999999999</v>
      </c>
      <c r="GR127">
        <v>99.765100000000004</v>
      </c>
      <c r="GS127">
        <v>99.643600000000006</v>
      </c>
    </row>
    <row r="128" spans="1:201" x14ac:dyDescent="0.25">
      <c r="A128">
        <v>112</v>
      </c>
      <c r="B128">
        <v>1690307910</v>
      </c>
      <c r="C128">
        <v>1291.400000095367</v>
      </c>
      <c r="D128" t="s">
        <v>557</v>
      </c>
      <c r="E128" t="s">
        <v>558</v>
      </c>
      <c r="F128" t="s">
        <v>330</v>
      </c>
      <c r="H128">
        <v>1690307910</v>
      </c>
      <c r="I128">
        <f t="shared" si="30"/>
        <v>1.3160155980954098E-3</v>
      </c>
      <c r="J128">
        <f t="shared" si="31"/>
        <v>1.3160155980954098</v>
      </c>
      <c r="K128">
        <f t="shared" si="32"/>
        <v>22.199908365225831</v>
      </c>
      <c r="L128">
        <f t="shared" si="33"/>
        <v>561.452</v>
      </c>
      <c r="M128">
        <f t="shared" si="34"/>
        <v>190.87741534170385</v>
      </c>
      <c r="N128">
        <f t="shared" si="35"/>
        <v>18.956773877882647</v>
      </c>
      <c r="O128">
        <f t="shared" si="36"/>
        <v>55.759968188125207</v>
      </c>
      <c r="P128">
        <f t="shared" si="37"/>
        <v>0.1001106974555562</v>
      </c>
      <c r="Q128">
        <f t="shared" si="38"/>
        <v>2.1947319405726446</v>
      </c>
      <c r="R128">
        <f t="shared" si="39"/>
        <v>9.7641270893420881E-2</v>
      </c>
      <c r="S128">
        <f t="shared" si="40"/>
        <v>6.1242589015921042E-2</v>
      </c>
      <c r="T128">
        <f t="shared" si="41"/>
        <v>276.11559575999996</v>
      </c>
      <c r="U128">
        <f t="shared" si="42"/>
        <v>26.011271582678077</v>
      </c>
      <c r="V128">
        <f t="shared" si="43"/>
        <v>26.011271582678077</v>
      </c>
      <c r="W128">
        <f t="shared" si="44"/>
        <v>3.3765096460367476</v>
      </c>
      <c r="X128">
        <f t="shared" si="45"/>
        <v>67.917521322356919</v>
      </c>
      <c r="Y128">
        <f t="shared" si="46"/>
        <v>2.07468650471202</v>
      </c>
      <c r="Z128">
        <f t="shared" si="47"/>
        <v>3.0547146955863358</v>
      </c>
      <c r="AA128">
        <f t="shared" si="48"/>
        <v>1.3018231413247277</v>
      </c>
      <c r="AB128">
        <f t="shared" si="49"/>
        <v>-58.03628787600757</v>
      </c>
      <c r="AC128">
        <f t="shared" si="50"/>
        <v>-199.02672708885311</v>
      </c>
      <c r="AD128">
        <f t="shared" si="51"/>
        <v>-19.2148698222673</v>
      </c>
      <c r="AE128">
        <f t="shared" si="52"/>
        <v>-0.16228902712802551</v>
      </c>
      <c r="AF128">
        <v>14</v>
      </c>
      <c r="AG128">
        <v>5</v>
      </c>
      <c r="AH128">
        <f t="shared" si="53"/>
        <v>1</v>
      </c>
      <c r="AI128">
        <f t="shared" si="54"/>
        <v>0</v>
      </c>
      <c r="AJ128">
        <f t="shared" si="55"/>
        <v>52885.171795751739</v>
      </c>
      <c r="AK128">
        <f t="shared" si="56"/>
        <v>1800</v>
      </c>
      <c r="AL128">
        <f t="shared" si="57"/>
        <v>1499.1135569999999</v>
      </c>
      <c r="AM128">
        <f t="shared" si="58"/>
        <v>0.83284086499999999</v>
      </c>
      <c r="AN128">
        <f t="shared" si="59"/>
        <v>0.15339755319999998</v>
      </c>
      <c r="AO128">
        <v>31.2</v>
      </c>
      <c r="AP128">
        <v>0.5</v>
      </c>
      <c r="AQ128" t="s">
        <v>331</v>
      </c>
      <c r="AR128">
        <v>2</v>
      </c>
      <c r="AS128">
        <v>1690307910</v>
      </c>
      <c r="AT128">
        <v>561.452</v>
      </c>
      <c r="AU128">
        <v>799.95100000000002</v>
      </c>
      <c r="AV128">
        <v>20.8902</v>
      </c>
      <c r="AW128">
        <v>7.4931700000000001</v>
      </c>
      <c r="AX128">
        <v>561.33500000000004</v>
      </c>
      <c r="AY128">
        <v>20.671199999999999</v>
      </c>
      <c r="AZ128">
        <v>300.08100000000002</v>
      </c>
      <c r="BA128">
        <v>99.213999999999999</v>
      </c>
      <c r="BB128">
        <v>9.9865099999999998E-2</v>
      </c>
      <c r="BC128">
        <v>24.3292</v>
      </c>
      <c r="BD128">
        <v>27.050699999999999</v>
      </c>
      <c r="BE128">
        <v>26.1843</v>
      </c>
      <c r="BF128">
        <v>0</v>
      </c>
      <c r="BG128">
        <v>0</v>
      </c>
      <c r="BH128">
        <v>9990.6200000000008</v>
      </c>
      <c r="BI128">
        <v>1040.5899999999999</v>
      </c>
      <c r="BJ128">
        <v>1.4661299999999999</v>
      </c>
      <c r="BK128">
        <v>-238.499</v>
      </c>
      <c r="BL128">
        <v>573.43100000000004</v>
      </c>
      <c r="BM128">
        <v>805.99</v>
      </c>
      <c r="BN128">
        <v>13.397</v>
      </c>
      <c r="BO128">
        <v>799.95100000000002</v>
      </c>
      <c r="BP128">
        <v>7.4931700000000001</v>
      </c>
      <c r="BQ128">
        <v>2.0726</v>
      </c>
      <c r="BR128">
        <v>0.74342799999999998</v>
      </c>
      <c r="BS128">
        <v>18.010200000000001</v>
      </c>
      <c r="BT128">
        <v>2.6706500000000002</v>
      </c>
      <c r="BU128">
        <v>1800</v>
      </c>
      <c r="BV128">
        <v>0.91000099999999995</v>
      </c>
      <c r="BW128">
        <v>3.3992000000000001E-2</v>
      </c>
      <c r="BX128">
        <v>2.2002500000000001E-2</v>
      </c>
      <c r="BY128">
        <v>3.4004600000000003E-2</v>
      </c>
      <c r="BZ128">
        <v>26</v>
      </c>
      <c r="CA128">
        <v>33528.400000000001</v>
      </c>
      <c r="CB128">
        <v>1690306253.5999999</v>
      </c>
      <c r="CC128" t="s">
        <v>332</v>
      </c>
      <c r="CD128">
        <v>1690306253.5999999</v>
      </c>
      <c r="CE128">
        <v>1690306251.5999999</v>
      </c>
      <c r="CF128">
        <v>9</v>
      </c>
      <c r="CG128">
        <v>0.19</v>
      </c>
      <c r="CH128">
        <v>-8.7999999999999995E-2</v>
      </c>
      <c r="CI128">
        <v>-5.0999999999999997E-2</v>
      </c>
      <c r="CJ128">
        <v>5.0999999999999997E-2</v>
      </c>
      <c r="CK128">
        <v>799</v>
      </c>
      <c r="CL128">
        <v>15</v>
      </c>
      <c r="CM128">
        <v>0.28000000000000003</v>
      </c>
      <c r="CN128">
        <v>0.03</v>
      </c>
      <c r="CO128">
        <v>-235.97114999999999</v>
      </c>
      <c r="CP128">
        <v>-14.355894934333531</v>
      </c>
      <c r="CQ128">
        <v>1.3823307229096811</v>
      </c>
      <c r="CR128">
        <v>-1</v>
      </c>
      <c r="CS128">
        <v>13.235445</v>
      </c>
      <c r="CT128">
        <v>1.088803001876135</v>
      </c>
      <c r="CU128">
        <v>0.1050295933296897</v>
      </c>
      <c r="CV128">
        <v>-1</v>
      </c>
      <c r="CW128">
        <v>0</v>
      </c>
      <c r="CX128">
        <v>0</v>
      </c>
      <c r="CY128" t="s">
        <v>333</v>
      </c>
      <c r="CZ128">
        <v>2.3642400000000001</v>
      </c>
      <c r="DA128">
        <v>2.7136499999999999</v>
      </c>
      <c r="DB128">
        <v>0.114998</v>
      </c>
      <c r="DC128">
        <v>0.146258</v>
      </c>
      <c r="DD128">
        <v>0.10317900000000001</v>
      </c>
      <c r="DE128">
        <v>4.7238099999999998E-2</v>
      </c>
      <c r="DF128">
        <v>32322.799999999999</v>
      </c>
      <c r="DG128">
        <v>27531.4</v>
      </c>
      <c r="DH128">
        <v>31179.9</v>
      </c>
      <c r="DI128">
        <v>28099.8</v>
      </c>
      <c r="DJ128">
        <v>37968.199999999997</v>
      </c>
      <c r="DK128">
        <v>38080</v>
      </c>
      <c r="DL128">
        <v>44375.6</v>
      </c>
      <c r="DM128">
        <v>42598.5</v>
      </c>
      <c r="DN128">
        <v>1.4321699999999999</v>
      </c>
      <c r="DO128">
        <v>2.0376799999999999</v>
      </c>
      <c r="DP128">
        <v>0.18581700000000001</v>
      </c>
      <c r="DQ128">
        <v>0.15831000000000001</v>
      </c>
      <c r="DR128">
        <v>24.0045</v>
      </c>
      <c r="DS128">
        <v>23.586300000000001</v>
      </c>
      <c r="DT128">
        <v>46.3</v>
      </c>
      <c r="DU128">
        <v>29.3</v>
      </c>
      <c r="DV128">
        <v>19.095099999999999</v>
      </c>
      <c r="DW128">
        <v>61.622999999999998</v>
      </c>
      <c r="DX128">
        <v>36.666699999999999</v>
      </c>
      <c r="DY128">
        <v>1</v>
      </c>
      <c r="DZ128">
        <v>-8.2398399999999997E-2</v>
      </c>
      <c r="EA128">
        <v>1.89941</v>
      </c>
      <c r="EB128">
        <v>20.176400000000001</v>
      </c>
      <c r="EC128">
        <v>5.2401999999999997</v>
      </c>
      <c r="ED128">
        <v>12.039899999999999</v>
      </c>
      <c r="EE128">
        <v>5.0167999999999999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1.86894</v>
      </c>
      <c r="EL128">
        <v>1.8646199999999999</v>
      </c>
      <c r="EM128">
        <v>1.86921</v>
      </c>
      <c r="EN128">
        <v>1.8672599999999999</v>
      </c>
      <c r="EO128">
        <v>1.8633999999999999</v>
      </c>
      <c r="EP128">
        <v>1.8644700000000001</v>
      </c>
      <c r="EQ128">
        <v>1.87018</v>
      </c>
      <c r="ER128">
        <v>1.86941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0.11700000000000001</v>
      </c>
      <c r="FG128">
        <v>0.219</v>
      </c>
      <c r="FH128">
        <v>0.49996858830924029</v>
      </c>
      <c r="FI128">
        <v>-6.1462078757559423E-4</v>
      </c>
      <c r="FJ128">
        <v>-1.8861989874597051E-7</v>
      </c>
      <c r="FK128">
        <v>1.1980462299894961E-10</v>
      </c>
      <c r="FL128">
        <v>-3.8593581000597899E-2</v>
      </c>
      <c r="FM128">
        <v>-1.6848085045870601E-2</v>
      </c>
      <c r="FN128">
        <v>1.9789084769509481E-3</v>
      </c>
      <c r="FO128">
        <v>-2.7142391389806329E-5</v>
      </c>
      <c r="FP128">
        <v>3</v>
      </c>
      <c r="FQ128">
        <v>2158</v>
      </c>
      <c r="FR128">
        <v>1</v>
      </c>
      <c r="FS128">
        <v>19</v>
      </c>
      <c r="FT128">
        <v>27.6</v>
      </c>
      <c r="FU128">
        <v>27.6</v>
      </c>
      <c r="FV128">
        <v>1.7736799999999999</v>
      </c>
      <c r="FW128">
        <v>2.5952099999999998</v>
      </c>
      <c r="FX128">
        <v>1.5490699999999999</v>
      </c>
      <c r="FY128">
        <v>2.3278799999999999</v>
      </c>
      <c r="FZ128">
        <v>1.50146</v>
      </c>
      <c r="GA128">
        <v>2.2973599999999998</v>
      </c>
      <c r="GB128">
        <v>34.077100000000002</v>
      </c>
      <c r="GC128">
        <v>23.973700000000001</v>
      </c>
      <c r="GD128">
        <v>19</v>
      </c>
      <c r="GE128">
        <v>265.10599999999999</v>
      </c>
      <c r="GF128">
        <v>585.95399999999995</v>
      </c>
      <c r="GG128">
        <v>21.271999999999998</v>
      </c>
      <c r="GH128">
        <v>26.289300000000001</v>
      </c>
      <c r="GI128">
        <v>30.000299999999999</v>
      </c>
      <c r="GJ128">
        <v>26.487100000000002</v>
      </c>
      <c r="GK128">
        <v>26.490100000000002</v>
      </c>
      <c r="GL128">
        <v>35.4724</v>
      </c>
      <c r="GM128">
        <v>59.441800000000001</v>
      </c>
      <c r="GN128">
        <v>61.688600000000001</v>
      </c>
      <c r="GO128">
        <v>21.229199999999999</v>
      </c>
      <c r="GP128">
        <v>800</v>
      </c>
      <c r="GQ128">
        <v>7.3946800000000001</v>
      </c>
      <c r="GR128">
        <v>99.767300000000006</v>
      </c>
      <c r="GS128">
        <v>99.644499999999994</v>
      </c>
    </row>
    <row r="129" spans="1:201" x14ac:dyDescent="0.25">
      <c r="A129">
        <v>113</v>
      </c>
      <c r="B129">
        <v>1690307920</v>
      </c>
      <c r="C129">
        <v>1301.400000095367</v>
      </c>
      <c r="D129" t="s">
        <v>559</v>
      </c>
      <c r="E129" t="s">
        <v>560</v>
      </c>
      <c r="F129" t="s">
        <v>330</v>
      </c>
      <c r="H129">
        <v>1690307920</v>
      </c>
      <c r="I129">
        <f t="shared" si="30"/>
        <v>1.3232482404876829E-3</v>
      </c>
      <c r="J129">
        <f t="shared" si="31"/>
        <v>1.3232482404876829</v>
      </c>
      <c r="K129">
        <f t="shared" si="32"/>
        <v>22.440784281383994</v>
      </c>
      <c r="L129">
        <f t="shared" si="33"/>
        <v>559.06700000000001</v>
      </c>
      <c r="M129">
        <f t="shared" si="34"/>
        <v>186.7037198054785</v>
      </c>
      <c r="N129">
        <f t="shared" si="35"/>
        <v>18.541839109303609</v>
      </c>
      <c r="O129">
        <f t="shared" si="36"/>
        <v>55.521820219335901</v>
      </c>
      <c r="P129">
        <f t="shared" si="37"/>
        <v>0.10068560336863831</v>
      </c>
      <c r="Q129">
        <f t="shared" si="38"/>
        <v>2.2016818854504621</v>
      </c>
      <c r="R129">
        <f t="shared" si="39"/>
        <v>9.8195787795213041E-2</v>
      </c>
      <c r="S129">
        <f t="shared" si="40"/>
        <v>6.1590939272524792E-2</v>
      </c>
      <c r="T129">
        <f t="shared" si="41"/>
        <v>276.11408052236385</v>
      </c>
      <c r="U129">
        <f t="shared" si="42"/>
        <v>25.98358970700161</v>
      </c>
      <c r="V129">
        <f t="shared" si="43"/>
        <v>25.98358970700161</v>
      </c>
      <c r="W129">
        <f t="shared" si="44"/>
        <v>3.3709832506685222</v>
      </c>
      <c r="X129">
        <f t="shared" si="45"/>
        <v>67.825857344491396</v>
      </c>
      <c r="Y129">
        <f t="shared" si="46"/>
        <v>2.0693551361648996</v>
      </c>
      <c r="Z129">
        <f t="shared" si="47"/>
        <v>3.0509826446491153</v>
      </c>
      <c r="AA129">
        <f t="shared" si="48"/>
        <v>1.3016281145036226</v>
      </c>
      <c r="AB129">
        <f t="shared" si="49"/>
        <v>-58.355247405506816</v>
      </c>
      <c r="AC129">
        <f t="shared" si="50"/>
        <v>-198.79263746552738</v>
      </c>
      <c r="AD129">
        <f t="shared" si="51"/>
        <v>-19.127057926321502</v>
      </c>
      <c r="AE129">
        <f t="shared" si="52"/>
        <v>-0.16086227499187089</v>
      </c>
      <c r="AF129">
        <v>14</v>
      </c>
      <c r="AG129">
        <v>5</v>
      </c>
      <c r="AH129">
        <f t="shared" si="53"/>
        <v>1</v>
      </c>
      <c r="AI129">
        <f t="shared" si="54"/>
        <v>0</v>
      </c>
      <c r="AJ129">
        <f t="shared" si="55"/>
        <v>53176.149155803891</v>
      </c>
      <c r="AK129">
        <f t="shared" si="56"/>
        <v>1799.99</v>
      </c>
      <c r="AL129">
        <f t="shared" si="57"/>
        <v>1499.10564438904</v>
      </c>
      <c r="AM129">
        <f t="shared" si="58"/>
        <v>0.832841096</v>
      </c>
      <c r="AN129">
        <f t="shared" si="59"/>
        <v>0.15339756360999998</v>
      </c>
      <c r="AO129">
        <v>31.2</v>
      </c>
      <c r="AP129">
        <v>0.5</v>
      </c>
      <c r="AQ129" t="s">
        <v>331</v>
      </c>
      <c r="AR129">
        <v>2</v>
      </c>
      <c r="AS129">
        <v>1690307920</v>
      </c>
      <c r="AT129">
        <v>559.06700000000001</v>
      </c>
      <c r="AU129">
        <v>800.01400000000001</v>
      </c>
      <c r="AV129">
        <v>20.837</v>
      </c>
      <c r="AW129">
        <v>7.3692900000000003</v>
      </c>
      <c r="AX129">
        <v>558.94899999999996</v>
      </c>
      <c r="AY129">
        <v>20.619599999999998</v>
      </c>
      <c r="AZ129">
        <v>300.16300000000001</v>
      </c>
      <c r="BA129">
        <v>99.211600000000004</v>
      </c>
      <c r="BB129">
        <v>9.9967700000000007E-2</v>
      </c>
      <c r="BC129">
        <v>24.308800000000002</v>
      </c>
      <c r="BD129">
        <v>27.0105</v>
      </c>
      <c r="BE129">
        <v>26.182700000000001</v>
      </c>
      <c r="BF129">
        <v>0</v>
      </c>
      <c r="BG129">
        <v>0</v>
      </c>
      <c r="BH129">
        <v>10047.5</v>
      </c>
      <c r="BI129">
        <v>1040.6199999999999</v>
      </c>
      <c r="BJ129">
        <v>1.5754600000000001</v>
      </c>
      <c r="BK129">
        <v>-240.947</v>
      </c>
      <c r="BL129">
        <v>570.96400000000006</v>
      </c>
      <c r="BM129">
        <v>805.95299999999997</v>
      </c>
      <c r="BN129">
        <v>13.467700000000001</v>
      </c>
      <c r="BO129">
        <v>800.01400000000001</v>
      </c>
      <c r="BP129">
        <v>7.3692900000000003</v>
      </c>
      <c r="BQ129">
        <v>2.0672700000000002</v>
      </c>
      <c r="BR129">
        <v>0.73111899999999996</v>
      </c>
      <c r="BS129">
        <v>17.969200000000001</v>
      </c>
      <c r="BT129">
        <v>2.4358900000000001</v>
      </c>
      <c r="BU129">
        <v>1799.99</v>
      </c>
      <c r="BV129">
        <v>0.91000199999999998</v>
      </c>
      <c r="BW129">
        <v>3.39917E-2</v>
      </c>
      <c r="BX129">
        <v>2.2002299999999999E-2</v>
      </c>
      <c r="BY129">
        <v>3.4004300000000001E-2</v>
      </c>
      <c r="BZ129">
        <v>26</v>
      </c>
      <c r="CA129">
        <v>33528.199999999997</v>
      </c>
      <c r="CB129">
        <v>1690306253.5999999</v>
      </c>
      <c r="CC129" t="s">
        <v>332</v>
      </c>
      <c r="CD129">
        <v>1690306253.5999999</v>
      </c>
      <c r="CE129">
        <v>1690306251.5999999</v>
      </c>
      <c r="CF129">
        <v>9</v>
      </c>
      <c r="CG129">
        <v>0.19</v>
      </c>
      <c r="CH129">
        <v>-8.7999999999999995E-2</v>
      </c>
      <c r="CI129">
        <v>-5.0999999999999997E-2</v>
      </c>
      <c r="CJ129">
        <v>5.0999999999999997E-2</v>
      </c>
      <c r="CK129">
        <v>799</v>
      </c>
      <c r="CL129">
        <v>15</v>
      </c>
      <c r="CM129">
        <v>0.28000000000000003</v>
      </c>
      <c r="CN129">
        <v>0.03</v>
      </c>
      <c r="CO129">
        <v>-238.46682926829271</v>
      </c>
      <c r="CP129">
        <v>-14.579540069686511</v>
      </c>
      <c r="CQ129">
        <v>1.4394801721359829</v>
      </c>
      <c r="CR129">
        <v>-1</v>
      </c>
      <c r="CS129">
        <v>13.380560975609759</v>
      </c>
      <c r="CT129">
        <v>0.66016933797911592</v>
      </c>
      <c r="CU129">
        <v>6.8052891474738877E-2</v>
      </c>
      <c r="CV129">
        <v>-1</v>
      </c>
      <c r="CW129">
        <v>0</v>
      </c>
      <c r="CX129">
        <v>0</v>
      </c>
      <c r="CY129" t="s">
        <v>333</v>
      </c>
      <c r="CZ129">
        <v>2.3645499999999999</v>
      </c>
      <c r="DA129">
        <v>2.7138</v>
      </c>
      <c r="DB129">
        <v>0.114647</v>
      </c>
      <c r="DC129">
        <v>0.146261</v>
      </c>
      <c r="DD129">
        <v>0.102994</v>
      </c>
      <c r="DE129">
        <v>4.6614299999999997E-2</v>
      </c>
      <c r="DF129">
        <v>32336</v>
      </c>
      <c r="DG129">
        <v>27531.4</v>
      </c>
      <c r="DH129">
        <v>31180.2</v>
      </c>
      <c r="DI129">
        <v>28100</v>
      </c>
      <c r="DJ129">
        <v>37976.199999999997</v>
      </c>
      <c r="DK129">
        <v>38105.199999999997</v>
      </c>
      <c r="DL129">
        <v>44375.9</v>
      </c>
      <c r="DM129">
        <v>42598.7</v>
      </c>
      <c r="DN129">
        <v>1.43225</v>
      </c>
      <c r="DO129">
        <v>2.03755</v>
      </c>
      <c r="DP129">
        <v>0.18323999999999999</v>
      </c>
      <c r="DQ129">
        <v>0.157967</v>
      </c>
      <c r="DR129">
        <v>24.006399999999999</v>
      </c>
      <c r="DS129">
        <v>23.590299999999999</v>
      </c>
      <c r="DT129">
        <v>46</v>
      </c>
      <c r="DU129">
        <v>29.3</v>
      </c>
      <c r="DV129">
        <v>18.976400000000002</v>
      </c>
      <c r="DW129">
        <v>60.893000000000001</v>
      </c>
      <c r="DX129">
        <v>35.869399999999999</v>
      </c>
      <c r="DY129">
        <v>1</v>
      </c>
      <c r="DZ129">
        <v>-8.2883600000000002E-2</v>
      </c>
      <c r="EA129">
        <v>1.62422</v>
      </c>
      <c r="EB129">
        <v>20.180199999999999</v>
      </c>
      <c r="EC129">
        <v>5.2404999999999999</v>
      </c>
      <c r="ED129">
        <v>12.039899999999999</v>
      </c>
      <c r="EE129">
        <v>5.0167000000000002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1.86893</v>
      </c>
      <c r="EL129">
        <v>1.86463</v>
      </c>
      <c r="EM129">
        <v>1.8692</v>
      </c>
      <c r="EN129">
        <v>1.8672599999999999</v>
      </c>
      <c r="EO129">
        <v>1.8633900000000001</v>
      </c>
      <c r="EP129">
        <v>1.8644700000000001</v>
      </c>
      <c r="EQ129">
        <v>1.87015</v>
      </c>
      <c r="ER129">
        <v>1.86941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0.11799999999999999</v>
      </c>
      <c r="FG129">
        <v>0.21740000000000001</v>
      </c>
      <c r="FH129">
        <v>0.49996858830924029</v>
      </c>
      <c r="FI129">
        <v>-6.1462078757559423E-4</v>
      </c>
      <c r="FJ129">
        <v>-1.8861989874597051E-7</v>
      </c>
      <c r="FK129">
        <v>1.1980462299894961E-10</v>
      </c>
      <c r="FL129">
        <v>-3.8593581000597899E-2</v>
      </c>
      <c r="FM129">
        <v>-1.6848085045870601E-2</v>
      </c>
      <c r="FN129">
        <v>1.9789084769509481E-3</v>
      </c>
      <c r="FO129">
        <v>-2.7142391389806329E-5</v>
      </c>
      <c r="FP129">
        <v>3</v>
      </c>
      <c r="FQ129">
        <v>2158</v>
      </c>
      <c r="FR129">
        <v>1</v>
      </c>
      <c r="FS129">
        <v>19</v>
      </c>
      <c r="FT129">
        <v>27.8</v>
      </c>
      <c r="FU129">
        <v>27.8</v>
      </c>
      <c r="FV129">
        <v>1.7736799999999999</v>
      </c>
      <c r="FW129">
        <v>2.5952099999999998</v>
      </c>
      <c r="FX129">
        <v>1.5490699999999999</v>
      </c>
      <c r="FY129">
        <v>2.3278799999999999</v>
      </c>
      <c r="FZ129">
        <v>1.50146</v>
      </c>
      <c r="GA129">
        <v>2.3584000000000001</v>
      </c>
      <c r="GB129">
        <v>34.077100000000002</v>
      </c>
      <c r="GC129">
        <v>23.973700000000001</v>
      </c>
      <c r="GD129">
        <v>19</v>
      </c>
      <c r="GE129">
        <v>265.11200000000002</v>
      </c>
      <c r="GF129">
        <v>585.79399999999998</v>
      </c>
      <c r="GG129">
        <v>21.152100000000001</v>
      </c>
      <c r="GH129">
        <v>26.283200000000001</v>
      </c>
      <c r="GI129">
        <v>29.999700000000001</v>
      </c>
      <c r="GJ129">
        <v>26.481000000000002</v>
      </c>
      <c r="GK129">
        <v>26.485099999999999</v>
      </c>
      <c r="GL129">
        <v>35.467500000000001</v>
      </c>
      <c r="GM129">
        <v>59.743299999999998</v>
      </c>
      <c r="GN129">
        <v>60.939300000000003</v>
      </c>
      <c r="GO129">
        <v>21.152200000000001</v>
      </c>
      <c r="GP129">
        <v>800</v>
      </c>
      <c r="GQ129">
        <v>7.2666300000000001</v>
      </c>
      <c r="GR129">
        <v>99.767899999999997</v>
      </c>
      <c r="GS129">
        <v>99.644900000000007</v>
      </c>
    </row>
    <row r="130" spans="1:201" x14ac:dyDescent="0.25">
      <c r="A130">
        <v>114</v>
      </c>
      <c r="B130">
        <v>1690307930</v>
      </c>
      <c r="C130">
        <v>1311.400000095367</v>
      </c>
      <c r="D130" t="s">
        <v>561</v>
      </c>
      <c r="E130" t="s">
        <v>562</v>
      </c>
      <c r="F130" t="s">
        <v>330</v>
      </c>
      <c r="H130">
        <v>1690307930</v>
      </c>
      <c r="I130">
        <f t="shared" si="30"/>
        <v>1.3380520574877161E-3</v>
      </c>
      <c r="J130">
        <f t="shared" si="31"/>
        <v>1.3380520574877162</v>
      </c>
      <c r="K130">
        <f t="shared" si="32"/>
        <v>22.669264578521883</v>
      </c>
      <c r="L130">
        <f t="shared" si="33"/>
        <v>556.63099999999997</v>
      </c>
      <c r="M130">
        <f t="shared" si="34"/>
        <v>185.33679733568255</v>
      </c>
      <c r="N130">
        <f t="shared" si="35"/>
        <v>18.406080741903438</v>
      </c>
      <c r="O130">
        <f t="shared" si="36"/>
        <v>55.279875754462097</v>
      </c>
      <c r="P130">
        <f t="shared" si="37"/>
        <v>0.1020267635045139</v>
      </c>
      <c r="Q130">
        <f t="shared" si="38"/>
        <v>2.1983117308179114</v>
      </c>
      <c r="R130">
        <f t="shared" si="39"/>
        <v>9.9467270694448176E-2</v>
      </c>
      <c r="S130">
        <f t="shared" si="40"/>
        <v>6.2391656484798379E-2</v>
      </c>
      <c r="T130">
        <f t="shared" si="41"/>
        <v>276.11553519</v>
      </c>
      <c r="U130">
        <f t="shared" si="42"/>
        <v>25.968135265111371</v>
      </c>
      <c r="V130">
        <f t="shared" si="43"/>
        <v>25.968135265111371</v>
      </c>
      <c r="W130">
        <f t="shared" si="44"/>
        <v>3.3679013716195758</v>
      </c>
      <c r="X130">
        <f t="shared" si="45"/>
        <v>67.850193773902376</v>
      </c>
      <c r="Y130">
        <f t="shared" si="46"/>
        <v>2.0685101838593498</v>
      </c>
      <c r="Z130">
        <f t="shared" si="47"/>
        <v>3.0486430013041068</v>
      </c>
      <c r="AA130">
        <f t="shared" si="48"/>
        <v>1.299391187760226</v>
      </c>
      <c r="AB130">
        <f t="shared" si="49"/>
        <v>-59.008095735208279</v>
      </c>
      <c r="AC130">
        <f t="shared" si="50"/>
        <v>-198.17374975361182</v>
      </c>
      <c r="AD130">
        <f t="shared" si="51"/>
        <v>-19.094027731420191</v>
      </c>
      <c r="AE130">
        <f t="shared" si="52"/>
        <v>-0.16033803024026838</v>
      </c>
      <c r="AF130">
        <v>14</v>
      </c>
      <c r="AG130">
        <v>5</v>
      </c>
      <c r="AH130">
        <f t="shared" si="53"/>
        <v>1</v>
      </c>
      <c r="AI130">
        <f t="shared" si="54"/>
        <v>0</v>
      </c>
      <c r="AJ130">
        <f t="shared" si="55"/>
        <v>53038.948327389931</v>
      </c>
      <c r="AK130">
        <f t="shared" si="56"/>
        <v>1800</v>
      </c>
      <c r="AL130">
        <f t="shared" si="57"/>
        <v>1499.1139709999998</v>
      </c>
      <c r="AM130">
        <f t="shared" si="58"/>
        <v>0.83284109499999992</v>
      </c>
      <c r="AN130">
        <f t="shared" si="59"/>
        <v>0.15339751955</v>
      </c>
      <c r="AO130">
        <v>31.2</v>
      </c>
      <c r="AP130">
        <v>0.5</v>
      </c>
      <c r="AQ130" t="s">
        <v>331</v>
      </c>
      <c r="AR130">
        <v>2</v>
      </c>
      <c r="AS130">
        <v>1690307930</v>
      </c>
      <c r="AT130">
        <v>556.63099999999997</v>
      </c>
      <c r="AU130">
        <v>800.03099999999995</v>
      </c>
      <c r="AV130">
        <v>20.828499999999998</v>
      </c>
      <c r="AW130">
        <v>7.2085499999999998</v>
      </c>
      <c r="AX130">
        <v>556.51099999999997</v>
      </c>
      <c r="AY130">
        <v>20.6113</v>
      </c>
      <c r="AZ130">
        <v>300.13099999999997</v>
      </c>
      <c r="BA130">
        <v>99.211600000000004</v>
      </c>
      <c r="BB130">
        <v>9.9929100000000007E-2</v>
      </c>
      <c r="BC130">
        <v>24.295999999999999</v>
      </c>
      <c r="BD130">
        <v>26.969899999999999</v>
      </c>
      <c r="BE130">
        <v>26.169599999999999</v>
      </c>
      <c r="BF130">
        <v>0</v>
      </c>
      <c r="BG130">
        <v>0</v>
      </c>
      <c r="BH130">
        <v>10020</v>
      </c>
      <c r="BI130">
        <v>1040.52</v>
      </c>
      <c r="BJ130">
        <v>1.3427800000000001</v>
      </c>
      <c r="BK130">
        <v>-243.4</v>
      </c>
      <c r="BL130">
        <v>568.471</v>
      </c>
      <c r="BM130">
        <v>805.84</v>
      </c>
      <c r="BN130">
        <v>13.619899999999999</v>
      </c>
      <c r="BO130">
        <v>800.03099999999995</v>
      </c>
      <c r="BP130">
        <v>7.2085499999999998</v>
      </c>
      <c r="BQ130">
        <v>2.06643</v>
      </c>
      <c r="BR130">
        <v>0.71517200000000003</v>
      </c>
      <c r="BS130">
        <v>17.962700000000002</v>
      </c>
      <c r="BT130">
        <v>2.1264799999999999</v>
      </c>
      <c r="BU130">
        <v>1800</v>
      </c>
      <c r="BV130">
        <v>0.91000300000000001</v>
      </c>
      <c r="BW130">
        <v>3.3991300000000002E-2</v>
      </c>
      <c r="BX130">
        <v>2.2002000000000001E-2</v>
      </c>
      <c r="BY130">
        <v>3.4003899999999997E-2</v>
      </c>
      <c r="BZ130">
        <v>26</v>
      </c>
      <c r="CA130">
        <v>33528.400000000001</v>
      </c>
      <c r="CB130">
        <v>1690306253.5999999</v>
      </c>
      <c r="CC130" t="s">
        <v>332</v>
      </c>
      <c r="CD130">
        <v>1690306253.5999999</v>
      </c>
      <c r="CE130">
        <v>1690306251.5999999</v>
      </c>
      <c r="CF130">
        <v>9</v>
      </c>
      <c r="CG130">
        <v>0.19</v>
      </c>
      <c r="CH130">
        <v>-8.7999999999999995E-2</v>
      </c>
      <c r="CI130">
        <v>-5.0999999999999997E-2</v>
      </c>
      <c r="CJ130">
        <v>5.0999999999999997E-2</v>
      </c>
      <c r="CK130">
        <v>799</v>
      </c>
      <c r="CL130">
        <v>15</v>
      </c>
      <c r="CM130">
        <v>0.28000000000000003</v>
      </c>
      <c r="CN130">
        <v>0.03</v>
      </c>
      <c r="CO130">
        <v>-240.81245000000001</v>
      </c>
      <c r="CP130">
        <v>-14.16722701688562</v>
      </c>
      <c r="CQ130">
        <v>1.3643148087959791</v>
      </c>
      <c r="CR130">
        <v>-1</v>
      </c>
      <c r="CS130">
        <v>13.4825125</v>
      </c>
      <c r="CT130">
        <v>0.65676360225136887</v>
      </c>
      <c r="CU130">
        <v>6.5080712148454664E-2</v>
      </c>
      <c r="CV130">
        <v>-1</v>
      </c>
      <c r="CW130">
        <v>0</v>
      </c>
      <c r="CX130">
        <v>0</v>
      </c>
      <c r="CY130" t="s">
        <v>333</v>
      </c>
      <c r="CZ130">
        <v>2.36443</v>
      </c>
      <c r="DA130">
        <v>2.71374</v>
      </c>
      <c r="DB130">
        <v>0.11429</v>
      </c>
      <c r="DC130">
        <v>0.146262</v>
      </c>
      <c r="DD130">
        <v>0.102966</v>
      </c>
      <c r="DE130">
        <v>4.5801099999999997E-2</v>
      </c>
      <c r="DF130">
        <v>32349.3</v>
      </c>
      <c r="DG130">
        <v>27531.9</v>
      </c>
      <c r="DH130">
        <v>31180.5</v>
      </c>
      <c r="DI130">
        <v>28100.5</v>
      </c>
      <c r="DJ130">
        <v>37977.800000000003</v>
      </c>
      <c r="DK130">
        <v>38138.400000000001</v>
      </c>
      <c r="DL130">
        <v>44376.3</v>
      </c>
      <c r="DM130">
        <v>42599.4</v>
      </c>
      <c r="DN130">
        <v>1.43268</v>
      </c>
      <c r="DO130">
        <v>2.0377000000000001</v>
      </c>
      <c r="DP130">
        <v>0.180759</v>
      </c>
      <c r="DQ130">
        <v>0.15699099999999999</v>
      </c>
      <c r="DR130">
        <v>24.006399999999999</v>
      </c>
      <c r="DS130">
        <v>23.5932</v>
      </c>
      <c r="DT130">
        <v>45.7</v>
      </c>
      <c r="DU130">
        <v>29.3</v>
      </c>
      <c r="DV130">
        <v>18.8491</v>
      </c>
      <c r="DW130">
        <v>61.363</v>
      </c>
      <c r="DX130">
        <v>36.398200000000003</v>
      </c>
      <c r="DY130">
        <v>1</v>
      </c>
      <c r="DZ130">
        <v>-8.4369899999999998E-2</v>
      </c>
      <c r="EA130">
        <v>1.2382500000000001</v>
      </c>
      <c r="EB130">
        <v>20.1844</v>
      </c>
      <c r="EC130">
        <v>5.2404999999999999</v>
      </c>
      <c r="ED130">
        <v>12.039899999999999</v>
      </c>
      <c r="EE130">
        <v>5.0167999999999999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1.86894</v>
      </c>
      <c r="EL130">
        <v>1.86463</v>
      </c>
      <c r="EM130">
        <v>1.8692</v>
      </c>
      <c r="EN130">
        <v>1.8672599999999999</v>
      </c>
      <c r="EO130">
        <v>1.8633900000000001</v>
      </c>
      <c r="EP130">
        <v>1.86449</v>
      </c>
      <c r="EQ130">
        <v>1.8701700000000001</v>
      </c>
      <c r="ER130">
        <v>1.8694299999999999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0.12</v>
      </c>
      <c r="FG130">
        <v>0.2172</v>
      </c>
      <c r="FH130">
        <v>0.49996858830924029</v>
      </c>
      <c r="FI130">
        <v>-6.1462078757559423E-4</v>
      </c>
      <c r="FJ130">
        <v>-1.8861989874597051E-7</v>
      </c>
      <c r="FK130">
        <v>1.1980462299894961E-10</v>
      </c>
      <c r="FL130">
        <v>-3.8593581000597899E-2</v>
      </c>
      <c r="FM130">
        <v>-1.6848085045870601E-2</v>
      </c>
      <c r="FN130">
        <v>1.9789084769509481E-3</v>
      </c>
      <c r="FO130">
        <v>-2.7142391389806329E-5</v>
      </c>
      <c r="FP130">
        <v>3</v>
      </c>
      <c r="FQ130">
        <v>2158</v>
      </c>
      <c r="FR130">
        <v>1</v>
      </c>
      <c r="FS130">
        <v>19</v>
      </c>
      <c r="FT130">
        <v>27.9</v>
      </c>
      <c r="FU130">
        <v>28</v>
      </c>
      <c r="FV130">
        <v>1.7736799999999999</v>
      </c>
      <c r="FW130">
        <v>2.5891099999999998</v>
      </c>
      <c r="FX130">
        <v>1.5490699999999999</v>
      </c>
      <c r="FY130">
        <v>2.3278799999999999</v>
      </c>
      <c r="FZ130">
        <v>1.50146</v>
      </c>
      <c r="GA130">
        <v>2.3950200000000001</v>
      </c>
      <c r="GB130">
        <v>34.077100000000002</v>
      </c>
      <c r="GC130">
        <v>23.982399999999998</v>
      </c>
      <c r="GD130">
        <v>19</v>
      </c>
      <c r="GE130">
        <v>265.26499999999999</v>
      </c>
      <c r="GF130">
        <v>585.86199999999997</v>
      </c>
      <c r="GG130">
        <v>21.166899999999998</v>
      </c>
      <c r="GH130">
        <v>26.2776</v>
      </c>
      <c r="GI130">
        <v>29.999099999999999</v>
      </c>
      <c r="GJ130">
        <v>26.475999999999999</v>
      </c>
      <c r="GK130">
        <v>26.4801</v>
      </c>
      <c r="GL130">
        <v>35.462600000000002</v>
      </c>
      <c r="GM130">
        <v>59.743299999999998</v>
      </c>
      <c r="GN130">
        <v>60.1858</v>
      </c>
      <c r="GO130">
        <v>21.211400000000001</v>
      </c>
      <c r="GP130">
        <v>800</v>
      </c>
      <c r="GQ130">
        <v>7.1102800000000004</v>
      </c>
      <c r="GR130">
        <v>99.769000000000005</v>
      </c>
      <c r="GS130">
        <v>99.646600000000007</v>
      </c>
    </row>
    <row r="131" spans="1:201" x14ac:dyDescent="0.25">
      <c r="A131">
        <v>115</v>
      </c>
      <c r="B131">
        <v>1690307940</v>
      </c>
      <c r="C131">
        <v>1321.400000095367</v>
      </c>
      <c r="D131" t="s">
        <v>563</v>
      </c>
      <c r="E131" t="s">
        <v>564</v>
      </c>
      <c r="F131" t="s">
        <v>330</v>
      </c>
      <c r="H131">
        <v>1690307940</v>
      </c>
      <c r="I131">
        <f t="shared" si="30"/>
        <v>1.356103868430021E-3</v>
      </c>
      <c r="J131">
        <f t="shared" si="31"/>
        <v>1.3561038684300211</v>
      </c>
      <c r="K131">
        <f t="shared" si="32"/>
        <v>22.882897367504544</v>
      </c>
      <c r="L131">
        <f t="shared" si="33"/>
        <v>554.31500000000005</v>
      </c>
      <c r="M131">
        <f t="shared" si="34"/>
        <v>185.80427512117939</v>
      </c>
      <c r="N131">
        <f t="shared" si="35"/>
        <v>18.452297627211472</v>
      </c>
      <c r="O131">
        <f t="shared" si="36"/>
        <v>55.049246593260001</v>
      </c>
      <c r="P131">
        <f t="shared" si="37"/>
        <v>0.10380728309847113</v>
      </c>
      <c r="Q131">
        <f t="shared" si="38"/>
        <v>2.1995245478063694</v>
      </c>
      <c r="R131">
        <f t="shared" si="39"/>
        <v>0.10116034584569294</v>
      </c>
      <c r="S131">
        <f t="shared" si="40"/>
        <v>6.3457411398921956E-2</v>
      </c>
      <c r="T131">
        <f t="shared" si="41"/>
        <v>276.11550831600005</v>
      </c>
      <c r="U131">
        <f t="shared" si="42"/>
        <v>25.959966905145844</v>
      </c>
      <c r="V131">
        <f t="shared" si="43"/>
        <v>25.959966905145844</v>
      </c>
      <c r="W131">
        <f t="shared" si="44"/>
        <v>3.366273455763634</v>
      </c>
      <c r="X131">
        <f t="shared" si="45"/>
        <v>67.950409233863908</v>
      </c>
      <c r="Y131">
        <f t="shared" si="46"/>
        <v>2.0714164066319998</v>
      </c>
      <c r="Z131">
        <f t="shared" si="47"/>
        <v>3.0484237401762173</v>
      </c>
      <c r="AA131">
        <f t="shared" si="48"/>
        <v>1.2948570491316342</v>
      </c>
      <c r="AB131">
        <f t="shared" si="49"/>
        <v>-59.804180597763924</v>
      </c>
      <c r="AC131">
        <f t="shared" si="50"/>
        <v>-197.45676949680703</v>
      </c>
      <c r="AD131">
        <f t="shared" si="51"/>
        <v>-19.013558905860261</v>
      </c>
      <c r="AE131">
        <f t="shared" si="52"/>
        <v>-0.15900068443113469</v>
      </c>
      <c r="AF131">
        <v>13</v>
      </c>
      <c r="AG131">
        <v>4</v>
      </c>
      <c r="AH131">
        <f t="shared" si="53"/>
        <v>1</v>
      </c>
      <c r="AI131">
        <f t="shared" si="54"/>
        <v>0</v>
      </c>
      <c r="AJ131">
        <f t="shared" si="55"/>
        <v>53089.310689470178</v>
      </c>
      <c r="AK131">
        <f t="shared" si="56"/>
        <v>1800</v>
      </c>
      <c r="AL131">
        <f t="shared" si="57"/>
        <v>1499.1125705999998</v>
      </c>
      <c r="AM131">
        <f t="shared" si="58"/>
        <v>0.83284031699999994</v>
      </c>
      <c r="AN131">
        <f t="shared" si="59"/>
        <v>0.15339750462000001</v>
      </c>
      <c r="AO131">
        <v>31.2</v>
      </c>
      <c r="AP131">
        <v>0.5</v>
      </c>
      <c r="AQ131" t="s">
        <v>331</v>
      </c>
      <c r="AR131">
        <v>2</v>
      </c>
      <c r="AS131">
        <v>1690307940</v>
      </c>
      <c r="AT131">
        <v>554.31500000000005</v>
      </c>
      <c r="AU131">
        <v>800.11900000000003</v>
      </c>
      <c r="AV131">
        <v>20.858000000000001</v>
      </c>
      <c r="AW131">
        <v>7.0484600000000004</v>
      </c>
      <c r="AX131">
        <v>554.19399999999996</v>
      </c>
      <c r="AY131">
        <v>20.639900000000001</v>
      </c>
      <c r="AZ131">
        <v>299.995</v>
      </c>
      <c r="BA131">
        <v>99.210499999999996</v>
      </c>
      <c r="BB131">
        <v>9.9904000000000007E-2</v>
      </c>
      <c r="BC131">
        <v>24.294799999999999</v>
      </c>
      <c r="BD131">
        <v>26.963999999999999</v>
      </c>
      <c r="BE131">
        <v>26.1557</v>
      </c>
      <c r="BF131">
        <v>0</v>
      </c>
      <c r="BG131">
        <v>0</v>
      </c>
      <c r="BH131">
        <v>10030</v>
      </c>
      <c r="BI131">
        <v>1040.42</v>
      </c>
      <c r="BJ131">
        <v>1.4941599999999999</v>
      </c>
      <c r="BK131">
        <v>-245.803</v>
      </c>
      <c r="BL131">
        <v>566.12400000000002</v>
      </c>
      <c r="BM131">
        <v>805.79899999999998</v>
      </c>
      <c r="BN131">
        <v>13.8095</v>
      </c>
      <c r="BO131">
        <v>800.11900000000003</v>
      </c>
      <c r="BP131">
        <v>7.0484600000000004</v>
      </c>
      <c r="BQ131">
        <v>2.0693299999999999</v>
      </c>
      <c r="BR131">
        <v>0.69928199999999996</v>
      </c>
      <c r="BS131">
        <v>17.984999999999999</v>
      </c>
      <c r="BT131">
        <v>1.8120400000000001</v>
      </c>
      <c r="BU131">
        <v>1800</v>
      </c>
      <c r="BV131">
        <v>0.909999</v>
      </c>
      <c r="BW131">
        <v>3.39975E-2</v>
      </c>
      <c r="BX131">
        <v>2.2001099999999999E-2</v>
      </c>
      <c r="BY131">
        <v>3.4002600000000001E-2</v>
      </c>
      <c r="BZ131">
        <v>26</v>
      </c>
      <c r="CA131">
        <v>33528.5</v>
      </c>
      <c r="CB131">
        <v>1690306253.5999999</v>
      </c>
      <c r="CC131" t="s">
        <v>332</v>
      </c>
      <c r="CD131">
        <v>1690306253.5999999</v>
      </c>
      <c r="CE131">
        <v>1690306251.5999999</v>
      </c>
      <c r="CF131">
        <v>9</v>
      </c>
      <c r="CG131">
        <v>0.19</v>
      </c>
      <c r="CH131">
        <v>-8.7999999999999995E-2</v>
      </c>
      <c r="CI131">
        <v>-5.0999999999999997E-2</v>
      </c>
      <c r="CJ131">
        <v>5.0999999999999997E-2</v>
      </c>
      <c r="CK131">
        <v>799</v>
      </c>
      <c r="CL131">
        <v>15</v>
      </c>
      <c r="CM131">
        <v>0.28000000000000003</v>
      </c>
      <c r="CN131">
        <v>0.03</v>
      </c>
      <c r="CO131">
        <v>-243.1979</v>
      </c>
      <c r="CP131">
        <v>-14.52315196998045</v>
      </c>
      <c r="CQ131">
        <v>1.3976653175921609</v>
      </c>
      <c r="CR131">
        <v>-1</v>
      </c>
      <c r="CS131">
        <v>13.608135000000001</v>
      </c>
      <c r="CT131">
        <v>0.91651181988738273</v>
      </c>
      <c r="CU131">
        <v>8.8688755065115227E-2</v>
      </c>
      <c r="CV131">
        <v>-1</v>
      </c>
      <c r="CW131">
        <v>0</v>
      </c>
      <c r="CX131">
        <v>0</v>
      </c>
      <c r="CY131" t="s">
        <v>333</v>
      </c>
      <c r="CZ131">
        <v>2.3639899999999998</v>
      </c>
      <c r="DA131">
        <v>2.7137199999999999</v>
      </c>
      <c r="DB131">
        <v>0.11395</v>
      </c>
      <c r="DC131">
        <v>0.14626900000000001</v>
      </c>
      <c r="DD131">
        <v>0.10306800000000001</v>
      </c>
      <c r="DE131">
        <v>4.4984900000000001E-2</v>
      </c>
      <c r="DF131">
        <v>32361.8</v>
      </c>
      <c r="DG131">
        <v>27532.2</v>
      </c>
      <c r="DH131">
        <v>31180.5</v>
      </c>
      <c r="DI131">
        <v>28101.1</v>
      </c>
      <c r="DJ131">
        <v>37973.699999999997</v>
      </c>
      <c r="DK131">
        <v>38171.699999999997</v>
      </c>
      <c r="DL131">
        <v>44376.7</v>
      </c>
      <c r="DM131">
        <v>42600</v>
      </c>
      <c r="DN131">
        <v>1.4330499999999999</v>
      </c>
      <c r="DO131">
        <v>2.0373999999999999</v>
      </c>
      <c r="DP131">
        <v>0.18034900000000001</v>
      </c>
      <c r="DQ131">
        <v>0.156023</v>
      </c>
      <c r="DR131">
        <v>24.007300000000001</v>
      </c>
      <c r="DS131">
        <v>23.595199999999998</v>
      </c>
      <c r="DT131">
        <v>45.4</v>
      </c>
      <c r="DU131">
        <v>29.3</v>
      </c>
      <c r="DV131">
        <v>18.724</v>
      </c>
      <c r="DW131">
        <v>61.442999999999998</v>
      </c>
      <c r="DX131">
        <v>37.123399999999997</v>
      </c>
      <c r="DY131">
        <v>1</v>
      </c>
      <c r="DZ131">
        <v>-8.4972099999999995E-2</v>
      </c>
      <c r="EA131">
        <v>1.1477900000000001</v>
      </c>
      <c r="EB131">
        <v>20.185099999999998</v>
      </c>
      <c r="EC131">
        <v>5.2406499999999996</v>
      </c>
      <c r="ED131">
        <v>12.039899999999999</v>
      </c>
      <c r="EE131">
        <v>5.0167999999999999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1.8689499999999999</v>
      </c>
      <c r="EL131">
        <v>1.8646199999999999</v>
      </c>
      <c r="EM131">
        <v>1.8692</v>
      </c>
      <c r="EN131">
        <v>1.8672599999999999</v>
      </c>
      <c r="EO131">
        <v>1.8633999999999999</v>
      </c>
      <c r="EP131">
        <v>1.8644799999999999</v>
      </c>
      <c r="EQ131">
        <v>1.8701700000000001</v>
      </c>
      <c r="ER131">
        <v>1.86944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0.121</v>
      </c>
      <c r="FG131">
        <v>0.21809999999999999</v>
      </c>
      <c r="FH131">
        <v>0.49996858830924029</v>
      </c>
      <c r="FI131">
        <v>-6.1462078757559423E-4</v>
      </c>
      <c r="FJ131">
        <v>-1.8861989874597051E-7</v>
      </c>
      <c r="FK131">
        <v>1.1980462299894961E-10</v>
      </c>
      <c r="FL131">
        <v>-3.8593581000597899E-2</v>
      </c>
      <c r="FM131">
        <v>-1.6848085045870601E-2</v>
      </c>
      <c r="FN131">
        <v>1.9789084769509481E-3</v>
      </c>
      <c r="FO131">
        <v>-2.7142391389806329E-5</v>
      </c>
      <c r="FP131">
        <v>3</v>
      </c>
      <c r="FQ131">
        <v>2158</v>
      </c>
      <c r="FR131">
        <v>1</v>
      </c>
      <c r="FS131">
        <v>19</v>
      </c>
      <c r="FT131">
        <v>28.1</v>
      </c>
      <c r="FU131">
        <v>28.1</v>
      </c>
      <c r="FV131">
        <v>1.7736799999999999</v>
      </c>
      <c r="FW131">
        <v>2.5903299999999998</v>
      </c>
      <c r="FX131">
        <v>1.5490699999999999</v>
      </c>
      <c r="FY131">
        <v>2.3278799999999999</v>
      </c>
      <c r="FZ131">
        <v>1.50146</v>
      </c>
      <c r="GA131">
        <v>2.3095699999999999</v>
      </c>
      <c r="GB131">
        <v>34.077100000000002</v>
      </c>
      <c r="GC131">
        <v>23.982399999999998</v>
      </c>
      <c r="GD131">
        <v>19</v>
      </c>
      <c r="GE131">
        <v>265.39999999999998</v>
      </c>
      <c r="GF131">
        <v>585.55700000000002</v>
      </c>
      <c r="GG131">
        <v>21.236699999999999</v>
      </c>
      <c r="GH131">
        <v>26.272099999999998</v>
      </c>
      <c r="GI131">
        <v>29.999700000000001</v>
      </c>
      <c r="GJ131">
        <v>26.471499999999999</v>
      </c>
      <c r="GK131">
        <v>26.475100000000001</v>
      </c>
      <c r="GL131">
        <v>35.4557</v>
      </c>
      <c r="GM131">
        <v>60.311599999999999</v>
      </c>
      <c r="GN131">
        <v>59.807000000000002</v>
      </c>
      <c r="GO131">
        <v>21.2712</v>
      </c>
      <c r="GP131">
        <v>800</v>
      </c>
      <c r="GQ131">
        <v>6.9290200000000004</v>
      </c>
      <c r="GR131">
        <v>99.769599999999997</v>
      </c>
      <c r="GS131">
        <v>99.648300000000006</v>
      </c>
    </row>
    <row r="132" spans="1:201" x14ac:dyDescent="0.25">
      <c r="A132">
        <v>116</v>
      </c>
      <c r="B132">
        <v>1690307950</v>
      </c>
      <c r="C132">
        <v>1331.400000095367</v>
      </c>
      <c r="D132" t="s">
        <v>565</v>
      </c>
      <c r="E132" t="s">
        <v>566</v>
      </c>
      <c r="F132" t="s">
        <v>330</v>
      </c>
      <c r="H132">
        <v>1690307950</v>
      </c>
      <c r="I132">
        <f t="shared" si="30"/>
        <v>1.3764372316850005E-3</v>
      </c>
      <c r="J132">
        <f t="shared" si="31"/>
        <v>1.3764372316850004</v>
      </c>
      <c r="K132">
        <f t="shared" si="32"/>
        <v>23.091314635508365</v>
      </c>
      <c r="L132">
        <f t="shared" si="33"/>
        <v>552.20100000000002</v>
      </c>
      <c r="M132">
        <f t="shared" si="34"/>
        <v>186.10443735828832</v>
      </c>
      <c r="N132">
        <f t="shared" si="35"/>
        <v>18.481484508395337</v>
      </c>
      <c r="O132">
        <f t="shared" si="36"/>
        <v>54.837457783839895</v>
      </c>
      <c r="P132">
        <f t="shared" si="37"/>
        <v>0.10549049759677415</v>
      </c>
      <c r="Q132">
        <f t="shared" si="38"/>
        <v>2.1977159901767833</v>
      </c>
      <c r="R132">
        <f t="shared" si="39"/>
        <v>0.10275605630561133</v>
      </c>
      <c r="S132">
        <f t="shared" si="40"/>
        <v>6.4462310193204891E-2</v>
      </c>
      <c r="T132">
        <f t="shared" si="41"/>
        <v>276.11535828600006</v>
      </c>
      <c r="U132">
        <f t="shared" si="42"/>
        <v>25.966290996296458</v>
      </c>
      <c r="V132">
        <f t="shared" si="43"/>
        <v>25.966290996296458</v>
      </c>
      <c r="W132">
        <f t="shared" si="44"/>
        <v>3.3675337574037716</v>
      </c>
      <c r="X132">
        <f t="shared" si="45"/>
        <v>67.977723018386172</v>
      </c>
      <c r="Y132">
        <f t="shared" si="46"/>
        <v>2.07373995553779</v>
      </c>
      <c r="Z132">
        <f t="shared" si="47"/>
        <v>3.0506169719407907</v>
      </c>
      <c r="AA132">
        <f t="shared" si="48"/>
        <v>1.2937938018659816</v>
      </c>
      <c r="AB132">
        <f t="shared" si="49"/>
        <v>-60.700881917308521</v>
      </c>
      <c r="AC132">
        <f t="shared" si="50"/>
        <v>-196.62191058718281</v>
      </c>
      <c r="AD132">
        <f t="shared" si="51"/>
        <v>-18.950495086604118</v>
      </c>
      <c r="AE132">
        <f t="shared" si="52"/>
        <v>-0.1579293050953936</v>
      </c>
      <c r="AF132">
        <v>14</v>
      </c>
      <c r="AG132">
        <v>5</v>
      </c>
      <c r="AH132">
        <f t="shared" si="53"/>
        <v>1</v>
      </c>
      <c r="AI132">
        <f t="shared" si="54"/>
        <v>0</v>
      </c>
      <c r="AJ132">
        <f t="shared" si="55"/>
        <v>53012.288981285266</v>
      </c>
      <c r="AK132">
        <f t="shared" si="56"/>
        <v>1800</v>
      </c>
      <c r="AL132">
        <f t="shared" si="57"/>
        <v>1499.1099426000003</v>
      </c>
      <c r="AM132">
        <f t="shared" si="58"/>
        <v>0.83283885700000015</v>
      </c>
      <c r="AN132">
        <f t="shared" si="59"/>
        <v>0.15339742127000003</v>
      </c>
      <c r="AO132">
        <v>31.2</v>
      </c>
      <c r="AP132">
        <v>0.5</v>
      </c>
      <c r="AQ132" t="s">
        <v>331</v>
      </c>
      <c r="AR132">
        <v>2</v>
      </c>
      <c r="AS132">
        <v>1690307950</v>
      </c>
      <c r="AT132">
        <v>552.20100000000002</v>
      </c>
      <c r="AU132">
        <v>800.14300000000003</v>
      </c>
      <c r="AV132">
        <v>20.882100000000001</v>
      </c>
      <c r="AW132">
        <v>6.8724299999999996</v>
      </c>
      <c r="AX132">
        <v>552.07799999999997</v>
      </c>
      <c r="AY132">
        <v>20.663399999999999</v>
      </c>
      <c r="AZ132">
        <v>300.13600000000002</v>
      </c>
      <c r="BA132">
        <v>99.207099999999997</v>
      </c>
      <c r="BB132">
        <v>9.9959900000000004E-2</v>
      </c>
      <c r="BC132">
        <v>24.306799999999999</v>
      </c>
      <c r="BD132">
        <v>27.002700000000001</v>
      </c>
      <c r="BE132">
        <v>26.163399999999999</v>
      </c>
      <c r="BF132">
        <v>0</v>
      </c>
      <c r="BG132">
        <v>0</v>
      </c>
      <c r="BH132">
        <v>10015.6</v>
      </c>
      <c r="BI132">
        <v>1040.3</v>
      </c>
      <c r="BJ132">
        <v>1.62592</v>
      </c>
      <c r="BK132">
        <v>-247.941</v>
      </c>
      <c r="BL132">
        <v>563.97799999999995</v>
      </c>
      <c r="BM132">
        <v>805.68</v>
      </c>
      <c r="BN132">
        <v>14.0097</v>
      </c>
      <c r="BO132">
        <v>800.14300000000003</v>
      </c>
      <c r="BP132">
        <v>6.8724299999999996</v>
      </c>
      <c r="BQ132">
        <v>2.07165</v>
      </c>
      <c r="BR132">
        <v>0.68179400000000001</v>
      </c>
      <c r="BS132">
        <v>18.0029</v>
      </c>
      <c r="BT132">
        <v>1.4585999999999999</v>
      </c>
      <c r="BU132">
        <v>1800</v>
      </c>
      <c r="BV132">
        <v>0.90999300000000005</v>
      </c>
      <c r="BW132">
        <v>3.4004199999999998E-2</v>
      </c>
      <c r="BX132">
        <v>2.2000599999999999E-2</v>
      </c>
      <c r="BY132">
        <v>3.4001700000000003E-2</v>
      </c>
      <c r="BZ132">
        <v>26</v>
      </c>
      <c r="CA132">
        <v>33528.199999999997</v>
      </c>
      <c r="CB132">
        <v>1690306253.5999999</v>
      </c>
      <c r="CC132" t="s">
        <v>332</v>
      </c>
      <c r="CD132">
        <v>1690306253.5999999</v>
      </c>
      <c r="CE132">
        <v>1690306251.5999999</v>
      </c>
      <c r="CF132">
        <v>9</v>
      </c>
      <c r="CG132">
        <v>0.19</v>
      </c>
      <c r="CH132">
        <v>-8.7999999999999995E-2</v>
      </c>
      <c r="CI132">
        <v>-5.0999999999999997E-2</v>
      </c>
      <c r="CJ132">
        <v>5.0999999999999997E-2</v>
      </c>
      <c r="CK132">
        <v>799</v>
      </c>
      <c r="CL132">
        <v>15</v>
      </c>
      <c r="CM132">
        <v>0.28000000000000003</v>
      </c>
      <c r="CN132">
        <v>0.03</v>
      </c>
      <c r="CO132">
        <v>-245.3460731707317</v>
      </c>
      <c r="CP132">
        <v>-13.542292682927091</v>
      </c>
      <c r="CQ132">
        <v>1.3376928698913799</v>
      </c>
      <c r="CR132">
        <v>-1</v>
      </c>
      <c r="CS132">
        <v>13.77236097560975</v>
      </c>
      <c r="CT132">
        <v>1.182309407665554</v>
      </c>
      <c r="CU132">
        <v>0.11715503565590329</v>
      </c>
      <c r="CV132">
        <v>-1</v>
      </c>
      <c r="CW132">
        <v>0</v>
      </c>
      <c r="CX132">
        <v>0</v>
      </c>
      <c r="CY132" t="s">
        <v>333</v>
      </c>
      <c r="CZ132">
        <v>2.3644500000000002</v>
      </c>
      <c r="DA132">
        <v>2.7137699999999998</v>
      </c>
      <c r="DB132">
        <v>0.113636</v>
      </c>
      <c r="DC132">
        <v>0.14626500000000001</v>
      </c>
      <c r="DD132">
        <v>0.103149</v>
      </c>
      <c r="DE132">
        <v>4.4079800000000002E-2</v>
      </c>
      <c r="DF132">
        <v>32373.599999999999</v>
      </c>
      <c r="DG132">
        <v>27532.3</v>
      </c>
      <c r="DH132">
        <v>31180.9</v>
      </c>
      <c r="DI132">
        <v>28101</v>
      </c>
      <c r="DJ132">
        <v>37970.6</v>
      </c>
      <c r="DK132">
        <v>38207.9</v>
      </c>
      <c r="DL132">
        <v>44377.2</v>
      </c>
      <c r="DM132">
        <v>42600</v>
      </c>
      <c r="DN132">
        <v>1.4330700000000001</v>
      </c>
      <c r="DO132">
        <v>2.03715</v>
      </c>
      <c r="DP132">
        <v>0.18263599999999999</v>
      </c>
      <c r="DQ132">
        <v>0.156336</v>
      </c>
      <c r="DR132">
        <v>24.008500000000002</v>
      </c>
      <c r="DS132">
        <v>23.5977</v>
      </c>
      <c r="DT132">
        <v>45</v>
      </c>
      <c r="DU132">
        <v>29.3</v>
      </c>
      <c r="DV132">
        <v>18.561699999999998</v>
      </c>
      <c r="DW132">
        <v>61.313000000000002</v>
      </c>
      <c r="DX132">
        <v>35.993600000000001</v>
      </c>
      <c r="DY132">
        <v>1</v>
      </c>
      <c r="DZ132">
        <v>-8.5269300000000006E-2</v>
      </c>
      <c r="EA132">
        <v>1.17591</v>
      </c>
      <c r="EB132">
        <v>20.185099999999998</v>
      </c>
      <c r="EC132">
        <v>5.2404999999999999</v>
      </c>
      <c r="ED132">
        <v>12.039899999999999</v>
      </c>
      <c r="EE132">
        <v>5.0166500000000003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1.86893</v>
      </c>
      <c r="EL132">
        <v>1.8646400000000001</v>
      </c>
      <c r="EM132">
        <v>1.8692</v>
      </c>
      <c r="EN132">
        <v>1.8672599999999999</v>
      </c>
      <c r="EO132">
        <v>1.8633999999999999</v>
      </c>
      <c r="EP132">
        <v>1.86449</v>
      </c>
      <c r="EQ132">
        <v>1.87015</v>
      </c>
      <c r="ER132">
        <v>1.8694500000000001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0.123</v>
      </c>
      <c r="FG132">
        <v>0.21870000000000001</v>
      </c>
      <c r="FH132">
        <v>0.49996858830924029</v>
      </c>
      <c r="FI132">
        <v>-6.1462078757559423E-4</v>
      </c>
      <c r="FJ132">
        <v>-1.8861989874597051E-7</v>
      </c>
      <c r="FK132">
        <v>1.1980462299894961E-10</v>
      </c>
      <c r="FL132">
        <v>-3.8593581000597899E-2</v>
      </c>
      <c r="FM132">
        <v>-1.6848085045870601E-2</v>
      </c>
      <c r="FN132">
        <v>1.9789084769509481E-3</v>
      </c>
      <c r="FO132">
        <v>-2.7142391389806329E-5</v>
      </c>
      <c r="FP132">
        <v>3</v>
      </c>
      <c r="FQ132">
        <v>2158</v>
      </c>
      <c r="FR132">
        <v>1</v>
      </c>
      <c r="FS132">
        <v>19</v>
      </c>
      <c r="FT132">
        <v>28.3</v>
      </c>
      <c r="FU132">
        <v>28.3</v>
      </c>
      <c r="FV132">
        <v>1.7736799999999999</v>
      </c>
      <c r="FW132">
        <v>2.5964399999999999</v>
      </c>
      <c r="FX132">
        <v>1.5490699999999999</v>
      </c>
      <c r="FY132">
        <v>2.3278799999999999</v>
      </c>
      <c r="FZ132">
        <v>1.50146</v>
      </c>
      <c r="GA132">
        <v>2.32544</v>
      </c>
      <c r="GB132">
        <v>34.077100000000002</v>
      </c>
      <c r="GC132">
        <v>23.982399999999998</v>
      </c>
      <c r="GD132">
        <v>19</v>
      </c>
      <c r="GE132">
        <v>265.39</v>
      </c>
      <c r="GF132">
        <v>585.29300000000001</v>
      </c>
      <c r="GG132">
        <v>21.303000000000001</v>
      </c>
      <c r="GH132">
        <v>26.267700000000001</v>
      </c>
      <c r="GI132">
        <v>30</v>
      </c>
      <c r="GJ132">
        <v>26.4665</v>
      </c>
      <c r="GK132">
        <v>26.470199999999998</v>
      </c>
      <c r="GL132">
        <v>35.448599999999999</v>
      </c>
      <c r="GM132">
        <v>60.887599999999999</v>
      </c>
      <c r="GN132">
        <v>59.034300000000002</v>
      </c>
      <c r="GO132">
        <v>21.306799999999999</v>
      </c>
      <c r="GP132">
        <v>800</v>
      </c>
      <c r="GQ132">
        <v>6.7467100000000002</v>
      </c>
      <c r="GR132">
        <v>99.770600000000002</v>
      </c>
      <c r="GS132">
        <v>99.648200000000003</v>
      </c>
    </row>
    <row r="133" spans="1:201" x14ac:dyDescent="0.25">
      <c r="A133">
        <v>117</v>
      </c>
      <c r="B133">
        <v>1690307960</v>
      </c>
      <c r="C133">
        <v>1341.400000095367</v>
      </c>
      <c r="D133" t="s">
        <v>567</v>
      </c>
      <c r="E133" t="s">
        <v>568</v>
      </c>
      <c r="F133" t="s">
        <v>330</v>
      </c>
      <c r="H133">
        <v>1690307960</v>
      </c>
      <c r="I133">
        <f t="shared" si="30"/>
        <v>1.3950776863662835E-3</v>
      </c>
      <c r="J133">
        <f t="shared" si="31"/>
        <v>1.3950776863662835</v>
      </c>
      <c r="K133">
        <f t="shared" si="32"/>
        <v>23.288191848065253</v>
      </c>
      <c r="L133">
        <f t="shared" si="33"/>
        <v>549.96299999999997</v>
      </c>
      <c r="M133">
        <f t="shared" si="34"/>
        <v>185.61124421505613</v>
      </c>
      <c r="N133">
        <f t="shared" si="35"/>
        <v>18.43333386403221</v>
      </c>
      <c r="O133">
        <f t="shared" si="36"/>
        <v>54.617658723944992</v>
      </c>
      <c r="P133">
        <f t="shared" si="37"/>
        <v>0.10694031057649876</v>
      </c>
      <c r="Q133">
        <f t="shared" si="38"/>
        <v>2.192854553868484</v>
      </c>
      <c r="R133">
        <f t="shared" si="39"/>
        <v>0.10412521780826189</v>
      </c>
      <c r="S133">
        <f t="shared" si="40"/>
        <v>6.5325013747151772E-2</v>
      </c>
      <c r="T133">
        <f t="shared" si="41"/>
        <v>276.11534732399997</v>
      </c>
      <c r="U133">
        <f t="shared" si="42"/>
        <v>25.971091309080929</v>
      </c>
      <c r="V133">
        <f t="shared" si="43"/>
        <v>25.971091309080929</v>
      </c>
      <c r="W133">
        <f t="shared" si="44"/>
        <v>3.3684906667468191</v>
      </c>
      <c r="X133">
        <f t="shared" si="45"/>
        <v>67.966573779228924</v>
      </c>
      <c r="Y133">
        <f t="shared" si="46"/>
        <v>2.0743692695624998</v>
      </c>
      <c r="Z133">
        <f t="shared" si="47"/>
        <v>3.0520433122030379</v>
      </c>
      <c r="AA133">
        <f t="shared" si="48"/>
        <v>1.2941213971843193</v>
      </c>
      <c r="AB133">
        <f t="shared" si="49"/>
        <v>-61.5229259687531</v>
      </c>
      <c r="AC133">
        <f t="shared" si="50"/>
        <v>-195.83234845340161</v>
      </c>
      <c r="AD133">
        <f t="shared" si="51"/>
        <v>-18.917438962647918</v>
      </c>
      <c r="AE133">
        <f t="shared" si="52"/>
        <v>-0.15736606080264437</v>
      </c>
      <c r="AF133">
        <v>13</v>
      </c>
      <c r="AG133">
        <v>4</v>
      </c>
      <c r="AH133">
        <f t="shared" si="53"/>
        <v>1</v>
      </c>
      <c r="AI133">
        <f t="shared" si="54"/>
        <v>0</v>
      </c>
      <c r="AJ133">
        <f t="shared" si="55"/>
        <v>52810.242818624378</v>
      </c>
      <c r="AK133">
        <f t="shared" si="56"/>
        <v>1800</v>
      </c>
      <c r="AL133">
        <f t="shared" si="57"/>
        <v>1499.1092513999999</v>
      </c>
      <c r="AM133">
        <f t="shared" si="58"/>
        <v>0.83283847299999991</v>
      </c>
      <c r="AN133">
        <f t="shared" si="59"/>
        <v>0.15339741518</v>
      </c>
      <c r="AO133">
        <v>31.2</v>
      </c>
      <c r="AP133">
        <v>0.5</v>
      </c>
      <c r="AQ133" t="s">
        <v>331</v>
      </c>
      <c r="AR133">
        <v>2</v>
      </c>
      <c r="AS133">
        <v>1690307960</v>
      </c>
      <c r="AT133">
        <v>549.96299999999997</v>
      </c>
      <c r="AU133">
        <v>799.96699999999998</v>
      </c>
      <c r="AV133">
        <v>20.887499999999999</v>
      </c>
      <c r="AW133">
        <v>6.6915399999999998</v>
      </c>
      <c r="AX133">
        <v>549.83799999999997</v>
      </c>
      <c r="AY133">
        <v>20.668600000000001</v>
      </c>
      <c r="AZ133">
        <v>300.20699999999999</v>
      </c>
      <c r="BA133">
        <v>99.211500000000001</v>
      </c>
      <c r="BB133">
        <v>0.10001500000000001</v>
      </c>
      <c r="BC133">
        <v>24.314599999999999</v>
      </c>
      <c r="BD133">
        <v>27.0076</v>
      </c>
      <c r="BE133">
        <v>26.153600000000001</v>
      </c>
      <c r="BF133">
        <v>0</v>
      </c>
      <c r="BG133">
        <v>0</v>
      </c>
      <c r="BH133">
        <v>9975.6200000000008</v>
      </c>
      <c r="BI133">
        <v>1040.17</v>
      </c>
      <c r="BJ133">
        <v>1.62592</v>
      </c>
      <c r="BK133">
        <v>-250.00399999999999</v>
      </c>
      <c r="BL133">
        <v>561.69500000000005</v>
      </c>
      <c r="BM133">
        <v>805.35699999999997</v>
      </c>
      <c r="BN133">
        <v>14.196</v>
      </c>
      <c r="BO133">
        <v>799.96699999999998</v>
      </c>
      <c r="BP133">
        <v>6.6915399999999998</v>
      </c>
      <c r="BQ133">
        <v>2.0722800000000001</v>
      </c>
      <c r="BR133">
        <v>0.66387799999999997</v>
      </c>
      <c r="BS133">
        <v>18.0077</v>
      </c>
      <c r="BT133">
        <v>1.0880799999999999</v>
      </c>
      <c r="BU133">
        <v>1800</v>
      </c>
      <c r="BV133">
        <v>0.90999099999999999</v>
      </c>
      <c r="BW133">
        <v>3.4008099999999999E-2</v>
      </c>
      <c r="BX133">
        <v>2.1999899999999999E-2</v>
      </c>
      <c r="BY133">
        <v>3.4000599999999999E-2</v>
      </c>
      <c r="BZ133">
        <v>26</v>
      </c>
      <c r="CA133">
        <v>33528.199999999997</v>
      </c>
      <c r="CB133">
        <v>1690306253.5999999</v>
      </c>
      <c r="CC133" t="s">
        <v>332</v>
      </c>
      <c r="CD133">
        <v>1690306253.5999999</v>
      </c>
      <c r="CE133">
        <v>1690306251.5999999</v>
      </c>
      <c r="CF133">
        <v>9</v>
      </c>
      <c r="CG133">
        <v>0.19</v>
      </c>
      <c r="CH133">
        <v>-8.7999999999999995E-2</v>
      </c>
      <c r="CI133">
        <v>-5.0999999999999997E-2</v>
      </c>
      <c r="CJ133">
        <v>5.0999999999999997E-2</v>
      </c>
      <c r="CK133">
        <v>799</v>
      </c>
      <c r="CL133">
        <v>15</v>
      </c>
      <c r="CM133">
        <v>0.28000000000000003</v>
      </c>
      <c r="CN133">
        <v>0.03</v>
      </c>
      <c r="CO133">
        <v>-247.709025</v>
      </c>
      <c r="CP133">
        <v>-13.00679549718541</v>
      </c>
      <c r="CQ133">
        <v>1.254201050220817</v>
      </c>
      <c r="CR133">
        <v>-1</v>
      </c>
      <c r="CS133">
        <v>13.988495</v>
      </c>
      <c r="CT133">
        <v>1.1529118198873911</v>
      </c>
      <c r="CU133">
        <v>0.1110566520970266</v>
      </c>
      <c r="CV133">
        <v>-1</v>
      </c>
      <c r="CW133">
        <v>0</v>
      </c>
      <c r="CX133">
        <v>0</v>
      </c>
      <c r="CY133" t="s">
        <v>333</v>
      </c>
      <c r="CZ133">
        <v>2.36469</v>
      </c>
      <c r="DA133">
        <v>2.7137899999999999</v>
      </c>
      <c r="DB133">
        <v>0.113312</v>
      </c>
      <c r="DC133">
        <v>0.14624799999999999</v>
      </c>
      <c r="DD133">
        <v>0.103173</v>
      </c>
      <c r="DE133">
        <v>4.3145500000000003E-2</v>
      </c>
      <c r="DF133">
        <v>32385.8</v>
      </c>
      <c r="DG133">
        <v>27532.799999999999</v>
      </c>
      <c r="DH133">
        <v>31181.200000000001</v>
      </c>
      <c r="DI133">
        <v>28101</v>
      </c>
      <c r="DJ133">
        <v>37969.800000000003</v>
      </c>
      <c r="DK133">
        <v>38245.300000000003</v>
      </c>
      <c r="DL133">
        <v>44377.5</v>
      </c>
      <c r="DM133">
        <v>42599.9</v>
      </c>
      <c r="DN133">
        <v>1.4336800000000001</v>
      </c>
      <c r="DO133">
        <v>2.0367799999999998</v>
      </c>
      <c r="DP133">
        <v>0.18281500000000001</v>
      </c>
      <c r="DQ133">
        <v>0.15560499999999999</v>
      </c>
      <c r="DR133">
        <v>24.0105</v>
      </c>
      <c r="DS133">
        <v>23.599900000000002</v>
      </c>
      <c r="DT133">
        <v>44.8</v>
      </c>
      <c r="DU133">
        <v>29.3</v>
      </c>
      <c r="DV133">
        <v>18.476800000000001</v>
      </c>
      <c r="DW133">
        <v>61.662999999999997</v>
      </c>
      <c r="DX133">
        <v>36.081699999999998</v>
      </c>
      <c r="DY133">
        <v>1</v>
      </c>
      <c r="DZ133">
        <v>-8.4720500000000004E-2</v>
      </c>
      <c r="EA133">
        <v>1.4133</v>
      </c>
      <c r="EB133">
        <v>20.182600000000001</v>
      </c>
      <c r="EC133">
        <v>5.2401999999999997</v>
      </c>
      <c r="ED133">
        <v>12.039899999999999</v>
      </c>
      <c r="EE133">
        <v>5.0165499999999996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1.8689100000000001</v>
      </c>
      <c r="EL133">
        <v>1.8646199999999999</v>
      </c>
      <c r="EM133">
        <v>1.8692</v>
      </c>
      <c r="EN133">
        <v>1.8672599999999999</v>
      </c>
      <c r="EO133">
        <v>1.8633999999999999</v>
      </c>
      <c r="EP133">
        <v>1.8644799999999999</v>
      </c>
      <c r="EQ133">
        <v>1.87015</v>
      </c>
      <c r="ER133">
        <v>1.8694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0.125</v>
      </c>
      <c r="FG133">
        <v>0.21890000000000001</v>
      </c>
      <c r="FH133">
        <v>0.49996858830924029</v>
      </c>
      <c r="FI133">
        <v>-6.1462078757559423E-4</v>
      </c>
      <c r="FJ133">
        <v>-1.8861989874597051E-7</v>
      </c>
      <c r="FK133">
        <v>1.1980462299894961E-10</v>
      </c>
      <c r="FL133">
        <v>-3.8593581000597899E-2</v>
      </c>
      <c r="FM133">
        <v>-1.6848085045870601E-2</v>
      </c>
      <c r="FN133">
        <v>1.9789084769509481E-3</v>
      </c>
      <c r="FO133">
        <v>-2.7142391389806329E-5</v>
      </c>
      <c r="FP133">
        <v>3</v>
      </c>
      <c r="FQ133">
        <v>2158</v>
      </c>
      <c r="FR133">
        <v>1</v>
      </c>
      <c r="FS133">
        <v>19</v>
      </c>
      <c r="FT133">
        <v>28.4</v>
      </c>
      <c r="FU133">
        <v>28.5</v>
      </c>
      <c r="FV133">
        <v>1.7724599999999999</v>
      </c>
      <c r="FW133">
        <v>2.5866699999999998</v>
      </c>
      <c r="FX133">
        <v>1.5490699999999999</v>
      </c>
      <c r="FY133">
        <v>2.3278799999999999</v>
      </c>
      <c r="FZ133">
        <v>1.50146</v>
      </c>
      <c r="GA133">
        <v>2.4035600000000001</v>
      </c>
      <c r="GB133">
        <v>34.077100000000002</v>
      </c>
      <c r="GC133">
        <v>23.991199999999999</v>
      </c>
      <c r="GD133">
        <v>19</v>
      </c>
      <c r="GE133">
        <v>265.61399999999998</v>
      </c>
      <c r="GF133">
        <v>584.92600000000004</v>
      </c>
      <c r="GG133">
        <v>21.313500000000001</v>
      </c>
      <c r="GH133">
        <v>26.262699999999999</v>
      </c>
      <c r="GI133">
        <v>30.000599999999999</v>
      </c>
      <c r="GJ133">
        <v>26.461600000000001</v>
      </c>
      <c r="GK133">
        <v>26.465199999999999</v>
      </c>
      <c r="GL133">
        <v>35.4482</v>
      </c>
      <c r="GM133">
        <v>61.467300000000002</v>
      </c>
      <c r="GN133">
        <v>58.258600000000001</v>
      </c>
      <c r="GO133">
        <v>21.253799999999998</v>
      </c>
      <c r="GP133">
        <v>800</v>
      </c>
      <c r="GQ133">
        <v>6.5753700000000004</v>
      </c>
      <c r="GR133">
        <v>99.771500000000003</v>
      </c>
      <c r="GS133">
        <v>99.648099999999999</v>
      </c>
    </row>
    <row r="134" spans="1:201" x14ac:dyDescent="0.25">
      <c r="A134">
        <v>118</v>
      </c>
      <c r="B134">
        <v>1690307970</v>
      </c>
      <c r="C134">
        <v>1351.400000095367</v>
      </c>
      <c r="D134" t="s">
        <v>569</v>
      </c>
      <c r="E134" t="s">
        <v>570</v>
      </c>
      <c r="F134" t="s">
        <v>330</v>
      </c>
      <c r="H134">
        <v>1690307970</v>
      </c>
      <c r="I134">
        <f t="shared" si="30"/>
        <v>1.4078405513045663E-3</v>
      </c>
      <c r="J134">
        <f t="shared" si="31"/>
        <v>1.4078405513045662</v>
      </c>
      <c r="K134">
        <f t="shared" si="32"/>
        <v>23.48494977386413</v>
      </c>
      <c r="L134">
        <f t="shared" si="33"/>
        <v>547.77200000000005</v>
      </c>
      <c r="M134">
        <f t="shared" si="34"/>
        <v>184.02846536201599</v>
      </c>
      <c r="N134">
        <f t="shared" si="35"/>
        <v>18.276090121630297</v>
      </c>
      <c r="O134">
        <f t="shared" si="36"/>
        <v>54.399901767436006</v>
      </c>
      <c r="P134">
        <f t="shared" si="37"/>
        <v>0.10803368319406503</v>
      </c>
      <c r="Q134">
        <f t="shared" si="38"/>
        <v>2.1973862324499578</v>
      </c>
      <c r="R134">
        <f t="shared" si="39"/>
        <v>0.10516731877652929</v>
      </c>
      <c r="S134">
        <f t="shared" si="40"/>
        <v>6.5980771268004321E-2</v>
      </c>
      <c r="T134">
        <f t="shared" si="41"/>
        <v>276.11540353800001</v>
      </c>
      <c r="U134">
        <f t="shared" si="42"/>
        <v>25.960142183291566</v>
      </c>
      <c r="V134">
        <f t="shared" si="43"/>
        <v>25.960142183291566</v>
      </c>
      <c r="W134">
        <f t="shared" si="44"/>
        <v>3.3663083806596972</v>
      </c>
      <c r="X134">
        <f t="shared" si="45"/>
        <v>67.944823796860035</v>
      </c>
      <c r="Y134">
        <f t="shared" si="46"/>
        <v>2.0732705381945</v>
      </c>
      <c r="Z134">
        <f t="shared" si="47"/>
        <v>3.0514032156343793</v>
      </c>
      <c r="AA134">
        <f t="shared" si="48"/>
        <v>1.2930378424651972</v>
      </c>
      <c r="AB134">
        <f t="shared" si="49"/>
        <v>-62.085768312531371</v>
      </c>
      <c r="AC134">
        <f t="shared" si="50"/>
        <v>-195.35458460793598</v>
      </c>
      <c r="AD134">
        <f t="shared" si="51"/>
        <v>-18.830998264863791</v>
      </c>
      <c r="AE134">
        <f t="shared" si="52"/>
        <v>-0.1559476473311463</v>
      </c>
      <c r="AF134">
        <v>13</v>
      </c>
      <c r="AG134">
        <v>4</v>
      </c>
      <c r="AH134">
        <f t="shared" si="53"/>
        <v>1</v>
      </c>
      <c r="AI134">
        <f t="shared" si="54"/>
        <v>0</v>
      </c>
      <c r="AJ134">
        <f t="shared" si="55"/>
        <v>52997.980568552965</v>
      </c>
      <c r="AK134">
        <f t="shared" si="56"/>
        <v>1800</v>
      </c>
      <c r="AL134">
        <f t="shared" si="57"/>
        <v>1499.1104988</v>
      </c>
      <c r="AM134">
        <f t="shared" si="58"/>
        <v>0.83283916599999996</v>
      </c>
      <c r="AN134">
        <f t="shared" si="59"/>
        <v>0.15339744641</v>
      </c>
      <c r="AO134">
        <v>31.2</v>
      </c>
      <c r="AP134">
        <v>0.5</v>
      </c>
      <c r="AQ134" t="s">
        <v>331</v>
      </c>
      <c r="AR134">
        <v>2</v>
      </c>
      <c r="AS134">
        <v>1690307970</v>
      </c>
      <c r="AT134">
        <v>547.77200000000005</v>
      </c>
      <c r="AU134">
        <v>800.05</v>
      </c>
      <c r="AV134">
        <v>20.8765</v>
      </c>
      <c r="AW134">
        <v>6.5398100000000001</v>
      </c>
      <c r="AX134">
        <v>547.64599999999996</v>
      </c>
      <c r="AY134">
        <v>20.657900000000001</v>
      </c>
      <c r="AZ134">
        <v>299.983</v>
      </c>
      <c r="BA134">
        <v>99.211200000000005</v>
      </c>
      <c r="BB134">
        <v>0.100013</v>
      </c>
      <c r="BC134">
        <v>24.3111</v>
      </c>
      <c r="BD134">
        <v>27.023499999999999</v>
      </c>
      <c r="BE134">
        <v>26.147200000000002</v>
      </c>
      <c r="BF134">
        <v>0</v>
      </c>
      <c r="BG134">
        <v>0</v>
      </c>
      <c r="BH134">
        <v>10012.5</v>
      </c>
      <c r="BI134">
        <v>1040.18</v>
      </c>
      <c r="BJ134">
        <v>1.62592</v>
      </c>
      <c r="BK134">
        <v>-252.27799999999999</v>
      </c>
      <c r="BL134">
        <v>559.45100000000002</v>
      </c>
      <c r="BM134">
        <v>805.31600000000003</v>
      </c>
      <c r="BN134">
        <v>14.3367</v>
      </c>
      <c r="BO134">
        <v>800.05</v>
      </c>
      <c r="BP134">
        <v>6.5398100000000001</v>
      </c>
      <c r="BQ134">
        <v>2.07118</v>
      </c>
      <c r="BR134">
        <v>0.64882200000000001</v>
      </c>
      <c r="BS134">
        <v>17.999300000000002</v>
      </c>
      <c r="BT134">
        <v>0.76979399999999998</v>
      </c>
      <c r="BU134">
        <v>1800</v>
      </c>
      <c r="BV134">
        <v>0.90999399999999997</v>
      </c>
      <c r="BW134">
        <v>3.4007200000000001E-2</v>
      </c>
      <c r="BX134">
        <v>2.1999299999999999E-2</v>
      </c>
      <c r="BY134">
        <v>3.3999700000000001E-2</v>
      </c>
      <c r="BZ134">
        <v>26</v>
      </c>
      <c r="CA134">
        <v>33528.199999999997</v>
      </c>
      <c r="CB134">
        <v>1690306253.5999999</v>
      </c>
      <c r="CC134" t="s">
        <v>332</v>
      </c>
      <c r="CD134">
        <v>1690306253.5999999</v>
      </c>
      <c r="CE134">
        <v>1690306251.5999999</v>
      </c>
      <c r="CF134">
        <v>9</v>
      </c>
      <c r="CG134">
        <v>0.19</v>
      </c>
      <c r="CH134">
        <v>-8.7999999999999995E-2</v>
      </c>
      <c r="CI134">
        <v>-5.0999999999999997E-2</v>
      </c>
      <c r="CJ134">
        <v>5.0999999999999997E-2</v>
      </c>
      <c r="CK134">
        <v>799</v>
      </c>
      <c r="CL134">
        <v>15</v>
      </c>
      <c r="CM134">
        <v>0.28000000000000003</v>
      </c>
      <c r="CN134">
        <v>0.03</v>
      </c>
      <c r="CO134">
        <v>-249.87582499999999</v>
      </c>
      <c r="CP134">
        <v>-13.19620637898619</v>
      </c>
      <c r="CQ134">
        <v>1.271119524031868</v>
      </c>
      <c r="CR134">
        <v>-1</v>
      </c>
      <c r="CS134">
        <v>14.17234</v>
      </c>
      <c r="CT134">
        <v>1.001241275797373</v>
      </c>
      <c r="CU134">
        <v>9.6723321386312927E-2</v>
      </c>
      <c r="CV134">
        <v>-1</v>
      </c>
      <c r="CW134">
        <v>0</v>
      </c>
      <c r="CX134">
        <v>0</v>
      </c>
      <c r="CY134" t="s">
        <v>333</v>
      </c>
      <c r="CZ134">
        <v>2.3639600000000001</v>
      </c>
      <c r="DA134">
        <v>2.7138100000000001</v>
      </c>
      <c r="DB134">
        <v>0.11298900000000001</v>
      </c>
      <c r="DC134">
        <v>0.146256</v>
      </c>
      <c r="DD134">
        <v>0.10313600000000001</v>
      </c>
      <c r="DE134">
        <v>4.2354099999999999E-2</v>
      </c>
      <c r="DF134">
        <v>32397.200000000001</v>
      </c>
      <c r="DG134">
        <v>27532.9</v>
      </c>
      <c r="DH134">
        <v>31180.799999999999</v>
      </c>
      <c r="DI134">
        <v>28101.3</v>
      </c>
      <c r="DJ134">
        <v>37971.1</v>
      </c>
      <c r="DK134">
        <v>38277.599999999999</v>
      </c>
      <c r="DL134">
        <v>44377.2</v>
      </c>
      <c r="DM134">
        <v>42600.6</v>
      </c>
      <c r="DN134">
        <v>1.4331499999999999</v>
      </c>
      <c r="DO134">
        <v>2.03647</v>
      </c>
      <c r="DP134">
        <v>0.18366399999999999</v>
      </c>
      <c r="DQ134">
        <v>0.15509899999999999</v>
      </c>
      <c r="DR134">
        <v>24.012499999999999</v>
      </c>
      <c r="DS134">
        <v>23.601900000000001</v>
      </c>
      <c r="DT134">
        <v>44.5</v>
      </c>
      <c r="DU134">
        <v>29.3</v>
      </c>
      <c r="DV134">
        <v>18.355699999999999</v>
      </c>
      <c r="DW134">
        <v>61.203000000000003</v>
      </c>
      <c r="DX134">
        <v>37.1995</v>
      </c>
      <c r="DY134">
        <v>1</v>
      </c>
      <c r="DZ134">
        <v>-8.5223599999999997E-2</v>
      </c>
      <c r="EA134">
        <v>1.4682500000000001</v>
      </c>
      <c r="EB134">
        <v>20.182099999999998</v>
      </c>
      <c r="EC134">
        <v>5.2398999999999996</v>
      </c>
      <c r="ED134">
        <v>12.039899999999999</v>
      </c>
      <c r="EE134">
        <v>5.016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1.8689100000000001</v>
      </c>
      <c r="EL134">
        <v>1.8646199999999999</v>
      </c>
      <c r="EM134">
        <v>1.8692</v>
      </c>
      <c r="EN134">
        <v>1.8672599999999999</v>
      </c>
      <c r="EO134">
        <v>1.8633999999999999</v>
      </c>
      <c r="EP134">
        <v>1.8644700000000001</v>
      </c>
      <c r="EQ134">
        <v>1.87018</v>
      </c>
      <c r="ER134">
        <v>1.8694200000000001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0.126</v>
      </c>
      <c r="FG134">
        <v>0.21859999999999999</v>
      </c>
      <c r="FH134">
        <v>0.49996858830924029</v>
      </c>
      <c r="FI134">
        <v>-6.1462078757559423E-4</v>
      </c>
      <c r="FJ134">
        <v>-1.8861989874597051E-7</v>
      </c>
      <c r="FK134">
        <v>1.1980462299894961E-10</v>
      </c>
      <c r="FL134">
        <v>-3.8593581000597899E-2</v>
      </c>
      <c r="FM134">
        <v>-1.6848085045870601E-2</v>
      </c>
      <c r="FN134">
        <v>1.9789084769509481E-3</v>
      </c>
      <c r="FO134">
        <v>-2.7142391389806329E-5</v>
      </c>
      <c r="FP134">
        <v>3</v>
      </c>
      <c r="FQ134">
        <v>2158</v>
      </c>
      <c r="FR134">
        <v>1</v>
      </c>
      <c r="FS134">
        <v>19</v>
      </c>
      <c r="FT134">
        <v>28.6</v>
      </c>
      <c r="FU134">
        <v>28.6</v>
      </c>
      <c r="FV134">
        <v>1.7724599999999999</v>
      </c>
      <c r="FW134">
        <v>2.5878899999999998</v>
      </c>
      <c r="FX134">
        <v>1.5490699999999999</v>
      </c>
      <c r="FY134">
        <v>2.3278799999999999</v>
      </c>
      <c r="FZ134">
        <v>1.50146</v>
      </c>
      <c r="GA134">
        <v>2.32544</v>
      </c>
      <c r="GB134">
        <v>34.077100000000002</v>
      </c>
      <c r="GC134">
        <v>23.982399999999998</v>
      </c>
      <c r="GD134">
        <v>19</v>
      </c>
      <c r="GE134">
        <v>265.38200000000001</v>
      </c>
      <c r="GF134">
        <v>584.62800000000004</v>
      </c>
      <c r="GG134">
        <v>21.241199999999999</v>
      </c>
      <c r="GH134">
        <v>26.258299999999998</v>
      </c>
      <c r="GI134">
        <v>30</v>
      </c>
      <c r="GJ134">
        <v>26.457100000000001</v>
      </c>
      <c r="GK134">
        <v>26.460799999999999</v>
      </c>
      <c r="GL134">
        <v>35.441200000000002</v>
      </c>
      <c r="GM134">
        <v>62.034399999999998</v>
      </c>
      <c r="GN134">
        <v>57.484299999999998</v>
      </c>
      <c r="GO134">
        <v>21.223299999999998</v>
      </c>
      <c r="GP134">
        <v>800</v>
      </c>
      <c r="GQ134">
        <v>6.4208499999999997</v>
      </c>
      <c r="GR134">
        <v>99.770499999999998</v>
      </c>
      <c r="GS134">
        <v>99.649600000000007</v>
      </c>
    </row>
    <row r="135" spans="1:201" x14ac:dyDescent="0.25">
      <c r="A135">
        <v>119</v>
      </c>
      <c r="B135">
        <v>1690307980</v>
      </c>
      <c r="C135">
        <v>1361.400000095367</v>
      </c>
      <c r="D135" t="s">
        <v>571</v>
      </c>
      <c r="E135" t="s">
        <v>572</v>
      </c>
      <c r="F135" t="s">
        <v>330</v>
      </c>
      <c r="H135">
        <v>1690307980</v>
      </c>
      <c r="I135">
        <f t="shared" si="30"/>
        <v>1.4226638014509967E-3</v>
      </c>
      <c r="J135">
        <f t="shared" si="31"/>
        <v>1.4226638014509967</v>
      </c>
      <c r="K135">
        <f t="shared" si="32"/>
        <v>23.692396004487726</v>
      </c>
      <c r="L135">
        <f t="shared" si="33"/>
        <v>545.66099999999994</v>
      </c>
      <c r="M135">
        <f t="shared" si="34"/>
        <v>182.66407219926975</v>
      </c>
      <c r="N135">
        <f t="shared" si="35"/>
        <v>18.140322613435142</v>
      </c>
      <c r="O135">
        <f t="shared" si="36"/>
        <v>54.189455312105991</v>
      </c>
      <c r="P135">
        <f t="shared" si="37"/>
        <v>0.10922858791739981</v>
      </c>
      <c r="Q135">
        <f t="shared" si="38"/>
        <v>2.2007400065340859</v>
      </c>
      <c r="R135">
        <f t="shared" si="39"/>
        <v>0.10630372698361548</v>
      </c>
      <c r="S135">
        <f t="shared" si="40"/>
        <v>6.6696093019640634E-2</v>
      </c>
      <c r="T135">
        <f t="shared" si="41"/>
        <v>276.11526690000005</v>
      </c>
      <c r="U135">
        <f t="shared" si="42"/>
        <v>25.949322505134553</v>
      </c>
      <c r="V135">
        <f t="shared" si="43"/>
        <v>25.949322505134553</v>
      </c>
      <c r="W135">
        <f t="shared" si="44"/>
        <v>3.3641531080932352</v>
      </c>
      <c r="X135">
        <f t="shared" si="45"/>
        <v>67.899804323793035</v>
      </c>
      <c r="Y135">
        <f t="shared" si="46"/>
        <v>2.0714622679155998</v>
      </c>
      <c r="Z135">
        <f t="shared" si="47"/>
        <v>3.0507632364261918</v>
      </c>
      <c r="AA135">
        <f t="shared" si="48"/>
        <v>1.2926908401776354</v>
      </c>
      <c r="AB135">
        <f t="shared" si="49"/>
        <v>-62.739473643988958</v>
      </c>
      <c r="AC135">
        <f t="shared" si="50"/>
        <v>-194.78429303364885</v>
      </c>
      <c r="AD135">
        <f t="shared" si="51"/>
        <v>-18.746060351556149</v>
      </c>
      <c r="AE135">
        <f t="shared" si="52"/>
        <v>-0.1545601291938965</v>
      </c>
      <c r="AF135">
        <v>13</v>
      </c>
      <c r="AG135">
        <v>4</v>
      </c>
      <c r="AH135">
        <f t="shared" si="53"/>
        <v>1</v>
      </c>
      <c r="AI135">
        <f t="shared" si="54"/>
        <v>0</v>
      </c>
      <c r="AJ135">
        <f t="shared" si="55"/>
        <v>53137.315904969444</v>
      </c>
      <c r="AK135">
        <f t="shared" si="56"/>
        <v>1800</v>
      </c>
      <c r="AL135">
        <f t="shared" si="57"/>
        <v>1499.1102359999998</v>
      </c>
      <c r="AM135">
        <f t="shared" si="58"/>
        <v>0.83283901999999987</v>
      </c>
      <c r="AN135">
        <f t="shared" si="59"/>
        <v>0.15339737050000002</v>
      </c>
      <c r="AO135">
        <v>31.2</v>
      </c>
      <c r="AP135">
        <v>0.5</v>
      </c>
      <c r="AQ135" t="s">
        <v>331</v>
      </c>
      <c r="AR135">
        <v>2</v>
      </c>
      <c r="AS135">
        <v>1690307980</v>
      </c>
      <c r="AT135">
        <v>545.66099999999994</v>
      </c>
      <c r="AU135">
        <v>799.98699999999997</v>
      </c>
      <c r="AV135">
        <v>20.858599999999999</v>
      </c>
      <c r="AW135">
        <v>6.3799599999999996</v>
      </c>
      <c r="AX135">
        <v>545.53300000000002</v>
      </c>
      <c r="AY135">
        <v>20.640599999999999</v>
      </c>
      <c r="AZ135">
        <v>300.17500000000001</v>
      </c>
      <c r="BA135">
        <v>99.209699999999998</v>
      </c>
      <c r="BB135">
        <v>0.100046</v>
      </c>
      <c r="BC135">
        <v>24.307600000000001</v>
      </c>
      <c r="BD135">
        <v>26.999500000000001</v>
      </c>
      <c r="BE135">
        <v>26.1539</v>
      </c>
      <c r="BF135">
        <v>0</v>
      </c>
      <c r="BG135">
        <v>0</v>
      </c>
      <c r="BH135">
        <v>10040</v>
      </c>
      <c r="BI135">
        <v>1040.0899999999999</v>
      </c>
      <c r="BJ135">
        <v>1.62592</v>
      </c>
      <c r="BK135">
        <v>-254.32599999999999</v>
      </c>
      <c r="BL135">
        <v>557.28499999999997</v>
      </c>
      <c r="BM135">
        <v>805.12400000000002</v>
      </c>
      <c r="BN135">
        <v>14.4787</v>
      </c>
      <c r="BO135">
        <v>799.98699999999997</v>
      </c>
      <c r="BP135">
        <v>6.3799599999999996</v>
      </c>
      <c r="BQ135">
        <v>2.0693800000000002</v>
      </c>
      <c r="BR135">
        <v>0.63295400000000002</v>
      </c>
      <c r="BS135">
        <v>17.985399999999998</v>
      </c>
      <c r="BT135">
        <v>0.42719499999999999</v>
      </c>
      <c r="BU135">
        <v>1800</v>
      </c>
      <c r="BV135">
        <v>0.909995</v>
      </c>
      <c r="BW135">
        <v>3.4006700000000001E-2</v>
      </c>
      <c r="BX135">
        <v>2.1999000000000001E-2</v>
      </c>
      <c r="BY135">
        <v>3.39992E-2</v>
      </c>
      <c r="BZ135">
        <v>26</v>
      </c>
      <c r="CA135">
        <v>33528.400000000001</v>
      </c>
      <c r="CB135">
        <v>1690306253.5999999</v>
      </c>
      <c r="CC135" t="s">
        <v>332</v>
      </c>
      <c r="CD135">
        <v>1690306253.5999999</v>
      </c>
      <c r="CE135">
        <v>1690306251.5999999</v>
      </c>
      <c r="CF135">
        <v>9</v>
      </c>
      <c r="CG135">
        <v>0.19</v>
      </c>
      <c r="CH135">
        <v>-8.7999999999999995E-2</v>
      </c>
      <c r="CI135">
        <v>-5.0999999999999997E-2</v>
      </c>
      <c r="CJ135">
        <v>5.0999999999999997E-2</v>
      </c>
      <c r="CK135">
        <v>799</v>
      </c>
      <c r="CL135">
        <v>15</v>
      </c>
      <c r="CM135">
        <v>0.28000000000000003</v>
      </c>
      <c r="CN135">
        <v>0.03</v>
      </c>
      <c r="CO135">
        <v>-251.89426829268291</v>
      </c>
      <c r="CP135">
        <v>-13.105860627177501</v>
      </c>
      <c r="CQ135">
        <v>1.292877788810499</v>
      </c>
      <c r="CR135">
        <v>-1</v>
      </c>
      <c r="CS135">
        <v>14.3181756097561</v>
      </c>
      <c r="CT135">
        <v>0.84865505226479854</v>
      </c>
      <c r="CU135">
        <v>8.3971547970313379E-2</v>
      </c>
      <c r="CV135">
        <v>-1</v>
      </c>
      <c r="CW135">
        <v>0</v>
      </c>
      <c r="CX135">
        <v>0</v>
      </c>
      <c r="CY135" t="s">
        <v>333</v>
      </c>
      <c r="CZ135">
        <v>2.3645999999999998</v>
      </c>
      <c r="DA135">
        <v>2.71387</v>
      </c>
      <c r="DB135">
        <v>0.112675</v>
      </c>
      <c r="DC135">
        <v>0.14624500000000001</v>
      </c>
      <c r="DD135">
        <v>0.103074</v>
      </c>
      <c r="DE135">
        <v>4.1513700000000001E-2</v>
      </c>
      <c r="DF135">
        <v>32409</v>
      </c>
      <c r="DG135">
        <v>27533.599999999999</v>
      </c>
      <c r="DH135">
        <v>31181.1</v>
      </c>
      <c r="DI135">
        <v>28101.7</v>
      </c>
      <c r="DJ135">
        <v>37974</v>
      </c>
      <c r="DK135">
        <v>38311.699999999997</v>
      </c>
      <c r="DL135">
        <v>44377.599999999999</v>
      </c>
      <c r="DM135">
        <v>42601.1</v>
      </c>
      <c r="DN135">
        <v>1.4338299999999999</v>
      </c>
      <c r="DO135">
        <v>2.0364300000000002</v>
      </c>
      <c r="DP135">
        <v>0.182196</v>
      </c>
      <c r="DQ135">
        <v>0.15550900000000001</v>
      </c>
      <c r="DR135">
        <v>24.012499999999999</v>
      </c>
      <c r="DS135">
        <v>23.601900000000001</v>
      </c>
      <c r="DT135">
        <v>44.2</v>
      </c>
      <c r="DU135">
        <v>29.3</v>
      </c>
      <c r="DV135">
        <v>18.233499999999999</v>
      </c>
      <c r="DW135">
        <v>61.372999999999998</v>
      </c>
      <c r="DX135">
        <v>36.021599999999999</v>
      </c>
      <c r="DY135">
        <v>1</v>
      </c>
      <c r="DZ135">
        <v>-8.5993399999999998E-2</v>
      </c>
      <c r="EA135">
        <v>1.4647300000000001</v>
      </c>
      <c r="EB135">
        <v>20.181999999999999</v>
      </c>
      <c r="EC135">
        <v>5.2403500000000003</v>
      </c>
      <c r="ED135">
        <v>12.039899999999999</v>
      </c>
      <c r="EE135">
        <v>5.01675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1.8689100000000001</v>
      </c>
      <c r="EL135">
        <v>1.86463</v>
      </c>
      <c r="EM135">
        <v>1.8692</v>
      </c>
      <c r="EN135">
        <v>1.8672500000000001</v>
      </c>
      <c r="EO135">
        <v>1.8633999999999999</v>
      </c>
      <c r="EP135">
        <v>1.8644700000000001</v>
      </c>
      <c r="EQ135">
        <v>1.87016</v>
      </c>
      <c r="ER135">
        <v>1.8694299999999999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0.128</v>
      </c>
      <c r="FG135">
        <v>0.218</v>
      </c>
      <c r="FH135">
        <v>0.49996858830924029</v>
      </c>
      <c r="FI135">
        <v>-6.1462078757559423E-4</v>
      </c>
      <c r="FJ135">
        <v>-1.8861989874597051E-7</v>
      </c>
      <c r="FK135">
        <v>1.1980462299894961E-10</v>
      </c>
      <c r="FL135">
        <v>-3.8593581000597899E-2</v>
      </c>
      <c r="FM135">
        <v>-1.6848085045870601E-2</v>
      </c>
      <c r="FN135">
        <v>1.9789084769509481E-3</v>
      </c>
      <c r="FO135">
        <v>-2.7142391389806329E-5</v>
      </c>
      <c r="FP135">
        <v>3</v>
      </c>
      <c r="FQ135">
        <v>2158</v>
      </c>
      <c r="FR135">
        <v>1</v>
      </c>
      <c r="FS135">
        <v>19</v>
      </c>
      <c r="FT135">
        <v>28.8</v>
      </c>
      <c r="FU135">
        <v>28.8</v>
      </c>
      <c r="FV135">
        <v>1.7724599999999999</v>
      </c>
      <c r="FW135">
        <v>2.5952099999999998</v>
      </c>
      <c r="FX135">
        <v>1.5490699999999999</v>
      </c>
      <c r="FY135">
        <v>2.3278799999999999</v>
      </c>
      <c r="FZ135">
        <v>1.50146</v>
      </c>
      <c r="GA135">
        <v>2.323</v>
      </c>
      <c r="GB135">
        <v>34.077100000000002</v>
      </c>
      <c r="GC135">
        <v>23.973700000000001</v>
      </c>
      <c r="GD135">
        <v>19</v>
      </c>
      <c r="GE135">
        <v>265.63799999999998</v>
      </c>
      <c r="GF135">
        <v>584.53599999999994</v>
      </c>
      <c r="GG135">
        <v>21.1937</v>
      </c>
      <c r="GH135">
        <v>26.253799999999998</v>
      </c>
      <c r="GI135">
        <v>29.9999</v>
      </c>
      <c r="GJ135">
        <v>26.452400000000001</v>
      </c>
      <c r="GK135">
        <v>26.456299999999999</v>
      </c>
      <c r="GL135">
        <v>35.4373</v>
      </c>
      <c r="GM135">
        <v>62.619</v>
      </c>
      <c r="GN135">
        <v>56.7012</v>
      </c>
      <c r="GO135">
        <v>21.191800000000001</v>
      </c>
      <c r="GP135">
        <v>800</v>
      </c>
      <c r="GQ135">
        <v>6.2653499999999998</v>
      </c>
      <c r="GR135">
        <v>99.7714</v>
      </c>
      <c r="GS135">
        <v>99.650700000000001</v>
      </c>
    </row>
    <row r="136" spans="1:201" x14ac:dyDescent="0.25">
      <c r="A136">
        <v>120</v>
      </c>
      <c r="B136">
        <v>1690307990</v>
      </c>
      <c r="C136">
        <v>1371.400000095367</v>
      </c>
      <c r="D136" t="s">
        <v>573</v>
      </c>
      <c r="E136" t="s">
        <v>574</v>
      </c>
      <c r="F136" t="s">
        <v>330</v>
      </c>
      <c r="H136">
        <v>1690307990</v>
      </c>
      <c r="I136">
        <f t="shared" si="30"/>
        <v>1.437109101405197E-3</v>
      </c>
      <c r="J136">
        <f t="shared" si="31"/>
        <v>1.4371091014051969</v>
      </c>
      <c r="K136">
        <f t="shared" si="32"/>
        <v>23.885967827958797</v>
      </c>
      <c r="L136">
        <f t="shared" si="33"/>
        <v>543.58500000000004</v>
      </c>
      <c r="M136">
        <f t="shared" si="34"/>
        <v>181.53916263879492</v>
      </c>
      <c r="N136">
        <f t="shared" si="35"/>
        <v>18.029220099228667</v>
      </c>
      <c r="O136">
        <f t="shared" si="36"/>
        <v>53.985120704444995</v>
      </c>
      <c r="P136">
        <f t="shared" si="37"/>
        <v>0.11043786746563802</v>
      </c>
      <c r="Q136">
        <f t="shared" si="38"/>
        <v>2.1962551743830163</v>
      </c>
      <c r="R136">
        <f t="shared" si="39"/>
        <v>0.10744291403918206</v>
      </c>
      <c r="S136">
        <f t="shared" si="40"/>
        <v>6.741414090751438E-2</v>
      </c>
      <c r="T136">
        <f t="shared" si="41"/>
        <v>276.11533272599996</v>
      </c>
      <c r="U136">
        <f t="shared" si="42"/>
        <v>25.941580815430132</v>
      </c>
      <c r="V136">
        <f t="shared" si="43"/>
        <v>25.941580815430132</v>
      </c>
      <c r="W136">
        <f t="shared" si="44"/>
        <v>3.3626117085466047</v>
      </c>
      <c r="X136">
        <f t="shared" si="45"/>
        <v>67.894861063754348</v>
      </c>
      <c r="Y136">
        <f t="shared" si="46"/>
        <v>2.0705791763329997</v>
      </c>
      <c r="Z136">
        <f t="shared" si="47"/>
        <v>3.0496846799475636</v>
      </c>
      <c r="AA136">
        <f t="shared" si="48"/>
        <v>1.292032532213605</v>
      </c>
      <c r="AB136">
        <f t="shared" si="49"/>
        <v>-63.376511371969187</v>
      </c>
      <c r="AC136">
        <f t="shared" si="50"/>
        <v>-194.169282706122</v>
      </c>
      <c r="AD136">
        <f t="shared" si="51"/>
        <v>-18.723745453881673</v>
      </c>
      <c r="AE136">
        <f t="shared" si="52"/>
        <v>-0.1542068059729047</v>
      </c>
      <c r="AF136">
        <v>13</v>
      </c>
      <c r="AG136">
        <v>4</v>
      </c>
      <c r="AH136">
        <f t="shared" si="53"/>
        <v>1</v>
      </c>
      <c r="AI136">
        <f t="shared" si="54"/>
        <v>0</v>
      </c>
      <c r="AJ136">
        <f t="shared" si="55"/>
        <v>52952.95499198672</v>
      </c>
      <c r="AK136">
        <f t="shared" si="56"/>
        <v>1800</v>
      </c>
      <c r="AL136">
        <f t="shared" si="57"/>
        <v>1499.1112025999998</v>
      </c>
      <c r="AM136">
        <f t="shared" si="58"/>
        <v>0.8328395569999999</v>
      </c>
      <c r="AN136">
        <f t="shared" si="59"/>
        <v>0.15339740706999996</v>
      </c>
      <c r="AO136">
        <v>31.2</v>
      </c>
      <c r="AP136">
        <v>0.5</v>
      </c>
      <c r="AQ136" t="s">
        <v>331</v>
      </c>
      <c r="AR136">
        <v>2</v>
      </c>
      <c r="AS136">
        <v>1690307990</v>
      </c>
      <c r="AT136">
        <v>543.58500000000004</v>
      </c>
      <c r="AU136">
        <v>799.94399999999996</v>
      </c>
      <c r="AV136">
        <v>20.849</v>
      </c>
      <c r="AW136">
        <v>6.2249100000000004</v>
      </c>
      <c r="AX136">
        <v>543.45500000000004</v>
      </c>
      <c r="AY136">
        <v>20.6312</v>
      </c>
      <c r="AZ136">
        <v>300.20999999999998</v>
      </c>
      <c r="BA136">
        <v>99.213099999999997</v>
      </c>
      <c r="BB136">
        <v>0.10001699999999999</v>
      </c>
      <c r="BC136">
        <v>24.3017</v>
      </c>
      <c r="BD136">
        <v>27.032299999999999</v>
      </c>
      <c r="BE136">
        <v>26.1327</v>
      </c>
      <c r="BF136">
        <v>0</v>
      </c>
      <c r="BG136">
        <v>0</v>
      </c>
      <c r="BH136">
        <v>10003.1</v>
      </c>
      <c r="BI136">
        <v>1039.98</v>
      </c>
      <c r="BJ136">
        <v>1.62592</v>
      </c>
      <c r="BK136">
        <v>-256.35899999999998</v>
      </c>
      <c r="BL136">
        <v>555.15899999999999</v>
      </c>
      <c r="BM136">
        <v>804.95500000000004</v>
      </c>
      <c r="BN136">
        <v>14.6241</v>
      </c>
      <c r="BO136">
        <v>799.94399999999996</v>
      </c>
      <c r="BP136">
        <v>6.2249100000000004</v>
      </c>
      <c r="BQ136">
        <v>2.0684900000000002</v>
      </c>
      <c r="BR136">
        <v>0.61759200000000003</v>
      </c>
      <c r="BS136">
        <v>17.9786</v>
      </c>
      <c r="BT136">
        <v>8.8203400000000001E-2</v>
      </c>
      <c r="BU136">
        <v>1800</v>
      </c>
      <c r="BV136">
        <v>0.90999699999999994</v>
      </c>
      <c r="BW136">
        <v>3.4006099999999997E-2</v>
      </c>
      <c r="BX136">
        <v>2.19986E-2</v>
      </c>
      <c r="BY136">
        <v>3.39987E-2</v>
      </c>
      <c r="BZ136">
        <v>26</v>
      </c>
      <c r="CA136">
        <v>33528.300000000003</v>
      </c>
      <c r="CB136">
        <v>1690306253.5999999</v>
      </c>
      <c r="CC136" t="s">
        <v>332</v>
      </c>
      <c r="CD136">
        <v>1690306253.5999999</v>
      </c>
      <c r="CE136">
        <v>1690306251.5999999</v>
      </c>
      <c r="CF136">
        <v>9</v>
      </c>
      <c r="CG136">
        <v>0.19</v>
      </c>
      <c r="CH136">
        <v>-8.7999999999999995E-2</v>
      </c>
      <c r="CI136">
        <v>-5.0999999999999997E-2</v>
      </c>
      <c r="CJ136">
        <v>5.0999999999999997E-2</v>
      </c>
      <c r="CK136">
        <v>799</v>
      </c>
      <c r="CL136">
        <v>15</v>
      </c>
      <c r="CM136">
        <v>0.28000000000000003</v>
      </c>
      <c r="CN136">
        <v>0.03</v>
      </c>
      <c r="CO136">
        <v>-254.27290243902439</v>
      </c>
      <c r="CP136">
        <v>-12.797163763066241</v>
      </c>
      <c r="CQ136">
        <v>1.26278370016749</v>
      </c>
      <c r="CR136">
        <v>-1</v>
      </c>
      <c r="CS136">
        <v>14.474821951219511</v>
      </c>
      <c r="CT136">
        <v>0.85125574912889168</v>
      </c>
      <c r="CU136">
        <v>8.4251147526946804E-2</v>
      </c>
      <c r="CV136">
        <v>-1</v>
      </c>
      <c r="CW136">
        <v>0</v>
      </c>
      <c r="CX136">
        <v>0</v>
      </c>
      <c r="CY136" t="s">
        <v>333</v>
      </c>
      <c r="CZ136">
        <v>2.3647200000000002</v>
      </c>
      <c r="DA136">
        <v>2.7138100000000001</v>
      </c>
      <c r="DB136">
        <v>0.112372</v>
      </c>
      <c r="DC136">
        <v>0.14624300000000001</v>
      </c>
      <c r="DD136">
        <v>0.103045</v>
      </c>
      <c r="DE136">
        <v>4.0694300000000003E-2</v>
      </c>
      <c r="DF136">
        <v>32420.400000000001</v>
      </c>
      <c r="DG136">
        <v>27533.7</v>
      </c>
      <c r="DH136">
        <v>31181.4</v>
      </c>
      <c r="DI136">
        <v>28101.7</v>
      </c>
      <c r="DJ136">
        <v>37975.5</v>
      </c>
      <c r="DK136">
        <v>38344.699999999997</v>
      </c>
      <c r="DL136">
        <v>44378</v>
      </c>
      <c r="DM136">
        <v>42601.2</v>
      </c>
      <c r="DN136">
        <v>1.43425</v>
      </c>
      <c r="DO136">
        <v>2.0363000000000002</v>
      </c>
      <c r="DP136">
        <v>0.18408099999999999</v>
      </c>
      <c r="DQ136">
        <v>0.15421199999999999</v>
      </c>
      <c r="DR136">
        <v>24.014600000000002</v>
      </c>
      <c r="DS136">
        <v>23.601900000000001</v>
      </c>
      <c r="DT136">
        <v>44</v>
      </c>
      <c r="DU136">
        <v>29.3</v>
      </c>
      <c r="DV136">
        <v>18.1478</v>
      </c>
      <c r="DW136">
        <v>61.183</v>
      </c>
      <c r="DX136">
        <v>36.402200000000001</v>
      </c>
      <c r="DY136">
        <v>1</v>
      </c>
      <c r="DZ136">
        <v>-8.6260199999999995E-2</v>
      </c>
      <c r="EA136">
        <v>1.3112699999999999</v>
      </c>
      <c r="EB136">
        <v>20.183399999999999</v>
      </c>
      <c r="EC136">
        <v>5.2406499999999996</v>
      </c>
      <c r="ED136">
        <v>12.039899999999999</v>
      </c>
      <c r="EE136">
        <v>5.0166500000000003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1.86893</v>
      </c>
      <c r="EL136">
        <v>1.8646199999999999</v>
      </c>
      <c r="EM136">
        <v>1.8692</v>
      </c>
      <c r="EN136">
        <v>1.86727</v>
      </c>
      <c r="EO136">
        <v>1.8633900000000001</v>
      </c>
      <c r="EP136">
        <v>1.8644700000000001</v>
      </c>
      <c r="EQ136">
        <v>1.87018</v>
      </c>
      <c r="ER136">
        <v>1.8694299999999999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0.13</v>
      </c>
      <c r="FG136">
        <v>0.21779999999999999</v>
      </c>
      <c r="FH136">
        <v>0.49996858830924029</v>
      </c>
      <c r="FI136">
        <v>-6.1462078757559423E-4</v>
      </c>
      <c r="FJ136">
        <v>-1.8861989874597051E-7</v>
      </c>
      <c r="FK136">
        <v>1.1980462299894961E-10</v>
      </c>
      <c r="FL136">
        <v>-3.8593581000597899E-2</v>
      </c>
      <c r="FM136">
        <v>-1.6848085045870601E-2</v>
      </c>
      <c r="FN136">
        <v>1.9789084769509481E-3</v>
      </c>
      <c r="FO136">
        <v>-2.7142391389806329E-5</v>
      </c>
      <c r="FP136">
        <v>3</v>
      </c>
      <c r="FQ136">
        <v>2158</v>
      </c>
      <c r="FR136">
        <v>1</v>
      </c>
      <c r="FS136">
        <v>19</v>
      </c>
      <c r="FT136">
        <v>28.9</v>
      </c>
      <c r="FU136">
        <v>29</v>
      </c>
      <c r="FV136">
        <v>1.7724599999999999</v>
      </c>
      <c r="FW136">
        <v>2.5903299999999998</v>
      </c>
      <c r="FX136">
        <v>1.5490699999999999</v>
      </c>
      <c r="FY136">
        <v>2.3278799999999999</v>
      </c>
      <c r="FZ136">
        <v>1.50146</v>
      </c>
      <c r="GA136">
        <v>2.3913600000000002</v>
      </c>
      <c r="GB136">
        <v>34.077100000000002</v>
      </c>
      <c r="GC136">
        <v>23.991199999999999</v>
      </c>
      <c r="GD136">
        <v>19</v>
      </c>
      <c r="GE136">
        <v>265.79300000000001</v>
      </c>
      <c r="GF136">
        <v>584.37699999999995</v>
      </c>
      <c r="GG136">
        <v>21.1859</v>
      </c>
      <c r="GH136">
        <v>26.2499</v>
      </c>
      <c r="GI136">
        <v>29.9998</v>
      </c>
      <c r="GJ136">
        <v>26.448</v>
      </c>
      <c r="GK136">
        <v>26.4513</v>
      </c>
      <c r="GL136">
        <v>35.430500000000002</v>
      </c>
      <c r="GM136">
        <v>62.889800000000001</v>
      </c>
      <c r="GN136">
        <v>56.314300000000003</v>
      </c>
      <c r="GO136">
        <v>21.218599999999999</v>
      </c>
      <c r="GP136">
        <v>800</v>
      </c>
      <c r="GQ136">
        <v>6.1115300000000001</v>
      </c>
      <c r="GR136">
        <v>99.772300000000001</v>
      </c>
      <c r="GS136">
        <v>99.650899999999993</v>
      </c>
    </row>
    <row r="137" spans="1:201" x14ac:dyDescent="0.25">
      <c r="A137">
        <v>121</v>
      </c>
      <c r="B137">
        <v>1690308000</v>
      </c>
      <c r="C137">
        <v>1381.400000095367</v>
      </c>
      <c r="D137" t="s">
        <v>575</v>
      </c>
      <c r="E137" t="s">
        <v>576</v>
      </c>
      <c r="F137" t="s">
        <v>330</v>
      </c>
      <c r="H137">
        <v>1690308000</v>
      </c>
      <c r="I137">
        <f t="shared" si="30"/>
        <v>1.4517688950205E-3</v>
      </c>
      <c r="J137">
        <f t="shared" si="31"/>
        <v>1.4517688950204999</v>
      </c>
      <c r="K137">
        <f t="shared" si="32"/>
        <v>24.072215792729679</v>
      </c>
      <c r="L137">
        <f t="shared" si="33"/>
        <v>541.49599999999998</v>
      </c>
      <c r="M137">
        <f t="shared" si="34"/>
        <v>180.90297444321786</v>
      </c>
      <c r="N137">
        <f t="shared" si="35"/>
        <v>17.965389657002735</v>
      </c>
      <c r="O137">
        <f t="shared" si="36"/>
        <v>53.775714123273595</v>
      </c>
      <c r="P137">
        <f t="shared" si="37"/>
        <v>0.11177330584169992</v>
      </c>
      <c r="Q137">
        <f t="shared" si="38"/>
        <v>2.1981409398256893</v>
      </c>
      <c r="R137">
        <f t="shared" si="39"/>
        <v>0.10870911947341044</v>
      </c>
      <c r="S137">
        <f t="shared" si="40"/>
        <v>6.8211507793852683E-2</v>
      </c>
      <c r="T137">
        <f t="shared" si="41"/>
        <v>276.11522506800003</v>
      </c>
      <c r="U137">
        <f t="shared" si="42"/>
        <v>25.934617288372859</v>
      </c>
      <c r="V137">
        <f t="shared" si="43"/>
        <v>25.934617288372859</v>
      </c>
      <c r="W137">
        <f t="shared" si="44"/>
        <v>3.3612257711096793</v>
      </c>
      <c r="X137">
        <f t="shared" si="45"/>
        <v>67.920007886181466</v>
      </c>
      <c r="Y137">
        <f t="shared" si="46"/>
        <v>2.0712591767685598</v>
      </c>
      <c r="Z137">
        <f t="shared" si="47"/>
        <v>3.0495567377429058</v>
      </c>
      <c r="AA137">
        <f t="shared" si="48"/>
        <v>1.2899665943411196</v>
      </c>
      <c r="AB137">
        <f t="shared" si="49"/>
        <v>-64.023008270404048</v>
      </c>
      <c r="AC137">
        <f t="shared" si="50"/>
        <v>-193.59373519362941</v>
      </c>
      <c r="AD137">
        <f t="shared" si="51"/>
        <v>-18.651509806709129</v>
      </c>
      <c r="AE137">
        <f t="shared" si="52"/>
        <v>-0.15302820274257556</v>
      </c>
      <c r="AF137">
        <v>13</v>
      </c>
      <c r="AG137">
        <v>4</v>
      </c>
      <c r="AH137">
        <f t="shared" si="53"/>
        <v>1</v>
      </c>
      <c r="AI137">
        <f t="shared" si="54"/>
        <v>0</v>
      </c>
      <c r="AJ137">
        <f t="shared" si="55"/>
        <v>53030.951408674358</v>
      </c>
      <c r="AK137">
        <f t="shared" si="56"/>
        <v>1800</v>
      </c>
      <c r="AL137">
        <f t="shared" si="57"/>
        <v>1499.1110657999998</v>
      </c>
      <c r="AM137">
        <f t="shared" si="58"/>
        <v>0.83283948099999994</v>
      </c>
      <c r="AN137">
        <f t="shared" si="59"/>
        <v>0.15339734726000001</v>
      </c>
      <c r="AO137">
        <v>31.2</v>
      </c>
      <c r="AP137">
        <v>0.5</v>
      </c>
      <c r="AQ137" t="s">
        <v>331</v>
      </c>
      <c r="AR137">
        <v>2</v>
      </c>
      <c r="AS137">
        <v>1690308000</v>
      </c>
      <c r="AT137">
        <v>541.49599999999998</v>
      </c>
      <c r="AU137">
        <v>800.09</v>
      </c>
      <c r="AV137">
        <v>20.8566</v>
      </c>
      <c r="AW137">
        <v>6.0692599999999999</v>
      </c>
      <c r="AX137">
        <v>541.36500000000001</v>
      </c>
      <c r="AY137">
        <v>20.6386</v>
      </c>
      <c r="AZ137">
        <v>299.92200000000003</v>
      </c>
      <c r="BA137">
        <v>99.209699999999998</v>
      </c>
      <c r="BB137">
        <v>9.9831600000000006E-2</v>
      </c>
      <c r="BC137">
        <v>24.300999999999998</v>
      </c>
      <c r="BD137">
        <v>26.959</v>
      </c>
      <c r="BE137">
        <v>26.1492</v>
      </c>
      <c r="BF137">
        <v>0</v>
      </c>
      <c r="BG137">
        <v>0</v>
      </c>
      <c r="BH137">
        <v>10018.799999999999</v>
      </c>
      <c r="BI137">
        <v>1040.08</v>
      </c>
      <c r="BJ137">
        <v>1.62592</v>
      </c>
      <c r="BK137">
        <v>-258.59500000000003</v>
      </c>
      <c r="BL137">
        <v>553.03</v>
      </c>
      <c r="BM137">
        <v>804.976</v>
      </c>
      <c r="BN137">
        <v>14.7873</v>
      </c>
      <c r="BO137">
        <v>800.09</v>
      </c>
      <c r="BP137">
        <v>6.0692599999999999</v>
      </c>
      <c r="BQ137">
        <v>2.0691700000000002</v>
      </c>
      <c r="BR137">
        <v>0.60213000000000005</v>
      </c>
      <c r="BS137">
        <v>17.983799999999999</v>
      </c>
      <c r="BT137">
        <v>-0.26065300000000002</v>
      </c>
      <c r="BU137">
        <v>1800</v>
      </c>
      <c r="BV137">
        <v>0.90999799999999997</v>
      </c>
      <c r="BW137">
        <v>3.40057E-2</v>
      </c>
      <c r="BX137">
        <v>2.1998299999999998E-2</v>
      </c>
      <c r="BY137">
        <v>3.3998199999999999E-2</v>
      </c>
      <c r="BZ137">
        <v>26</v>
      </c>
      <c r="CA137">
        <v>33528.400000000001</v>
      </c>
      <c r="CB137">
        <v>1690306253.5999999</v>
      </c>
      <c r="CC137" t="s">
        <v>332</v>
      </c>
      <c r="CD137">
        <v>1690306253.5999999</v>
      </c>
      <c r="CE137">
        <v>1690306251.5999999</v>
      </c>
      <c r="CF137">
        <v>9</v>
      </c>
      <c r="CG137">
        <v>0.19</v>
      </c>
      <c r="CH137">
        <v>-8.7999999999999995E-2</v>
      </c>
      <c r="CI137">
        <v>-5.0999999999999997E-2</v>
      </c>
      <c r="CJ137">
        <v>5.0999999999999997E-2</v>
      </c>
      <c r="CK137">
        <v>799</v>
      </c>
      <c r="CL137">
        <v>15</v>
      </c>
      <c r="CM137">
        <v>0.28000000000000003</v>
      </c>
      <c r="CN137">
        <v>0.03</v>
      </c>
      <c r="CO137">
        <v>-256.35056097560982</v>
      </c>
      <c r="CP137">
        <v>-12.3593937282224</v>
      </c>
      <c r="CQ137">
        <v>1.2205438421753709</v>
      </c>
      <c r="CR137">
        <v>-1</v>
      </c>
      <c r="CS137">
        <v>14.620156097560979</v>
      </c>
      <c r="CT137">
        <v>0.91251428571428517</v>
      </c>
      <c r="CU137">
        <v>9.0281900108548849E-2</v>
      </c>
      <c r="CV137">
        <v>-1</v>
      </c>
      <c r="CW137">
        <v>0</v>
      </c>
      <c r="CX137">
        <v>0</v>
      </c>
      <c r="CY137" t="s">
        <v>333</v>
      </c>
      <c r="CZ137">
        <v>2.3637999999999999</v>
      </c>
      <c r="DA137">
        <v>2.7136399999999998</v>
      </c>
      <c r="DB137">
        <v>0.112058</v>
      </c>
      <c r="DC137">
        <v>0.146254</v>
      </c>
      <c r="DD137">
        <v>0.10306899999999999</v>
      </c>
      <c r="DE137">
        <v>3.9862799999999997E-2</v>
      </c>
      <c r="DF137">
        <v>32432</v>
      </c>
      <c r="DG137">
        <v>27533.7</v>
      </c>
      <c r="DH137">
        <v>31181.5</v>
      </c>
      <c r="DI137">
        <v>28102.1</v>
      </c>
      <c r="DJ137">
        <v>37974.800000000003</v>
      </c>
      <c r="DK137">
        <v>38378.5</v>
      </c>
      <c r="DL137">
        <v>44378.3</v>
      </c>
      <c r="DM137">
        <v>42601.8</v>
      </c>
      <c r="DN137">
        <v>1.4332199999999999</v>
      </c>
      <c r="DO137">
        <v>2.0360999999999998</v>
      </c>
      <c r="DP137">
        <v>0.17951400000000001</v>
      </c>
      <c r="DQ137">
        <v>0.15521799999999999</v>
      </c>
      <c r="DR137">
        <v>24.015899999999998</v>
      </c>
      <c r="DS137">
        <v>23.601900000000001</v>
      </c>
      <c r="DT137">
        <v>43.7</v>
      </c>
      <c r="DU137">
        <v>29.3</v>
      </c>
      <c r="DV137">
        <v>18.023800000000001</v>
      </c>
      <c r="DW137">
        <v>60.933</v>
      </c>
      <c r="DX137">
        <v>37.191499999999998</v>
      </c>
      <c r="DY137">
        <v>1</v>
      </c>
      <c r="DZ137">
        <v>-8.6559999999999998E-2</v>
      </c>
      <c r="EA137">
        <v>1.3366</v>
      </c>
      <c r="EB137">
        <v>20.1831</v>
      </c>
      <c r="EC137">
        <v>5.2403500000000003</v>
      </c>
      <c r="ED137">
        <v>12.039899999999999</v>
      </c>
      <c r="EE137">
        <v>5.0156000000000001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1.8689199999999999</v>
      </c>
      <c r="EL137">
        <v>1.8646400000000001</v>
      </c>
      <c r="EM137">
        <v>1.8692</v>
      </c>
      <c r="EN137">
        <v>1.86727</v>
      </c>
      <c r="EO137">
        <v>1.8633999999999999</v>
      </c>
      <c r="EP137">
        <v>1.8644799999999999</v>
      </c>
      <c r="EQ137">
        <v>1.87018</v>
      </c>
      <c r="ER137">
        <v>1.8694299999999999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0.13100000000000001</v>
      </c>
      <c r="FG137">
        <v>0.218</v>
      </c>
      <c r="FH137">
        <v>0.49996858830924029</v>
      </c>
      <c r="FI137">
        <v>-6.1462078757559423E-4</v>
      </c>
      <c r="FJ137">
        <v>-1.8861989874597051E-7</v>
      </c>
      <c r="FK137">
        <v>1.1980462299894961E-10</v>
      </c>
      <c r="FL137">
        <v>-3.8593581000597899E-2</v>
      </c>
      <c r="FM137">
        <v>-1.6848085045870601E-2</v>
      </c>
      <c r="FN137">
        <v>1.9789084769509481E-3</v>
      </c>
      <c r="FO137">
        <v>-2.7142391389806329E-5</v>
      </c>
      <c r="FP137">
        <v>3</v>
      </c>
      <c r="FQ137">
        <v>2158</v>
      </c>
      <c r="FR137">
        <v>1</v>
      </c>
      <c r="FS137">
        <v>19</v>
      </c>
      <c r="FT137">
        <v>29.1</v>
      </c>
      <c r="FU137">
        <v>29.1</v>
      </c>
      <c r="FV137">
        <v>1.7712399999999999</v>
      </c>
      <c r="FW137">
        <v>2.5939899999999998</v>
      </c>
      <c r="FX137">
        <v>1.5490699999999999</v>
      </c>
      <c r="FY137">
        <v>2.3278799999999999</v>
      </c>
      <c r="FZ137">
        <v>1.50146</v>
      </c>
      <c r="GA137">
        <v>2.31812</v>
      </c>
      <c r="GB137">
        <v>34.077100000000002</v>
      </c>
      <c r="GC137">
        <v>23.982399999999998</v>
      </c>
      <c r="GD137">
        <v>19</v>
      </c>
      <c r="GE137">
        <v>265.358</v>
      </c>
      <c r="GF137">
        <v>584.16300000000001</v>
      </c>
      <c r="GG137">
        <v>21.212299999999999</v>
      </c>
      <c r="GH137">
        <v>26.246099999999998</v>
      </c>
      <c r="GI137">
        <v>29.9999</v>
      </c>
      <c r="GJ137">
        <v>26.4435</v>
      </c>
      <c r="GK137">
        <v>26.447099999999999</v>
      </c>
      <c r="GL137">
        <v>35.4251</v>
      </c>
      <c r="GM137">
        <v>63.454799999999999</v>
      </c>
      <c r="GN137">
        <v>55.525700000000001</v>
      </c>
      <c r="GO137">
        <v>21.211400000000001</v>
      </c>
      <c r="GP137">
        <v>800</v>
      </c>
      <c r="GQ137">
        <v>5.94184</v>
      </c>
      <c r="GR137">
        <v>99.772900000000007</v>
      </c>
      <c r="GS137">
        <v>99.652199999999993</v>
      </c>
    </row>
    <row r="138" spans="1:201" x14ac:dyDescent="0.25">
      <c r="A138">
        <v>122</v>
      </c>
      <c r="B138">
        <v>1690308010</v>
      </c>
      <c r="C138">
        <v>1391.400000095367</v>
      </c>
      <c r="D138" t="s">
        <v>577</v>
      </c>
      <c r="E138" t="s">
        <v>578</v>
      </c>
      <c r="F138" t="s">
        <v>330</v>
      </c>
      <c r="H138">
        <v>1690308010</v>
      </c>
      <c r="I138">
        <f t="shared" si="30"/>
        <v>1.4700266695806578E-3</v>
      </c>
      <c r="J138">
        <f t="shared" si="31"/>
        <v>1.4700266695806579</v>
      </c>
      <c r="K138">
        <f t="shared" si="32"/>
        <v>24.27775053687963</v>
      </c>
      <c r="L138">
        <f t="shared" si="33"/>
        <v>539.52200000000005</v>
      </c>
      <c r="M138">
        <f t="shared" si="34"/>
        <v>181.11156324386837</v>
      </c>
      <c r="N138">
        <f t="shared" si="35"/>
        <v>17.986060702205194</v>
      </c>
      <c r="O138">
        <f t="shared" si="36"/>
        <v>53.579546597523404</v>
      </c>
      <c r="P138">
        <f t="shared" si="37"/>
        <v>0.11346005868013008</v>
      </c>
      <c r="Q138">
        <f t="shared" si="38"/>
        <v>2.1965889697112422</v>
      </c>
      <c r="R138">
        <f t="shared" si="39"/>
        <v>0.11030193517943056</v>
      </c>
      <c r="S138">
        <f t="shared" si="40"/>
        <v>6.9215132349063596E-2</v>
      </c>
      <c r="T138">
        <f t="shared" si="41"/>
        <v>276.11499038400001</v>
      </c>
      <c r="U138">
        <f t="shared" si="42"/>
        <v>25.923072416682231</v>
      </c>
      <c r="V138">
        <f t="shared" si="43"/>
        <v>25.923072416682231</v>
      </c>
      <c r="W138">
        <f t="shared" si="44"/>
        <v>3.3589291166972512</v>
      </c>
      <c r="X138">
        <f t="shared" si="45"/>
        <v>67.956976873029447</v>
      </c>
      <c r="Y138">
        <f t="shared" si="46"/>
        <v>2.0715917831419999</v>
      </c>
      <c r="Z138">
        <f t="shared" si="47"/>
        <v>3.0483871979952166</v>
      </c>
      <c r="AA138">
        <f t="shared" si="48"/>
        <v>1.2873373335552514</v>
      </c>
      <c r="AB138">
        <f t="shared" si="49"/>
        <v>-64.82817612850701</v>
      </c>
      <c r="AC138">
        <f t="shared" si="50"/>
        <v>-192.8477821497921</v>
      </c>
      <c r="AD138">
        <f t="shared" si="51"/>
        <v>-18.591089652501729</v>
      </c>
      <c r="AE138">
        <f t="shared" si="52"/>
        <v>-0.15205754680084738</v>
      </c>
      <c r="AF138">
        <v>13</v>
      </c>
      <c r="AG138">
        <v>4</v>
      </c>
      <c r="AH138">
        <f t="shared" si="53"/>
        <v>1</v>
      </c>
      <c r="AI138">
        <f t="shared" si="54"/>
        <v>0</v>
      </c>
      <c r="AJ138">
        <f t="shared" si="55"/>
        <v>52967.928826343858</v>
      </c>
      <c r="AK138">
        <f t="shared" si="56"/>
        <v>1800</v>
      </c>
      <c r="AL138">
        <f t="shared" si="57"/>
        <v>1499.1103854</v>
      </c>
      <c r="AM138">
        <f t="shared" si="58"/>
        <v>0.83283910299999997</v>
      </c>
      <c r="AN138">
        <f t="shared" si="59"/>
        <v>0.15339721687999999</v>
      </c>
      <c r="AO138">
        <v>31.2</v>
      </c>
      <c r="AP138">
        <v>0.5</v>
      </c>
      <c r="AQ138" t="s">
        <v>331</v>
      </c>
      <c r="AR138">
        <v>2</v>
      </c>
      <c r="AS138">
        <v>1690308010</v>
      </c>
      <c r="AT138">
        <v>539.52200000000005</v>
      </c>
      <c r="AU138">
        <v>800.04100000000005</v>
      </c>
      <c r="AV138">
        <v>20.86</v>
      </c>
      <c r="AW138">
        <v>5.9031500000000001</v>
      </c>
      <c r="AX138">
        <v>539.39</v>
      </c>
      <c r="AY138">
        <v>20.6419</v>
      </c>
      <c r="AZ138">
        <v>300.25099999999998</v>
      </c>
      <c r="BA138">
        <v>99.209299999999999</v>
      </c>
      <c r="BB138">
        <v>9.9989700000000001E-2</v>
      </c>
      <c r="BC138">
        <v>24.294599999999999</v>
      </c>
      <c r="BD138">
        <v>26.9436</v>
      </c>
      <c r="BE138">
        <v>26.174199999999999</v>
      </c>
      <c r="BF138">
        <v>0</v>
      </c>
      <c r="BG138">
        <v>0</v>
      </c>
      <c r="BH138">
        <v>10006.200000000001</v>
      </c>
      <c r="BI138">
        <v>1040.1400000000001</v>
      </c>
      <c r="BJ138">
        <v>1.62592</v>
      </c>
      <c r="BK138">
        <v>-260.51900000000001</v>
      </c>
      <c r="BL138">
        <v>551.01700000000005</v>
      </c>
      <c r="BM138">
        <v>804.79200000000003</v>
      </c>
      <c r="BN138">
        <v>14.956799999999999</v>
      </c>
      <c r="BO138">
        <v>800.04100000000005</v>
      </c>
      <c r="BP138">
        <v>5.9031500000000001</v>
      </c>
      <c r="BQ138">
        <v>2.0695000000000001</v>
      </c>
      <c r="BR138">
        <v>0.58564700000000003</v>
      </c>
      <c r="BS138">
        <v>17.9864</v>
      </c>
      <c r="BT138">
        <v>-0.64135500000000001</v>
      </c>
      <c r="BU138">
        <v>1800</v>
      </c>
      <c r="BV138">
        <v>0.909999</v>
      </c>
      <c r="BW138">
        <v>3.4005100000000003E-2</v>
      </c>
      <c r="BX138">
        <v>2.1997900000000001E-2</v>
      </c>
      <c r="BY138">
        <v>3.3997600000000003E-2</v>
      </c>
      <c r="BZ138">
        <v>26</v>
      </c>
      <c r="CA138">
        <v>33528.300000000003</v>
      </c>
      <c r="CB138">
        <v>1690306253.5999999</v>
      </c>
      <c r="CC138" t="s">
        <v>332</v>
      </c>
      <c r="CD138">
        <v>1690306253.5999999</v>
      </c>
      <c r="CE138">
        <v>1690306251.5999999</v>
      </c>
      <c r="CF138">
        <v>9</v>
      </c>
      <c r="CG138">
        <v>0.19</v>
      </c>
      <c r="CH138">
        <v>-8.7999999999999995E-2</v>
      </c>
      <c r="CI138">
        <v>-5.0999999999999997E-2</v>
      </c>
      <c r="CJ138">
        <v>5.0999999999999997E-2</v>
      </c>
      <c r="CK138">
        <v>799</v>
      </c>
      <c r="CL138">
        <v>15</v>
      </c>
      <c r="CM138">
        <v>0.28000000000000003</v>
      </c>
      <c r="CN138">
        <v>0.03</v>
      </c>
      <c r="CO138">
        <v>-258.39190243902442</v>
      </c>
      <c r="CP138">
        <v>-12.51334494773543</v>
      </c>
      <c r="CQ138">
        <v>1.2347797039598309</v>
      </c>
      <c r="CR138">
        <v>-1</v>
      </c>
      <c r="CS138">
        <v>14.77695853658537</v>
      </c>
      <c r="CT138">
        <v>0.99081324041814234</v>
      </c>
      <c r="CU138">
        <v>9.7821896335822833E-2</v>
      </c>
      <c r="CV138">
        <v>-1</v>
      </c>
      <c r="CW138">
        <v>0</v>
      </c>
      <c r="CX138">
        <v>0</v>
      </c>
      <c r="CY138" t="s">
        <v>333</v>
      </c>
      <c r="CZ138">
        <v>2.3648799999999999</v>
      </c>
      <c r="DA138">
        <v>2.7137899999999999</v>
      </c>
      <c r="DB138">
        <v>0.111765</v>
      </c>
      <c r="DC138">
        <v>0.14624599999999999</v>
      </c>
      <c r="DD138">
        <v>0.10308100000000001</v>
      </c>
      <c r="DE138">
        <v>3.89696E-2</v>
      </c>
      <c r="DF138">
        <v>32443.200000000001</v>
      </c>
      <c r="DG138">
        <v>27534.6</v>
      </c>
      <c r="DH138">
        <v>31181.9</v>
      </c>
      <c r="DI138">
        <v>28102.6</v>
      </c>
      <c r="DJ138">
        <v>37974.699999999997</v>
      </c>
      <c r="DK138">
        <v>38415.199999999997</v>
      </c>
      <c r="DL138">
        <v>44378.9</v>
      </c>
      <c r="DM138">
        <v>42602.7</v>
      </c>
      <c r="DN138">
        <v>1.4341999999999999</v>
      </c>
      <c r="DO138">
        <v>2.0356999999999998</v>
      </c>
      <c r="DP138">
        <v>0.178531</v>
      </c>
      <c r="DQ138">
        <v>0.156745</v>
      </c>
      <c r="DR138">
        <v>24.0166</v>
      </c>
      <c r="DS138">
        <v>23.601900000000001</v>
      </c>
      <c r="DT138">
        <v>43.4</v>
      </c>
      <c r="DU138">
        <v>29.3</v>
      </c>
      <c r="DV138">
        <v>17.901299999999999</v>
      </c>
      <c r="DW138">
        <v>61.433100000000003</v>
      </c>
      <c r="DX138">
        <v>35.9054</v>
      </c>
      <c r="DY138">
        <v>1</v>
      </c>
      <c r="DZ138">
        <v>-8.70808E-2</v>
      </c>
      <c r="EA138">
        <v>1.1702699999999999</v>
      </c>
      <c r="EB138">
        <v>20.184799999999999</v>
      </c>
      <c r="EC138">
        <v>5.2408000000000001</v>
      </c>
      <c r="ED138">
        <v>12.039899999999999</v>
      </c>
      <c r="EE138">
        <v>5.0160499999999999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1.8689100000000001</v>
      </c>
      <c r="EL138">
        <v>1.8646400000000001</v>
      </c>
      <c r="EM138">
        <v>1.8692</v>
      </c>
      <c r="EN138">
        <v>1.8672599999999999</v>
      </c>
      <c r="EO138">
        <v>1.8633999999999999</v>
      </c>
      <c r="EP138">
        <v>1.8644700000000001</v>
      </c>
      <c r="EQ138">
        <v>1.8702300000000001</v>
      </c>
      <c r="ER138">
        <v>1.8694299999999999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0.13200000000000001</v>
      </c>
      <c r="FG138">
        <v>0.21809999999999999</v>
      </c>
      <c r="FH138">
        <v>0.49996858830924029</v>
      </c>
      <c r="FI138">
        <v>-6.1462078757559423E-4</v>
      </c>
      <c r="FJ138">
        <v>-1.8861989874597051E-7</v>
      </c>
      <c r="FK138">
        <v>1.1980462299894961E-10</v>
      </c>
      <c r="FL138">
        <v>-3.8593581000597899E-2</v>
      </c>
      <c r="FM138">
        <v>-1.6848085045870601E-2</v>
      </c>
      <c r="FN138">
        <v>1.9789084769509481E-3</v>
      </c>
      <c r="FO138">
        <v>-2.7142391389806329E-5</v>
      </c>
      <c r="FP138">
        <v>3</v>
      </c>
      <c r="FQ138">
        <v>2158</v>
      </c>
      <c r="FR138">
        <v>1</v>
      </c>
      <c r="FS138">
        <v>19</v>
      </c>
      <c r="FT138">
        <v>29.3</v>
      </c>
      <c r="FU138">
        <v>29.3</v>
      </c>
      <c r="FV138">
        <v>1.7724599999999999</v>
      </c>
      <c r="FW138">
        <v>2.5988799999999999</v>
      </c>
      <c r="FX138">
        <v>1.5490699999999999</v>
      </c>
      <c r="FY138">
        <v>2.3278799999999999</v>
      </c>
      <c r="FZ138">
        <v>1.50146</v>
      </c>
      <c r="GA138">
        <v>2.34375</v>
      </c>
      <c r="GB138">
        <v>34.077100000000002</v>
      </c>
      <c r="GC138">
        <v>23.982399999999998</v>
      </c>
      <c r="GD138">
        <v>19</v>
      </c>
      <c r="GE138">
        <v>265.73700000000002</v>
      </c>
      <c r="GF138">
        <v>583.78099999999995</v>
      </c>
      <c r="GG138">
        <v>21.2422</v>
      </c>
      <c r="GH138">
        <v>26.242100000000001</v>
      </c>
      <c r="GI138">
        <v>30</v>
      </c>
      <c r="GJ138">
        <v>26.439299999999999</v>
      </c>
      <c r="GK138">
        <v>26.442499999999999</v>
      </c>
      <c r="GL138">
        <v>35.426200000000001</v>
      </c>
      <c r="GM138">
        <v>64.0428</v>
      </c>
      <c r="GN138">
        <v>54.730899999999998</v>
      </c>
      <c r="GO138">
        <v>21.2819</v>
      </c>
      <c r="GP138">
        <v>800</v>
      </c>
      <c r="GQ138">
        <v>5.7766099999999998</v>
      </c>
      <c r="GR138">
        <v>99.774299999999997</v>
      </c>
      <c r="GS138">
        <v>99.654300000000006</v>
      </c>
    </row>
    <row r="139" spans="1:201" x14ac:dyDescent="0.25">
      <c r="A139">
        <v>123</v>
      </c>
      <c r="B139">
        <v>1690308020</v>
      </c>
      <c r="C139">
        <v>1401.400000095367</v>
      </c>
      <c r="D139" t="s">
        <v>579</v>
      </c>
      <c r="E139" t="s">
        <v>580</v>
      </c>
      <c r="F139" t="s">
        <v>330</v>
      </c>
      <c r="H139">
        <v>1690308020</v>
      </c>
      <c r="I139">
        <f t="shared" si="30"/>
        <v>1.4882952812040255E-3</v>
      </c>
      <c r="J139">
        <f t="shared" si="31"/>
        <v>1.4882952812040255</v>
      </c>
      <c r="K139">
        <f t="shared" si="32"/>
        <v>24.453975567243852</v>
      </c>
      <c r="L139">
        <f t="shared" si="33"/>
        <v>537.54700000000003</v>
      </c>
      <c r="M139">
        <f t="shared" si="34"/>
        <v>180.92887565998976</v>
      </c>
      <c r="N139">
        <f t="shared" si="35"/>
        <v>17.967236080430627</v>
      </c>
      <c r="O139">
        <f t="shared" si="36"/>
        <v>53.381384359440005</v>
      </c>
      <c r="P139">
        <f t="shared" si="37"/>
        <v>0.11490123180444099</v>
      </c>
      <c r="Q139">
        <f t="shared" si="38"/>
        <v>2.1940889751951183</v>
      </c>
      <c r="R139">
        <f t="shared" si="39"/>
        <v>0.11166002519482485</v>
      </c>
      <c r="S139">
        <f t="shared" si="40"/>
        <v>7.0071109653195324E-2</v>
      </c>
      <c r="T139">
        <f t="shared" si="41"/>
        <v>276.11511677999999</v>
      </c>
      <c r="U139">
        <f t="shared" si="42"/>
        <v>25.92813717368092</v>
      </c>
      <c r="V139">
        <f t="shared" si="43"/>
        <v>25.92813717368092</v>
      </c>
      <c r="W139">
        <f t="shared" si="44"/>
        <v>3.3599364945118433</v>
      </c>
      <c r="X139">
        <f t="shared" si="45"/>
        <v>67.948192824379021</v>
      </c>
      <c r="Y139">
        <f t="shared" si="46"/>
        <v>2.0725161329520003</v>
      </c>
      <c r="Z139">
        <f t="shared" si="47"/>
        <v>3.0501416546996167</v>
      </c>
      <c r="AA139">
        <f t="shared" si="48"/>
        <v>1.287420361559843</v>
      </c>
      <c r="AB139">
        <f t="shared" si="49"/>
        <v>-65.633821901097519</v>
      </c>
      <c r="AC139">
        <f t="shared" si="50"/>
        <v>-192.09183354274435</v>
      </c>
      <c r="AD139">
        <f t="shared" si="51"/>
        <v>-18.540681323123401</v>
      </c>
      <c r="AE139">
        <f t="shared" si="52"/>
        <v>-0.15121998696528749</v>
      </c>
      <c r="AF139">
        <v>13</v>
      </c>
      <c r="AG139">
        <v>4</v>
      </c>
      <c r="AH139">
        <f t="shared" si="53"/>
        <v>1</v>
      </c>
      <c r="AI139">
        <f t="shared" si="54"/>
        <v>0</v>
      </c>
      <c r="AJ139">
        <f t="shared" si="55"/>
        <v>52862.893984193775</v>
      </c>
      <c r="AK139">
        <f t="shared" si="56"/>
        <v>1800</v>
      </c>
      <c r="AL139">
        <f t="shared" si="57"/>
        <v>1499.1109379999998</v>
      </c>
      <c r="AM139">
        <f t="shared" si="58"/>
        <v>0.83283940999999995</v>
      </c>
      <c r="AN139">
        <f t="shared" si="59"/>
        <v>0.1533972871</v>
      </c>
      <c r="AO139">
        <v>31.2</v>
      </c>
      <c r="AP139">
        <v>0.5</v>
      </c>
      <c r="AQ139" t="s">
        <v>331</v>
      </c>
      <c r="AR139">
        <v>2</v>
      </c>
      <c r="AS139">
        <v>1690308020</v>
      </c>
      <c r="AT139">
        <v>537.54700000000003</v>
      </c>
      <c r="AU139">
        <v>800.12300000000005</v>
      </c>
      <c r="AV139">
        <v>20.870100000000001</v>
      </c>
      <c r="AW139">
        <v>5.7186500000000002</v>
      </c>
      <c r="AX139">
        <v>537.41399999999999</v>
      </c>
      <c r="AY139">
        <v>20.651700000000002</v>
      </c>
      <c r="AZ139">
        <v>300.07499999999999</v>
      </c>
      <c r="BA139">
        <v>99.205500000000001</v>
      </c>
      <c r="BB139">
        <v>0.10002</v>
      </c>
      <c r="BC139">
        <v>24.304200000000002</v>
      </c>
      <c r="BD139">
        <v>27.006699999999999</v>
      </c>
      <c r="BE139">
        <v>26.148199999999999</v>
      </c>
      <c r="BF139">
        <v>0</v>
      </c>
      <c r="BG139">
        <v>0</v>
      </c>
      <c r="BH139">
        <v>9986.25</v>
      </c>
      <c r="BI139">
        <v>1040.18</v>
      </c>
      <c r="BJ139">
        <v>1.62592</v>
      </c>
      <c r="BK139">
        <v>-262.57600000000002</v>
      </c>
      <c r="BL139">
        <v>549.005</v>
      </c>
      <c r="BM139">
        <v>804.72500000000002</v>
      </c>
      <c r="BN139">
        <v>15.151400000000001</v>
      </c>
      <c r="BO139">
        <v>800.12300000000005</v>
      </c>
      <c r="BP139">
        <v>5.7186500000000002</v>
      </c>
      <c r="BQ139">
        <v>2.07043</v>
      </c>
      <c r="BR139">
        <v>0.56732099999999996</v>
      </c>
      <c r="BS139">
        <v>17.993500000000001</v>
      </c>
      <c r="BT139">
        <v>-1.07596</v>
      </c>
      <c r="BU139">
        <v>1800</v>
      </c>
      <c r="BV139">
        <v>0.909999</v>
      </c>
      <c r="BW139">
        <v>3.4005199999999999E-2</v>
      </c>
      <c r="BX139">
        <v>2.1998E-2</v>
      </c>
      <c r="BY139">
        <v>3.3997800000000002E-2</v>
      </c>
      <c r="BZ139">
        <v>26</v>
      </c>
      <c r="CA139">
        <v>33528.400000000001</v>
      </c>
      <c r="CB139">
        <v>1690306253.5999999</v>
      </c>
      <c r="CC139" t="s">
        <v>332</v>
      </c>
      <c r="CD139">
        <v>1690306253.5999999</v>
      </c>
      <c r="CE139">
        <v>1690306251.5999999</v>
      </c>
      <c r="CF139">
        <v>9</v>
      </c>
      <c r="CG139">
        <v>0.19</v>
      </c>
      <c r="CH139">
        <v>-8.7999999999999995E-2</v>
      </c>
      <c r="CI139">
        <v>-5.0999999999999997E-2</v>
      </c>
      <c r="CJ139">
        <v>5.0999999999999997E-2</v>
      </c>
      <c r="CK139">
        <v>799</v>
      </c>
      <c r="CL139">
        <v>15</v>
      </c>
      <c r="CM139">
        <v>0.28000000000000003</v>
      </c>
      <c r="CN139">
        <v>0.03</v>
      </c>
      <c r="CO139">
        <v>-260.22236585365852</v>
      </c>
      <c r="CP139">
        <v>-11.718334494773099</v>
      </c>
      <c r="CQ139">
        <v>1.1564833523228411</v>
      </c>
      <c r="CR139">
        <v>-1</v>
      </c>
      <c r="CS139">
        <v>14.932539024390239</v>
      </c>
      <c r="CT139">
        <v>1.0581491289198619</v>
      </c>
      <c r="CU139">
        <v>0.1044603364523162</v>
      </c>
      <c r="CV139">
        <v>-1</v>
      </c>
      <c r="CW139">
        <v>0</v>
      </c>
      <c r="CX139">
        <v>0</v>
      </c>
      <c r="CY139" t="s">
        <v>333</v>
      </c>
      <c r="CZ139">
        <v>2.3643200000000002</v>
      </c>
      <c r="DA139">
        <v>2.7138</v>
      </c>
      <c r="DB139">
        <v>0.111467</v>
      </c>
      <c r="DC139">
        <v>0.14624799999999999</v>
      </c>
      <c r="DD139">
        <v>0.103113</v>
      </c>
      <c r="DE139">
        <v>3.7967500000000001E-2</v>
      </c>
      <c r="DF139">
        <v>32453.9</v>
      </c>
      <c r="DG139">
        <v>27534.9</v>
      </c>
      <c r="DH139">
        <v>31181.8</v>
      </c>
      <c r="DI139">
        <v>28103</v>
      </c>
      <c r="DJ139">
        <v>37973.199999999997</v>
      </c>
      <c r="DK139">
        <v>38455.699999999997</v>
      </c>
      <c r="DL139">
        <v>44378.7</v>
      </c>
      <c r="DM139">
        <v>42603.1</v>
      </c>
      <c r="DN139">
        <v>1.43377</v>
      </c>
      <c r="DO139">
        <v>2.0356000000000001</v>
      </c>
      <c r="DP139">
        <v>0.18226400000000001</v>
      </c>
      <c r="DQ139">
        <v>0.15515799999999999</v>
      </c>
      <c r="DR139">
        <v>24.018599999999999</v>
      </c>
      <c r="DS139">
        <v>23.601900000000001</v>
      </c>
      <c r="DT139">
        <v>43.1</v>
      </c>
      <c r="DU139">
        <v>29.3</v>
      </c>
      <c r="DV139">
        <v>17.780799999999999</v>
      </c>
      <c r="DW139">
        <v>61.513100000000001</v>
      </c>
      <c r="DX139">
        <v>36.570500000000003</v>
      </c>
      <c r="DY139">
        <v>1</v>
      </c>
      <c r="DZ139">
        <v>-8.7967500000000004E-2</v>
      </c>
      <c r="EA139">
        <v>1.0394600000000001</v>
      </c>
      <c r="EB139">
        <v>20.186</v>
      </c>
      <c r="EC139">
        <v>5.2401999999999997</v>
      </c>
      <c r="ED139">
        <v>12.039899999999999</v>
      </c>
      <c r="EE139">
        <v>5.0156499999999999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1.8689100000000001</v>
      </c>
      <c r="EL139">
        <v>1.8646400000000001</v>
      </c>
      <c r="EM139">
        <v>1.8692</v>
      </c>
      <c r="EN139">
        <v>1.8672299999999999</v>
      </c>
      <c r="EO139">
        <v>1.8633999999999999</v>
      </c>
      <c r="EP139">
        <v>1.8644700000000001</v>
      </c>
      <c r="EQ139">
        <v>1.8701700000000001</v>
      </c>
      <c r="ER139">
        <v>1.86944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0.13300000000000001</v>
      </c>
      <c r="FG139">
        <v>0.21840000000000001</v>
      </c>
      <c r="FH139">
        <v>0.49996858830924029</v>
      </c>
      <c r="FI139">
        <v>-6.1462078757559423E-4</v>
      </c>
      <c r="FJ139">
        <v>-1.8861989874597051E-7</v>
      </c>
      <c r="FK139">
        <v>1.1980462299894961E-10</v>
      </c>
      <c r="FL139">
        <v>-3.8593581000597899E-2</v>
      </c>
      <c r="FM139">
        <v>-1.6848085045870601E-2</v>
      </c>
      <c r="FN139">
        <v>1.9789084769509481E-3</v>
      </c>
      <c r="FO139">
        <v>-2.7142391389806329E-5</v>
      </c>
      <c r="FP139">
        <v>3</v>
      </c>
      <c r="FQ139">
        <v>2158</v>
      </c>
      <c r="FR139">
        <v>1</v>
      </c>
      <c r="FS139">
        <v>19</v>
      </c>
      <c r="FT139">
        <v>29.4</v>
      </c>
      <c r="FU139">
        <v>29.5</v>
      </c>
      <c r="FV139">
        <v>1.7712399999999999</v>
      </c>
      <c r="FW139">
        <v>2.5891099999999998</v>
      </c>
      <c r="FX139">
        <v>1.5490699999999999</v>
      </c>
      <c r="FY139">
        <v>2.3278799999999999</v>
      </c>
      <c r="FZ139">
        <v>1.50146</v>
      </c>
      <c r="GA139">
        <v>2.3974600000000001</v>
      </c>
      <c r="GB139">
        <v>34.077100000000002</v>
      </c>
      <c r="GC139">
        <v>23.991199999999999</v>
      </c>
      <c r="GD139">
        <v>19</v>
      </c>
      <c r="GE139">
        <v>265.54700000000003</v>
      </c>
      <c r="GF139">
        <v>583.64800000000002</v>
      </c>
      <c r="GG139">
        <v>21.332599999999999</v>
      </c>
      <c r="GH139">
        <v>26.2377</v>
      </c>
      <c r="GI139">
        <v>29.999500000000001</v>
      </c>
      <c r="GJ139">
        <v>26.434899999999999</v>
      </c>
      <c r="GK139">
        <v>26.438099999999999</v>
      </c>
      <c r="GL139">
        <v>35.416699999999999</v>
      </c>
      <c r="GM139">
        <v>64.614999999999995</v>
      </c>
      <c r="GN139">
        <v>53.983899999999998</v>
      </c>
      <c r="GO139">
        <v>21.367100000000001</v>
      </c>
      <c r="GP139">
        <v>800</v>
      </c>
      <c r="GQ139">
        <v>5.6023899999999998</v>
      </c>
      <c r="GR139">
        <v>99.773799999999994</v>
      </c>
      <c r="GS139">
        <v>99.6554</v>
      </c>
    </row>
    <row r="140" spans="1:201" x14ac:dyDescent="0.25">
      <c r="A140">
        <v>124</v>
      </c>
      <c r="B140">
        <v>1690308030</v>
      </c>
      <c r="C140">
        <v>1411.400000095367</v>
      </c>
      <c r="D140" t="s">
        <v>581</v>
      </c>
      <c r="E140" t="s">
        <v>582</v>
      </c>
      <c r="F140" t="s">
        <v>330</v>
      </c>
      <c r="H140">
        <v>1690308030</v>
      </c>
      <c r="I140">
        <f t="shared" si="30"/>
        <v>1.5060557051484677E-3</v>
      </c>
      <c r="J140">
        <f t="shared" si="31"/>
        <v>1.5060557051484678</v>
      </c>
      <c r="K140">
        <f t="shared" si="32"/>
        <v>24.629672469161449</v>
      </c>
      <c r="L140">
        <f t="shared" si="33"/>
        <v>535.64800000000002</v>
      </c>
      <c r="M140">
        <f t="shared" si="34"/>
        <v>180.99778610939234</v>
      </c>
      <c r="N140">
        <f t="shared" si="35"/>
        <v>17.974363000571486</v>
      </c>
      <c r="O140">
        <f t="shared" si="36"/>
        <v>53.193642858764804</v>
      </c>
      <c r="P140">
        <f t="shared" si="37"/>
        <v>0.11640121147232425</v>
      </c>
      <c r="Q140">
        <f t="shared" si="38"/>
        <v>2.2016995410989098</v>
      </c>
      <c r="R140">
        <f t="shared" si="39"/>
        <v>0.11308728750636085</v>
      </c>
      <c r="S140">
        <f t="shared" si="40"/>
        <v>7.0969438959073317E-2</v>
      </c>
      <c r="T140">
        <f t="shared" si="41"/>
        <v>276.11499038400001</v>
      </c>
      <c r="U140">
        <f t="shared" si="42"/>
        <v>25.925675470760186</v>
      </c>
      <c r="V140">
        <f t="shared" si="43"/>
        <v>25.925675470760186</v>
      </c>
      <c r="W140">
        <f t="shared" si="44"/>
        <v>3.3594468299893734</v>
      </c>
      <c r="X140">
        <f t="shared" si="45"/>
        <v>67.931418613635358</v>
      </c>
      <c r="Y140">
        <f t="shared" si="46"/>
        <v>2.0730851071937999</v>
      </c>
      <c r="Z140">
        <f t="shared" si="47"/>
        <v>3.0517323934961738</v>
      </c>
      <c r="AA140">
        <f t="shared" si="48"/>
        <v>1.2863617227955735</v>
      </c>
      <c r="AB140">
        <f t="shared" si="49"/>
        <v>-66.41705659704742</v>
      </c>
      <c r="AC140">
        <f t="shared" si="50"/>
        <v>-191.43326421166688</v>
      </c>
      <c r="AD140">
        <f t="shared" si="51"/>
        <v>-18.413822948506613</v>
      </c>
      <c r="AE140">
        <f t="shared" si="52"/>
        <v>-0.14915337322088362</v>
      </c>
      <c r="AF140">
        <v>13</v>
      </c>
      <c r="AG140">
        <v>4</v>
      </c>
      <c r="AH140">
        <f t="shared" si="53"/>
        <v>1</v>
      </c>
      <c r="AI140">
        <f t="shared" si="54"/>
        <v>0</v>
      </c>
      <c r="AJ140">
        <f t="shared" si="55"/>
        <v>53176.04580441604</v>
      </c>
      <c r="AK140">
        <f t="shared" si="56"/>
        <v>1800</v>
      </c>
      <c r="AL140">
        <f t="shared" si="57"/>
        <v>1499.1103854</v>
      </c>
      <c r="AM140">
        <f t="shared" si="58"/>
        <v>0.83283910299999997</v>
      </c>
      <c r="AN140">
        <f t="shared" si="59"/>
        <v>0.15339721687999999</v>
      </c>
      <c r="AO140">
        <v>31.2</v>
      </c>
      <c r="AP140">
        <v>0.5</v>
      </c>
      <c r="AQ140" t="s">
        <v>331</v>
      </c>
      <c r="AR140">
        <v>2</v>
      </c>
      <c r="AS140">
        <v>1690308030</v>
      </c>
      <c r="AT140">
        <v>535.64800000000002</v>
      </c>
      <c r="AU140">
        <v>800.09299999999996</v>
      </c>
      <c r="AV140">
        <v>20.875499999999999</v>
      </c>
      <c r="AW140">
        <v>5.5449099999999998</v>
      </c>
      <c r="AX140">
        <v>535.51300000000003</v>
      </c>
      <c r="AY140">
        <v>20.6569</v>
      </c>
      <c r="AZ140">
        <v>300.10599999999999</v>
      </c>
      <c r="BA140">
        <v>99.207099999999997</v>
      </c>
      <c r="BB140">
        <v>9.9987599999999996E-2</v>
      </c>
      <c r="BC140">
        <v>24.312899999999999</v>
      </c>
      <c r="BD140">
        <v>26.999600000000001</v>
      </c>
      <c r="BE140">
        <v>26.1418</v>
      </c>
      <c r="BF140">
        <v>0</v>
      </c>
      <c r="BG140">
        <v>0</v>
      </c>
      <c r="BH140">
        <v>10048.1</v>
      </c>
      <c r="BI140">
        <v>1040.31</v>
      </c>
      <c r="BJ140">
        <v>1.62592</v>
      </c>
      <c r="BK140">
        <v>-264.44600000000003</v>
      </c>
      <c r="BL140">
        <v>547.06799999999998</v>
      </c>
      <c r="BM140">
        <v>804.55499999999995</v>
      </c>
      <c r="BN140">
        <v>15.3306</v>
      </c>
      <c r="BO140">
        <v>800.09299999999996</v>
      </c>
      <c r="BP140">
        <v>5.5449099999999998</v>
      </c>
      <c r="BQ140">
        <v>2.0710000000000002</v>
      </c>
      <c r="BR140">
        <v>0.550095</v>
      </c>
      <c r="BS140">
        <v>17.997800000000002</v>
      </c>
      <c r="BT140">
        <v>-1.4959800000000001</v>
      </c>
      <c r="BU140">
        <v>1800</v>
      </c>
      <c r="BV140">
        <v>0.909999</v>
      </c>
      <c r="BW140">
        <v>3.4005100000000003E-2</v>
      </c>
      <c r="BX140">
        <v>2.1997900000000001E-2</v>
      </c>
      <c r="BY140">
        <v>3.3997600000000003E-2</v>
      </c>
      <c r="BZ140">
        <v>26</v>
      </c>
      <c r="CA140">
        <v>33528.400000000001</v>
      </c>
      <c r="CB140">
        <v>1690306253.5999999</v>
      </c>
      <c r="CC140" t="s">
        <v>332</v>
      </c>
      <c r="CD140">
        <v>1690306253.5999999</v>
      </c>
      <c r="CE140">
        <v>1690306251.5999999</v>
      </c>
      <c r="CF140">
        <v>9</v>
      </c>
      <c r="CG140">
        <v>0.19</v>
      </c>
      <c r="CH140">
        <v>-8.7999999999999995E-2</v>
      </c>
      <c r="CI140">
        <v>-5.0999999999999997E-2</v>
      </c>
      <c r="CJ140">
        <v>5.0999999999999997E-2</v>
      </c>
      <c r="CK140">
        <v>799</v>
      </c>
      <c r="CL140">
        <v>15</v>
      </c>
      <c r="CM140">
        <v>0.28000000000000003</v>
      </c>
      <c r="CN140">
        <v>0.03</v>
      </c>
      <c r="CO140">
        <v>-262.34944999999999</v>
      </c>
      <c r="CP140">
        <v>-11.73694559099412</v>
      </c>
      <c r="CQ140">
        <v>1.1308911519240039</v>
      </c>
      <c r="CR140">
        <v>-1</v>
      </c>
      <c r="CS140">
        <v>15.1339925</v>
      </c>
      <c r="CT140">
        <v>1.1531560975609361</v>
      </c>
      <c r="CU140">
        <v>0.1110962654356573</v>
      </c>
      <c r="CV140">
        <v>-1</v>
      </c>
      <c r="CW140">
        <v>0</v>
      </c>
      <c r="CX140">
        <v>0</v>
      </c>
      <c r="CY140" t="s">
        <v>333</v>
      </c>
      <c r="CZ140">
        <v>2.3644099999999999</v>
      </c>
      <c r="DA140">
        <v>2.7138200000000001</v>
      </c>
      <c r="DB140">
        <v>0.11118599999999999</v>
      </c>
      <c r="DC140">
        <v>0.14624500000000001</v>
      </c>
      <c r="DD140">
        <v>0.103135</v>
      </c>
      <c r="DE140">
        <v>3.7017300000000003E-2</v>
      </c>
      <c r="DF140">
        <v>32464.400000000001</v>
      </c>
      <c r="DG140">
        <v>27534.6</v>
      </c>
      <c r="DH140">
        <v>31182</v>
      </c>
      <c r="DI140">
        <v>28102.6</v>
      </c>
      <c r="DJ140">
        <v>37972.6</v>
      </c>
      <c r="DK140">
        <v>38493.300000000003</v>
      </c>
      <c r="DL140">
        <v>44379.1</v>
      </c>
      <c r="DM140">
        <v>42602.5</v>
      </c>
      <c r="DN140">
        <v>1.43435</v>
      </c>
      <c r="DO140">
        <v>2.0354800000000002</v>
      </c>
      <c r="DP140">
        <v>0.18183099999999999</v>
      </c>
      <c r="DQ140">
        <v>0.15477099999999999</v>
      </c>
      <c r="DR140">
        <v>24.018599999999999</v>
      </c>
      <c r="DS140">
        <v>23.601900000000001</v>
      </c>
      <c r="DT140">
        <v>42.7</v>
      </c>
      <c r="DU140">
        <v>29.4</v>
      </c>
      <c r="DV140">
        <v>17.714500000000001</v>
      </c>
      <c r="DW140">
        <v>61.292999999999999</v>
      </c>
      <c r="DX140">
        <v>36.586500000000001</v>
      </c>
      <c r="DY140">
        <v>1</v>
      </c>
      <c r="DZ140">
        <v>-8.7601600000000002E-2</v>
      </c>
      <c r="EA140">
        <v>1.4419599999999999</v>
      </c>
      <c r="EB140">
        <v>20.182200000000002</v>
      </c>
      <c r="EC140">
        <v>5.24125</v>
      </c>
      <c r="ED140">
        <v>12.039899999999999</v>
      </c>
      <c r="EE140">
        <v>5.0169499999999996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1.86463</v>
      </c>
      <c r="EM140">
        <v>1.8692</v>
      </c>
      <c r="EN140">
        <v>1.86724</v>
      </c>
      <c r="EO140">
        <v>1.8633999999999999</v>
      </c>
      <c r="EP140">
        <v>1.8644700000000001</v>
      </c>
      <c r="EQ140">
        <v>1.87015</v>
      </c>
      <c r="ER140">
        <v>1.8694500000000001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0.13500000000000001</v>
      </c>
      <c r="FG140">
        <v>0.21859999999999999</v>
      </c>
      <c r="FH140">
        <v>0.49996858830924029</v>
      </c>
      <c r="FI140">
        <v>-6.1462078757559423E-4</v>
      </c>
      <c r="FJ140">
        <v>-1.8861989874597051E-7</v>
      </c>
      <c r="FK140">
        <v>1.1980462299894961E-10</v>
      </c>
      <c r="FL140">
        <v>-3.8593581000597899E-2</v>
      </c>
      <c r="FM140">
        <v>-1.6848085045870601E-2</v>
      </c>
      <c r="FN140">
        <v>1.9789084769509481E-3</v>
      </c>
      <c r="FO140">
        <v>-2.7142391389806329E-5</v>
      </c>
      <c r="FP140">
        <v>3</v>
      </c>
      <c r="FQ140">
        <v>2158</v>
      </c>
      <c r="FR140">
        <v>1</v>
      </c>
      <c r="FS140">
        <v>19</v>
      </c>
      <c r="FT140">
        <v>29.6</v>
      </c>
      <c r="FU140">
        <v>29.6</v>
      </c>
      <c r="FV140">
        <v>1.7712399999999999</v>
      </c>
      <c r="FW140">
        <v>2.5927699999999998</v>
      </c>
      <c r="FX140">
        <v>1.5490699999999999</v>
      </c>
      <c r="FY140">
        <v>2.3278799999999999</v>
      </c>
      <c r="FZ140">
        <v>1.50024</v>
      </c>
      <c r="GA140">
        <v>2.3010299999999999</v>
      </c>
      <c r="GB140">
        <v>34.077100000000002</v>
      </c>
      <c r="GC140">
        <v>23.982399999999998</v>
      </c>
      <c r="GD140">
        <v>19</v>
      </c>
      <c r="GE140">
        <v>265.76299999999998</v>
      </c>
      <c r="GF140">
        <v>583.495</v>
      </c>
      <c r="GG140">
        <v>21.308299999999999</v>
      </c>
      <c r="GH140">
        <v>26.2334</v>
      </c>
      <c r="GI140">
        <v>30.0002</v>
      </c>
      <c r="GJ140">
        <v>26.430399999999999</v>
      </c>
      <c r="GK140">
        <v>26.433599999999998</v>
      </c>
      <c r="GL140">
        <v>35.411299999999997</v>
      </c>
      <c r="GM140">
        <v>65.225099999999998</v>
      </c>
      <c r="GN140">
        <v>53.182200000000002</v>
      </c>
      <c r="GO140">
        <v>21.2819</v>
      </c>
      <c r="GP140">
        <v>800</v>
      </c>
      <c r="GQ140">
        <v>5.4402200000000001</v>
      </c>
      <c r="GR140">
        <v>99.774699999999996</v>
      </c>
      <c r="GS140">
        <v>99.6541</v>
      </c>
    </row>
    <row r="141" spans="1:201" x14ac:dyDescent="0.25">
      <c r="A141">
        <v>125</v>
      </c>
      <c r="B141">
        <v>1690308040</v>
      </c>
      <c r="C141">
        <v>1421.400000095367</v>
      </c>
      <c r="D141" t="s">
        <v>583</v>
      </c>
      <c r="E141" t="s">
        <v>584</v>
      </c>
      <c r="F141" t="s">
        <v>330</v>
      </c>
      <c r="H141">
        <v>1690308040</v>
      </c>
      <c r="I141">
        <f t="shared" si="30"/>
        <v>1.5191044211935924E-3</v>
      </c>
      <c r="J141">
        <f t="shared" si="31"/>
        <v>1.5191044211935925</v>
      </c>
      <c r="K141">
        <f t="shared" si="32"/>
        <v>24.819420713517559</v>
      </c>
      <c r="L141">
        <f t="shared" si="33"/>
        <v>533.75199999999995</v>
      </c>
      <c r="M141">
        <f t="shared" si="34"/>
        <v>179.12886395924818</v>
      </c>
      <c r="N141">
        <f t="shared" si="35"/>
        <v>17.788944018109181</v>
      </c>
      <c r="O141">
        <f t="shared" si="36"/>
        <v>53.005887703915199</v>
      </c>
      <c r="P141">
        <f t="shared" si="37"/>
        <v>0.11732311687342992</v>
      </c>
      <c r="Q141">
        <f t="shared" si="38"/>
        <v>2.198415587815743</v>
      </c>
      <c r="R141">
        <f t="shared" si="39"/>
        <v>0.11395243692562075</v>
      </c>
      <c r="S141">
        <f t="shared" si="40"/>
        <v>7.1515048997580349E-2</v>
      </c>
      <c r="T141">
        <f t="shared" si="41"/>
        <v>276.11510716800001</v>
      </c>
      <c r="U141">
        <f t="shared" si="42"/>
        <v>25.919449276030313</v>
      </c>
      <c r="V141">
        <f t="shared" si="43"/>
        <v>25.919449276030313</v>
      </c>
      <c r="W141">
        <f t="shared" si="44"/>
        <v>3.358208637572853</v>
      </c>
      <c r="X141">
        <f t="shared" si="45"/>
        <v>67.863431881747573</v>
      </c>
      <c r="Y141">
        <f t="shared" si="46"/>
        <v>2.07051393736044</v>
      </c>
      <c r="Z141">
        <f t="shared" si="47"/>
        <v>3.0510009292903471</v>
      </c>
      <c r="AA141">
        <f t="shared" si="48"/>
        <v>1.2876947002124131</v>
      </c>
      <c r="AB141">
        <f t="shared" si="49"/>
        <v>-66.992504974637427</v>
      </c>
      <c r="AC141">
        <f t="shared" si="50"/>
        <v>-190.88388041826491</v>
      </c>
      <c r="AD141">
        <f t="shared" si="51"/>
        <v>-18.387458927923163</v>
      </c>
      <c r="AE141">
        <f t="shared" si="52"/>
        <v>-0.1487371528254755</v>
      </c>
      <c r="AF141">
        <v>13</v>
      </c>
      <c r="AG141">
        <v>4</v>
      </c>
      <c r="AH141">
        <f t="shared" si="53"/>
        <v>1</v>
      </c>
      <c r="AI141">
        <f t="shared" si="54"/>
        <v>0</v>
      </c>
      <c r="AJ141">
        <f t="shared" si="55"/>
        <v>53040.864681971405</v>
      </c>
      <c r="AK141">
        <f t="shared" si="56"/>
        <v>1800</v>
      </c>
      <c r="AL141">
        <f t="shared" si="57"/>
        <v>1499.1112188</v>
      </c>
      <c r="AM141">
        <f t="shared" si="58"/>
        <v>0.83283956599999998</v>
      </c>
      <c r="AN141">
        <f t="shared" si="59"/>
        <v>0.15339728176</v>
      </c>
      <c r="AO141">
        <v>31.2</v>
      </c>
      <c r="AP141">
        <v>0.5</v>
      </c>
      <c r="AQ141" t="s">
        <v>331</v>
      </c>
      <c r="AR141">
        <v>2</v>
      </c>
      <c r="AS141">
        <v>1690308040</v>
      </c>
      <c r="AT141">
        <v>533.75199999999995</v>
      </c>
      <c r="AU141">
        <v>800.11300000000006</v>
      </c>
      <c r="AV141">
        <v>20.849399999999999</v>
      </c>
      <c r="AW141">
        <v>5.3913399999999996</v>
      </c>
      <c r="AX141">
        <v>533.61599999999999</v>
      </c>
      <c r="AY141">
        <v>20.631599999999999</v>
      </c>
      <c r="AZ141">
        <v>300.21800000000002</v>
      </c>
      <c r="BA141">
        <v>99.208100000000002</v>
      </c>
      <c r="BB141">
        <v>9.9982600000000005E-2</v>
      </c>
      <c r="BC141">
        <v>24.308900000000001</v>
      </c>
      <c r="BD141">
        <v>26.986599999999999</v>
      </c>
      <c r="BE141">
        <v>26.119299999999999</v>
      </c>
      <c r="BF141">
        <v>0</v>
      </c>
      <c r="BG141">
        <v>0</v>
      </c>
      <c r="BH141">
        <v>10021.200000000001</v>
      </c>
      <c r="BI141">
        <v>1040.32</v>
      </c>
      <c r="BJ141">
        <v>1.62592</v>
      </c>
      <c r="BK141">
        <v>-266.36</v>
      </c>
      <c r="BL141">
        <v>545.11800000000005</v>
      </c>
      <c r="BM141">
        <v>804.45</v>
      </c>
      <c r="BN141">
        <v>15.4581</v>
      </c>
      <c r="BO141">
        <v>800.11300000000006</v>
      </c>
      <c r="BP141">
        <v>5.3913399999999996</v>
      </c>
      <c r="BQ141">
        <v>2.0684300000000002</v>
      </c>
      <c r="BR141">
        <v>0.53486500000000003</v>
      </c>
      <c r="BS141">
        <v>17.978100000000001</v>
      </c>
      <c r="BT141">
        <v>-1.8771500000000001</v>
      </c>
      <c r="BU141">
        <v>1800</v>
      </c>
      <c r="BV141">
        <v>0.91</v>
      </c>
      <c r="BW141">
        <v>3.4004899999999998E-2</v>
      </c>
      <c r="BX141">
        <v>2.1997800000000001E-2</v>
      </c>
      <c r="BY141">
        <v>3.3997399999999997E-2</v>
      </c>
      <c r="BZ141">
        <v>26</v>
      </c>
      <c r="CA141">
        <v>33528.400000000001</v>
      </c>
      <c r="CB141">
        <v>1690306253.5999999</v>
      </c>
      <c r="CC141" t="s">
        <v>332</v>
      </c>
      <c r="CD141">
        <v>1690306253.5999999</v>
      </c>
      <c r="CE141">
        <v>1690306251.5999999</v>
      </c>
      <c r="CF141">
        <v>9</v>
      </c>
      <c r="CG141">
        <v>0.19</v>
      </c>
      <c r="CH141">
        <v>-8.7999999999999995E-2</v>
      </c>
      <c r="CI141">
        <v>-5.0999999999999997E-2</v>
      </c>
      <c r="CJ141">
        <v>5.0999999999999997E-2</v>
      </c>
      <c r="CK141">
        <v>799</v>
      </c>
      <c r="CL141">
        <v>15</v>
      </c>
      <c r="CM141">
        <v>0.28000000000000003</v>
      </c>
      <c r="CN141">
        <v>0.03</v>
      </c>
      <c r="CO141">
        <v>-264.14270731707319</v>
      </c>
      <c r="CP141">
        <v>-11.26820905923363</v>
      </c>
      <c r="CQ141">
        <v>1.1128714177233059</v>
      </c>
      <c r="CR141">
        <v>-1</v>
      </c>
      <c r="CS141">
        <v>15.29192682926829</v>
      </c>
      <c r="CT141">
        <v>0.900464111498255</v>
      </c>
      <c r="CU141">
        <v>8.9759861267854624E-2</v>
      </c>
      <c r="CV141">
        <v>-1</v>
      </c>
      <c r="CW141">
        <v>0</v>
      </c>
      <c r="CX141">
        <v>0</v>
      </c>
      <c r="CY141" t="s">
        <v>333</v>
      </c>
      <c r="CZ141">
        <v>2.3647800000000001</v>
      </c>
      <c r="DA141">
        <v>2.7137899999999999</v>
      </c>
      <c r="DB141">
        <v>0.110904</v>
      </c>
      <c r="DC141">
        <v>0.14624699999999999</v>
      </c>
      <c r="DD141">
        <v>0.103047</v>
      </c>
      <c r="DE141">
        <v>3.6170000000000001E-2</v>
      </c>
      <c r="DF141">
        <v>32475.3</v>
      </c>
      <c r="DG141">
        <v>27534.3</v>
      </c>
      <c r="DH141">
        <v>31182.6</v>
      </c>
      <c r="DI141">
        <v>28102.400000000001</v>
      </c>
      <c r="DJ141">
        <v>37976.9</v>
      </c>
      <c r="DK141">
        <v>38526.800000000003</v>
      </c>
      <c r="DL141">
        <v>44379.9</v>
      </c>
      <c r="DM141">
        <v>42602</v>
      </c>
      <c r="DN141">
        <v>1.43407</v>
      </c>
      <c r="DO141">
        <v>2.0352299999999999</v>
      </c>
      <c r="DP141">
        <v>0.18099000000000001</v>
      </c>
      <c r="DQ141">
        <v>0.15327299999999999</v>
      </c>
      <c r="DR141">
        <v>24.019400000000001</v>
      </c>
      <c r="DS141">
        <v>23.603899999999999</v>
      </c>
      <c r="DT141">
        <v>42.3</v>
      </c>
      <c r="DU141">
        <v>29.4</v>
      </c>
      <c r="DV141">
        <v>17.548400000000001</v>
      </c>
      <c r="DW141">
        <v>61.402999999999999</v>
      </c>
      <c r="DX141">
        <v>35.9054</v>
      </c>
      <c r="DY141">
        <v>1</v>
      </c>
      <c r="DZ141">
        <v>-8.7649900000000003E-2</v>
      </c>
      <c r="EA141">
        <v>1.33883</v>
      </c>
      <c r="EB141">
        <v>20.183299999999999</v>
      </c>
      <c r="EC141">
        <v>5.2406499999999996</v>
      </c>
      <c r="ED141">
        <v>12.039899999999999</v>
      </c>
      <c r="EE141">
        <v>5.0171000000000001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1.8689199999999999</v>
      </c>
      <c r="EL141">
        <v>1.8646499999999999</v>
      </c>
      <c r="EM141">
        <v>1.8692</v>
      </c>
      <c r="EN141">
        <v>1.8672599999999999</v>
      </c>
      <c r="EO141">
        <v>1.8633999999999999</v>
      </c>
      <c r="EP141">
        <v>1.8644700000000001</v>
      </c>
      <c r="EQ141">
        <v>1.8701700000000001</v>
      </c>
      <c r="ER141">
        <v>1.86944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0.13600000000000001</v>
      </c>
      <c r="FG141">
        <v>0.21779999999999999</v>
      </c>
      <c r="FH141">
        <v>0.49996858830924029</v>
      </c>
      <c r="FI141">
        <v>-6.1462078757559423E-4</v>
      </c>
      <c r="FJ141">
        <v>-1.8861989874597051E-7</v>
      </c>
      <c r="FK141">
        <v>1.1980462299894961E-10</v>
      </c>
      <c r="FL141">
        <v>-3.8593581000597899E-2</v>
      </c>
      <c r="FM141">
        <v>-1.6848085045870601E-2</v>
      </c>
      <c r="FN141">
        <v>1.9789084769509481E-3</v>
      </c>
      <c r="FO141">
        <v>-2.7142391389806329E-5</v>
      </c>
      <c r="FP141">
        <v>3</v>
      </c>
      <c r="FQ141">
        <v>2158</v>
      </c>
      <c r="FR141">
        <v>1</v>
      </c>
      <c r="FS141">
        <v>19</v>
      </c>
      <c r="FT141">
        <v>29.8</v>
      </c>
      <c r="FU141">
        <v>29.8</v>
      </c>
      <c r="FV141">
        <v>1.7712399999999999</v>
      </c>
      <c r="FW141">
        <v>2.5927699999999998</v>
      </c>
      <c r="FX141">
        <v>1.5490699999999999</v>
      </c>
      <c r="FY141">
        <v>2.3278799999999999</v>
      </c>
      <c r="FZ141">
        <v>1.50146</v>
      </c>
      <c r="GA141">
        <v>2.36084</v>
      </c>
      <c r="GB141">
        <v>34.077100000000002</v>
      </c>
      <c r="GC141">
        <v>23.982399999999998</v>
      </c>
      <c r="GD141">
        <v>19</v>
      </c>
      <c r="GE141">
        <v>265.63200000000001</v>
      </c>
      <c r="GF141">
        <v>583.23199999999997</v>
      </c>
      <c r="GG141">
        <v>21.275099999999998</v>
      </c>
      <c r="GH141">
        <v>26.229500000000002</v>
      </c>
      <c r="GI141">
        <v>30.0001</v>
      </c>
      <c r="GJ141">
        <v>26.425999999999998</v>
      </c>
      <c r="GK141">
        <v>26.428699999999999</v>
      </c>
      <c r="GL141">
        <v>35.405799999999999</v>
      </c>
      <c r="GM141">
        <v>65.539900000000003</v>
      </c>
      <c r="GN141">
        <v>52.412399999999998</v>
      </c>
      <c r="GO141">
        <v>21.282</v>
      </c>
      <c r="GP141">
        <v>800</v>
      </c>
      <c r="GQ141">
        <v>5.2938900000000002</v>
      </c>
      <c r="GR141">
        <v>99.776399999999995</v>
      </c>
      <c r="GS141">
        <v>99.653000000000006</v>
      </c>
    </row>
    <row r="142" spans="1:201" x14ac:dyDescent="0.25">
      <c r="A142">
        <v>126</v>
      </c>
      <c r="B142">
        <v>1690308050</v>
      </c>
      <c r="C142">
        <v>1431.400000095367</v>
      </c>
      <c r="D142" t="s">
        <v>585</v>
      </c>
      <c r="E142" t="s">
        <v>586</v>
      </c>
      <c r="F142" t="s">
        <v>330</v>
      </c>
      <c r="H142">
        <v>1690308050</v>
      </c>
      <c r="I142">
        <f t="shared" si="30"/>
        <v>1.5309502385500101E-3</v>
      </c>
      <c r="J142">
        <f t="shared" si="31"/>
        <v>1.5309502385500102</v>
      </c>
      <c r="K142">
        <f t="shared" si="32"/>
        <v>24.986573525368112</v>
      </c>
      <c r="L142">
        <f t="shared" si="33"/>
        <v>531.75900000000001</v>
      </c>
      <c r="M142">
        <f t="shared" si="34"/>
        <v>177.53482326821927</v>
      </c>
      <c r="N142">
        <f t="shared" si="35"/>
        <v>17.630747266219316</v>
      </c>
      <c r="O142">
        <f t="shared" si="36"/>
        <v>52.808279316409497</v>
      </c>
      <c r="P142">
        <f t="shared" si="37"/>
        <v>0.11826233159500385</v>
      </c>
      <c r="Q142">
        <f t="shared" si="38"/>
        <v>2.196360394715875</v>
      </c>
      <c r="R142">
        <f t="shared" si="39"/>
        <v>0.1148352124745653</v>
      </c>
      <c r="S142">
        <f t="shared" si="40"/>
        <v>7.207164834111926E-2</v>
      </c>
      <c r="T142">
        <f t="shared" si="41"/>
        <v>276.1134365579415</v>
      </c>
      <c r="U142">
        <f t="shared" si="42"/>
        <v>25.915586900710366</v>
      </c>
      <c r="V142">
        <f t="shared" si="43"/>
        <v>25.915586900710366</v>
      </c>
      <c r="W142">
        <f t="shared" si="44"/>
        <v>3.3574407341202197</v>
      </c>
      <c r="X142">
        <f t="shared" si="45"/>
        <v>67.84039419987819</v>
      </c>
      <c r="Y142">
        <f t="shared" si="46"/>
        <v>2.0696622092893495</v>
      </c>
      <c r="Z142">
        <f t="shared" si="47"/>
        <v>3.050781519917916</v>
      </c>
      <c r="AA142">
        <f t="shared" si="48"/>
        <v>1.2877785248308702</v>
      </c>
      <c r="AB142">
        <f t="shared" si="49"/>
        <v>-67.51490552005545</v>
      </c>
      <c r="AC142">
        <f t="shared" si="50"/>
        <v>-190.39017990525056</v>
      </c>
      <c r="AD142">
        <f t="shared" si="51"/>
        <v>-18.356594862761156</v>
      </c>
      <c r="AE142">
        <f t="shared" si="52"/>
        <v>-0.14824373012564251</v>
      </c>
      <c r="AF142">
        <v>13</v>
      </c>
      <c r="AG142">
        <v>4</v>
      </c>
      <c r="AH142">
        <f t="shared" si="53"/>
        <v>1</v>
      </c>
      <c r="AI142">
        <f t="shared" si="54"/>
        <v>0</v>
      </c>
      <c r="AJ142">
        <f t="shared" si="55"/>
        <v>52956.137390479773</v>
      </c>
      <c r="AK142">
        <f t="shared" si="56"/>
        <v>1799.99</v>
      </c>
      <c r="AL142">
        <f t="shared" si="57"/>
        <v>1499.1026276058001</v>
      </c>
      <c r="AM142">
        <f t="shared" si="58"/>
        <v>0.83283942</v>
      </c>
      <c r="AN142">
        <f t="shared" si="59"/>
        <v>0.15339720585</v>
      </c>
      <c r="AO142">
        <v>31.2</v>
      </c>
      <c r="AP142">
        <v>0.5</v>
      </c>
      <c r="AQ142" t="s">
        <v>331</v>
      </c>
      <c r="AR142">
        <v>2</v>
      </c>
      <c r="AS142">
        <v>1690308050</v>
      </c>
      <c r="AT142">
        <v>531.75900000000001</v>
      </c>
      <c r="AU142">
        <v>799.976</v>
      </c>
      <c r="AV142">
        <v>20.840699999999998</v>
      </c>
      <c r="AW142">
        <v>5.2570300000000003</v>
      </c>
      <c r="AX142">
        <v>531.62099999999998</v>
      </c>
      <c r="AY142">
        <v>20.623200000000001</v>
      </c>
      <c r="AZ142">
        <v>300.12299999999999</v>
      </c>
      <c r="BA142">
        <v>99.208699999999993</v>
      </c>
      <c r="BB142">
        <v>9.9970500000000004E-2</v>
      </c>
      <c r="BC142">
        <v>24.307700000000001</v>
      </c>
      <c r="BD142">
        <v>26.953299999999999</v>
      </c>
      <c r="BE142">
        <v>26.138000000000002</v>
      </c>
      <c r="BF142">
        <v>0</v>
      </c>
      <c r="BG142">
        <v>0</v>
      </c>
      <c r="BH142">
        <v>10004.4</v>
      </c>
      <c r="BI142">
        <v>1040.44</v>
      </c>
      <c r="BJ142">
        <v>1.62592</v>
      </c>
      <c r="BK142">
        <v>-268.21800000000002</v>
      </c>
      <c r="BL142">
        <v>543.077</v>
      </c>
      <c r="BM142">
        <v>804.20399999999995</v>
      </c>
      <c r="BN142">
        <v>15.583600000000001</v>
      </c>
      <c r="BO142">
        <v>799.976</v>
      </c>
      <c r="BP142">
        <v>5.2570300000000003</v>
      </c>
      <c r="BQ142">
        <v>2.06758</v>
      </c>
      <c r="BR142">
        <v>0.52154299999999998</v>
      </c>
      <c r="BS142">
        <v>17.971599999999999</v>
      </c>
      <c r="BT142">
        <v>-2.2185299999999999</v>
      </c>
      <c r="BU142">
        <v>1799.99</v>
      </c>
      <c r="BV142">
        <v>0.91000099999999995</v>
      </c>
      <c r="BW142">
        <v>3.4004399999999997E-2</v>
      </c>
      <c r="BX142">
        <v>2.19975E-2</v>
      </c>
      <c r="BY142">
        <v>3.3996899999999997E-2</v>
      </c>
      <c r="BZ142">
        <v>26</v>
      </c>
      <c r="CA142">
        <v>33528.300000000003</v>
      </c>
      <c r="CB142">
        <v>1690306253.5999999</v>
      </c>
      <c r="CC142" t="s">
        <v>332</v>
      </c>
      <c r="CD142">
        <v>1690306253.5999999</v>
      </c>
      <c r="CE142">
        <v>1690306251.5999999</v>
      </c>
      <c r="CF142">
        <v>9</v>
      </c>
      <c r="CG142">
        <v>0.19</v>
      </c>
      <c r="CH142">
        <v>-8.7999999999999995E-2</v>
      </c>
      <c r="CI142">
        <v>-5.0999999999999997E-2</v>
      </c>
      <c r="CJ142">
        <v>5.0999999999999997E-2</v>
      </c>
      <c r="CK142">
        <v>799</v>
      </c>
      <c r="CL142">
        <v>15</v>
      </c>
      <c r="CM142">
        <v>0.28000000000000003</v>
      </c>
      <c r="CN142">
        <v>0.03</v>
      </c>
      <c r="CO142">
        <v>-266.16027500000001</v>
      </c>
      <c r="CP142">
        <v>-11.029001876172719</v>
      </c>
      <c r="CQ142">
        <v>1.06270485054647</v>
      </c>
      <c r="CR142">
        <v>-1</v>
      </c>
      <c r="CS142">
        <v>15.4430225</v>
      </c>
      <c r="CT142">
        <v>0.76026754221384496</v>
      </c>
      <c r="CU142">
        <v>7.3598863739530659E-2</v>
      </c>
      <c r="CV142">
        <v>-1</v>
      </c>
      <c r="CW142">
        <v>0</v>
      </c>
      <c r="CX142">
        <v>0</v>
      </c>
      <c r="CY142" t="s">
        <v>333</v>
      </c>
      <c r="CZ142">
        <v>2.3644699999999998</v>
      </c>
      <c r="DA142">
        <v>2.7137600000000002</v>
      </c>
      <c r="DB142">
        <v>0.110607</v>
      </c>
      <c r="DC142">
        <v>0.14623</v>
      </c>
      <c r="DD142">
        <v>0.103018</v>
      </c>
      <c r="DE142">
        <v>3.5423299999999998E-2</v>
      </c>
      <c r="DF142">
        <v>32486.1</v>
      </c>
      <c r="DG142">
        <v>27535.5</v>
      </c>
      <c r="DH142">
        <v>31182.5</v>
      </c>
      <c r="DI142">
        <v>28103.1</v>
      </c>
      <c r="DJ142">
        <v>37978.300000000003</v>
      </c>
      <c r="DK142">
        <v>38557.699999999997</v>
      </c>
      <c r="DL142">
        <v>44380.1</v>
      </c>
      <c r="DM142">
        <v>42603.1</v>
      </c>
      <c r="DN142">
        <v>1.4348000000000001</v>
      </c>
      <c r="DO142">
        <v>2.0354000000000001</v>
      </c>
      <c r="DP142">
        <v>0.17899999999999999</v>
      </c>
      <c r="DQ142">
        <v>0.15441299999999999</v>
      </c>
      <c r="DR142">
        <v>24.018599999999999</v>
      </c>
      <c r="DS142">
        <v>23.603899999999999</v>
      </c>
      <c r="DT142">
        <v>42</v>
      </c>
      <c r="DU142">
        <v>29.4</v>
      </c>
      <c r="DV142">
        <v>17.4254</v>
      </c>
      <c r="DW142">
        <v>61.213099999999997</v>
      </c>
      <c r="DX142">
        <v>36.810899999999997</v>
      </c>
      <c r="DY142">
        <v>1</v>
      </c>
      <c r="DZ142">
        <v>-8.8302800000000001E-2</v>
      </c>
      <c r="EA142">
        <v>1.2735099999999999</v>
      </c>
      <c r="EB142">
        <v>20.184000000000001</v>
      </c>
      <c r="EC142">
        <v>5.2408000000000001</v>
      </c>
      <c r="ED142">
        <v>12.039899999999999</v>
      </c>
      <c r="EE142">
        <v>5.01675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1.86893</v>
      </c>
      <c r="EL142">
        <v>1.8646400000000001</v>
      </c>
      <c r="EM142">
        <v>1.8692</v>
      </c>
      <c r="EN142">
        <v>1.8672500000000001</v>
      </c>
      <c r="EO142">
        <v>1.8633999999999999</v>
      </c>
      <c r="EP142">
        <v>1.8644700000000001</v>
      </c>
      <c r="EQ142">
        <v>1.87016</v>
      </c>
      <c r="ER142">
        <v>1.86944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0.13800000000000001</v>
      </c>
      <c r="FG142">
        <v>0.2175</v>
      </c>
      <c r="FH142">
        <v>0.49996858830924029</v>
      </c>
      <c r="FI142">
        <v>-6.1462078757559423E-4</v>
      </c>
      <c r="FJ142">
        <v>-1.8861989874597051E-7</v>
      </c>
      <c r="FK142">
        <v>1.1980462299894961E-10</v>
      </c>
      <c r="FL142">
        <v>-3.8593581000597899E-2</v>
      </c>
      <c r="FM142">
        <v>-1.6848085045870601E-2</v>
      </c>
      <c r="FN142">
        <v>1.9789084769509481E-3</v>
      </c>
      <c r="FO142">
        <v>-2.7142391389806329E-5</v>
      </c>
      <c r="FP142">
        <v>3</v>
      </c>
      <c r="FQ142">
        <v>2158</v>
      </c>
      <c r="FR142">
        <v>1</v>
      </c>
      <c r="FS142">
        <v>19</v>
      </c>
      <c r="FT142">
        <v>29.9</v>
      </c>
      <c r="FU142">
        <v>30</v>
      </c>
      <c r="FV142">
        <v>1.7712399999999999</v>
      </c>
      <c r="FW142">
        <v>2.5891099999999998</v>
      </c>
      <c r="FX142">
        <v>1.5490699999999999</v>
      </c>
      <c r="FY142">
        <v>2.3278799999999999</v>
      </c>
      <c r="FZ142">
        <v>1.50146</v>
      </c>
      <c r="GA142">
        <v>2.3706100000000001</v>
      </c>
      <c r="GB142">
        <v>34.077100000000002</v>
      </c>
      <c r="GC142">
        <v>23.982399999999998</v>
      </c>
      <c r="GD142">
        <v>19</v>
      </c>
      <c r="GE142">
        <v>265.91000000000003</v>
      </c>
      <c r="GF142">
        <v>583.327</v>
      </c>
      <c r="GG142">
        <v>21.2867</v>
      </c>
      <c r="GH142">
        <v>26.2256</v>
      </c>
      <c r="GI142">
        <v>29.999700000000001</v>
      </c>
      <c r="GJ142">
        <v>26.421600000000002</v>
      </c>
      <c r="GK142">
        <v>26.424299999999999</v>
      </c>
      <c r="GL142">
        <v>35.407499999999999</v>
      </c>
      <c r="GM142">
        <v>66.135199999999998</v>
      </c>
      <c r="GN142">
        <v>51.6494</v>
      </c>
      <c r="GO142">
        <v>21.293299999999999</v>
      </c>
      <c r="GP142">
        <v>800</v>
      </c>
      <c r="GQ142">
        <v>5.1393700000000004</v>
      </c>
      <c r="GR142">
        <v>99.776600000000002</v>
      </c>
      <c r="GS142">
        <v>99.655500000000004</v>
      </c>
    </row>
    <row r="143" spans="1:201" x14ac:dyDescent="0.25">
      <c r="A143">
        <v>127</v>
      </c>
      <c r="B143">
        <v>1690308060</v>
      </c>
      <c r="C143">
        <v>1441.400000095367</v>
      </c>
      <c r="D143" t="s">
        <v>587</v>
      </c>
      <c r="E143" t="s">
        <v>588</v>
      </c>
      <c r="F143" t="s">
        <v>330</v>
      </c>
      <c r="H143">
        <v>1690308060</v>
      </c>
      <c r="I143">
        <f t="shared" si="30"/>
        <v>1.5464579984475978E-3</v>
      </c>
      <c r="J143">
        <f t="shared" si="31"/>
        <v>1.5464579984475979</v>
      </c>
      <c r="K143">
        <f t="shared" si="32"/>
        <v>25.152518098924393</v>
      </c>
      <c r="L143">
        <f t="shared" si="33"/>
        <v>529.97799999999995</v>
      </c>
      <c r="M143">
        <f t="shared" si="34"/>
        <v>177.18971246828556</v>
      </c>
      <c r="N143">
        <f t="shared" si="35"/>
        <v>17.596464228714819</v>
      </c>
      <c r="O143">
        <f t="shared" si="36"/>
        <v>52.631379040557995</v>
      </c>
      <c r="P143">
        <f t="shared" si="37"/>
        <v>0.1195667913306258</v>
      </c>
      <c r="Q143">
        <f t="shared" si="38"/>
        <v>2.1959659306276738</v>
      </c>
      <c r="R143">
        <f t="shared" si="39"/>
        <v>0.11606424742938193</v>
      </c>
      <c r="S143">
        <f t="shared" si="40"/>
        <v>7.2846297878325555E-2</v>
      </c>
      <c r="T143">
        <f t="shared" si="41"/>
        <v>276.11498926799999</v>
      </c>
      <c r="U143">
        <f t="shared" si="42"/>
        <v>25.911089439894987</v>
      </c>
      <c r="V143">
        <f t="shared" si="43"/>
        <v>25.911089439894987</v>
      </c>
      <c r="W143">
        <f t="shared" si="44"/>
        <v>3.3565467585462514</v>
      </c>
      <c r="X143">
        <f t="shared" si="45"/>
        <v>67.832787078766614</v>
      </c>
      <c r="Y143">
        <f t="shared" si="46"/>
        <v>2.0694921446289998</v>
      </c>
      <c r="Z143">
        <f t="shared" si="47"/>
        <v>3.0508729388133946</v>
      </c>
      <c r="AA143">
        <f t="shared" si="48"/>
        <v>1.2870546139172516</v>
      </c>
      <c r="AB143">
        <f t="shared" si="49"/>
        <v>-68.198797731539059</v>
      </c>
      <c r="AC143">
        <f t="shared" si="50"/>
        <v>-189.76434205805208</v>
      </c>
      <c r="AD143">
        <f t="shared" si="51"/>
        <v>-18.299171975441556</v>
      </c>
      <c r="AE143">
        <f t="shared" si="52"/>
        <v>-0.14732249703268963</v>
      </c>
      <c r="AF143">
        <v>13</v>
      </c>
      <c r="AG143">
        <v>4</v>
      </c>
      <c r="AH143">
        <f t="shared" si="53"/>
        <v>1</v>
      </c>
      <c r="AI143">
        <f t="shared" si="54"/>
        <v>0</v>
      </c>
      <c r="AJ143">
        <f t="shared" si="55"/>
        <v>52939.749843722719</v>
      </c>
      <c r="AK143">
        <f t="shared" si="56"/>
        <v>1800</v>
      </c>
      <c r="AL143">
        <f t="shared" si="57"/>
        <v>1499.1113717999999</v>
      </c>
      <c r="AM143">
        <f t="shared" si="58"/>
        <v>0.83283965100000001</v>
      </c>
      <c r="AN143">
        <f t="shared" si="59"/>
        <v>0.15339721626</v>
      </c>
      <c r="AO143">
        <v>31.2</v>
      </c>
      <c r="AP143">
        <v>0.5</v>
      </c>
      <c r="AQ143" t="s">
        <v>331</v>
      </c>
      <c r="AR143">
        <v>2</v>
      </c>
      <c r="AS143">
        <v>1690308060</v>
      </c>
      <c r="AT143">
        <v>529.97799999999995</v>
      </c>
      <c r="AU143">
        <v>800.024</v>
      </c>
      <c r="AV143">
        <v>20.838999999999999</v>
      </c>
      <c r="AW143">
        <v>5.0947199999999997</v>
      </c>
      <c r="AX143">
        <v>529.83900000000006</v>
      </c>
      <c r="AY143">
        <v>20.621500000000001</v>
      </c>
      <c r="AZ143">
        <v>300.07100000000003</v>
      </c>
      <c r="BA143">
        <v>99.208600000000004</v>
      </c>
      <c r="BB143">
        <v>0.100011</v>
      </c>
      <c r="BC143">
        <v>24.308199999999999</v>
      </c>
      <c r="BD143">
        <v>26.968800000000002</v>
      </c>
      <c r="BE143">
        <v>26.1447</v>
      </c>
      <c r="BF143">
        <v>0</v>
      </c>
      <c r="BG143">
        <v>0</v>
      </c>
      <c r="BH143">
        <v>10001.200000000001</v>
      </c>
      <c r="BI143">
        <v>1040.48</v>
      </c>
      <c r="BJ143">
        <v>1.62592</v>
      </c>
      <c r="BK143">
        <v>-270.04500000000002</v>
      </c>
      <c r="BL143">
        <v>541.25800000000004</v>
      </c>
      <c r="BM143">
        <v>804.12</v>
      </c>
      <c r="BN143">
        <v>15.744300000000001</v>
      </c>
      <c r="BO143">
        <v>800.024</v>
      </c>
      <c r="BP143">
        <v>5.0947199999999997</v>
      </c>
      <c r="BQ143">
        <v>2.0674100000000002</v>
      </c>
      <c r="BR143">
        <v>0.50544100000000003</v>
      </c>
      <c r="BS143">
        <v>17.970300000000002</v>
      </c>
      <c r="BT143">
        <v>-2.6416599999999999</v>
      </c>
      <c r="BU143">
        <v>1800</v>
      </c>
      <c r="BV143">
        <v>0.91000199999999998</v>
      </c>
      <c r="BW143">
        <v>3.4004100000000002E-2</v>
      </c>
      <c r="BX143">
        <v>2.1997300000000001E-2</v>
      </c>
      <c r="BY143">
        <v>3.3996600000000002E-2</v>
      </c>
      <c r="BZ143">
        <v>26</v>
      </c>
      <c r="CA143">
        <v>33528.300000000003</v>
      </c>
      <c r="CB143">
        <v>1690306253.5999999</v>
      </c>
      <c r="CC143" t="s">
        <v>332</v>
      </c>
      <c r="CD143">
        <v>1690306253.5999999</v>
      </c>
      <c r="CE143">
        <v>1690306251.5999999</v>
      </c>
      <c r="CF143">
        <v>9</v>
      </c>
      <c r="CG143">
        <v>0.19</v>
      </c>
      <c r="CH143">
        <v>-8.7999999999999995E-2</v>
      </c>
      <c r="CI143">
        <v>-5.0999999999999997E-2</v>
      </c>
      <c r="CJ143">
        <v>5.0999999999999997E-2</v>
      </c>
      <c r="CK143">
        <v>799</v>
      </c>
      <c r="CL143">
        <v>15</v>
      </c>
      <c r="CM143">
        <v>0.28000000000000003</v>
      </c>
      <c r="CN143">
        <v>0.03</v>
      </c>
      <c r="CO143">
        <v>-268.05810000000002</v>
      </c>
      <c r="CP143">
        <v>-11.43136210131237</v>
      </c>
      <c r="CQ143">
        <v>1.100905236612127</v>
      </c>
      <c r="CR143">
        <v>-1</v>
      </c>
      <c r="CS143">
        <v>15.58292</v>
      </c>
      <c r="CT143">
        <v>0.87055609756095098</v>
      </c>
      <c r="CU143">
        <v>8.4643597513338192E-2</v>
      </c>
      <c r="CV143">
        <v>-1</v>
      </c>
      <c r="CW143">
        <v>0</v>
      </c>
      <c r="CX143">
        <v>0</v>
      </c>
      <c r="CY143" t="s">
        <v>333</v>
      </c>
      <c r="CZ143">
        <v>2.3643100000000001</v>
      </c>
      <c r="DA143">
        <v>2.7138</v>
      </c>
      <c r="DB143">
        <v>0.11033999999999999</v>
      </c>
      <c r="DC143">
        <v>0.146234</v>
      </c>
      <c r="DD143">
        <v>0.10301399999999999</v>
      </c>
      <c r="DE143">
        <v>3.4513299999999997E-2</v>
      </c>
      <c r="DF143">
        <v>32496.400000000001</v>
      </c>
      <c r="DG143">
        <v>27536</v>
      </c>
      <c r="DH143">
        <v>31183</v>
      </c>
      <c r="DI143">
        <v>28103.7</v>
      </c>
      <c r="DJ143">
        <v>37978.9</v>
      </c>
      <c r="DK143">
        <v>38594.9</v>
      </c>
      <c r="DL143">
        <v>44380.6</v>
      </c>
      <c r="DM143">
        <v>42603.9</v>
      </c>
      <c r="DN143">
        <v>1.4347000000000001</v>
      </c>
      <c r="DO143">
        <v>2.0349499999999998</v>
      </c>
      <c r="DP143">
        <v>0.17990900000000001</v>
      </c>
      <c r="DQ143">
        <v>0.15482299999999999</v>
      </c>
      <c r="DR143">
        <v>24.019300000000001</v>
      </c>
      <c r="DS143">
        <v>23.603899999999999</v>
      </c>
      <c r="DT143">
        <v>41.6</v>
      </c>
      <c r="DU143">
        <v>29.4</v>
      </c>
      <c r="DV143">
        <v>17.255500000000001</v>
      </c>
      <c r="DW143">
        <v>61.443100000000001</v>
      </c>
      <c r="DX143">
        <v>36.7348</v>
      </c>
      <c r="DY143">
        <v>1</v>
      </c>
      <c r="DZ143">
        <v>-8.89736E-2</v>
      </c>
      <c r="EA143">
        <v>1.153</v>
      </c>
      <c r="EB143">
        <v>20.185099999999998</v>
      </c>
      <c r="EC143">
        <v>5.2408000000000001</v>
      </c>
      <c r="ED143">
        <v>12.039899999999999</v>
      </c>
      <c r="EE143">
        <v>5.0167000000000002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1.8689100000000001</v>
      </c>
      <c r="EL143">
        <v>1.8646199999999999</v>
      </c>
      <c r="EM143">
        <v>1.8692</v>
      </c>
      <c r="EN143">
        <v>1.8672599999999999</v>
      </c>
      <c r="EO143">
        <v>1.8633999999999999</v>
      </c>
      <c r="EP143">
        <v>1.8644700000000001</v>
      </c>
      <c r="EQ143">
        <v>1.8701700000000001</v>
      </c>
      <c r="ER143">
        <v>1.8694599999999999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0.13900000000000001</v>
      </c>
      <c r="FG143">
        <v>0.2175</v>
      </c>
      <c r="FH143">
        <v>0.49996858830924029</v>
      </c>
      <c r="FI143">
        <v>-6.1462078757559423E-4</v>
      </c>
      <c r="FJ143">
        <v>-1.8861989874597051E-7</v>
      </c>
      <c r="FK143">
        <v>1.1980462299894961E-10</v>
      </c>
      <c r="FL143">
        <v>-3.8593581000597899E-2</v>
      </c>
      <c r="FM143">
        <v>-1.6848085045870601E-2</v>
      </c>
      <c r="FN143">
        <v>1.9789084769509481E-3</v>
      </c>
      <c r="FO143">
        <v>-2.7142391389806329E-5</v>
      </c>
      <c r="FP143">
        <v>3</v>
      </c>
      <c r="FQ143">
        <v>2158</v>
      </c>
      <c r="FR143">
        <v>1</v>
      </c>
      <c r="FS143">
        <v>19</v>
      </c>
      <c r="FT143">
        <v>30.1</v>
      </c>
      <c r="FU143">
        <v>30.1</v>
      </c>
      <c r="FV143">
        <v>1.7712399999999999</v>
      </c>
      <c r="FW143">
        <v>2.5964399999999999</v>
      </c>
      <c r="FX143">
        <v>1.5490699999999999</v>
      </c>
      <c r="FY143">
        <v>2.3278799999999999</v>
      </c>
      <c r="FZ143">
        <v>1.50146</v>
      </c>
      <c r="GA143">
        <v>2.2924799999999999</v>
      </c>
      <c r="GB143">
        <v>34.077100000000002</v>
      </c>
      <c r="GC143">
        <v>23.982399999999998</v>
      </c>
      <c r="GD143">
        <v>19</v>
      </c>
      <c r="GE143">
        <v>265.851</v>
      </c>
      <c r="GF143">
        <v>582.90599999999995</v>
      </c>
      <c r="GG143">
        <v>21.324100000000001</v>
      </c>
      <c r="GH143">
        <v>26.221699999999998</v>
      </c>
      <c r="GI143">
        <v>29.999600000000001</v>
      </c>
      <c r="GJ143">
        <v>26.417100000000001</v>
      </c>
      <c r="GK143">
        <v>26.419899999999998</v>
      </c>
      <c r="GL143">
        <v>35.403500000000001</v>
      </c>
      <c r="GM143">
        <v>66.415000000000006</v>
      </c>
      <c r="GN143">
        <v>50.885300000000001</v>
      </c>
      <c r="GO143">
        <v>21.346299999999999</v>
      </c>
      <c r="GP143">
        <v>800</v>
      </c>
      <c r="GQ143">
        <v>4.9814600000000002</v>
      </c>
      <c r="GR143">
        <v>99.777900000000002</v>
      </c>
      <c r="GS143">
        <v>99.657499999999999</v>
      </c>
    </row>
    <row r="144" spans="1:201" x14ac:dyDescent="0.25">
      <c r="A144">
        <v>128</v>
      </c>
      <c r="B144">
        <v>1690308070</v>
      </c>
      <c r="C144">
        <v>1451.400000095367</v>
      </c>
      <c r="D144" t="s">
        <v>589</v>
      </c>
      <c r="E144" t="s">
        <v>590</v>
      </c>
      <c r="F144" t="s">
        <v>330</v>
      </c>
      <c r="H144">
        <v>1690308070</v>
      </c>
      <c r="I144">
        <f t="shared" si="30"/>
        <v>1.5645629912016132E-3</v>
      </c>
      <c r="J144">
        <f t="shared" si="31"/>
        <v>1.5645629912016132</v>
      </c>
      <c r="K144">
        <f t="shared" si="32"/>
        <v>25.341586231736681</v>
      </c>
      <c r="L144">
        <f t="shared" si="33"/>
        <v>528.08199999999999</v>
      </c>
      <c r="M144">
        <f t="shared" si="34"/>
        <v>177.33658722858596</v>
      </c>
      <c r="N144">
        <f t="shared" si="35"/>
        <v>17.611175871057899</v>
      </c>
      <c r="O144">
        <f t="shared" si="36"/>
        <v>52.4434642714318</v>
      </c>
      <c r="P144">
        <f t="shared" si="37"/>
        <v>0.12120572954329215</v>
      </c>
      <c r="Q144">
        <f t="shared" si="38"/>
        <v>2.2013485720625763</v>
      </c>
      <c r="R144">
        <f t="shared" si="39"/>
        <v>0.11761657836157791</v>
      </c>
      <c r="S144">
        <f t="shared" si="40"/>
        <v>7.3823979434489678E-2</v>
      </c>
      <c r="T144">
        <f t="shared" si="41"/>
        <v>276.11337598827799</v>
      </c>
      <c r="U144">
        <f t="shared" si="42"/>
        <v>25.905851217894245</v>
      </c>
      <c r="V144">
        <f t="shared" si="43"/>
        <v>25.905851217894245</v>
      </c>
      <c r="W144">
        <f t="shared" si="44"/>
        <v>3.3555058014561445</v>
      </c>
      <c r="X144">
        <f t="shared" si="45"/>
        <v>67.849475196489976</v>
      </c>
      <c r="Y144">
        <f t="shared" si="46"/>
        <v>2.07055959618704</v>
      </c>
      <c r="Z144">
        <f t="shared" si="47"/>
        <v>3.0516958166452479</v>
      </c>
      <c r="AA144">
        <f t="shared" si="48"/>
        <v>1.2849462052691045</v>
      </c>
      <c r="AB144">
        <f t="shared" si="49"/>
        <v>-68.997227911991146</v>
      </c>
      <c r="AC144">
        <f t="shared" si="50"/>
        <v>-189.07375942197157</v>
      </c>
      <c r="AD144">
        <f t="shared" si="51"/>
        <v>-18.187927720472597</v>
      </c>
      <c r="AE144">
        <f t="shared" si="52"/>
        <v>-0.14553906615734036</v>
      </c>
      <c r="AF144">
        <v>13</v>
      </c>
      <c r="AG144">
        <v>4</v>
      </c>
      <c r="AH144">
        <f t="shared" si="53"/>
        <v>1</v>
      </c>
      <c r="AI144">
        <f t="shared" si="54"/>
        <v>0</v>
      </c>
      <c r="AJ144">
        <f t="shared" si="55"/>
        <v>53161.597140787962</v>
      </c>
      <c r="AK144">
        <f t="shared" si="56"/>
        <v>1799.99</v>
      </c>
      <c r="AL144">
        <f t="shared" si="57"/>
        <v>1499.1030416034998</v>
      </c>
      <c r="AM144">
        <f t="shared" si="58"/>
        <v>0.83283964999999993</v>
      </c>
      <c r="AN144">
        <f t="shared" si="59"/>
        <v>0.15339717219999999</v>
      </c>
      <c r="AO144">
        <v>31.2</v>
      </c>
      <c r="AP144">
        <v>0.5</v>
      </c>
      <c r="AQ144" t="s">
        <v>331</v>
      </c>
      <c r="AR144">
        <v>2</v>
      </c>
      <c r="AS144">
        <v>1690308070</v>
      </c>
      <c r="AT144">
        <v>528.08199999999999</v>
      </c>
      <c r="AU144">
        <v>800.11199999999997</v>
      </c>
      <c r="AV144">
        <v>20.849599999999999</v>
      </c>
      <c r="AW144">
        <v>4.9241400000000004</v>
      </c>
      <c r="AX144">
        <v>527.94200000000001</v>
      </c>
      <c r="AY144">
        <v>20.631799999999998</v>
      </c>
      <c r="AZ144">
        <v>300.12700000000001</v>
      </c>
      <c r="BA144">
        <v>99.209400000000002</v>
      </c>
      <c r="BB144">
        <v>9.9919900000000006E-2</v>
      </c>
      <c r="BC144">
        <v>24.3127</v>
      </c>
      <c r="BD144">
        <v>27.0059</v>
      </c>
      <c r="BE144">
        <v>26.134499999999999</v>
      </c>
      <c r="BF144">
        <v>0</v>
      </c>
      <c r="BG144">
        <v>0</v>
      </c>
      <c r="BH144">
        <v>10045</v>
      </c>
      <c r="BI144">
        <v>1040.55</v>
      </c>
      <c r="BJ144">
        <v>1.62592</v>
      </c>
      <c r="BK144">
        <v>-272.029</v>
      </c>
      <c r="BL144">
        <v>539.327</v>
      </c>
      <c r="BM144">
        <v>804.07100000000003</v>
      </c>
      <c r="BN144">
        <v>15.9254</v>
      </c>
      <c r="BO144">
        <v>800.11199999999997</v>
      </c>
      <c r="BP144">
        <v>4.9241400000000004</v>
      </c>
      <c r="BQ144">
        <v>2.06847</v>
      </c>
      <c r="BR144">
        <v>0.48852099999999998</v>
      </c>
      <c r="BS144">
        <v>17.9785</v>
      </c>
      <c r="BT144">
        <v>-3.0993300000000001</v>
      </c>
      <c r="BU144">
        <v>1799.99</v>
      </c>
      <c r="BV144">
        <v>0.91000300000000001</v>
      </c>
      <c r="BW144">
        <v>3.4003699999999998E-2</v>
      </c>
      <c r="BX144">
        <v>2.1996999999999999E-2</v>
      </c>
      <c r="BY144">
        <v>3.3996199999999997E-2</v>
      </c>
      <c r="BZ144">
        <v>26</v>
      </c>
      <c r="CA144">
        <v>33528.300000000003</v>
      </c>
      <c r="CB144">
        <v>1690306253.5999999</v>
      </c>
      <c r="CC144" t="s">
        <v>332</v>
      </c>
      <c r="CD144">
        <v>1690306253.5999999</v>
      </c>
      <c r="CE144">
        <v>1690306251.5999999</v>
      </c>
      <c r="CF144">
        <v>9</v>
      </c>
      <c r="CG144">
        <v>0.19</v>
      </c>
      <c r="CH144">
        <v>-8.7999999999999995E-2</v>
      </c>
      <c r="CI144">
        <v>-5.0999999999999997E-2</v>
      </c>
      <c r="CJ144">
        <v>5.0999999999999997E-2</v>
      </c>
      <c r="CK144">
        <v>799</v>
      </c>
      <c r="CL144">
        <v>15</v>
      </c>
      <c r="CM144">
        <v>0.28000000000000003</v>
      </c>
      <c r="CN144">
        <v>0.03</v>
      </c>
      <c r="CO144">
        <v>-270.01992682926829</v>
      </c>
      <c r="CP144">
        <v>-11.41189547038325</v>
      </c>
      <c r="CQ144">
        <v>1.126290509468677</v>
      </c>
      <c r="CR144">
        <v>-1</v>
      </c>
      <c r="CS144">
        <v>15.74124634146342</v>
      </c>
      <c r="CT144">
        <v>1.0058613240418199</v>
      </c>
      <c r="CU144">
        <v>9.9542183967673323E-2</v>
      </c>
      <c r="CV144">
        <v>-1</v>
      </c>
      <c r="CW144">
        <v>0</v>
      </c>
      <c r="CX144">
        <v>0</v>
      </c>
      <c r="CY144" t="s">
        <v>333</v>
      </c>
      <c r="CZ144">
        <v>2.3644799999999999</v>
      </c>
      <c r="DA144">
        <v>2.7137500000000001</v>
      </c>
      <c r="DB144">
        <v>0.110056</v>
      </c>
      <c r="DC144">
        <v>0.14624400000000001</v>
      </c>
      <c r="DD144">
        <v>0.103052</v>
      </c>
      <c r="DE144">
        <v>3.3548399999999999E-2</v>
      </c>
      <c r="DF144">
        <v>32507.3</v>
      </c>
      <c r="DG144">
        <v>27536.3</v>
      </c>
      <c r="DH144">
        <v>31183.599999999999</v>
      </c>
      <c r="DI144">
        <v>28104.3</v>
      </c>
      <c r="DJ144">
        <v>37977.9</v>
      </c>
      <c r="DK144">
        <v>38634.5</v>
      </c>
      <c r="DL144">
        <v>44381.4</v>
      </c>
      <c r="DM144">
        <v>42604.9</v>
      </c>
      <c r="DN144">
        <v>1.4349000000000001</v>
      </c>
      <c r="DO144">
        <v>2.0346299999999999</v>
      </c>
      <c r="DP144">
        <v>0.18221899999999999</v>
      </c>
      <c r="DQ144">
        <v>0.154197</v>
      </c>
      <c r="DR144">
        <v>24.018599999999999</v>
      </c>
      <c r="DS144">
        <v>23.603899999999999</v>
      </c>
      <c r="DT144">
        <v>41.2</v>
      </c>
      <c r="DU144">
        <v>29.4</v>
      </c>
      <c r="DV144">
        <v>17.092700000000001</v>
      </c>
      <c r="DW144">
        <v>61.103099999999998</v>
      </c>
      <c r="DX144">
        <v>36.033700000000003</v>
      </c>
      <c r="DY144">
        <v>1</v>
      </c>
      <c r="DZ144">
        <v>-8.9372499999999994E-2</v>
      </c>
      <c r="EA144">
        <v>1.1789700000000001</v>
      </c>
      <c r="EB144">
        <v>20.1846</v>
      </c>
      <c r="EC144">
        <v>5.2406499999999996</v>
      </c>
      <c r="ED144">
        <v>12.039899999999999</v>
      </c>
      <c r="EE144">
        <v>5.0166500000000003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1.8689199999999999</v>
      </c>
      <c r="EL144">
        <v>1.86463</v>
      </c>
      <c r="EM144">
        <v>1.8692</v>
      </c>
      <c r="EN144">
        <v>1.86724</v>
      </c>
      <c r="EO144">
        <v>1.8633999999999999</v>
      </c>
      <c r="EP144">
        <v>1.8644700000000001</v>
      </c>
      <c r="EQ144">
        <v>1.87018</v>
      </c>
      <c r="ER144">
        <v>1.8694299999999999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0.14000000000000001</v>
      </c>
      <c r="FG144">
        <v>0.21779999999999999</v>
      </c>
      <c r="FH144">
        <v>0.49996858830924029</v>
      </c>
      <c r="FI144">
        <v>-6.1462078757559423E-4</v>
      </c>
      <c r="FJ144">
        <v>-1.8861989874597051E-7</v>
      </c>
      <c r="FK144">
        <v>1.1980462299894961E-10</v>
      </c>
      <c r="FL144">
        <v>-3.8593581000597899E-2</v>
      </c>
      <c r="FM144">
        <v>-1.6848085045870601E-2</v>
      </c>
      <c r="FN144">
        <v>1.9789084769509481E-3</v>
      </c>
      <c r="FO144">
        <v>-2.7142391389806329E-5</v>
      </c>
      <c r="FP144">
        <v>3</v>
      </c>
      <c r="FQ144">
        <v>2158</v>
      </c>
      <c r="FR144">
        <v>1</v>
      </c>
      <c r="FS144">
        <v>19</v>
      </c>
      <c r="FT144">
        <v>30.3</v>
      </c>
      <c r="FU144">
        <v>30.3</v>
      </c>
      <c r="FV144">
        <v>1.7700199999999999</v>
      </c>
      <c r="FW144">
        <v>2.5964399999999999</v>
      </c>
      <c r="FX144">
        <v>1.5490699999999999</v>
      </c>
      <c r="FY144">
        <v>2.3278799999999999</v>
      </c>
      <c r="FZ144">
        <v>1.50146</v>
      </c>
      <c r="GA144">
        <v>2.3559600000000001</v>
      </c>
      <c r="GB144">
        <v>34.077100000000002</v>
      </c>
      <c r="GC144">
        <v>23.982399999999998</v>
      </c>
      <c r="GD144">
        <v>19</v>
      </c>
      <c r="GE144">
        <v>265.91699999999997</v>
      </c>
      <c r="GF144">
        <v>582.58699999999999</v>
      </c>
      <c r="GG144">
        <v>21.371700000000001</v>
      </c>
      <c r="GH144">
        <v>26.217700000000001</v>
      </c>
      <c r="GI144">
        <v>29.999600000000001</v>
      </c>
      <c r="GJ144">
        <v>26.4132</v>
      </c>
      <c r="GK144">
        <v>26.415400000000002</v>
      </c>
      <c r="GL144">
        <v>35.393999999999998</v>
      </c>
      <c r="GM144">
        <v>66.966700000000003</v>
      </c>
      <c r="GN144">
        <v>50.492699999999999</v>
      </c>
      <c r="GO144">
        <v>21.3687</v>
      </c>
      <c r="GP144">
        <v>800</v>
      </c>
      <c r="GQ144">
        <v>4.8145800000000003</v>
      </c>
      <c r="GR144">
        <v>99.779700000000005</v>
      </c>
      <c r="GS144">
        <v>99.659800000000004</v>
      </c>
    </row>
    <row r="145" spans="1:201" x14ac:dyDescent="0.25">
      <c r="A145">
        <v>129</v>
      </c>
      <c r="B145">
        <v>1690308080</v>
      </c>
      <c r="C145">
        <v>1461.400000095367</v>
      </c>
      <c r="D145" t="s">
        <v>591</v>
      </c>
      <c r="E145" t="s">
        <v>592</v>
      </c>
      <c r="F145" t="s">
        <v>330</v>
      </c>
      <c r="H145">
        <v>1690308080</v>
      </c>
      <c r="I145">
        <f t="shared" ref="I145:I208" si="60">(J145)/1000</f>
        <v>1.5774021671647203E-3</v>
      </c>
      <c r="J145">
        <f t="shared" ref="J145:J208" si="61">1000*AZ145*AH145*(AV145-AW145)/(100*AO145*(1000-AH145*AV145))</f>
        <v>1.5774021671647203</v>
      </c>
      <c r="K145">
        <f t="shared" ref="K145:K208" si="62">AZ145*AH145*(AU145-AT145*(1000-AH145*AW145)/(1000-AH145*AV145))/(100*AO145)</f>
        <v>25.488969196862765</v>
      </c>
      <c r="L145">
        <f t="shared" ref="L145:L208" si="63">AT145 - IF(AH145&gt;1, K145*AO145*100/(AJ145*BH145), 0)</f>
        <v>526.43700000000001</v>
      </c>
      <c r="M145">
        <f t="shared" ref="M145:M208" si="64">((S145-I145/2)*L145-K145)/(S145+I145/2)</f>
        <v>176.36179300789581</v>
      </c>
      <c r="N145">
        <f t="shared" ref="N145:N208" si="65">M145*(BA145+BB145)/1000</f>
        <v>17.514530579550112</v>
      </c>
      <c r="O145">
        <f t="shared" ref="O145:O208" si="66">(AT145 - IF(AH145&gt;1, K145*AO145*100/(AJ145*BH145), 0))*(BA145+BB145)/1000</f>
        <v>52.280580603383996</v>
      </c>
      <c r="P145">
        <f t="shared" ref="P145:P208" si="67">2/((1/R145-1/Q145)+SIGN(R145)*SQRT((1/R145-1/Q145)*(1/R145-1/Q145) + 4*AP145/((AP145+1)*(AP145+1))*(2*1/R145*1/Q145-1/Q145*1/Q145)))</f>
        <v>0.12217779941949379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2.1926857080468145</v>
      </c>
      <c r="R145">
        <f t="shared" ref="R145:R208" si="69">I145*(1000-(1000*0.61365*EXP(17.502*V145/(240.97+V145))/(BA145+BB145)+AV145)/2)/(1000*0.61365*EXP(17.502*V145/(240.97+V145))/(BA145+BB145)-AV145)</f>
        <v>0.11851783944101486</v>
      </c>
      <c r="S145">
        <f t="shared" ref="S145:S208" si="70">1/((AP145+1)/(P145/1.6)+1/(Q145/1.37)) + AP145/((AP145+1)/(P145/1.6) + AP145/(Q145/1.37))</f>
        <v>7.4393349903913261E-2</v>
      </c>
      <c r="T145">
        <f t="shared" ref="T145:T208" si="71">(AK145*AN145)</f>
        <v>276.11502674400003</v>
      </c>
      <c r="U145">
        <f t="shared" ref="U145:U208" si="72">(BC145+(T145+2*0.95*0.0000000567*(((BC145+$B$7)+273)^4-(BC145+273)^4)-44100*I145)/(1.84*29.3*Q145+8*0.95*0.0000000567*(BC145+273)^3))</f>
        <v>25.904440831274766</v>
      </c>
      <c r="V145">
        <f t="shared" ref="V145:V208" si="73">($C$7*BD145+$D$7*BE145+$E$7*U145)</f>
        <v>25.904440831274766</v>
      </c>
      <c r="W145">
        <f t="shared" ref="W145:W208" si="74">0.61365*EXP(17.502*V145/(240.97+V145))</f>
        <v>3.3552255728703919</v>
      </c>
      <c r="X145">
        <f t="shared" ref="X145:X208" si="75">(Y145/Z145*100)</f>
        <v>67.828285586975241</v>
      </c>
      <c r="Y145">
        <f t="shared" ref="Y145:Y208" si="76">AV145*(BA145+BB145)/1000</f>
        <v>2.0695656487408001</v>
      </c>
      <c r="Z145">
        <f t="shared" ref="Z145:Z208" si="77">0.61365*EXP(17.502*BC145/(240.97+BC145))</f>
        <v>3.0511837809714732</v>
      </c>
      <c r="AA145">
        <f t="shared" ref="AA145:AA208" si="78">(W145-AV145*(BA145+BB145)/1000)</f>
        <v>1.2856599241295918</v>
      </c>
      <c r="AB145">
        <f t="shared" ref="AB145:AB208" si="79">(-I145*44100)</f>
        <v>-69.563435571964163</v>
      </c>
      <c r="AC145">
        <f t="shared" ref="AC145:AC208" si="80">2*29.3*Q145*0.92*(BC145-V145)</f>
        <v>-188.49397538173275</v>
      </c>
      <c r="AD145">
        <f t="shared" ref="AD145:AD208" si="81">2*0.95*0.0000000567*(((BC145+$B$7)+273)^4-(V145+273)^4)</f>
        <v>-18.203406570473497</v>
      </c>
      <c r="AE145">
        <f t="shared" ref="AE145:AE208" si="82">T145+AD145+AB145+AC145</f>
        <v>-0.1457907801703584</v>
      </c>
      <c r="AF145">
        <v>13</v>
      </c>
      <c r="AG145">
        <v>4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52804.085508038173</v>
      </c>
      <c r="AK145">
        <f t="shared" ref="AK145:AK208" si="86">$B$11*BI145+$C$11*BJ145+$D$11*BU145</f>
        <v>1800</v>
      </c>
      <c r="AL145">
        <f t="shared" ref="AL145:AL208" si="87">AK145*AM145</f>
        <v>1499.1122034</v>
      </c>
      <c r="AM145">
        <f t="shared" ref="AM145:AM208" si="88">($B$11*$D$9+$C$11*$D$9+$D$11*(BV145*$E$9+BW145*$F$9+BX145*$G$9+BY145*$H$9))/($B$11+$C$11+$D$11)</f>
        <v>0.83284011300000005</v>
      </c>
      <c r="AN145">
        <f t="shared" ref="AN145:AN208" si="89">($B$11*$K$9+$C$11*$K$9+$D$11*(BV145*$L$9+BW145*$M$9+BX145*$N$9+BY145*$O$9))/($B$11+$C$11+$D$11)</f>
        <v>0.15339723708000003</v>
      </c>
      <c r="AO145">
        <v>31.2</v>
      </c>
      <c r="AP145">
        <v>0.5</v>
      </c>
      <c r="AQ145" t="s">
        <v>331</v>
      </c>
      <c r="AR145">
        <v>2</v>
      </c>
      <c r="AS145">
        <v>1690308080</v>
      </c>
      <c r="AT145">
        <v>526.43700000000001</v>
      </c>
      <c r="AU145">
        <v>800.101</v>
      </c>
      <c r="AV145">
        <v>20.839400000000001</v>
      </c>
      <c r="AW145">
        <v>4.7796599999999998</v>
      </c>
      <c r="AX145">
        <v>526.29499999999996</v>
      </c>
      <c r="AY145">
        <v>20.6219</v>
      </c>
      <c r="AZ145">
        <v>300.06299999999999</v>
      </c>
      <c r="BA145">
        <v>99.2102</v>
      </c>
      <c r="BB145">
        <v>0.100032</v>
      </c>
      <c r="BC145">
        <v>24.309899999999999</v>
      </c>
      <c r="BD145">
        <v>26.975899999999999</v>
      </c>
      <c r="BE145">
        <v>26.1145</v>
      </c>
      <c r="BF145">
        <v>0</v>
      </c>
      <c r="BG145">
        <v>0</v>
      </c>
      <c r="BH145">
        <v>9974.3799999999992</v>
      </c>
      <c r="BI145">
        <v>1040.58</v>
      </c>
      <c r="BJ145">
        <v>1.62592</v>
      </c>
      <c r="BK145">
        <v>-273.66399999999999</v>
      </c>
      <c r="BL145">
        <v>537.64099999999996</v>
      </c>
      <c r="BM145">
        <v>803.94299999999998</v>
      </c>
      <c r="BN145">
        <v>16.059799999999999</v>
      </c>
      <c r="BO145">
        <v>800.101</v>
      </c>
      <c r="BP145">
        <v>4.7796599999999998</v>
      </c>
      <c r="BQ145">
        <v>2.0674800000000002</v>
      </c>
      <c r="BR145">
        <v>0.47419099999999997</v>
      </c>
      <c r="BS145">
        <v>17.9709</v>
      </c>
      <c r="BT145">
        <v>-3.4980899999999999</v>
      </c>
      <c r="BU145">
        <v>1800</v>
      </c>
      <c r="BV145">
        <v>0.91000400000000004</v>
      </c>
      <c r="BW145">
        <v>3.4003499999999999E-2</v>
      </c>
      <c r="BX145">
        <v>2.19969E-2</v>
      </c>
      <c r="BY145">
        <v>3.3995999999999998E-2</v>
      </c>
      <c r="BZ145">
        <v>26</v>
      </c>
      <c r="CA145">
        <v>33528.400000000001</v>
      </c>
      <c r="CB145">
        <v>1690306253.5999999</v>
      </c>
      <c r="CC145" t="s">
        <v>332</v>
      </c>
      <c r="CD145">
        <v>1690306253.5999999</v>
      </c>
      <c r="CE145">
        <v>1690306251.5999999</v>
      </c>
      <c r="CF145">
        <v>9</v>
      </c>
      <c r="CG145">
        <v>0.19</v>
      </c>
      <c r="CH145">
        <v>-8.7999999999999995E-2</v>
      </c>
      <c r="CI145">
        <v>-5.0999999999999997E-2</v>
      </c>
      <c r="CJ145">
        <v>5.0999999999999997E-2</v>
      </c>
      <c r="CK145">
        <v>799</v>
      </c>
      <c r="CL145">
        <v>15</v>
      </c>
      <c r="CM145">
        <v>0.28000000000000003</v>
      </c>
      <c r="CN145">
        <v>0.03</v>
      </c>
      <c r="CO145">
        <v>-271.65351219512189</v>
      </c>
      <c r="CP145">
        <v>-10.57484320557518</v>
      </c>
      <c r="CQ145">
        <v>1.045653748640726</v>
      </c>
      <c r="CR145">
        <v>-1</v>
      </c>
      <c r="CS145">
        <v>15.888641463414629</v>
      </c>
      <c r="CT145">
        <v>0.99882857142860204</v>
      </c>
      <c r="CU145">
        <v>9.8879105725516753E-2</v>
      </c>
      <c r="CV145">
        <v>-1</v>
      </c>
      <c r="CW145">
        <v>0</v>
      </c>
      <c r="CX145">
        <v>0</v>
      </c>
      <c r="CY145" t="s">
        <v>333</v>
      </c>
      <c r="CZ145">
        <v>2.3642799999999999</v>
      </c>
      <c r="DA145">
        <v>2.7138</v>
      </c>
      <c r="DB145">
        <v>0.10981</v>
      </c>
      <c r="DC145">
        <v>0.14624200000000001</v>
      </c>
      <c r="DD145">
        <v>0.103019</v>
      </c>
      <c r="DE145">
        <v>3.2724000000000003E-2</v>
      </c>
      <c r="DF145">
        <v>32516.2</v>
      </c>
      <c r="DG145">
        <v>27536.799999999999</v>
      </c>
      <c r="DH145">
        <v>31183.5</v>
      </c>
      <c r="DI145">
        <v>28104.799999999999</v>
      </c>
      <c r="DJ145">
        <v>37979.199999999997</v>
      </c>
      <c r="DK145">
        <v>38668.1</v>
      </c>
      <c r="DL145">
        <v>44381.3</v>
      </c>
      <c r="DM145">
        <v>42605.5</v>
      </c>
      <c r="DN145">
        <v>1.4345699999999999</v>
      </c>
      <c r="DO145">
        <v>2.0344500000000001</v>
      </c>
      <c r="DP145">
        <v>0.180505</v>
      </c>
      <c r="DQ145">
        <v>0.15310199999999999</v>
      </c>
      <c r="DR145">
        <v>24.0166</v>
      </c>
      <c r="DS145">
        <v>23.601900000000001</v>
      </c>
      <c r="DT145">
        <v>40.799999999999997</v>
      </c>
      <c r="DU145">
        <v>29.4</v>
      </c>
      <c r="DV145">
        <v>16.927900000000001</v>
      </c>
      <c r="DW145">
        <v>61.813099999999999</v>
      </c>
      <c r="DX145">
        <v>37.0593</v>
      </c>
      <c r="DY145">
        <v>1</v>
      </c>
      <c r="DZ145">
        <v>-8.8833800000000004E-2</v>
      </c>
      <c r="EA145">
        <v>1.3246899999999999</v>
      </c>
      <c r="EB145">
        <v>20.183399999999999</v>
      </c>
      <c r="EC145">
        <v>5.2411000000000003</v>
      </c>
      <c r="ED145">
        <v>12.039899999999999</v>
      </c>
      <c r="EE145">
        <v>5.0164499999999999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1.8646400000000001</v>
      </c>
      <c r="EM145">
        <v>1.8692</v>
      </c>
      <c r="EN145">
        <v>1.8672800000000001</v>
      </c>
      <c r="EO145">
        <v>1.8633999999999999</v>
      </c>
      <c r="EP145">
        <v>1.8644799999999999</v>
      </c>
      <c r="EQ145">
        <v>1.87018</v>
      </c>
      <c r="ER145">
        <v>1.8694500000000001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0.14199999999999999</v>
      </c>
      <c r="FG145">
        <v>0.2175</v>
      </c>
      <c r="FH145">
        <v>0.49996858830924029</v>
      </c>
      <c r="FI145">
        <v>-6.1462078757559423E-4</v>
      </c>
      <c r="FJ145">
        <v>-1.8861989874597051E-7</v>
      </c>
      <c r="FK145">
        <v>1.1980462299894961E-10</v>
      </c>
      <c r="FL145">
        <v>-3.8593581000597899E-2</v>
      </c>
      <c r="FM145">
        <v>-1.6848085045870601E-2</v>
      </c>
      <c r="FN145">
        <v>1.9789084769509481E-3</v>
      </c>
      <c r="FO145">
        <v>-2.7142391389806329E-5</v>
      </c>
      <c r="FP145">
        <v>3</v>
      </c>
      <c r="FQ145">
        <v>2158</v>
      </c>
      <c r="FR145">
        <v>1</v>
      </c>
      <c r="FS145">
        <v>19</v>
      </c>
      <c r="FT145">
        <v>30.4</v>
      </c>
      <c r="FU145">
        <v>30.5</v>
      </c>
      <c r="FV145">
        <v>1.7700199999999999</v>
      </c>
      <c r="FW145">
        <v>2.5891099999999998</v>
      </c>
      <c r="FX145">
        <v>1.5490699999999999</v>
      </c>
      <c r="FY145">
        <v>2.3278799999999999</v>
      </c>
      <c r="FZ145">
        <v>1.50146</v>
      </c>
      <c r="GA145">
        <v>2.3815900000000001</v>
      </c>
      <c r="GB145">
        <v>34.077100000000002</v>
      </c>
      <c r="GC145">
        <v>23.982399999999998</v>
      </c>
      <c r="GD145">
        <v>19</v>
      </c>
      <c r="GE145">
        <v>265.767</v>
      </c>
      <c r="GF145">
        <v>582.39300000000003</v>
      </c>
      <c r="GG145">
        <v>21.337700000000002</v>
      </c>
      <c r="GH145">
        <v>26.2133</v>
      </c>
      <c r="GI145">
        <v>30.0002</v>
      </c>
      <c r="GJ145">
        <v>26.408799999999999</v>
      </c>
      <c r="GK145">
        <v>26.411000000000001</v>
      </c>
      <c r="GL145">
        <v>35.390300000000003</v>
      </c>
      <c r="GM145">
        <v>67.513400000000004</v>
      </c>
      <c r="GN145">
        <v>49.72</v>
      </c>
      <c r="GO145">
        <v>21.339600000000001</v>
      </c>
      <c r="GP145">
        <v>800</v>
      </c>
      <c r="GQ145">
        <v>4.6602899999999998</v>
      </c>
      <c r="GR145">
        <v>99.779499999999999</v>
      </c>
      <c r="GS145">
        <v>99.661299999999997</v>
      </c>
    </row>
    <row r="146" spans="1:201" x14ac:dyDescent="0.25">
      <c r="A146">
        <v>130</v>
      </c>
      <c r="B146">
        <v>1690308090</v>
      </c>
      <c r="C146">
        <v>1471.400000095367</v>
      </c>
      <c r="D146" t="s">
        <v>593</v>
      </c>
      <c r="E146" t="s">
        <v>594</v>
      </c>
      <c r="F146" t="s">
        <v>330</v>
      </c>
      <c r="H146">
        <v>1690308090</v>
      </c>
      <c r="I146">
        <f t="shared" si="60"/>
        <v>1.5909899489337032E-3</v>
      </c>
      <c r="J146">
        <f t="shared" si="61"/>
        <v>1.5909899489337032</v>
      </c>
      <c r="K146">
        <f t="shared" si="62"/>
        <v>25.655905772262592</v>
      </c>
      <c r="L146">
        <f t="shared" si="63"/>
        <v>524.69299999999998</v>
      </c>
      <c r="M146">
        <f t="shared" si="64"/>
        <v>175.32035715628544</v>
      </c>
      <c r="N146">
        <f t="shared" si="65"/>
        <v>17.411110883636855</v>
      </c>
      <c r="O146">
        <f t="shared" si="66"/>
        <v>52.107400139074791</v>
      </c>
      <c r="P146">
        <f t="shared" si="67"/>
        <v>0.12323542333141449</v>
      </c>
      <c r="Q146">
        <f t="shared" si="68"/>
        <v>2.201127091894286</v>
      </c>
      <c r="R146">
        <f t="shared" si="69"/>
        <v>0.11952667749130241</v>
      </c>
      <c r="S146">
        <f t="shared" si="70"/>
        <v>7.5028092258688631E-2</v>
      </c>
      <c r="T146">
        <f t="shared" si="71"/>
        <v>276.11490995999998</v>
      </c>
      <c r="U146">
        <f t="shared" si="72"/>
        <v>25.897942724209738</v>
      </c>
      <c r="V146">
        <f t="shared" si="73"/>
        <v>25.897942724209738</v>
      </c>
      <c r="W146">
        <f t="shared" si="74"/>
        <v>3.3539347332184799</v>
      </c>
      <c r="X146">
        <f t="shared" si="75"/>
        <v>67.76608451503769</v>
      </c>
      <c r="Y146">
        <f t="shared" si="76"/>
        <v>2.0681263084436399</v>
      </c>
      <c r="Z146">
        <f t="shared" si="77"/>
        <v>3.0518604154925177</v>
      </c>
      <c r="AA146">
        <f t="shared" si="78"/>
        <v>1.28580842477484</v>
      </c>
      <c r="AB146">
        <f t="shared" si="79"/>
        <v>-70.162656747976314</v>
      </c>
      <c r="AC146">
        <f t="shared" si="80"/>
        <v>-188.00945753460394</v>
      </c>
      <c r="AD146">
        <f t="shared" si="81"/>
        <v>-18.086727858366796</v>
      </c>
      <c r="AE146">
        <f t="shared" si="82"/>
        <v>-0.14393218094704707</v>
      </c>
      <c r="AF146">
        <v>13</v>
      </c>
      <c r="AG146">
        <v>4</v>
      </c>
      <c r="AH146">
        <f t="shared" si="83"/>
        <v>1</v>
      </c>
      <c r="AI146">
        <f t="shared" si="84"/>
        <v>0</v>
      </c>
      <c r="AJ146">
        <f t="shared" si="85"/>
        <v>53152.28456070945</v>
      </c>
      <c r="AK146">
        <f t="shared" si="86"/>
        <v>1800</v>
      </c>
      <c r="AL146">
        <f t="shared" si="87"/>
        <v>1499.1113699999999</v>
      </c>
      <c r="AM146">
        <f t="shared" si="88"/>
        <v>0.83283964999999993</v>
      </c>
      <c r="AN146">
        <f t="shared" si="89"/>
        <v>0.15339717219999999</v>
      </c>
      <c r="AO146">
        <v>31.2</v>
      </c>
      <c r="AP146">
        <v>0.5</v>
      </c>
      <c r="AQ146" t="s">
        <v>331</v>
      </c>
      <c r="AR146">
        <v>2</v>
      </c>
      <c r="AS146">
        <v>1690308090</v>
      </c>
      <c r="AT146">
        <v>524.69299999999998</v>
      </c>
      <c r="AU146">
        <v>800.09699999999998</v>
      </c>
      <c r="AV146">
        <v>20.8249</v>
      </c>
      <c r="AW146">
        <v>4.6290100000000001</v>
      </c>
      <c r="AX146">
        <v>524.54999999999995</v>
      </c>
      <c r="AY146">
        <v>20.607800000000001</v>
      </c>
      <c r="AZ146">
        <v>300.108</v>
      </c>
      <c r="BA146">
        <v>99.210300000000004</v>
      </c>
      <c r="BB146">
        <v>9.99636E-2</v>
      </c>
      <c r="BC146">
        <v>24.313600000000001</v>
      </c>
      <c r="BD146">
        <v>26.935099999999998</v>
      </c>
      <c r="BE146">
        <v>26.124099999999999</v>
      </c>
      <c r="BF146">
        <v>0</v>
      </c>
      <c r="BG146">
        <v>0</v>
      </c>
      <c r="BH146">
        <v>10043.1</v>
      </c>
      <c r="BI146">
        <v>1040.6600000000001</v>
      </c>
      <c r="BJ146">
        <v>1.62592</v>
      </c>
      <c r="BK146">
        <v>-275.404</v>
      </c>
      <c r="BL146">
        <v>535.85199999999998</v>
      </c>
      <c r="BM146">
        <v>803.81799999999998</v>
      </c>
      <c r="BN146">
        <v>16.195900000000002</v>
      </c>
      <c r="BO146">
        <v>800.09699999999998</v>
      </c>
      <c r="BP146">
        <v>4.6290100000000001</v>
      </c>
      <c r="BQ146">
        <v>2.0660400000000001</v>
      </c>
      <c r="BR146">
        <v>0.45924500000000001</v>
      </c>
      <c r="BS146">
        <v>17.959800000000001</v>
      </c>
      <c r="BT146">
        <v>-3.9255499999999999</v>
      </c>
      <c r="BU146">
        <v>1800</v>
      </c>
      <c r="BV146">
        <v>0.91000300000000001</v>
      </c>
      <c r="BW146">
        <v>3.4003699999999998E-2</v>
      </c>
      <c r="BX146">
        <v>2.1996999999999999E-2</v>
      </c>
      <c r="BY146">
        <v>3.3996199999999997E-2</v>
      </c>
      <c r="BZ146">
        <v>26</v>
      </c>
      <c r="CA146">
        <v>33528.400000000001</v>
      </c>
      <c r="CB146">
        <v>1690306253.5999999</v>
      </c>
      <c r="CC146" t="s">
        <v>332</v>
      </c>
      <c r="CD146">
        <v>1690306253.5999999</v>
      </c>
      <c r="CE146">
        <v>1690306251.5999999</v>
      </c>
      <c r="CF146">
        <v>9</v>
      </c>
      <c r="CG146">
        <v>0.19</v>
      </c>
      <c r="CH146">
        <v>-8.7999999999999995E-2</v>
      </c>
      <c r="CI146">
        <v>-5.0999999999999997E-2</v>
      </c>
      <c r="CJ146">
        <v>5.0999999999999997E-2</v>
      </c>
      <c r="CK146">
        <v>799</v>
      </c>
      <c r="CL146">
        <v>15</v>
      </c>
      <c r="CM146">
        <v>0.28000000000000003</v>
      </c>
      <c r="CN146">
        <v>0.03</v>
      </c>
      <c r="CO146">
        <v>-273.55439024390239</v>
      </c>
      <c r="CP146">
        <v>-10.14650174216049</v>
      </c>
      <c r="CQ146">
        <v>1.0014903985767449</v>
      </c>
      <c r="CR146">
        <v>-1</v>
      </c>
      <c r="CS146">
        <v>16.059356097560979</v>
      </c>
      <c r="CT146">
        <v>0.84534355400697003</v>
      </c>
      <c r="CU146">
        <v>8.3629686200770117E-2</v>
      </c>
      <c r="CV146">
        <v>-1</v>
      </c>
      <c r="CW146">
        <v>0</v>
      </c>
      <c r="CX146">
        <v>0</v>
      </c>
      <c r="CY146" t="s">
        <v>333</v>
      </c>
      <c r="CZ146">
        <v>2.36443</v>
      </c>
      <c r="DA146">
        <v>2.7137899999999999</v>
      </c>
      <c r="DB146">
        <v>0.10954800000000001</v>
      </c>
      <c r="DC146">
        <v>0.14624000000000001</v>
      </c>
      <c r="DD146">
        <v>0.10297000000000001</v>
      </c>
      <c r="DE146">
        <v>3.18569E-2</v>
      </c>
      <c r="DF146">
        <v>32525.9</v>
      </c>
      <c r="DG146">
        <v>27537.200000000001</v>
      </c>
      <c r="DH146">
        <v>31183.5</v>
      </c>
      <c r="DI146">
        <v>28105.200000000001</v>
      </c>
      <c r="DJ146">
        <v>37981.300000000003</v>
      </c>
      <c r="DK146">
        <v>38703.300000000003</v>
      </c>
      <c r="DL146">
        <v>44381.4</v>
      </c>
      <c r="DM146">
        <v>42606.1</v>
      </c>
      <c r="DN146">
        <v>1.4349000000000001</v>
      </c>
      <c r="DO146">
        <v>2.0343</v>
      </c>
      <c r="DP146">
        <v>0.17788999999999999</v>
      </c>
      <c r="DQ146">
        <v>0.15356400000000001</v>
      </c>
      <c r="DR146">
        <v>24.018599999999999</v>
      </c>
      <c r="DS146">
        <v>23.603899999999999</v>
      </c>
      <c r="DT146">
        <v>40.5</v>
      </c>
      <c r="DU146">
        <v>29.4</v>
      </c>
      <c r="DV146">
        <v>16.803100000000001</v>
      </c>
      <c r="DW146">
        <v>61.053100000000001</v>
      </c>
      <c r="DX146">
        <v>36.338099999999997</v>
      </c>
      <c r="DY146">
        <v>1</v>
      </c>
      <c r="DZ146">
        <v>-8.9969499999999994E-2</v>
      </c>
      <c r="EA146">
        <v>1.2130700000000001</v>
      </c>
      <c r="EB146">
        <v>20.184699999999999</v>
      </c>
      <c r="EC146">
        <v>5.2409499999999998</v>
      </c>
      <c r="ED146">
        <v>12.039899999999999</v>
      </c>
      <c r="EE146">
        <v>5.0165499999999996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1.8689100000000001</v>
      </c>
      <c r="EL146">
        <v>1.8646199999999999</v>
      </c>
      <c r="EM146">
        <v>1.8692</v>
      </c>
      <c r="EN146">
        <v>1.8672299999999999</v>
      </c>
      <c r="EO146">
        <v>1.8633999999999999</v>
      </c>
      <c r="EP146">
        <v>1.8644700000000001</v>
      </c>
      <c r="EQ146">
        <v>1.8701700000000001</v>
      </c>
      <c r="ER146">
        <v>1.8694299999999999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0.14299999999999999</v>
      </c>
      <c r="FG146">
        <v>0.21709999999999999</v>
      </c>
      <c r="FH146">
        <v>0.49996858830924029</v>
      </c>
      <c r="FI146">
        <v>-6.1462078757559423E-4</v>
      </c>
      <c r="FJ146">
        <v>-1.8861989874597051E-7</v>
      </c>
      <c r="FK146">
        <v>1.1980462299894961E-10</v>
      </c>
      <c r="FL146">
        <v>-3.8593581000597899E-2</v>
      </c>
      <c r="FM146">
        <v>-1.6848085045870601E-2</v>
      </c>
      <c r="FN146">
        <v>1.9789084769509481E-3</v>
      </c>
      <c r="FO146">
        <v>-2.7142391389806329E-5</v>
      </c>
      <c r="FP146">
        <v>3</v>
      </c>
      <c r="FQ146">
        <v>2158</v>
      </c>
      <c r="FR146">
        <v>1</v>
      </c>
      <c r="FS146">
        <v>19</v>
      </c>
      <c r="FT146">
        <v>30.6</v>
      </c>
      <c r="FU146">
        <v>30.6</v>
      </c>
      <c r="FV146">
        <v>1.7700199999999999</v>
      </c>
      <c r="FW146">
        <v>2.5988799999999999</v>
      </c>
      <c r="FX146">
        <v>1.5490699999999999</v>
      </c>
      <c r="FY146">
        <v>2.32666</v>
      </c>
      <c r="FZ146">
        <v>1.50146</v>
      </c>
      <c r="GA146">
        <v>2.3071299999999999</v>
      </c>
      <c r="GB146">
        <v>34.054499999999997</v>
      </c>
      <c r="GC146">
        <v>23.982399999999998</v>
      </c>
      <c r="GD146">
        <v>19</v>
      </c>
      <c r="GE146">
        <v>265.88</v>
      </c>
      <c r="GF146">
        <v>582.22</v>
      </c>
      <c r="GG146">
        <v>21.348700000000001</v>
      </c>
      <c r="GH146">
        <v>26.209</v>
      </c>
      <c r="GI146">
        <v>29.999600000000001</v>
      </c>
      <c r="GJ146">
        <v>26.404399999999999</v>
      </c>
      <c r="GK146">
        <v>26.406600000000001</v>
      </c>
      <c r="GL146">
        <v>35.383699999999997</v>
      </c>
      <c r="GM146">
        <v>67.798000000000002</v>
      </c>
      <c r="GN146">
        <v>48.9283</v>
      </c>
      <c r="GO146">
        <v>21.3611</v>
      </c>
      <c r="GP146">
        <v>800</v>
      </c>
      <c r="GQ146">
        <v>4.5119400000000001</v>
      </c>
      <c r="GR146">
        <v>99.779600000000002</v>
      </c>
      <c r="GS146">
        <v>99.662599999999998</v>
      </c>
    </row>
    <row r="147" spans="1:201" x14ac:dyDescent="0.25">
      <c r="A147">
        <v>131</v>
      </c>
      <c r="B147">
        <v>1690308100</v>
      </c>
      <c r="C147">
        <v>1481.400000095367</v>
      </c>
      <c r="D147" t="s">
        <v>595</v>
      </c>
      <c r="E147" t="s">
        <v>596</v>
      </c>
      <c r="F147" t="s">
        <v>330</v>
      </c>
      <c r="H147">
        <v>1690308100</v>
      </c>
      <c r="I147">
        <f t="shared" si="60"/>
        <v>1.6068972535815524E-3</v>
      </c>
      <c r="J147">
        <f t="shared" si="61"/>
        <v>1.6068972535815524</v>
      </c>
      <c r="K147">
        <f t="shared" si="62"/>
        <v>25.825867552060405</v>
      </c>
      <c r="L147">
        <f t="shared" si="63"/>
        <v>522.952</v>
      </c>
      <c r="M147">
        <f t="shared" si="64"/>
        <v>174.69180598851005</v>
      </c>
      <c r="N147">
        <f t="shared" si="65"/>
        <v>17.34788439151372</v>
      </c>
      <c r="O147">
        <f t="shared" si="66"/>
        <v>51.932091416511994</v>
      </c>
      <c r="P147">
        <f t="shared" si="67"/>
        <v>0.12449125361714707</v>
      </c>
      <c r="Q147">
        <f t="shared" si="68"/>
        <v>2.1940126840119794</v>
      </c>
      <c r="R147">
        <f t="shared" si="69"/>
        <v>0.12069591798910126</v>
      </c>
      <c r="S147">
        <f t="shared" si="70"/>
        <v>7.5766306237974507E-2</v>
      </c>
      <c r="T147">
        <f t="shared" si="71"/>
        <v>276.11485262999997</v>
      </c>
      <c r="U147">
        <f t="shared" si="72"/>
        <v>25.900114250508633</v>
      </c>
      <c r="V147">
        <f t="shared" si="73"/>
        <v>25.900114250508633</v>
      </c>
      <c r="W147">
        <f t="shared" si="74"/>
        <v>3.354366055538387</v>
      </c>
      <c r="X147">
        <f t="shared" si="75"/>
        <v>67.761575779729256</v>
      </c>
      <c r="Y147">
        <f t="shared" si="76"/>
        <v>2.0683481337335996</v>
      </c>
      <c r="Z147">
        <f t="shared" si="77"/>
        <v>3.0523908423516062</v>
      </c>
      <c r="AA147">
        <f t="shared" si="78"/>
        <v>1.2860179218047874</v>
      </c>
      <c r="AB147">
        <f t="shared" si="79"/>
        <v>-70.864168882946458</v>
      </c>
      <c r="AC147">
        <f t="shared" si="80"/>
        <v>-187.31561328050191</v>
      </c>
      <c r="AD147">
        <f t="shared" si="81"/>
        <v>-18.078872884782765</v>
      </c>
      <c r="AE147">
        <f t="shared" si="82"/>
        <v>-0.14380241823113238</v>
      </c>
      <c r="AF147">
        <v>13</v>
      </c>
      <c r="AG147">
        <v>4</v>
      </c>
      <c r="AH147">
        <f t="shared" si="83"/>
        <v>1</v>
      </c>
      <c r="AI147">
        <f t="shared" si="84"/>
        <v>0</v>
      </c>
      <c r="AJ147">
        <f t="shared" si="85"/>
        <v>52857.560682606796</v>
      </c>
      <c r="AK147">
        <f t="shared" si="86"/>
        <v>1800</v>
      </c>
      <c r="AL147">
        <f t="shared" si="87"/>
        <v>1499.1111090000002</v>
      </c>
      <c r="AM147">
        <f t="shared" si="88"/>
        <v>0.83283950500000004</v>
      </c>
      <c r="AN147">
        <f t="shared" si="89"/>
        <v>0.15339714034999999</v>
      </c>
      <c r="AO147">
        <v>31.2</v>
      </c>
      <c r="AP147">
        <v>0.5</v>
      </c>
      <c r="AQ147" t="s">
        <v>331</v>
      </c>
      <c r="AR147">
        <v>2</v>
      </c>
      <c r="AS147">
        <v>1690308100</v>
      </c>
      <c r="AT147">
        <v>522.952</v>
      </c>
      <c r="AU147">
        <v>800.08</v>
      </c>
      <c r="AV147">
        <v>20.828099999999999</v>
      </c>
      <c r="AW147">
        <v>4.4762700000000004</v>
      </c>
      <c r="AX147">
        <v>522.80700000000002</v>
      </c>
      <c r="AY147">
        <v>20.611000000000001</v>
      </c>
      <c r="AZ147">
        <v>300.21699999999998</v>
      </c>
      <c r="BA147">
        <v>99.205600000000004</v>
      </c>
      <c r="BB147">
        <v>0.10005600000000001</v>
      </c>
      <c r="BC147">
        <v>24.316500000000001</v>
      </c>
      <c r="BD147">
        <v>26.9742</v>
      </c>
      <c r="BE147">
        <v>26.124199999999998</v>
      </c>
      <c r="BF147">
        <v>0</v>
      </c>
      <c r="BG147">
        <v>0</v>
      </c>
      <c r="BH147">
        <v>9985.6200000000008</v>
      </c>
      <c r="BI147">
        <v>1040.6400000000001</v>
      </c>
      <c r="BJ147">
        <v>1.62592</v>
      </c>
      <c r="BK147">
        <v>-277.12900000000002</v>
      </c>
      <c r="BL147">
        <v>534.07500000000005</v>
      </c>
      <c r="BM147">
        <v>803.678</v>
      </c>
      <c r="BN147">
        <v>16.351900000000001</v>
      </c>
      <c r="BO147">
        <v>800.08</v>
      </c>
      <c r="BP147">
        <v>4.4762700000000004</v>
      </c>
      <c r="BQ147">
        <v>2.0662699999999998</v>
      </c>
      <c r="BR147">
        <v>0.44407000000000002</v>
      </c>
      <c r="BS147">
        <v>17.961500000000001</v>
      </c>
      <c r="BT147">
        <v>-4.3723900000000002</v>
      </c>
      <c r="BU147">
        <v>1800</v>
      </c>
      <c r="BV147">
        <v>0.91000300000000001</v>
      </c>
      <c r="BW147">
        <v>3.4003600000000002E-2</v>
      </c>
      <c r="BX147">
        <v>2.1996999999999999E-2</v>
      </c>
      <c r="BY147">
        <v>3.3996100000000001E-2</v>
      </c>
      <c r="BZ147">
        <v>26</v>
      </c>
      <c r="CA147">
        <v>33528.5</v>
      </c>
      <c r="CB147">
        <v>1690306253.5999999</v>
      </c>
      <c r="CC147" t="s">
        <v>332</v>
      </c>
      <c r="CD147">
        <v>1690306253.5999999</v>
      </c>
      <c r="CE147">
        <v>1690306251.5999999</v>
      </c>
      <c r="CF147">
        <v>9</v>
      </c>
      <c r="CG147">
        <v>0.19</v>
      </c>
      <c r="CH147">
        <v>-8.7999999999999995E-2</v>
      </c>
      <c r="CI147">
        <v>-5.0999999999999997E-2</v>
      </c>
      <c r="CJ147">
        <v>5.0999999999999997E-2</v>
      </c>
      <c r="CK147">
        <v>799</v>
      </c>
      <c r="CL147">
        <v>15</v>
      </c>
      <c r="CM147">
        <v>0.28000000000000003</v>
      </c>
      <c r="CN147">
        <v>0.03</v>
      </c>
      <c r="CO147">
        <v>-275.29356097560969</v>
      </c>
      <c r="CP147">
        <v>-10.469226480836159</v>
      </c>
      <c r="CQ147">
        <v>1.0331050533029189</v>
      </c>
      <c r="CR147">
        <v>-1</v>
      </c>
      <c r="CS147">
        <v>16.201568292682921</v>
      </c>
      <c r="CT147">
        <v>0.8575756097561239</v>
      </c>
      <c r="CU147">
        <v>8.5104393395017006E-2</v>
      </c>
      <c r="CV147">
        <v>-1</v>
      </c>
      <c r="CW147">
        <v>0</v>
      </c>
      <c r="CX147">
        <v>0</v>
      </c>
      <c r="CY147" t="s">
        <v>333</v>
      </c>
      <c r="CZ147">
        <v>2.36477</v>
      </c>
      <c r="DA147">
        <v>2.7138399999999998</v>
      </c>
      <c r="DB147">
        <v>0.10928</v>
      </c>
      <c r="DC147">
        <v>0.14623</v>
      </c>
      <c r="DD147">
        <v>0.102977</v>
      </c>
      <c r="DE147">
        <v>3.0968599999999999E-2</v>
      </c>
      <c r="DF147">
        <v>32536.799999999999</v>
      </c>
      <c r="DG147">
        <v>27538</v>
      </c>
      <c r="DH147">
        <v>31184.6</v>
      </c>
      <c r="DI147">
        <v>28105.599999999999</v>
      </c>
      <c r="DJ147">
        <v>37982.5</v>
      </c>
      <c r="DK147">
        <v>38739.5</v>
      </c>
      <c r="DL147">
        <v>44383.199999999997</v>
      </c>
      <c r="DM147">
        <v>42606.7</v>
      </c>
      <c r="DN147">
        <v>1.4354</v>
      </c>
      <c r="DO147">
        <v>2.0339499999999999</v>
      </c>
      <c r="DP147">
        <v>0.1802</v>
      </c>
      <c r="DQ147">
        <v>0.15357100000000001</v>
      </c>
      <c r="DR147">
        <v>24.0199</v>
      </c>
      <c r="DS147">
        <v>23.603899999999999</v>
      </c>
      <c r="DT147">
        <v>40.1</v>
      </c>
      <c r="DU147">
        <v>29.4</v>
      </c>
      <c r="DV147">
        <v>16.638400000000001</v>
      </c>
      <c r="DW147">
        <v>61.523000000000003</v>
      </c>
      <c r="DX147">
        <v>36.149799999999999</v>
      </c>
      <c r="DY147">
        <v>1</v>
      </c>
      <c r="DZ147">
        <v>-9.0170200000000006E-2</v>
      </c>
      <c r="EA147">
        <v>1.0914999999999999</v>
      </c>
      <c r="EB147">
        <v>20.185600000000001</v>
      </c>
      <c r="EC147">
        <v>5.2409499999999998</v>
      </c>
      <c r="ED147">
        <v>12.039899999999999</v>
      </c>
      <c r="EE147">
        <v>5.0167000000000002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1.8689199999999999</v>
      </c>
      <c r="EL147">
        <v>1.8646199999999999</v>
      </c>
      <c r="EM147">
        <v>1.8692</v>
      </c>
      <c r="EN147">
        <v>1.8672299999999999</v>
      </c>
      <c r="EO147">
        <v>1.8633999999999999</v>
      </c>
      <c r="EP147">
        <v>1.8644700000000001</v>
      </c>
      <c r="EQ147">
        <v>1.8702099999999999</v>
      </c>
      <c r="ER147">
        <v>1.8694599999999999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0.14499999999999999</v>
      </c>
      <c r="FG147">
        <v>0.21709999999999999</v>
      </c>
      <c r="FH147">
        <v>0.49996858830924029</v>
      </c>
      <c r="FI147">
        <v>-6.1462078757559423E-4</v>
      </c>
      <c r="FJ147">
        <v>-1.8861989874597051E-7</v>
      </c>
      <c r="FK147">
        <v>1.1980462299894961E-10</v>
      </c>
      <c r="FL147">
        <v>-3.8593581000597899E-2</v>
      </c>
      <c r="FM147">
        <v>-1.6848085045870601E-2</v>
      </c>
      <c r="FN147">
        <v>1.9789084769509481E-3</v>
      </c>
      <c r="FO147">
        <v>-2.7142391389806329E-5</v>
      </c>
      <c r="FP147">
        <v>3</v>
      </c>
      <c r="FQ147">
        <v>2158</v>
      </c>
      <c r="FR147">
        <v>1</v>
      </c>
      <c r="FS147">
        <v>19</v>
      </c>
      <c r="FT147">
        <v>30.8</v>
      </c>
      <c r="FU147">
        <v>30.8</v>
      </c>
      <c r="FV147">
        <v>1.7700199999999999</v>
      </c>
      <c r="FW147">
        <v>2.5927699999999998</v>
      </c>
      <c r="FX147">
        <v>1.5490699999999999</v>
      </c>
      <c r="FY147">
        <v>2.32666</v>
      </c>
      <c r="FZ147">
        <v>1.50146</v>
      </c>
      <c r="GA147">
        <v>2.3864700000000001</v>
      </c>
      <c r="GB147">
        <v>34.077100000000002</v>
      </c>
      <c r="GC147">
        <v>23.982399999999998</v>
      </c>
      <c r="GD147">
        <v>19</v>
      </c>
      <c r="GE147">
        <v>266.06599999999997</v>
      </c>
      <c r="GF147">
        <v>581.88099999999997</v>
      </c>
      <c r="GG147">
        <v>21.4038</v>
      </c>
      <c r="GH147">
        <v>26.205100000000002</v>
      </c>
      <c r="GI147">
        <v>29.9999</v>
      </c>
      <c r="GJ147">
        <v>26.399899999999999</v>
      </c>
      <c r="GK147">
        <v>26.402200000000001</v>
      </c>
      <c r="GL147">
        <v>35.383299999999998</v>
      </c>
      <c r="GM147">
        <v>68.370400000000004</v>
      </c>
      <c r="GN147">
        <v>48.155700000000003</v>
      </c>
      <c r="GO147">
        <v>21.416399999999999</v>
      </c>
      <c r="GP147">
        <v>800</v>
      </c>
      <c r="GQ147">
        <v>4.35304</v>
      </c>
      <c r="GR147">
        <v>99.7834</v>
      </c>
      <c r="GS147">
        <v>99.664100000000005</v>
      </c>
    </row>
    <row r="148" spans="1:201" x14ac:dyDescent="0.25">
      <c r="A148">
        <v>132</v>
      </c>
      <c r="B148">
        <v>1690308110</v>
      </c>
      <c r="C148">
        <v>1491.400000095367</v>
      </c>
      <c r="D148" t="s">
        <v>597</v>
      </c>
      <c r="E148" t="s">
        <v>598</v>
      </c>
      <c r="F148" t="s">
        <v>330</v>
      </c>
      <c r="H148">
        <v>1690308110</v>
      </c>
      <c r="I148">
        <f t="shared" si="60"/>
        <v>1.6225910693699335E-3</v>
      </c>
      <c r="J148">
        <f t="shared" si="61"/>
        <v>1.6225910693699335</v>
      </c>
      <c r="K148">
        <f t="shared" si="62"/>
        <v>25.971139837630687</v>
      </c>
      <c r="L148">
        <f t="shared" si="63"/>
        <v>521.22</v>
      </c>
      <c r="M148">
        <f t="shared" si="64"/>
        <v>174.32592132091892</v>
      </c>
      <c r="N148">
        <f t="shared" si="65"/>
        <v>17.312106143997621</v>
      </c>
      <c r="O148">
        <f t="shared" si="66"/>
        <v>51.761756920608001</v>
      </c>
      <c r="P148">
        <f t="shared" si="67"/>
        <v>0.12571976388296693</v>
      </c>
      <c r="Q148">
        <f t="shared" si="68"/>
        <v>2.1941310920551875</v>
      </c>
      <c r="R148">
        <f t="shared" si="69"/>
        <v>0.12185060706438462</v>
      </c>
      <c r="S148">
        <f t="shared" si="70"/>
        <v>7.6494338671935558E-2</v>
      </c>
      <c r="T148">
        <f t="shared" si="71"/>
        <v>276.114918456</v>
      </c>
      <c r="U148">
        <f t="shared" si="72"/>
        <v>25.905282392848495</v>
      </c>
      <c r="V148">
        <f t="shared" si="73"/>
        <v>25.905282392848495</v>
      </c>
      <c r="W148">
        <f t="shared" si="74"/>
        <v>3.3553927796045411</v>
      </c>
      <c r="X148">
        <f t="shared" si="75"/>
        <v>67.742832651120509</v>
      </c>
      <c r="Y148">
        <f t="shared" si="76"/>
        <v>2.0690898838593599</v>
      </c>
      <c r="Z148">
        <f t="shared" si="77"/>
        <v>3.0543303296974487</v>
      </c>
      <c r="AA148">
        <f t="shared" si="78"/>
        <v>1.2863028957451812</v>
      </c>
      <c r="AB148">
        <f t="shared" si="79"/>
        <v>-71.556266159214061</v>
      </c>
      <c r="AC148">
        <f t="shared" si="80"/>
        <v>-186.68318804545513</v>
      </c>
      <c r="AD148">
        <f t="shared" si="81"/>
        <v>-18.018290293458232</v>
      </c>
      <c r="AE148">
        <f t="shared" si="82"/>
        <v>-0.14282604212741035</v>
      </c>
      <c r="AF148">
        <v>13</v>
      </c>
      <c r="AG148">
        <v>4</v>
      </c>
      <c r="AH148">
        <f t="shared" si="83"/>
        <v>1</v>
      </c>
      <c r="AI148">
        <f t="shared" si="84"/>
        <v>0</v>
      </c>
      <c r="AJ148">
        <f t="shared" si="85"/>
        <v>52860.634100860938</v>
      </c>
      <c r="AK148">
        <f t="shared" si="86"/>
        <v>1800</v>
      </c>
      <c r="AL148">
        <f t="shared" si="87"/>
        <v>1499.1120756</v>
      </c>
      <c r="AM148">
        <f t="shared" si="88"/>
        <v>0.83284004200000006</v>
      </c>
      <c r="AN148">
        <f t="shared" si="89"/>
        <v>0.15339717691999999</v>
      </c>
      <c r="AO148">
        <v>31.2</v>
      </c>
      <c r="AP148">
        <v>0.5</v>
      </c>
      <c r="AQ148" t="s">
        <v>331</v>
      </c>
      <c r="AR148">
        <v>2</v>
      </c>
      <c r="AS148">
        <v>1690308110</v>
      </c>
      <c r="AT148">
        <v>521.22</v>
      </c>
      <c r="AU148">
        <v>800.05499999999995</v>
      </c>
      <c r="AV148">
        <v>20.834900000000001</v>
      </c>
      <c r="AW148">
        <v>4.3151200000000003</v>
      </c>
      <c r="AX148">
        <v>521.07500000000005</v>
      </c>
      <c r="AY148">
        <v>20.6175</v>
      </c>
      <c r="AZ148">
        <v>300.065</v>
      </c>
      <c r="BA148">
        <v>99.2089</v>
      </c>
      <c r="BB148">
        <v>9.9946400000000005E-2</v>
      </c>
      <c r="BC148">
        <v>24.327100000000002</v>
      </c>
      <c r="BD148">
        <v>26.972200000000001</v>
      </c>
      <c r="BE148">
        <v>26.135200000000001</v>
      </c>
      <c r="BF148">
        <v>0</v>
      </c>
      <c r="BG148">
        <v>0</v>
      </c>
      <c r="BH148">
        <v>9986.25</v>
      </c>
      <c r="BI148">
        <v>1040.67</v>
      </c>
      <c r="BJ148">
        <v>1.62592</v>
      </c>
      <c r="BK148">
        <v>-278.83499999999998</v>
      </c>
      <c r="BL148">
        <v>532.31100000000004</v>
      </c>
      <c r="BM148">
        <v>803.52200000000005</v>
      </c>
      <c r="BN148">
        <v>16.5198</v>
      </c>
      <c r="BO148">
        <v>800.05499999999995</v>
      </c>
      <c r="BP148">
        <v>4.3151200000000003</v>
      </c>
      <c r="BQ148">
        <v>2.0670099999999998</v>
      </c>
      <c r="BR148">
        <v>0.42809799999999998</v>
      </c>
      <c r="BS148">
        <v>17.967199999999998</v>
      </c>
      <c r="BT148">
        <v>-4.8575900000000001</v>
      </c>
      <c r="BU148">
        <v>1800</v>
      </c>
      <c r="BV148">
        <v>0.91000499999999995</v>
      </c>
      <c r="BW148">
        <v>3.4002999999999999E-2</v>
      </c>
      <c r="BX148">
        <v>2.1996600000000002E-2</v>
      </c>
      <c r="BY148">
        <v>3.3995600000000001E-2</v>
      </c>
      <c r="BZ148">
        <v>26</v>
      </c>
      <c r="CA148">
        <v>33528.300000000003</v>
      </c>
      <c r="CB148">
        <v>1690306253.5999999</v>
      </c>
      <c r="CC148" t="s">
        <v>332</v>
      </c>
      <c r="CD148">
        <v>1690306253.5999999</v>
      </c>
      <c r="CE148">
        <v>1690306251.5999999</v>
      </c>
      <c r="CF148">
        <v>9</v>
      </c>
      <c r="CG148">
        <v>0.19</v>
      </c>
      <c r="CH148">
        <v>-8.7999999999999995E-2</v>
      </c>
      <c r="CI148">
        <v>-5.0999999999999997E-2</v>
      </c>
      <c r="CJ148">
        <v>5.0999999999999997E-2</v>
      </c>
      <c r="CK148">
        <v>799</v>
      </c>
      <c r="CL148">
        <v>15</v>
      </c>
      <c r="CM148">
        <v>0.28000000000000003</v>
      </c>
      <c r="CN148">
        <v>0.03</v>
      </c>
      <c r="CO148">
        <v>-276.85129268292678</v>
      </c>
      <c r="CP148">
        <v>-10.12459233449494</v>
      </c>
      <c r="CQ148">
        <v>1.001487777257041</v>
      </c>
      <c r="CR148">
        <v>-1</v>
      </c>
      <c r="CS148">
        <v>16.334480487804878</v>
      </c>
      <c r="CT148">
        <v>0.97028780487806587</v>
      </c>
      <c r="CU148">
        <v>9.5847048428446394E-2</v>
      </c>
      <c r="CV148">
        <v>-1</v>
      </c>
      <c r="CW148">
        <v>0</v>
      </c>
      <c r="CX148">
        <v>0</v>
      </c>
      <c r="CY148" t="s">
        <v>333</v>
      </c>
      <c r="CZ148">
        <v>2.3642799999999999</v>
      </c>
      <c r="DA148">
        <v>2.7137199999999999</v>
      </c>
      <c r="DB148">
        <v>0.10902199999999999</v>
      </c>
      <c r="DC148">
        <v>0.146229</v>
      </c>
      <c r="DD148">
        <v>0.103005</v>
      </c>
      <c r="DE148">
        <v>3.0025199999999998E-2</v>
      </c>
      <c r="DF148">
        <v>32546.3</v>
      </c>
      <c r="DG148">
        <v>27538.2</v>
      </c>
      <c r="DH148">
        <v>31184.7</v>
      </c>
      <c r="DI148">
        <v>28105.8</v>
      </c>
      <c r="DJ148">
        <v>37981.199999999997</v>
      </c>
      <c r="DK148">
        <v>38777.5</v>
      </c>
      <c r="DL148">
        <v>44383.1</v>
      </c>
      <c r="DM148">
        <v>42606.8</v>
      </c>
      <c r="DN148">
        <v>1.43512</v>
      </c>
      <c r="DO148">
        <v>2.0334500000000002</v>
      </c>
      <c r="DP148">
        <v>0.179954</v>
      </c>
      <c r="DQ148">
        <v>0.15412300000000001</v>
      </c>
      <c r="DR148">
        <v>24.021899999999999</v>
      </c>
      <c r="DS148">
        <v>23.605899999999998</v>
      </c>
      <c r="DT148">
        <v>39.799999999999997</v>
      </c>
      <c r="DU148">
        <v>29.4</v>
      </c>
      <c r="DV148">
        <v>16.508199999999999</v>
      </c>
      <c r="DW148">
        <v>61.243099999999998</v>
      </c>
      <c r="DX148">
        <v>37.099400000000003</v>
      </c>
      <c r="DY148">
        <v>1</v>
      </c>
      <c r="DZ148">
        <v>-9.0718999999999994E-2</v>
      </c>
      <c r="EA148">
        <v>1.0788</v>
      </c>
      <c r="EB148">
        <v>20.1858</v>
      </c>
      <c r="EC148">
        <v>5.2413999999999996</v>
      </c>
      <c r="ED148">
        <v>12.039899999999999</v>
      </c>
      <c r="EE148">
        <v>5.0169499999999996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1.86893</v>
      </c>
      <c r="EL148">
        <v>1.8646199999999999</v>
      </c>
      <c r="EM148">
        <v>1.8692</v>
      </c>
      <c r="EN148">
        <v>1.8672500000000001</v>
      </c>
      <c r="EO148">
        <v>1.8633999999999999</v>
      </c>
      <c r="EP148">
        <v>1.8644700000000001</v>
      </c>
      <c r="EQ148">
        <v>1.87018</v>
      </c>
      <c r="ER148">
        <v>1.8694500000000001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0.14499999999999999</v>
      </c>
      <c r="FG148">
        <v>0.21740000000000001</v>
      </c>
      <c r="FH148">
        <v>0.49996858830924029</v>
      </c>
      <c r="FI148">
        <v>-6.1462078757559423E-4</v>
      </c>
      <c r="FJ148">
        <v>-1.8861989874597051E-7</v>
      </c>
      <c r="FK148">
        <v>1.1980462299894961E-10</v>
      </c>
      <c r="FL148">
        <v>-3.8593581000597899E-2</v>
      </c>
      <c r="FM148">
        <v>-1.6848085045870601E-2</v>
      </c>
      <c r="FN148">
        <v>1.9789084769509481E-3</v>
      </c>
      <c r="FO148">
        <v>-2.7142391389806329E-5</v>
      </c>
      <c r="FP148">
        <v>3</v>
      </c>
      <c r="FQ148">
        <v>2158</v>
      </c>
      <c r="FR148">
        <v>1</v>
      </c>
      <c r="FS148">
        <v>19</v>
      </c>
      <c r="FT148">
        <v>30.9</v>
      </c>
      <c r="FU148">
        <v>31</v>
      </c>
      <c r="FV148">
        <v>1.7687999999999999</v>
      </c>
      <c r="FW148">
        <v>2.5939899999999998</v>
      </c>
      <c r="FX148">
        <v>1.5490699999999999</v>
      </c>
      <c r="FY148">
        <v>2.3278799999999999</v>
      </c>
      <c r="FZ148">
        <v>1.50146</v>
      </c>
      <c r="GA148">
        <v>2.33765</v>
      </c>
      <c r="GB148">
        <v>34.077100000000002</v>
      </c>
      <c r="GC148">
        <v>23.982399999999998</v>
      </c>
      <c r="GD148">
        <v>19</v>
      </c>
      <c r="GE148">
        <v>265.93900000000002</v>
      </c>
      <c r="GF148">
        <v>581.41999999999996</v>
      </c>
      <c r="GG148">
        <v>21.444900000000001</v>
      </c>
      <c r="GH148">
        <v>26.2013</v>
      </c>
      <c r="GI148">
        <v>29.9999</v>
      </c>
      <c r="GJ148">
        <v>26.396100000000001</v>
      </c>
      <c r="GK148">
        <v>26.3978</v>
      </c>
      <c r="GL148">
        <v>35.376399999999997</v>
      </c>
      <c r="GM148">
        <v>69.230500000000006</v>
      </c>
      <c r="GN148">
        <v>47.351100000000002</v>
      </c>
      <c r="GO148">
        <v>21.462</v>
      </c>
      <c r="GP148">
        <v>800</v>
      </c>
      <c r="GQ148">
        <v>4.1892100000000001</v>
      </c>
      <c r="GR148">
        <v>99.7834</v>
      </c>
      <c r="GS148">
        <v>99.664599999999993</v>
      </c>
    </row>
    <row r="149" spans="1:201" x14ac:dyDescent="0.25">
      <c r="A149">
        <v>133</v>
      </c>
      <c r="B149">
        <v>1690308120</v>
      </c>
      <c r="C149">
        <v>1501.400000095367</v>
      </c>
      <c r="D149" t="s">
        <v>599</v>
      </c>
      <c r="E149" t="s">
        <v>600</v>
      </c>
      <c r="F149" t="s">
        <v>330</v>
      </c>
      <c r="H149">
        <v>1690308120</v>
      </c>
      <c r="I149">
        <f t="shared" si="60"/>
        <v>1.6385059436827851E-3</v>
      </c>
      <c r="J149">
        <f t="shared" si="61"/>
        <v>1.6385059436827851</v>
      </c>
      <c r="K149">
        <f t="shared" si="62"/>
        <v>26.131907640178383</v>
      </c>
      <c r="L149">
        <f t="shared" si="63"/>
        <v>519.59299999999996</v>
      </c>
      <c r="M149">
        <f t="shared" si="64"/>
        <v>173.94604203885061</v>
      </c>
      <c r="N149">
        <f t="shared" si="65"/>
        <v>17.27479086591287</v>
      </c>
      <c r="O149">
        <f t="shared" si="66"/>
        <v>51.601406419972001</v>
      </c>
      <c r="P149">
        <f t="shared" si="67"/>
        <v>0.12699113439763424</v>
      </c>
      <c r="Q149">
        <f t="shared" si="68"/>
        <v>2.1935441434827379</v>
      </c>
      <c r="R149">
        <f t="shared" si="69"/>
        <v>0.12304362786804003</v>
      </c>
      <c r="S149">
        <f t="shared" si="70"/>
        <v>7.7246713580097021E-2</v>
      </c>
      <c r="T149">
        <f t="shared" si="71"/>
        <v>276.11490884400001</v>
      </c>
      <c r="U149">
        <f t="shared" si="72"/>
        <v>25.90584382180613</v>
      </c>
      <c r="V149">
        <f t="shared" si="73"/>
        <v>25.90584382180613</v>
      </c>
      <c r="W149">
        <f t="shared" si="74"/>
        <v>3.3555043318800135</v>
      </c>
      <c r="X149">
        <f t="shared" si="75"/>
        <v>67.722037697114516</v>
      </c>
      <c r="Y149">
        <f t="shared" si="76"/>
        <v>2.0691489353400003</v>
      </c>
      <c r="Z149">
        <f t="shared" si="77"/>
        <v>3.0553553993667886</v>
      </c>
      <c r="AA149">
        <f t="shared" si="78"/>
        <v>1.2863553965400132</v>
      </c>
      <c r="AB149">
        <f t="shared" si="79"/>
        <v>-72.258112116410828</v>
      </c>
      <c r="AC149">
        <f t="shared" si="80"/>
        <v>-186.03739561094829</v>
      </c>
      <c r="AD149">
        <f t="shared" si="81"/>
        <v>-17.961320364327847</v>
      </c>
      <c r="AE149">
        <f t="shared" si="82"/>
        <v>-0.14191924768692843</v>
      </c>
      <c r="AF149">
        <v>13</v>
      </c>
      <c r="AG149">
        <v>4</v>
      </c>
      <c r="AH149">
        <f t="shared" si="83"/>
        <v>1</v>
      </c>
      <c r="AI149">
        <f t="shared" si="84"/>
        <v>0</v>
      </c>
      <c r="AJ149">
        <f t="shared" si="85"/>
        <v>52835.468307374984</v>
      </c>
      <c r="AK149">
        <f t="shared" si="86"/>
        <v>1800</v>
      </c>
      <c r="AL149">
        <f t="shared" si="87"/>
        <v>1499.1123564</v>
      </c>
      <c r="AM149">
        <f t="shared" si="88"/>
        <v>0.83284019799999998</v>
      </c>
      <c r="AN149">
        <f t="shared" si="89"/>
        <v>0.15339717158000002</v>
      </c>
      <c r="AO149">
        <v>31.2</v>
      </c>
      <c r="AP149">
        <v>0.5</v>
      </c>
      <c r="AQ149" t="s">
        <v>331</v>
      </c>
      <c r="AR149">
        <v>2</v>
      </c>
      <c r="AS149">
        <v>1690308120</v>
      </c>
      <c r="AT149">
        <v>519.59299999999996</v>
      </c>
      <c r="AU149">
        <v>800.10299999999995</v>
      </c>
      <c r="AV149">
        <v>20.835000000000001</v>
      </c>
      <c r="AW149">
        <v>4.1564699999999997</v>
      </c>
      <c r="AX149">
        <v>519.447</v>
      </c>
      <c r="AY149">
        <v>20.617699999999999</v>
      </c>
      <c r="AZ149">
        <v>300.12400000000002</v>
      </c>
      <c r="BA149">
        <v>99.211200000000005</v>
      </c>
      <c r="BB149">
        <v>0.100004</v>
      </c>
      <c r="BC149">
        <v>24.332699999999999</v>
      </c>
      <c r="BD149">
        <v>26.976400000000002</v>
      </c>
      <c r="BE149">
        <v>26.163900000000002</v>
      </c>
      <c r="BF149">
        <v>0</v>
      </c>
      <c r="BG149">
        <v>0</v>
      </c>
      <c r="BH149">
        <v>9981.25</v>
      </c>
      <c r="BI149">
        <v>1040.74</v>
      </c>
      <c r="BJ149">
        <v>1.62592</v>
      </c>
      <c r="BK149">
        <v>-280.50900000000001</v>
      </c>
      <c r="BL149">
        <v>530.649</v>
      </c>
      <c r="BM149">
        <v>803.44200000000001</v>
      </c>
      <c r="BN149">
        <v>16.6785</v>
      </c>
      <c r="BO149">
        <v>800.10299999999995</v>
      </c>
      <c r="BP149">
        <v>4.1564699999999997</v>
      </c>
      <c r="BQ149">
        <v>2.0670700000000002</v>
      </c>
      <c r="BR149">
        <v>0.41236899999999999</v>
      </c>
      <c r="BS149">
        <v>17.967700000000001</v>
      </c>
      <c r="BT149">
        <v>-5.3513900000000003</v>
      </c>
      <c r="BU149">
        <v>1800</v>
      </c>
      <c r="BV149">
        <v>0.91000599999999998</v>
      </c>
      <c r="BW149">
        <v>3.4002699999999997E-2</v>
      </c>
      <c r="BX149">
        <v>2.1996399999999999E-2</v>
      </c>
      <c r="BY149">
        <v>3.3995200000000003E-2</v>
      </c>
      <c r="BZ149">
        <v>26</v>
      </c>
      <c r="CA149">
        <v>33528.400000000001</v>
      </c>
      <c r="CB149">
        <v>1690306253.5999999</v>
      </c>
      <c r="CC149" t="s">
        <v>332</v>
      </c>
      <c r="CD149">
        <v>1690306253.5999999</v>
      </c>
      <c r="CE149">
        <v>1690306251.5999999</v>
      </c>
      <c r="CF149">
        <v>9</v>
      </c>
      <c r="CG149">
        <v>0.19</v>
      </c>
      <c r="CH149">
        <v>-8.7999999999999995E-2</v>
      </c>
      <c r="CI149">
        <v>-5.0999999999999997E-2</v>
      </c>
      <c r="CJ149">
        <v>5.0999999999999997E-2</v>
      </c>
      <c r="CK149">
        <v>799</v>
      </c>
      <c r="CL149">
        <v>15</v>
      </c>
      <c r="CM149">
        <v>0.28000000000000003</v>
      </c>
      <c r="CN149">
        <v>0.03</v>
      </c>
      <c r="CO149">
        <v>-278.71836585365861</v>
      </c>
      <c r="CP149">
        <v>-9.9388641114981997</v>
      </c>
      <c r="CQ149">
        <v>0.98318414413223576</v>
      </c>
      <c r="CR149">
        <v>-1</v>
      </c>
      <c r="CS149">
        <v>16.51322926829268</v>
      </c>
      <c r="CT149">
        <v>1.007025783972151</v>
      </c>
      <c r="CU149">
        <v>9.9375791437627675E-2</v>
      </c>
      <c r="CV149">
        <v>-1</v>
      </c>
      <c r="CW149">
        <v>0</v>
      </c>
      <c r="CX149">
        <v>0</v>
      </c>
      <c r="CY149" t="s">
        <v>333</v>
      </c>
      <c r="CZ149">
        <v>2.3644799999999999</v>
      </c>
      <c r="DA149">
        <v>2.7137799999999999</v>
      </c>
      <c r="DB149">
        <v>0.108779</v>
      </c>
      <c r="DC149">
        <v>0.14623700000000001</v>
      </c>
      <c r="DD149">
        <v>0.103009</v>
      </c>
      <c r="DE149">
        <v>2.90873E-2</v>
      </c>
      <c r="DF149">
        <v>32555.1</v>
      </c>
      <c r="DG149">
        <v>27538.2</v>
      </c>
      <c r="DH149">
        <v>31184.5</v>
      </c>
      <c r="DI149">
        <v>28106</v>
      </c>
      <c r="DJ149">
        <v>37980.800000000003</v>
      </c>
      <c r="DK149">
        <v>38815.5</v>
      </c>
      <c r="DL149">
        <v>44382.8</v>
      </c>
      <c r="DM149">
        <v>42607.4</v>
      </c>
      <c r="DN149">
        <v>1.4352499999999999</v>
      </c>
      <c r="DO149">
        <v>2.03382</v>
      </c>
      <c r="DP149">
        <v>0.18017</v>
      </c>
      <c r="DQ149">
        <v>0.15579899999999999</v>
      </c>
      <c r="DR149">
        <v>24.022600000000001</v>
      </c>
      <c r="DS149">
        <v>23.607199999999999</v>
      </c>
      <c r="DT149">
        <v>39.5</v>
      </c>
      <c r="DU149">
        <v>29.4</v>
      </c>
      <c r="DV149">
        <v>16.3873</v>
      </c>
      <c r="DW149">
        <v>61.683100000000003</v>
      </c>
      <c r="DX149">
        <v>36.057699999999997</v>
      </c>
      <c r="DY149">
        <v>1</v>
      </c>
      <c r="DZ149">
        <v>-9.1178899999999993E-2</v>
      </c>
      <c r="EA149">
        <v>1.11561</v>
      </c>
      <c r="EB149">
        <v>20.185400000000001</v>
      </c>
      <c r="EC149">
        <v>5.2409499999999998</v>
      </c>
      <c r="ED149">
        <v>12.039899999999999</v>
      </c>
      <c r="EE149">
        <v>5.01675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1.8689199999999999</v>
      </c>
      <c r="EL149">
        <v>1.86463</v>
      </c>
      <c r="EM149">
        <v>1.8692</v>
      </c>
      <c r="EN149">
        <v>1.86724</v>
      </c>
      <c r="EO149">
        <v>1.8633999999999999</v>
      </c>
      <c r="EP149">
        <v>1.8644700000000001</v>
      </c>
      <c r="EQ149">
        <v>1.87018</v>
      </c>
      <c r="ER149">
        <v>1.8694599999999999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0.14599999999999999</v>
      </c>
      <c r="FG149">
        <v>0.21729999999999999</v>
      </c>
      <c r="FH149">
        <v>0.49996858830924029</v>
      </c>
      <c r="FI149">
        <v>-6.1462078757559423E-4</v>
      </c>
      <c r="FJ149">
        <v>-1.8861989874597051E-7</v>
      </c>
      <c r="FK149">
        <v>1.1980462299894961E-10</v>
      </c>
      <c r="FL149">
        <v>-3.8593581000597899E-2</v>
      </c>
      <c r="FM149">
        <v>-1.6848085045870601E-2</v>
      </c>
      <c r="FN149">
        <v>1.9789084769509481E-3</v>
      </c>
      <c r="FO149">
        <v>-2.7142391389806329E-5</v>
      </c>
      <c r="FP149">
        <v>3</v>
      </c>
      <c r="FQ149">
        <v>2158</v>
      </c>
      <c r="FR149">
        <v>1</v>
      </c>
      <c r="FS149">
        <v>19</v>
      </c>
      <c r="FT149">
        <v>31.1</v>
      </c>
      <c r="FU149">
        <v>31.1</v>
      </c>
      <c r="FV149">
        <v>1.7687999999999999</v>
      </c>
      <c r="FW149">
        <v>2.5939899999999998</v>
      </c>
      <c r="FX149">
        <v>1.5490699999999999</v>
      </c>
      <c r="FY149">
        <v>2.32666</v>
      </c>
      <c r="FZ149">
        <v>1.50146</v>
      </c>
      <c r="GA149">
        <v>2.35107</v>
      </c>
      <c r="GB149">
        <v>34.077100000000002</v>
      </c>
      <c r="GC149">
        <v>23.973700000000001</v>
      </c>
      <c r="GD149">
        <v>19</v>
      </c>
      <c r="GE149">
        <v>265.97399999999999</v>
      </c>
      <c r="GF149">
        <v>581.68499999999995</v>
      </c>
      <c r="GG149">
        <v>21.4848</v>
      </c>
      <c r="GH149">
        <v>26.197399999999998</v>
      </c>
      <c r="GI149">
        <v>30.0001</v>
      </c>
      <c r="GJ149">
        <v>26.392199999999999</v>
      </c>
      <c r="GK149">
        <v>26.393899999999999</v>
      </c>
      <c r="GL149">
        <v>35.372199999999999</v>
      </c>
      <c r="GM149">
        <v>69.812100000000001</v>
      </c>
      <c r="GN149">
        <v>46.543999999999997</v>
      </c>
      <c r="GO149">
        <v>21.483699999999999</v>
      </c>
      <c r="GP149">
        <v>800</v>
      </c>
      <c r="GQ149">
        <v>4.0266599999999997</v>
      </c>
      <c r="GR149">
        <v>99.782799999999995</v>
      </c>
      <c r="GS149">
        <v>99.665700000000001</v>
      </c>
    </row>
    <row r="150" spans="1:201" x14ac:dyDescent="0.25">
      <c r="A150">
        <v>134</v>
      </c>
      <c r="B150">
        <v>1690308130</v>
      </c>
      <c r="C150">
        <v>1511.400000095367</v>
      </c>
      <c r="D150" t="s">
        <v>601</v>
      </c>
      <c r="E150" t="s">
        <v>602</v>
      </c>
      <c r="F150" t="s">
        <v>330</v>
      </c>
      <c r="H150">
        <v>1690308130</v>
      </c>
      <c r="I150">
        <f t="shared" si="60"/>
        <v>1.6527419400185718E-3</v>
      </c>
      <c r="J150">
        <f t="shared" si="61"/>
        <v>1.6527419400185717</v>
      </c>
      <c r="K150">
        <f t="shared" si="62"/>
        <v>26.280953459181326</v>
      </c>
      <c r="L150">
        <f t="shared" si="63"/>
        <v>517.97400000000005</v>
      </c>
      <c r="M150">
        <f t="shared" si="64"/>
        <v>173.5398247233596</v>
      </c>
      <c r="N150">
        <f t="shared" si="65"/>
        <v>17.235033573541322</v>
      </c>
      <c r="O150">
        <f t="shared" si="66"/>
        <v>51.442366583304604</v>
      </c>
      <c r="P150">
        <f t="shared" si="67"/>
        <v>0.12818628089443504</v>
      </c>
      <c r="Q150">
        <f t="shared" si="68"/>
        <v>2.2006537532556698</v>
      </c>
      <c r="R150">
        <f t="shared" si="69"/>
        <v>0.12417794187790115</v>
      </c>
      <c r="S150">
        <f t="shared" si="70"/>
        <v>7.7960906137509903E-2</v>
      </c>
      <c r="T150">
        <f t="shared" si="71"/>
        <v>276.11465542200006</v>
      </c>
      <c r="U150">
        <f t="shared" si="72"/>
        <v>25.900865858059237</v>
      </c>
      <c r="V150">
        <f t="shared" si="73"/>
        <v>25.900865858059237</v>
      </c>
      <c r="W150">
        <f t="shared" si="74"/>
        <v>3.3545153558811309</v>
      </c>
      <c r="X150">
        <f t="shared" si="75"/>
        <v>67.691778399423882</v>
      </c>
      <c r="Y150">
        <f t="shared" si="76"/>
        <v>2.0687821422507402</v>
      </c>
      <c r="Z150">
        <f t="shared" si="77"/>
        <v>3.0561793339859236</v>
      </c>
      <c r="AA150">
        <f t="shared" si="78"/>
        <v>1.2857332136303907</v>
      </c>
      <c r="AB150">
        <f t="shared" si="79"/>
        <v>-72.885919554819012</v>
      </c>
      <c r="AC150">
        <f t="shared" si="80"/>
        <v>-185.51588985802869</v>
      </c>
      <c r="AD150">
        <f t="shared" si="81"/>
        <v>-17.853061582135137</v>
      </c>
      <c r="AE150">
        <f t="shared" si="82"/>
        <v>-0.14021557298275411</v>
      </c>
      <c r="AF150">
        <v>13</v>
      </c>
      <c r="AG150">
        <v>4</v>
      </c>
      <c r="AH150">
        <f t="shared" si="83"/>
        <v>1</v>
      </c>
      <c r="AI150">
        <f t="shared" si="84"/>
        <v>0</v>
      </c>
      <c r="AJ150">
        <f t="shared" si="85"/>
        <v>53128.565091729637</v>
      </c>
      <c r="AK150">
        <f t="shared" si="86"/>
        <v>1800</v>
      </c>
      <c r="AL150">
        <f t="shared" si="87"/>
        <v>1499.1112602000001</v>
      </c>
      <c r="AM150">
        <f t="shared" si="88"/>
        <v>0.83283958899999999</v>
      </c>
      <c r="AN150">
        <f t="shared" si="89"/>
        <v>0.15339703079000003</v>
      </c>
      <c r="AO150">
        <v>31.2</v>
      </c>
      <c r="AP150">
        <v>0.5</v>
      </c>
      <c r="AQ150" t="s">
        <v>331</v>
      </c>
      <c r="AR150">
        <v>2</v>
      </c>
      <c r="AS150">
        <v>1690308130</v>
      </c>
      <c r="AT150">
        <v>517.97400000000005</v>
      </c>
      <c r="AU150">
        <v>800.12199999999996</v>
      </c>
      <c r="AV150">
        <v>20.8306</v>
      </c>
      <c r="AW150">
        <v>4.0047300000000003</v>
      </c>
      <c r="AX150">
        <v>517.82600000000002</v>
      </c>
      <c r="AY150">
        <v>20.613299999999999</v>
      </c>
      <c r="AZ150">
        <v>300.08199999999999</v>
      </c>
      <c r="BA150">
        <v>99.214600000000004</v>
      </c>
      <c r="BB150">
        <v>9.9972900000000003E-2</v>
      </c>
      <c r="BC150">
        <v>24.337199999999999</v>
      </c>
      <c r="BD150">
        <v>26.9941</v>
      </c>
      <c r="BE150">
        <v>26.138000000000002</v>
      </c>
      <c r="BF150">
        <v>0</v>
      </c>
      <c r="BG150">
        <v>0</v>
      </c>
      <c r="BH150">
        <v>10038.799999999999</v>
      </c>
      <c r="BI150">
        <v>1040.71</v>
      </c>
      <c r="BJ150">
        <v>1.62592</v>
      </c>
      <c r="BK150">
        <v>-282.149</v>
      </c>
      <c r="BL150">
        <v>528.99300000000005</v>
      </c>
      <c r="BM150">
        <v>803.34</v>
      </c>
      <c r="BN150">
        <v>16.825800000000001</v>
      </c>
      <c r="BO150">
        <v>800.12199999999996</v>
      </c>
      <c r="BP150">
        <v>4.0047300000000003</v>
      </c>
      <c r="BQ150">
        <v>2.0667</v>
      </c>
      <c r="BR150">
        <v>0.39732800000000001</v>
      </c>
      <c r="BS150">
        <v>17.9648</v>
      </c>
      <c r="BT150">
        <v>-5.8394700000000004</v>
      </c>
      <c r="BU150">
        <v>1800</v>
      </c>
      <c r="BV150">
        <v>0.91000599999999998</v>
      </c>
      <c r="BW150">
        <v>3.4002400000000002E-2</v>
      </c>
      <c r="BX150">
        <v>2.19962E-2</v>
      </c>
      <c r="BY150">
        <v>3.3994900000000002E-2</v>
      </c>
      <c r="BZ150">
        <v>26</v>
      </c>
      <c r="CA150">
        <v>33528.400000000001</v>
      </c>
      <c r="CB150">
        <v>1690306253.5999999</v>
      </c>
      <c r="CC150" t="s">
        <v>332</v>
      </c>
      <c r="CD150">
        <v>1690306253.5999999</v>
      </c>
      <c r="CE150">
        <v>1690306251.5999999</v>
      </c>
      <c r="CF150">
        <v>9</v>
      </c>
      <c r="CG150">
        <v>0.19</v>
      </c>
      <c r="CH150">
        <v>-8.7999999999999995E-2</v>
      </c>
      <c r="CI150">
        <v>-5.0999999999999997E-2</v>
      </c>
      <c r="CJ150">
        <v>5.0999999999999997E-2</v>
      </c>
      <c r="CK150">
        <v>799</v>
      </c>
      <c r="CL150">
        <v>15</v>
      </c>
      <c r="CM150">
        <v>0.28000000000000003</v>
      </c>
      <c r="CN150">
        <v>0.03</v>
      </c>
      <c r="CO150">
        <v>-280.19697560975612</v>
      </c>
      <c r="CP150">
        <v>-9.4954912891989363</v>
      </c>
      <c r="CQ150">
        <v>0.93994274573442937</v>
      </c>
      <c r="CR150">
        <v>-1</v>
      </c>
      <c r="CS150">
        <v>16.658817073170731</v>
      </c>
      <c r="CT150">
        <v>0.94904320557490252</v>
      </c>
      <c r="CU150">
        <v>9.3749151287056687E-2</v>
      </c>
      <c r="CV150">
        <v>-1</v>
      </c>
      <c r="CW150">
        <v>0</v>
      </c>
      <c r="CX150">
        <v>0</v>
      </c>
      <c r="CY150" t="s">
        <v>333</v>
      </c>
      <c r="CZ150">
        <v>2.3643200000000002</v>
      </c>
      <c r="DA150">
        <v>2.7138</v>
      </c>
      <c r="DB150">
        <v>0.10853699999999999</v>
      </c>
      <c r="DC150">
        <v>0.14624200000000001</v>
      </c>
      <c r="DD150">
        <v>0.10299800000000001</v>
      </c>
      <c r="DE150">
        <v>2.8181899999999999E-2</v>
      </c>
      <c r="DF150">
        <v>32563.9</v>
      </c>
      <c r="DG150">
        <v>27538.3</v>
      </c>
      <c r="DH150">
        <v>31184.5</v>
      </c>
      <c r="DI150">
        <v>28106.3</v>
      </c>
      <c r="DJ150">
        <v>37981.300000000003</v>
      </c>
      <c r="DK150">
        <v>38852.1</v>
      </c>
      <c r="DL150">
        <v>44382.9</v>
      </c>
      <c r="DM150">
        <v>42607.7</v>
      </c>
      <c r="DN150">
        <v>1.43553</v>
      </c>
      <c r="DO150">
        <v>2.0334500000000002</v>
      </c>
      <c r="DP150">
        <v>0.18113099999999999</v>
      </c>
      <c r="DQ150">
        <v>0.15417500000000001</v>
      </c>
      <c r="DR150">
        <v>24.024699999999999</v>
      </c>
      <c r="DS150">
        <v>23.607800000000001</v>
      </c>
      <c r="DT150">
        <v>39.1</v>
      </c>
      <c r="DU150">
        <v>29.4</v>
      </c>
      <c r="DV150">
        <v>16.220199999999998</v>
      </c>
      <c r="DW150">
        <v>61.463000000000001</v>
      </c>
      <c r="DX150">
        <v>37.063299999999998</v>
      </c>
      <c r="DY150">
        <v>1</v>
      </c>
      <c r="DZ150">
        <v>-9.1880100000000006E-2</v>
      </c>
      <c r="EA150">
        <v>1.0971599999999999</v>
      </c>
      <c r="EB150">
        <v>20.185600000000001</v>
      </c>
      <c r="EC150">
        <v>5.24125</v>
      </c>
      <c r="ED150">
        <v>12.039899999999999</v>
      </c>
      <c r="EE150">
        <v>5.0166500000000003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1.86893</v>
      </c>
      <c r="EL150">
        <v>1.86463</v>
      </c>
      <c r="EM150">
        <v>1.8692</v>
      </c>
      <c r="EN150">
        <v>1.86724</v>
      </c>
      <c r="EO150">
        <v>1.8633999999999999</v>
      </c>
      <c r="EP150">
        <v>1.8644700000000001</v>
      </c>
      <c r="EQ150">
        <v>1.8701700000000001</v>
      </c>
      <c r="ER150">
        <v>1.8694500000000001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0.14799999999999999</v>
      </c>
      <c r="FG150">
        <v>0.21729999999999999</v>
      </c>
      <c r="FH150">
        <v>0.49996858830924029</v>
      </c>
      <c r="FI150">
        <v>-6.1462078757559423E-4</v>
      </c>
      <c r="FJ150">
        <v>-1.8861989874597051E-7</v>
      </c>
      <c r="FK150">
        <v>1.1980462299894961E-10</v>
      </c>
      <c r="FL150">
        <v>-3.8593581000597899E-2</v>
      </c>
      <c r="FM150">
        <v>-1.6848085045870601E-2</v>
      </c>
      <c r="FN150">
        <v>1.9789084769509481E-3</v>
      </c>
      <c r="FO150">
        <v>-2.7142391389806329E-5</v>
      </c>
      <c r="FP150">
        <v>3</v>
      </c>
      <c r="FQ150">
        <v>2158</v>
      </c>
      <c r="FR150">
        <v>1</v>
      </c>
      <c r="FS150">
        <v>19</v>
      </c>
      <c r="FT150">
        <v>31.3</v>
      </c>
      <c r="FU150">
        <v>31.3</v>
      </c>
      <c r="FV150">
        <v>1.7687999999999999</v>
      </c>
      <c r="FW150">
        <v>2.5903299999999998</v>
      </c>
      <c r="FX150">
        <v>1.5490699999999999</v>
      </c>
      <c r="FY150">
        <v>2.32666</v>
      </c>
      <c r="FZ150">
        <v>1.50146</v>
      </c>
      <c r="GA150">
        <v>2.3950200000000001</v>
      </c>
      <c r="GB150">
        <v>34.054499999999997</v>
      </c>
      <c r="GC150">
        <v>23.982399999999998</v>
      </c>
      <c r="GD150">
        <v>19</v>
      </c>
      <c r="GE150">
        <v>266.06900000000002</v>
      </c>
      <c r="GF150">
        <v>581.327</v>
      </c>
      <c r="GG150">
        <v>21.5059</v>
      </c>
      <c r="GH150">
        <v>26.1935</v>
      </c>
      <c r="GI150">
        <v>29.999500000000001</v>
      </c>
      <c r="GJ150">
        <v>26.388100000000001</v>
      </c>
      <c r="GK150">
        <v>26.389500000000002</v>
      </c>
      <c r="GL150">
        <v>35.3658</v>
      </c>
      <c r="GM150">
        <v>70.391900000000007</v>
      </c>
      <c r="GN150">
        <v>45.767000000000003</v>
      </c>
      <c r="GO150">
        <v>21.514399999999998</v>
      </c>
      <c r="GP150">
        <v>800</v>
      </c>
      <c r="GQ150">
        <v>3.8763899999999998</v>
      </c>
      <c r="GR150">
        <v>99.783000000000001</v>
      </c>
      <c r="GS150">
        <v>99.666600000000003</v>
      </c>
    </row>
    <row r="151" spans="1:201" x14ac:dyDescent="0.25">
      <c r="A151">
        <v>135</v>
      </c>
      <c r="B151">
        <v>1690308140</v>
      </c>
      <c r="C151">
        <v>1521.400000095367</v>
      </c>
      <c r="D151" t="s">
        <v>603</v>
      </c>
      <c r="E151" t="s">
        <v>604</v>
      </c>
      <c r="F151" t="s">
        <v>330</v>
      </c>
      <c r="H151">
        <v>1690308140</v>
      </c>
      <c r="I151">
        <f t="shared" si="60"/>
        <v>1.6673921229663998E-3</v>
      </c>
      <c r="J151">
        <f t="shared" si="61"/>
        <v>1.6673921229663999</v>
      </c>
      <c r="K151">
        <f t="shared" si="62"/>
        <v>26.409182760645503</v>
      </c>
      <c r="L151">
        <f t="shared" si="63"/>
        <v>516.47900000000004</v>
      </c>
      <c r="M151">
        <f t="shared" si="64"/>
        <v>172.85648523208019</v>
      </c>
      <c r="N151">
        <f t="shared" si="65"/>
        <v>17.165455825761679</v>
      </c>
      <c r="O151">
        <f t="shared" si="66"/>
        <v>51.288775469028302</v>
      </c>
      <c r="P151">
        <f t="shared" si="67"/>
        <v>0.12915510339108557</v>
      </c>
      <c r="Q151">
        <f t="shared" si="68"/>
        <v>2.1939252319534059</v>
      </c>
      <c r="R151">
        <f t="shared" si="69"/>
        <v>0.12507492859336547</v>
      </c>
      <c r="S151">
        <f t="shared" si="70"/>
        <v>7.8527680463396921E-2</v>
      </c>
      <c r="T151">
        <f t="shared" si="71"/>
        <v>276.114772206</v>
      </c>
      <c r="U151">
        <f t="shared" si="72"/>
        <v>25.906250060677351</v>
      </c>
      <c r="V151">
        <f t="shared" si="73"/>
        <v>25.906250060677351</v>
      </c>
      <c r="W151">
        <f t="shared" si="74"/>
        <v>3.3555850509164871</v>
      </c>
      <c r="X151">
        <f t="shared" si="75"/>
        <v>67.6382868337178</v>
      </c>
      <c r="Y151">
        <f t="shared" si="76"/>
        <v>2.0678906087844897</v>
      </c>
      <c r="Z151">
        <f t="shared" si="77"/>
        <v>3.0572782156180263</v>
      </c>
      <c r="AA151">
        <f t="shared" si="78"/>
        <v>1.2876944421319974</v>
      </c>
      <c r="AB151">
        <f t="shared" si="79"/>
        <v>-73.531992622818237</v>
      </c>
      <c r="AC151">
        <f t="shared" si="80"/>
        <v>-184.87583729693304</v>
      </c>
      <c r="AD151">
        <f t="shared" si="81"/>
        <v>-17.847052893842509</v>
      </c>
      <c r="AE151">
        <f t="shared" si="82"/>
        <v>-0.14011060759375482</v>
      </c>
      <c r="AF151">
        <v>13</v>
      </c>
      <c r="AG151">
        <v>4</v>
      </c>
      <c r="AH151">
        <f t="shared" si="83"/>
        <v>1</v>
      </c>
      <c r="AI151">
        <f t="shared" si="84"/>
        <v>0</v>
      </c>
      <c r="AJ151">
        <f t="shared" si="85"/>
        <v>52849.186238695205</v>
      </c>
      <c r="AK151">
        <f t="shared" si="86"/>
        <v>1800</v>
      </c>
      <c r="AL151">
        <f t="shared" si="87"/>
        <v>1499.1120936</v>
      </c>
      <c r="AM151">
        <f t="shared" si="88"/>
        <v>0.832840052</v>
      </c>
      <c r="AN151">
        <f t="shared" si="89"/>
        <v>0.15339709566999998</v>
      </c>
      <c r="AO151">
        <v>31.2</v>
      </c>
      <c r="AP151">
        <v>0.5</v>
      </c>
      <c r="AQ151" t="s">
        <v>331</v>
      </c>
      <c r="AR151">
        <v>2</v>
      </c>
      <c r="AS151">
        <v>1690308140</v>
      </c>
      <c r="AT151">
        <v>516.47900000000004</v>
      </c>
      <c r="AU151">
        <v>800.05100000000004</v>
      </c>
      <c r="AV151">
        <v>20.823699999999999</v>
      </c>
      <c r="AW151">
        <v>3.8462999999999998</v>
      </c>
      <c r="AX151">
        <v>516.33000000000004</v>
      </c>
      <c r="AY151">
        <v>20.6066</v>
      </c>
      <c r="AZ151">
        <v>300.04199999999997</v>
      </c>
      <c r="BA151">
        <v>99.204700000000003</v>
      </c>
      <c r="BB151">
        <v>9.9967700000000007E-2</v>
      </c>
      <c r="BC151">
        <v>24.3432</v>
      </c>
      <c r="BD151">
        <v>27.022099999999998</v>
      </c>
      <c r="BE151">
        <v>26.149799999999999</v>
      </c>
      <c r="BF151">
        <v>0</v>
      </c>
      <c r="BG151">
        <v>0</v>
      </c>
      <c r="BH151">
        <v>9985</v>
      </c>
      <c r="BI151">
        <v>1040.9000000000001</v>
      </c>
      <c r="BJ151">
        <v>1.62592</v>
      </c>
      <c r="BK151">
        <v>-283.57100000000003</v>
      </c>
      <c r="BL151">
        <v>527.46299999999997</v>
      </c>
      <c r="BM151">
        <v>803.14</v>
      </c>
      <c r="BN151">
        <v>16.977399999999999</v>
      </c>
      <c r="BO151">
        <v>800.05100000000004</v>
      </c>
      <c r="BP151">
        <v>3.8462999999999998</v>
      </c>
      <c r="BQ151">
        <v>2.0657999999999999</v>
      </c>
      <c r="BR151">
        <v>0.38157099999999999</v>
      </c>
      <c r="BS151">
        <v>17.957899999999999</v>
      </c>
      <c r="BT151">
        <v>-6.3687500000000004</v>
      </c>
      <c r="BU151">
        <v>1800</v>
      </c>
      <c r="BV151">
        <v>0.91000700000000001</v>
      </c>
      <c r="BW151">
        <v>3.4002200000000003E-2</v>
      </c>
      <c r="BX151">
        <v>2.1996100000000001E-2</v>
      </c>
      <c r="BY151">
        <v>3.3994700000000003E-2</v>
      </c>
      <c r="BZ151">
        <v>26</v>
      </c>
      <c r="CA151">
        <v>33528.400000000001</v>
      </c>
      <c r="CB151">
        <v>1690306253.5999999</v>
      </c>
      <c r="CC151" t="s">
        <v>332</v>
      </c>
      <c r="CD151">
        <v>1690306253.5999999</v>
      </c>
      <c r="CE151">
        <v>1690306251.5999999</v>
      </c>
      <c r="CF151">
        <v>9</v>
      </c>
      <c r="CG151">
        <v>0.19</v>
      </c>
      <c r="CH151">
        <v>-8.7999999999999995E-2</v>
      </c>
      <c r="CI151">
        <v>-5.0999999999999997E-2</v>
      </c>
      <c r="CJ151">
        <v>5.0999999999999997E-2</v>
      </c>
      <c r="CK151">
        <v>799</v>
      </c>
      <c r="CL151">
        <v>15</v>
      </c>
      <c r="CM151">
        <v>0.28000000000000003</v>
      </c>
      <c r="CN151">
        <v>0.03</v>
      </c>
      <c r="CO151">
        <v>-281.92997500000001</v>
      </c>
      <c r="CP151">
        <v>-9.4524315196994486</v>
      </c>
      <c r="CQ151">
        <v>0.91328041935377047</v>
      </c>
      <c r="CR151">
        <v>-1</v>
      </c>
      <c r="CS151">
        <v>16.820409999999999</v>
      </c>
      <c r="CT151">
        <v>0.88811031894933645</v>
      </c>
      <c r="CU151">
        <v>8.5646972509248506E-2</v>
      </c>
      <c r="CV151">
        <v>-1</v>
      </c>
      <c r="CW151">
        <v>0</v>
      </c>
      <c r="CX151">
        <v>0</v>
      </c>
      <c r="CY151" t="s">
        <v>333</v>
      </c>
      <c r="CZ151">
        <v>2.3641800000000002</v>
      </c>
      <c r="DA151">
        <v>2.71374</v>
      </c>
      <c r="DB151">
        <v>0.10829999999999999</v>
      </c>
      <c r="DC151">
        <v>0.14621799999999999</v>
      </c>
      <c r="DD151">
        <v>0.102965</v>
      </c>
      <c r="DE151">
        <v>2.7223500000000001E-2</v>
      </c>
      <c r="DF151">
        <v>32572.5</v>
      </c>
      <c r="DG151">
        <v>27538.6</v>
      </c>
      <c r="DH151">
        <v>31184.5</v>
      </c>
      <c r="DI151">
        <v>28105.8</v>
      </c>
      <c r="DJ151">
        <v>37982.5</v>
      </c>
      <c r="DK151">
        <v>38889.9</v>
      </c>
      <c r="DL151">
        <v>44382.7</v>
      </c>
      <c r="DM151">
        <v>42607</v>
      </c>
      <c r="DN151">
        <v>1.4356199999999999</v>
      </c>
      <c r="DO151">
        <v>2.0334500000000002</v>
      </c>
      <c r="DP151">
        <v>0.182837</v>
      </c>
      <c r="DQ151">
        <v>0.15477099999999999</v>
      </c>
      <c r="DR151">
        <v>24.024699999999999</v>
      </c>
      <c r="DS151">
        <v>23.6098</v>
      </c>
      <c r="DT151">
        <v>38.799999999999997</v>
      </c>
      <c r="DU151">
        <v>29.4</v>
      </c>
      <c r="DV151">
        <v>16.097000000000001</v>
      </c>
      <c r="DW151">
        <v>61.512999999999998</v>
      </c>
      <c r="DX151">
        <v>36.634599999999999</v>
      </c>
      <c r="DY151">
        <v>1</v>
      </c>
      <c r="DZ151">
        <v>-9.1712399999999999E-2</v>
      </c>
      <c r="EA151">
        <v>1.4594100000000001</v>
      </c>
      <c r="EB151">
        <v>20.181699999999999</v>
      </c>
      <c r="EC151">
        <v>5.2409499999999998</v>
      </c>
      <c r="ED151">
        <v>12.039899999999999</v>
      </c>
      <c r="EE151">
        <v>5.01675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1.8689199999999999</v>
      </c>
      <c r="EL151">
        <v>1.86463</v>
      </c>
      <c r="EM151">
        <v>1.8692</v>
      </c>
      <c r="EN151">
        <v>1.86724</v>
      </c>
      <c r="EO151">
        <v>1.8633999999999999</v>
      </c>
      <c r="EP151">
        <v>1.8644799999999999</v>
      </c>
      <c r="EQ151">
        <v>1.8702000000000001</v>
      </c>
      <c r="ER151">
        <v>1.8694200000000001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0.14899999999999999</v>
      </c>
      <c r="FG151">
        <v>0.21709999999999999</v>
      </c>
      <c r="FH151">
        <v>0.49996858830924029</v>
      </c>
      <c r="FI151">
        <v>-6.1462078757559423E-4</v>
      </c>
      <c r="FJ151">
        <v>-1.8861989874597051E-7</v>
      </c>
      <c r="FK151">
        <v>1.1980462299894961E-10</v>
      </c>
      <c r="FL151">
        <v>-3.8593581000597899E-2</v>
      </c>
      <c r="FM151">
        <v>-1.6848085045870601E-2</v>
      </c>
      <c r="FN151">
        <v>1.9789084769509481E-3</v>
      </c>
      <c r="FO151">
        <v>-2.7142391389806329E-5</v>
      </c>
      <c r="FP151">
        <v>3</v>
      </c>
      <c r="FQ151">
        <v>2158</v>
      </c>
      <c r="FR151">
        <v>1</v>
      </c>
      <c r="FS151">
        <v>19</v>
      </c>
      <c r="FT151">
        <v>31.4</v>
      </c>
      <c r="FU151">
        <v>31.5</v>
      </c>
      <c r="FV151">
        <v>1.7687999999999999</v>
      </c>
      <c r="FW151">
        <v>2.5976599999999999</v>
      </c>
      <c r="FX151">
        <v>1.5490699999999999</v>
      </c>
      <c r="FY151">
        <v>2.32666</v>
      </c>
      <c r="FZ151">
        <v>1.50146</v>
      </c>
      <c r="GA151">
        <v>2.2924799999999999</v>
      </c>
      <c r="GB151">
        <v>34.054499999999997</v>
      </c>
      <c r="GC151">
        <v>23.973700000000001</v>
      </c>
      <c r="GD151">
        <v>19</v>
      </c>
      <c r="GE151">
        <v>266.09199999999998</v>
      </c>
      <c r="GF151">
        <v>581.27700000000004</v>
      </c>
      <c r="GG151">
        <v>21.436900000000001</v>
      </c>
      <c r="GH151">
        <v>26.1891</v>
      </c>
      <c r="GI151">
        <v>30.0002</v>
      </c>
      <c r="GJ151">
        <v>26.383600000000001</v>
      </c>
      <c r="GK151">
        <v>26.385100000000001</v>
      </c>
      <c r="GL151">
        <v>35.3596</v>
      </c>
      <c r="GM151">
        <v>70.955100000000002</v>
      </c>
      <c r="GN151">
        <v>45.363100000000003</v>
      </c>
      <c r="GO151">
        <v>21.398900000000001</v>
      </c>
      <c r="GP151">
        <v>800</v>
      </c>
      <c r="GQ151">
        <v>3.7262499999999998</v>
      </c>
      <c r="GR151">
        <v>99.782700000000006</v>
      </c>
      <c r="GS151">
        <v>99.664900000000003</v>
      </c>
    </row>
    <row r="152" spans="1:201" x14ac:dyDescent="0.25">
      <c r="A152">
        <v>136</v>
      </c>
      <c r="B152">
        <v>1690308150</v>
      </c>
      <c r="C152">
        <v>1531.400000095367</v>
      </c>
      <c r="D152" t="s">
        <v>605</v>
      </c>
      <c r="E152" t="s">
        <v>606</v>
      </c>
      <c r="F152" t="s">
        <v>330</v>
      </c>
      <c r="H152">
        <v>1690308150</v>
      </c>
      <c r="I152">
        <f t="shared" si="60"/>
        <v>1.6774171246533656E-3</v>
      </c>
      <c r="J152">
        <f t="shared" si="61"/>
        <v>1.6774171246533656</v>
      </c>
      <c r="K152">
        <f t="shared" si="62"/>
        <v>26.572300647222026</v>
      </c>
      <c r="L152">
        <f t="shared" si="63"/>
        <v>514.89800000000002</v>
      </c>
      <c r="M152">
        <f t="shared" si="64"/>
        <v>171.13421705629037</v>
      </c>
      <c r="N152">
        <f t="shared" si="65"/>
        <v>16.994925806726005</v>
      </c>
      <c r="O152">
        <f t="shared" si="66"/>
        <v>51.133276901330007</v>
      </c>
      <c r="P152">
        <f t="shared" si="67"/>
        <v>0.12990717870419718</v>
      </c>
      <c r="Q152">
        <f t="shared" si="68"/>
        <v>2.1933456520355401</v>
      </c>
      <c r="R152">
        <f t="shared" si="69"/>
        <v>0.12577911143372597</v>
      </c>
      <c r="S152">
        <f t="shared" si="70"/>
        <v>7.8971907712990369E-2</v>
      </c>
      <c r="T152">
        <f t="shared" si="71"/>
        <v>276.11481929400003</v>
      </c>
      <c r="U152">
        <f t="shared" si="72"/>
        <v>25.891631389463662</v>
      </c>
      <c r="V152">
        <f t="shared" si="73"/>
        <v>25.891631389463662</v>
      </c>
      <c r="W152">
        <f t="shared" si="74"/>
        <v>3.3526814108884349</v>
      </c>
      <c r="X152">
        <f t="shared" si="75"/>
        <v>67.571585341492806</v>
      </c>
      <c r="Y152">
        <f t="shared" si="76"/>
        <v>2.0644160077385001</v>
      </c>
      <c r="Z152">
        <f t="shared" si="77"/>
        <v>3.0551540226640665</v>
      </c>
      <c r="AA152">
        <f t="shared" si="78"/>
        <v>1.2882654031499348</v>
      </c>
      <c r="AB152">
        <f t="shared" si="79"/>
        <v>-73.97409519721343</v>
      </c>
      <c r="AC152">
        <f t="shared" si="80"/>
        <v>-184.47004696669993</v>
      </c>
      <c r="AD152">
        <f t="shared" si="81"/>
        <v>-17.810235263197498</v>
      </c>
      <c r="AE152">
        <f t="shared" si="82"/>
        <v>-0.13955813311085308</v>
      </c>
      <c r="AF152">
        <v>13</v>
      </c>
      <c r="AG152">
        <v>4</v>
      </c>
      <c r="AH152">
        <f t="shared" si="83"/>
        <v>1</v>
      </c>
      <c r="AI152">
        <f t="shared" si="84"/>
        <v>0</v>
      </c>
      <c r="AJ152">
        <f t="shared" si="85"/>
        <v>52827.397277740267</v>
      </c>
      <c r="AK152">
        <f t="shared" si="86"/>
        <v>1800</v>
      </c>
      <c r="AL152">
        <f t="shared" si="87"/>
        <v>1499.1126443999999</v>
      </c>
      <c r="AM152">
        <f t="shared" si="88"/>
        <v>0.83284035799999989</v>
      </c>
      <c r="AN152">
        <f t="shared" si="89"/>
        <v>0.15339712183000001</v>
      </c>
      <c r="AO152">
        <v>31.2</v>
      </c>
      <c r="AP152">
        <v>0.5</v>
      </c>
      <c r="AQ152" t="s">
        <v>331</v>
      </c>
      <c r="AR152">
        <v>2</v>
      </c>
      <c r="AS152">
        <v>1690308150</v>
      </c>
      <c r="AT152">
        <v>514.89800000000002</v>
      </c>
      <c r="AU152">
        <v>800.029</v>
      </c>
      <c r="AV152">
        <v>20.7881</v>
      </c>
      <c r="AW152">
        <v>3.7177899999999999</v>
      </c>
      <c r="AX152">
        <v>514.74800000000005</v>
      </c>
      <c r="AY152">
        <v>20.572099999999999</v>
      </c>
      <c r="AZ152">
        <v>300.214</v>
      </c>
      <c r="BA152">
        <v>99.207599999999999</v>
      </c>
      <c r="BB152">
        <v>9.9985000000000004E-2</v>
      </c>
      <c r="BC152">
        <v>24.331600000000002</v>
      </c>
      <c r="BD152">
        <v>27.021100000000001</v>
      </c>
      <c r="BE152">
        <v>26.117899999999999</v>
      </c>
      <c r="BF152">
        <v>0</v>
      </c>
      <c r="BG152">
        <v>0</v>
      </c>
      <c r="BH152">
        <v>9980</v>
      </c>
      <c r="BI152">
        <v>1040.99</v>
      </c>
      <c r="BJ152">
        <v>1.62592</v>
      </c>
      <c r="BK152">
        <v>-285.13200000000001</v>
      </c>
      <c r="BL152">
        <v>525.82899999999995</v>
      </c>
      <c r="BM152">
        <v>803.01499999999999</v>
      </c>
      <c r="BN152">
        <v>17.0703</v>
      </c>
      <c r="BO152">
        <v>800.029</v>
      </c>
      <c r="BP152">
        <v>3.7177899999999999</v>
      </c>
      <c r="BQ152">
        <v>2.0623300000000002</v>
      </c>
      <c r="BR152">
        <v>0.36883300000000002</v>
      </c>
      <c r="BS152">
        <v>17.9312</v>
      </c>
      <c r="BT152">
        <v>-6.8109799999999998</v>
      </c>
      <c r="BU152">
        <v>1800</v>
      </c>
      <c r="BV152">
        <v>0.91000800000000004</v>
      </c>
      <c r="BW152">
        <v>3.4001900000000002E-2</v>
      </c>
      <c r="BX152">
        <v>2.1995899999999999E-2</v>
      </c>
      <c r="BY152">
        <v>3.3994499999999997E-2</v>
      </c>
      <c r="BZ152">
        <v>26</v>
      </c>
      <c r="CA152">
        <v>33528.400000000001</v>
      </c>
      <c r="CB152">
        <v>1690306253.5999999</v>
      </c>
      <c r="CC152" t="s">
        <v>332</v>
      </c>
      <c r="CD152">
        <v>1690306253.5999999</v>
      </c>
      <c r="CE152">
        <v>1690306251.5999999</v>
      </c>
      <c r="CF152">
        <v>9</v>
      </c>
      <c r="CG152">
        <v>0.19</v>
      </c>
      <c r="CH152">
        <v>-8.7999999999999995E-2</v>
      </c>
      <c r="CI152">
        <v>-5.0999999999999997E-2</v>
      </c>
      <c r="CJ152">
        <v>5.0999999999999997E-2</v>
      </c>
      <c r="CK152">
        <v>799</v>
      </c>
      <c r="CL152">
        <v>15</v>
      </c>
      <c r="CM152">
        <v>0.28000000000000003</v>
      </c>
      <c r="CN152">
        <v>0.03</v>
      </c>
      <c r="CO152">
        <v>-283.47632499999997</v>
      </c>
      <c r="CP152">
        <v>-8.9248818011255615</v>
      </c>
      <c r="CQ152">
        <v>0.85958717962461606</v>
      </c>
      <c r="CR152">
        <v>-1</v>
      </c>
      <c r="CS152">
        <v>16.957082499999999</v>
      </c>
      <c r="CT152">
        <v>0.76192908067539655</v>
      </c>
      <c r="CU152">
        <v>7.4025393911481455E-2</v>
      </c>
      <c r="CV152">
        <v>-1</v>
      </c>
      <c r="CW152">
        <v>0</v>
      </c>
      <c r="CX152">
        <v>0</v>
      </c>
      <c r="CY152" t="s">
        <v>333</v>
      </c>
      <c r="CZ152">
        <v>2.3647200000000002</v>
      </c>
      <c r="DA152">
        <v>2.7137600000000002</v>
      </c>
      <c r="DB152">
        <v>0.10806300000000001</v>
      </c>
      <c r="DC152">
        <v>0.14621799999999999</v>
      </c>
      <c r="DD152">
        <v>0.10284600000000001</v>
      </c>
      <c r="DE152">
        <v>2.6442299999999998E-2</v>
      </c>
      <c r="DF152">
        <v>32581.200000000001</v>
      </c>
      <c r="DG152">
        <v>27538.5</v>
      </c>
      <c r="DH152">
        <v>31184.400000000001</v>
      </c>
      <c r="DI152">
        <v>28105.7</v>
      </c>
      <c r="DJ152">
        <v>37987.699999999997</v>
      </c>
      <c r="DK152">
        <v>38921.300000000003</v>
      </c>
      <c r="DL152">
        <v>44382.9</v>
      </c>
      <c r="DM152">
        <v>42607.1</v>
      </c>
      <c r="DN152">
        <v>1.4359</v>
      </c>
      <c r="DO152">
        <v>2.0330499999999998</v>
      </c>
      <c r="DP152">
        <v>0.182703</v>
      </c>
      <c r="DQ152">
        <v>0.15268499999999999</v>
      </c>
      <c r="DR152">
        <v>24.0259</v>
      </c>
      <c r="DS152">
        <v>23.612100000000002</v>
      </c>
      <c r="DT152">
        <v>38.4</v>
      </c>
      <c r="DU152">
        <v>29.4</v>
      </c>
      <c r="DV152">
        <v>15.933299999999999</v>
      </c>
      <c r="DW152">
        <v>61.923000000000002</v>
      </c>
      <c r="DX152">
        <v>36.053699999999999</v>
      </c>
      <c r="DY152">
        <v>1</v>
      </c>
      <c r="DZ152">
        <v>-9.1722600000000001E-2</v>
      </c>
      <c r="EA152">
        <v>1.37199</v>
      </c>
      <c r="EB152">
        <v>20.182600000000001</v>
      </c>
      <c r="EC152">
        <v>5.2411000000000003</v>
      </c>
      <c r="ED152">
        <v>12.039899999999999</v>
      </c>
      <c r="EE152">
        <v>5.0167999999999999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1.8689100000000001</v>
      </c>
      <c r="EL152">
        <v>1.8646199999999999</v>
      </c>
      <c r="EM152">
        <v>1.8692</v>
      </c>
      <c r="EN152">
        <v>1.86724</v>
      </c>
      <c r="EO152">
        <v>1.8633900000000001</v>
      </c>
      <c r="EP152">
        <v>1.8644700000000001</v>
      </c>
      <c r="EQ152">
        <v>1.8702000000000001</v>
      </c>
      <c r="ER152">
        <v>1.8693900000000001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0.15</v>
      </c>
      <c r="FG152">
        <v>0.216</v>
      </c>
      <c r="FH152">
        <v>0.49996858830924029</v>
      </c>
      <c r="FI152">
        <v>-6.1462078757559423E-4</v>
      </c>
      <c r="FJ152">
        <v>-1.8861989874597051E-7</v>
      </c>
      <c r="FK152">
        <v>1.1980462299894961E-10</v>
      </c>
      <c r="FL152">
        <v>-3.8593581000597899E-2</v>
      </c>
      <c r="FM152">
        <v>-1.6848085045870601E-2</v>
      </c>
      <c r="FN152">
        <v>1.9789084769509481E-3</v>
      </c>
      <c r="FO152">
        <v>-2.7142391389806329E-5</v>
      </c>
      <c r="FP152">
        <v>3</v>
      </c>
      <c r="FQ152">
        <v>2158</v>
      </c>
      <c r="FR152">
        <v>1</v>
      </c>
      <c r="FS152">
        <v>19</v>
      </c>
      <c r="FT152">
        <v>31.6</v>
      </c>
      <c r="FU152">
        <v>31.6</v>
      </c>
      <c r="FV152">
        <v>1.7687999999999999</v>
      </c>
      <c r="FW152">
        <v>2.5988799999999999</v>
      </c>
      <c r="FX152">
        <v>1.5490699999999999</v>
      </c>
      <c r="FY152">
        <v>2.32666</v>
      </c>
      <c r="FZ152">
        <v>1.50146</v>
      </c>
      <c r="GA152">
        <v>2.3742700000000001</v>
      </c>
      <c r="GB152">
        <v>34.054499999999997</v>
      </c>
      <c r="GC152">
        <v>23.982399999999998</v>
      </c>
      <c r="GD152">
        <v>19</v>
      </c>
      <c r="GE152">
        <v>266.18599999999998</v>
      </c>
      <c r="GF152">
        <v>580.89800000000002</v>
      </c>
      <c r="GG152">
        <v>21.369900000000001</v>
      </c>
      <c r="GH152">
        <v>26.1858</v>
      </c>
      <c r="GI152">
        <v>30.0001</v>
      </c>
      <c r="GJ152">
        <v>26.379200000000001</v>
      </c>
      <c r="GK152">
        <v>26.380700000000001</v>
      </c>
      <c r="GL152">
        <v>35.3598</v>
      </c>
      <c r="GM152">
        <v>71.546800000000005</v>
      </c>
      <c r="GN152">
        <v>44.559199999999997</v>
      </c>
      <c r="GO152">
        <v>21.3689</v>
      </c>
      <c r="GP152">
        <v>800</v>
      </c>
      <c r="GQ152">
        <v>3.59707</v>
      </c>
      <c r="GR152">
        <v>99.782799999999995</v>
      </c>
      <c r="GS152">
        <v>99.664900000000003</v>
      </c>
    </row>
    <row r="153" spans="1:201" x14ac:dyDescent="0.25">
      <c r="A153">
        <v>137</v>
      </c>
      <c r="B153">
        <v>1690308160</v>
      </c>
      <c r="C153">
        <v>1541.400000095367</v>
      </c>
      <c r="D153" t="s">
        <v>607</v>
      </c>
      <c r="E153" t="s">
        <v>608</v>
      </c>
      <c r="F153" t="s">
        <v>330</v>
      </c>
      <c r="H153">
        <v>1690308160</v>
      </c>
      <c r="I153">
        <f t="shared" si="60"/>
        <v>1.6887134447984681E-3</v>
      </c>
      <c r="J153">
        <f t="shared" si="61"/>
        <v>1.6887134447984682</v>
      </c>
      <c r="K153">
        <f t="shared" si="62"/>
        <v>26.707069229302594</v>
      </c>
      <c r="L153">
        <f t="shared" si="63"/>
        <v>513.35799999999995</v>
      </c>
      <c r="M153">
        <f t="shared" si="64"/>
        <v>170.42497541310598</v>
      </c>
      <c r="N153">
        <f t="shared" si="65"/>
        <v>16.924155801783542</v>
      </c>
      <c r="O153">
        <f t="shared" si="66"/>
        <v>50.979328311663998</v>
      </c>
      <c r="P153">
        <f t="shared" si="67"/>
        <v>0.13089998726828461</v>
      </c>
      <c r="Q153">
        <f t="shared" si="68"/>
        <v>2.1964694156492661</v>
      </c>
      <c r="R153">
        <f t="shared" si="69"/>
        <v>0.12671543144653058</v>
      </c>
      <c r="S153">
        <f t="shared" si="70"/>
        <v>7.9561966987933941E-2</v>
      </c>
      <c r="T153">
        <f t="shared" si="71"/>
        <v>276.11455625999997</v>
      </c>
      <c r="U153">
        <f t="shared" si="72"/>
        <v>25.881470663380139</v>
      </c>
      <c r="V153">
        <f t="shared" si="73"/>
        <v>25.881470663380139</v>
      </c>
      <c r="W153">
        <f t="shared" si="74"/>
        <v>3.3506645251866103</v>
      </c>
      <c r="X153">
        <f t="shared" si="75"/>
        <v>67.552863953222527</v>
      </c>
      <c r="Y153">
        <f t="shared" si="76"/>
        <v>2.0633123396592001</v>
      </c>
      <c r="Z153">
        <f t="shared" si="77"/>
        <v>3.0543669341509423</v>
      </c>
      <c r="AA153">
        <f t="shared" si="78"/>
        <v>1.2873521855274102</v>
      </c>
      <c r="AB153">
        <f t="shared" si="79"/>
        <v>-74.472262915612447</v>
      </c>
      <c r="AC153">
        <f t="shared" si="80"/>
        <v>-184.03876518300976</v>
      </c>
      <c r="AD153">
        <f t="shared" si="81"/>
        <v>-17.742033862351391</v>
      </c>
      <c r="AE153">
        <f t="shared" si="82"/>
        <v>-0.13850570097361015</v>
      </c>
      <c r="AF153">
        <v>13</v>
      </c>
      <c r="AG153">
        <v>4</v>
      </c>
      <c r="AH153">
        <f t="shared" si="83"/>
        <v>1</v>
      </c>
      <c r="AI153">
        <f t="shared" si="84"/>
        <v>0</v>
      </c>
      <c r="AJ153">
        <f t="shared" si="85"/>
        <v>52957.082813147099</v>
      </c>
      <c r="AK153">
        <f t="shared" si="86"/>
        <v>1800</v>
      </c>
      <c r="AL153">
        <f t="shared" si="87"/>
        <v>1499.1118289999999</v>
      </c>
      <c r="AM153">
        <f t="shared" si="88"/>
        <v>0.83283990499999994</v>
      </c>
      <c r="AN153">
        <f t="shared" si="89"/>
        <v>0.15339697569999999</v>
      </c>
      <c r="AO153">
        <v>31.2</v>
      </c>
      <c r="AP153">
        <v>0.5</v>
      </c>
      <c r="AQ153" t="s">
        <v>331</v>
      </c>
      <c r="AR153">
        <v>2</v>
      </c>
      <c r="AS153">
        <v>1690308160</v>
      </c>
      <c r="AT153">
        <v>513.35799999999995</v>
      </c>
      <c r="AU153">
        <v>800.072</v>
      </c>
      <c r="AV153">
        <v>20.7774</v>
      </c>
      <c r="AW153">
        <v>3.5830099999999998</v>
      </c>
      <c r="AX153">
        <v>513.20699999999999</v>
      </c>
      <c r="AY153">
        <v>20.561699999999998</v>
      </c>
      <c r="AZ153">
        <v>300.05799999999999</v>
      </c>
      <c r="BA153">
        <v>99.205600000000004</v>
      </c>
      <c r="BB153">
        <v>0.100008</v>
      </c>
      <c r="BC153">
        <v>24.327300000000001</v>
      </c>
      <c r="BD153">
        <v>26.998799999999999</v>
      </c>
      <c r="BE153">
        <v>26.1358</v>
      </c>
      <c r="BF153">
        <v>0</v>
      </c>
      <c r="BG153">
        <v>0</v>
      </c>
      <c r="BH153">
        <v>10005.6</v>
      </c>
      <c r="BI153">
        <v>1040.99</v>
      </c>
      <c r="BJ153">
        <v>1.62592</v>
      </c>
      <c r="BK153">
        <v>-286.714</v>
      </c>
      <c r="BL153">
        <v>524.25</v>
      </c>
      <c r="BM153">
        <v>802.94899999999996</v>
      </c>
      <c r="BN153">
        <v>17.194400000000002</v>
      </c>
      <c r="BO153">
        <v>800.072</v>
      </c>
      <c r="BP153">
        <v>3.5830099999999998</v>
      </c>
      <c r="BQ153">
        <v>2.0612300000000001</v>
      </c>
      <c r="BR153">
        <v>0.35545399999999999</v>
      </c>
      <c r="BS153">
        <v>17.922699999999999</v>
      </c>
      <c r="BT153">
        <v>-7.2903500000000001</v>
      </c>
      <c r="BU153">
        <v>1800</v>
      </c>
      <c r="BV153">
        <v>0.91000899999999996</v>
      </c>
      <c r="BW153">
        <v>3.4001299999999998E-2</v>
      </c>
      <c r="BX153">
        <v>2.1995500000000001E-2</v>
      </c>
      <c r="BY153">
        <v>3.3993799999999998E-2</v>
      </c>
      <c r="BZ153">
        <v>26</v>
      </c>
      <c r="CA153">
        <v>33528.5</v>
      </c>
      <c r="CB153">
        <v>1690306253.5999999</v>
      </c>
      <c r="CC153" t="s">
        <v>332</v>
      </c>
      <c r="CD153">
        <v>1690306253.5999999</v>
      </c>
      <c r="CE153">
        <v>1690306251.5999999</v>
      </c>
      <c r="CF153">
        <v>9</v>
      </c>
      <c r="CG153">
        <v>0.19</v>
      </c>
      <c r="CH153">
        <v>-8.7999999999999995E-2</v>
      </c>
      <c r="CI153">
        <v>-5.0999999999999997E-2</v>
      </c>
      <c r="CJ153">
        <v>5.0999999999999997E-2</v>
      </c>
      <c r="CK153">
        <v>799</v>
      </c>
      <c r="CL153">
        <v>15</v>
      </c>
      <c r="CM153">
        <v>0.28000000000000003</v>
      </c>
      <c r="CN153">
        <v>0.03</v>
      </c>
      <c r="CO153">
        <v>-284.91297560975607</v>
      </c>
      <c r="CP153">
        <v>-9.5120696864108858</v>
      </c>
      <c r="CQ153">
        <v>0.93986188626774525</v>
      </c>
      <c r="CR153">
        <v>-1</v>
      </c>
      <c r="CS153">
        <v>17.066858536585372</v>
      </c>
      <c r="CT153">
        <v>0.6460912891986389</v>
      </c>
      <c r="CU153">
        <v>6.4017280348545674E-2</v>
      </c>
      <c r="CV153">
        <v>-1</v>
      </c>
      <c r="CW153">
        <v>0</v>
      </c>
      <c r="CX153">
        <v>0</v>
      </c>
      <c r="CY153" t="s">
        <v>333</v>
      </c>
      <c r="CZ153">
        <v>2.3641899999999998</v>
      </c>
      <c r="DA153">
        <v>2.7138</v>
      </c>
      <c r="DB153">
        <v>0.10782700000000001</v>
      </c>
      <c r="DC153">
        <v>0.14621899999999999</v>
      </c>
      <c r="DD153">
        <v>0.102808</v>
      </c>
      <c r="DE153">
        <v>2.5614499999999998E-2</v>
      </c>
      <c r="DF153">
        <v>32589.5</v>
      </c>
      <c r="DG153">
        <v>27538.7</v>
      </c>
      <c r="DH153">
        <v>31184.2</v>
      </c>
      <c r="DI153">
        <v>28106</v>
      </c>
      <c r="DJ153">
        <v>37989.1</v>
      </c>
      <c r="DK153">
        <v>38954.6</v>
      </c>
      <c r="DL153">
        <v>44382.7</v>
      </c>
      <c r="DM153">
        <v>42607.199999999997</v>
      </c>
      <c r="DN153">
        <v>1.4360200000000001</v>
      </c>
      <c r="DO153">
        <v>2.03295</v>
      </c>
      <c r="DP153">
        <v>0.18141399999999999</v>
      </c>
      <c r="DQ153">
        <v>0.15367600000000001</v>
      </c>
      <c r="DR153">
        <v>24.024699999999999</v>
      </c>
      <c r="DS153">
        <v>23.613800000000001</v>
      </c>
      <c r="DT153">
        <v>38</v>
      </c>
      <c r="DU153">
        <v>29.4</v>
      </c>
      <c r="DV153">
        <v>15.7624</v>
      </c>
      <c r="DW153">
        <v>61.703000000000003</v>
      </c>
      <c r="DX153">
        <v>37.247599999999998</v>
      </c>
      <c r="DY153">
        <v>1</v>
      </c>
      <c r="DZ153">
        <v>-9.2055399999999996E-2</v>
      </c>
      <c r="EA153">
        <v>1.22509</v>
      </c>
      <c r="EB153">
        <v>20.184100000000001</v>
      </c>
      <c r="EC153">
        <v>5.2409499999999998</v>
      </c>
      <c r="ED153">
        <v>12.039899999999999</v>
      </c>
      <c r="EE153">
        <v>5.0166500000000003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1.8689100000000001</v>
      </c>
      <c r="EL153">
        <v>1.8646199999999999</v>
      </c>
      <c r="EM153">
        <v>1.8692</v>
      </c>
      <c r="EN153">
        <v>1.86724</v>
      </c>
      <c r="EO153">
        <v>1.8633999999999999</v>
      </c>
      <c r="EP153">
        <v>1.8644700000000001</v>
      </c>
      <c r="EQ153">
        <v>1.8702099999999999</v>
      </c>
      <c r="ER153">
        <v>1.86941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0.151</v>
      </c>
      <c r="FG153">
        <v>0.2157</v>
      </c>
      <c r="FH153">
        <v>0.49996858830924029</v>
      </c>
      <c r="FI153">
        <v>-6.1462078757559423E-4</v>
      </c>
      <c r="FJ153">
        <v>-1.8861989874597051E-7</v>
      </c>
      <c r="FK153">
        <v>1.1980462299894961E-10</v>
      </c>
      <c r="FL153">
        <v>-3.8593581000597899E-2</v>
      </c>
      <c r="FM153">
        <v>-1.6848085045870601E-2</v>
      </c>
      <c r="FN153">
        <v>1.9789084769509481E-3</v>
      </c>
      <c r="FO153">
        <v>-2.7142391389806329E-5</v>
      </c>
      <c r="FP153">
        <v>3</v>
      </c>
      <c r="FQ153">
        <v>2158</v>
      </c>
      <c r="FR153">
        <v>1</v>
      </c>
      <c r="FS153">
        <v>19</v>
      </c>
      <c r="FT153">
        <v>31.8</v>
      </c>
      <c r="FU153">
        <v>31.8</v>
      </c>
      <c r="FV153">
        <v>1.7687999999999999</v>
      </c>
      <c r="FW153">
        <v>2.5903299999999998</v>
      </c>
      <c r="FX153">
        <v>1.5490699999999999</v>
      </c>
      <c r="FY153">
        <v>2.32666</v>
      </c>
      <c r="FZ153">
        <v>1.50146</v>
      </c>
      <c r="GA153">
        <v>2.34985</v>
      </c>
      <c r="GB153">
        <v>34.054499999999997</v>
      </c>
      <c r="GC153">
        <v>23.982399999999998</v>
      </c>
      <c r="GD153">
        <v>19</v>
      </c>
      <c r="GE153">
        <v>266.21899999999999</v>
      </c>
      <c r="GF153">
        <v>580.76599999999996</v>
      </c>
      <c r="GG153">
        <v>21.3474</v>
      </c>
      <c r="GH153">
        <v>26.182400000000001</v>
      </c>
      <c r="GI153">
        <v>29.9999</v>
      </c>
      <c r="GJ153">
        <v>26.3748</v>
      </c>
      <c r="GK153">
        <v>26.376300000000001</v>
      </c>
      <c r="GL153">
        <v>35.354399999999998</v>
      </c>
      <c r="GM153">
        <v>72.126900000000006</v>
      </c>
      <c r="GN153">
        <v>43.757399999999997</v>
      </c>
      <c r="GO153">
        <v>21.387599999999999</v>
      </c>
      <c r="GP153">
        <v>800</v>
      </c>
      <c r="GQ153">
        <v>3.4562400000000002</v>
      </c>
      <c r="GR153">
        <v>99.782200000000003</v>
      </c>
      <c r="GS153">
        <v>99.665400000000005</v>
      </c>
    </row>
    <row r="154" spans="1:201" x14ac:dyDescent="0.25">
      <c r="A154">
        <v>138</v>
      </c>
      <c r="B154">
        <v>1690308170</v>
      </c>
      <c r="C154">
        <v>1551.400000095367</v>
      </c>
      <c r="D154" t="s">
        <v>609</v>
      </c>
      <c r="E154" t="s">
        <v>610</v>
      </c>
      <c r="F154" t="s">
        <v>330</v>
      </c>
      <c r="H154">
        <v>1690308170</v>
      </c>
      <c r="I154">
        <f t="shared" si="60"/>
        <v>1.70341013529991E-3</v>
      </c>
      <c r="J154">
        <f t="shared" si="61"/>
        <v>1.70341013529991</v>
      </c>
      <c r="K154">
        <f t="shared" si="62"/>
        <v>26.844165464049478</v>
      </c>
      <c r="L154">
        <f t="shared" si="63"/>
        <v>511.91500000000002</v>
      </c>
      <c r="M154">
        <f t="shared" si="64"/>
        <v>170.59620354313768</v>
      </c>
      <c r="N154">
        <f t="shared" si="65"/>
        <v>16.941453482005546</v>
      </c>
      <c r="O154">
        <f t="shared" si="66"/>
        <v>50.836911836950009</v>
      </c>
      <c r="P154">
        <f t="shared" si="67"/>
        <v>0.13223077220107035</v>
      </c>
      <c r="Q154">
        <f t="shared" si="68"/>
        <v>2.1994848872684249</v>
      </c>
      <c r="R154">
        <f t="shared" si="69"/>
        <v>0.12796784217266929</v>
      </c>
      <c r="S154">
        <f t="shared" si="70"/>
        <v>8.0351460275646464E-2</v>
      </c>
      <c r="T154">
        <f t="shared" si="71"/>
        <v>276.11469178200002</v>
      </c>
      <c r="U154">
        <f t="shared" si="72"/>
        <v>25.873239302035746</v>
      </c>
      <c r="V154">
        <f t="shared" si="73"/>
        <v>25.873239302035746</v>
      </c>
      <c r="W154">
        <f t="shared" si="74"/>
        <v>3.3490313919899894</v>
      </c>
      <c r="X154">
        <f t="shared" si="75"/>
        <v>67.552794775088913</v>
      </c>
      <c r="Y154">
        <f t="shared" si="76"/>
        <v>2.0631495036820002</v>
      </c>
      <c r="Z154">
        <f t="shared" si="77"/>
        <v>3.0541290120580133</v>
      </c>
      <c r="AA154">
        <f t="shared" si="78"/>
        <v>1.2858818883079892</v>
      </c>
      <c r="AB154">
        <f t="shared" si="79"/>
        <v>-75.120386966726031</v>
      </c>
      <c r="AC154">
        <f t="shared" si="80"/>
        <v>-183.4695155453901</v>
      </c>
      <c r="AD154">
        <f t="shared" si="81"/>
        <v>-17.662058967813014</v>
      </c>
      <c r="AE154">
        <f t="shared" si="82"/>
        <v>-0.13726969792912769</v>
      </c>
      <c r="AF154">
        <v>13</v>
      </c>
      <c r="AG154">
        <v>4</v>
      </c>
      <c r="AH154">
        <f t="shared" si="83"/>
        <v>1</v>
      </c>
      <c r="AI154">
        <f t="shared" si="84"/>
        <v>0</v>
      </c>
      <c r="AJ154">
        <f t="shared" si="85"/>
        <v>53082.027548006801</v>
      </c>
      <c r="AK154">
        <f t="shared" si="86"/>
        <v>1800</v>
      </c>
      <c r="AL154">
        <f t="shared" si="87"/>
        <v>1499.1130782</v>
      </c>
      <c r="AM154">
        <f t="shared" si="88"/>
        <v>0.83284059899999996</v>
      </c>
      <c r="AN154">
        <f t="shared" si="89"/>
        <v>0.15339705099000001</v>
      </c>
      <c r="AO154">
        <v>31.2</v>
      </c>
      <c r="AP154">
        <v>0.5</v>
      </c>
      <c r="AQ154" t="s">
        <v>331</v>
      </c>
      <c r="AR154">
        <v>2</v>
      </c>
      <c r="AS154">
        <v>1690308170</v>
      </c>
      <c r="AT154">
        <v>511.91500000000002</v>
      </c>
      <c r="AU154">
        <v>800.04499999999996</v>
      </c>
      <c r="AV154">
        <v>20.775400000000001</v>
      </c>
      <c r="AW154">
        <v>3.4350900000000002</v>
      </c>
      <c r="AX154">
        <v>511.76299999999998</v>
      </c>
      <c r="AY154">
        <v>20.559799999999999</v>
      </c>
      <c r="AZ154">
        <v>300.12299999999999</v>
      </c>
      <c r="BA154">
        <v>99.207300000000004</v>
      </c>
      <c r="BB154">
        <v>0.10002999999999999</v>
      </c>
      <c r="BC154">
        <v>24.326000000000001</v>
      </c>
      <c r="BD154">
        <v>26.9724</v>
      </c>
      <c r="BE154">
        <v>26.12</v>
      </c>
      <c r="BF154">
        <v>0</v>
      </c>
      <c r="BG154">
        <v>0</v>
      </c>
      <c r="BH154">
        <v>10030</v>
      </c>
      <c r="BI154">
        <v>1041.06</v>
      </c>
      <c r="BJ154">
        <v>1.62592</v>
      </c>
      <c r="BK154">
        <v>-288.13</v>
      </c>
      <c r="BL154">
        <v>522.77599999999995</v>
      </c>
      <c r="BM154">
        <v>802.803</v>
      </c>
      <c r="BN154">
        <v>17.340299999999999</v>
      </c>
      <c r="BO154">
        <v>800.04499999999996</v>
      </c>
      <c r="BP154">
        <v>3.4350900000000002</v>
      </c>
      <c r="BQ154">
        <v>2.06107</v>
      </c>
      <c r="BR154">
        <v>0.34078599999999998</v>
      </c>
      <c r="BS154">
        <v>17.921500000000002</v>
      </c>
      <c r="BT154">
        <v>-7.8347100000000003</v>
      </c>
      <c r="BU154">
        <v>1800</v>
      </c>
      <c r="BV154">
        <v>0.91001100000000001</v>
      </c>
      <c r="BW154">
        <v>3.4000799999999998E-2</v>
      </c>
      <c r="BX154">
        <v>2.1995199999999999E-2</v>
      </c>
      <c r="BY154">
        <v>3.3993299999999997E-2</v>
      </c>
      <c r="BZ154">
        <v>26</v>
      </c>
      <c r="CA154">
        <v>33528.5</v>
      </c>
      <c r="CB154">
        <v>1690306253.5999999</v>
      </c>
      <c r="CC154" t="s">
        <v>332</v>
      </c>
      <c r="CD154">
        <v>1690306253.5999999</v>
      </c>
      <c r="CE154">
        <v>1690306251.5999999</v>
      </c>
      <c r="CF154">
        <v>9</v>
      </c>
      <c r="CG154">
        <v>0.19</v>
      </c>
      <c r="CH154">
        <v>-8.7999999999999995E-2</v>
      </c>
      <c r="CI154">
        <v>-5.0999999999999997E-2</v>
      </c>
      <c r="CJ154">
        <v>5.0999999999999997E-2</v>
      </c>
      <c r="CK154">
        <v>799</v>
      </c>
      <c r="CL154">
        <v>15</v>
      </c>
      <c r="CM154">
        <v>0.28000000000000003</v>
      </c>
      <c r="CN154">
        <v>0.03</v>
      </c>
      <c r="CO154">
        <v>-286.55925000000002</v>
      </c>
      <c r="CP154">
        <v>-8.5973358348961018</v>
      </c>
      <c r="CQ154">
        <v>0.82882708540443306</v>
      </c>
      <c r="CR154">
        <v>-1</v>
      </c>
      <c r="CS154">
        <v>17.193267500000001</v>
      </c>
      <c r="CT154">
        <v>0.77211444652903549</v>
      </c>
      <c r="CU154">
        <v>7.4432950994502409E-2</v>
      </c>
      <c r="CV154">
        <v>-1</v>
      </c>
      <c r="CW154">
        <v>0</v>
      </c>
      <c r="CX154">
        <v>0</v>
      </c>
      <c r="CY154" t="s">
        <v>333</v>
      </c>
      <c r="CZ154">
        <v>2.36442</v>
      </c>
      <c r="DA154">
        <v>2.7138499999999999</v>
      </c>
      <c r="DB154">
        <v>0.107609</v>
      </c>
      <c r="DC154">
        <v>0.14621700000000001</v>
      </c>
      <c r="DD154">
        <v>0.10280400000000001</v>
      </c>
      <c r="DE154">
        <v>2.4698500000000002E-2</v>
      </c>
      <c r="DF154">
        <v>32597.599999999999</v>
      </c>
      <c r="DG154">
        <v>27538.9</v>
      </c>
      <c r="DH154">
        <v>31184.2</v>
      </c>
      <c r="DI154">
        <v>28106.1</v>
      </c>
      <c r="DJ154">
        <v>37989.300000000003</v>
      </c>
      <c r="DK154">
        <v>38991.599999999999</v>
      </c>
      <c r="DL154">
        <v>44382.8</v>
      </c>
      <c r="DM154">
        <v>42607.4</v>
      </c>
      <c r="DN154">
        <v>1.4357800000000001</v>
      </c>
      <c r="DO154">
        <v>2.0329299999999999</v>
      </c>
      <c r="DP154">
        <v>0.17972299999999999</v>
      </c>
      <c r="DQ154">
        <v>0.152588</v>
      </c>
      <c r="DR154">
        <v>24.026</v>
      </c>
      <c r="DS154">
        <v>23.6158</v>
      </c>
      <c r="DT154">
        <v>37.700000000000003</v>
      </c>
      <c r="DU154">
        <v>29.4</v>
      </c>
      <c r="DV154">
        <v>15.6431</v>
      </c>
      <c r="DW154">
        <v>61.183100000000003</v>
      </c>
      <c r="DX154">
        <v>36.234000000000002</v>
      </c>
      <c r="DY154">
        <v>1</v>
      </c>
      <c r="DZ154">
        <v>-9.2743900000000004E-2</v>
      </c>
      <c r="EA154">
        <v>1.13239</v>
      </c>
      <c r="EB154">
        <v>20.185199999999998</v>
      </c>
      <c r="EC154">
        <v>5.2408000000000001</v>
      </c>
      <c r="ED154">
        <v>12.039899999999999</v>
      </c>
      <c r="EE154">
        <v>5.0167999999999999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1.86893</v>
      </c>
      <c r="EL154">
        <v>1.8646199999999999</v>
      </c>
      <c r="EM154">
        <v>1.8692</v>
      </c>
      <c r="EN154">
        <v>1.8672800000000001</v>
      </c>
      <c r="EO154">
        <v>1.8633999999999999</v>
      </c>
      <c r="EP154">
        <v>1.8644799999999999</v>
      </c>
      <c r="EQ154">
        <v>1.8702000000000001</v>
      </c>
      <c r="ER154">
        <v>1.8694299999999999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0.152</v>
      </c>
      <c r="FG154">
        <v>0.21560000000000001</v>
      </c>
      <c r="FH154">
        <v>0.49996858830924029</v>
      </c>
      <c r="FI154">
        <v>-6.1462078757559423E-4</v>
      </c>
      <c r="FJ154">
        <v>-1.8861989874597051E-7</v>
      </c>
      <c r="FK154">
        <v>1.1980462299894961E-10</v>
      </c>
      <c r="FL154">
        <v>-3.8593581000597899E-2</v>
      </c>
      <c r="FM154">
        <v>-1.6848085045870601E-2</v>
      </c>
      <c r="FN154">
        <v>1.9789084769509481E-3</v>
      </c>
      <c r="FO154">
        <v>-2.7142391389806329E-5</v>
      </c>
      <c r="FP154">
        <v>3</v>
      </c>
      <c r="FQ154">
        <v>2158</v>
      </c>
      <c r="FR154">
        <v>1</v>
      </c>
      <c r="FS154">
        <v>19</v>
      </c>
      <c r="FT154">
        <v>31.9</v>
      </c>
      <c r="FU154">
        <v>32</v>
      </c>
      <c r="FV154">
        <v>1.7687999999999999</v>
      </c>
      <c r="FW154">
        <v>2.5952099999999998</v>
      </c>
      <c r="FX154">
        <v>1.5490699999999999</v>
      </c>
      <c r="FY154">
        <v>2.32666</v>
      </c>
      <c r="FZ154">
        <v>1.50146</v>
      </c>
      <c r="GA154">
        <v>2.2949199999999998</v>
      </c>
      <c r="GB154">
        <v>34.054499999999997</v>
      </c>
      <c r="GC154">
        <v>23.973700000000001</v>
      </c>
      <c r="GD154">
        <v>19</v>
      </c>
      <c r="GE154">
        <v>266.09899999999999</v>
      </c>
      <c r="GF154">
        <v>580.697</v>
      </c>
      <c r="GG154">
        <v>21.396999999999998</v>
      </c>
      <c r="GH154">
        <v>26.177900000000001</v>
      </c>
      <c r="GI154">
        <v>29.9998</v>
      </c>
      <c r="GJ154">
        <v>26.3703</v>
      </c>
      <c r="GK154">
        <v>26.3721</v>
      </c>
      <c r="GL154">
        <v>35.352699999999999</v>
      </c>
      <c r="GM154">
        <v>72.706800000000001</v>
      </c>
      <c r="GN154">
        <v>42.993600000000001</v>
      </c>
      <c r="GO154">
        <v>21.421399999999998</v>
      </c>
      <c r="GP154">
        <v>800</v>
      </c>
      <c r="GQ154">
        <v>3.3093499999999998</v>
      </c>
      <c r="GR154">
        <v>99.782399999999996</v>
      </c>
      <c r="GS154">
        <v>99.665899999999993</v>
      </c>
    </row>
    <row r="155" spans="1:201" x14ac:dyDescent="0.25">
      <c r="A155">
        <v>139</v>
      </c>
      <c r="B155">
        <v>1690308180</v>
      </c>
      <c r="C155">
        <v>1561.400000095367</v>
      </c>
      <c r="D155" t="s">
        <v>611</v>
      </c>
      <c r="E155" t="s">
        <v>612</v>
      </c>
      <c r="F155" t="s">
        <v>330</v>
      </c>
      <c r="H155">
        <v>1690308180</v>
      </c>
      <c r="I155">
        <f t="shared" si="60"/>
        <v>1.7178146396636981E-3</v>
      </c>
      <c r="J155">
        <f t="shared" si="61"/>
        <v>1.7178146396636982</v>
      </c>
      <c r="K155">
        <f t="shared" si="62"/>
        <v>26.98054874137533</v>
      </c>
      <c r="L155">
        <f t="shared" si="63"/>
        <v>510.48700000000002</v>
      </c>
      <c r="M155">
        <f t="shared" si="64"/>
        <v>170.20957485504138</v>
      </c>
      <c r="N155">
        <f t="shared" si="65"/>
        <v>16.903611753596191</v>
      </c>
      <c r="O155">
        <f t="shared" si="66"/>
        <v>50.696760511898304</v>
      </c>
      <c r="P155">
        <f t="shared" si="67"/>
        <v>0.1333470197083238</v>
      </c>
      <c r="Q155">
        <f t="shared" si="68"/>
        <v>2.1967647685018328</v>
      </c>
      <c r="R155">
        <f t="shared" si="69"/>
        <v>0.12900790438705009</v>
      </c>
      <c r="S155">
        <f t="shared" si="70"/>
        <v>8.1008030433873113E-2</v>
      </c>
      <c r="T155">
        <f t="shared" si="71"/>
        <v>276.11466980400002</v>
      </c>
      <c r="U155">
        <f t="shared" si="72"/>
        <v>25.876583364822494</v>
      </c>
      <c r="V155">
        <f t="shared" si="73"/>
        <v>25.876583364822494</v>
      </c>
      <c r="W155">
        <f t="shared" si="74"/>
        <v>3.3496947828105434</v>
      </c>
      <c r="X155">
        <f t="shared" si="75"/>
        <v>67.533250136507732</v>
      </c>
      <c r="Y155">
        <f t="shared" si="76"/>
        <v>2.0633560772431201</v>
      </c>
      <c r="Z155">
        <f t="shared" si="77"/>
        <v>3.0553187845577896</v>
      </c>
      <c r="AA155">
        <f t="shared" si="78"/>
        <v>1.2863387055674234</v>
      </c>
      <c r="AB155">
        <f t="shared" si="79"/>
        <v>-75.755625609169087</v>
      </c>
      <c r="AC155">
        <f t="shared" si="80"/>
        <v>-182.86885357715667</v>
      </c>
      <c r="AD155">
        <f t="shared" si="81"/>
        <v>-17.626905903331309</v>
      </c>
      <c r="AE155">
        <f t="shared" si="82"/>
        <v>-0.13671528565706126</v>
      </c>
      <c r="AF155">
        <v>13</v>
      </c>
      <c r="AG155">
        <v>4</v>
      </c>
      <c r="AH155">
        <f t="shared" si="83"/>
        <v>1</v>
      </c>
      <c r="AI155">
        <f t="shared" si="84"/>
        <v>0</v>
      </c>
      <c r="AJ155">
        <f t="shared" si="85"/>
        <v>52968.469549669142</v>
      </c>
      <c r="AK155">
        <f t="shared" si="86"/>
        <v>1800</v>
      </c>
      <c r="AL155">
        <f t="shared" si="87"/>
        <v>1499.1133374000001</v>
      </c>
      <c r="AM155">
        <f t="shared" si="88"/>
        <v>0.83284074299999999</v>
      </c>
      <c r="AN155">
        <f t="shared" si="89"/>
        <v>0.15339703878000002</v>
      </c>
      <c r="AO155">
        <v>31.2</v>
      </c>
      <c r="AP155">
        <v>0.5</v>
      </c>
      <c r="AQ155" t="s">
        <v>331</v>
      </c>
      <c r="AR155">
        <v>2</v>
      </c>
      <c r="AS155">
        <v>1690308180</v>
      </c>
      <c r="AT155">
        <v>510.48700000000002</v>
      </c>
      <c r="AU155">
        <v>800.00300000000004</v>
      </c>
      <c r="AV155">
        <v>20.776800000000001</v>
      </c>
      <c r="AW155">
        <v>3.2948900000000001</v>
      </c>
      <c r="AX155">
        <v>510.334</v>
      </c>
      <c r="AY155">
        <v>20.561199999999999</v>
      </c>
      <c r="AZ155">
        <v>300.209</v>
      </c>
      <c r="BA155">
        <v>99.210599999999999</v>
      </c>
      <c r="BB155">
        <v>9.9980899999999998E-2</v>
      </c>
      <c r="BC155">
        <v>24.3325</v>
      </c>
      <c r="BD155">
        <v>26.991399999999999</v>
      </c>
      <c r="BE155">
        <v>26.130199999999999</v>
      </c>
      <c r="BF155">
        <v>0</v>
      </c>
      <c r="BG155">
        <v>0</v>
      </c>
      <c r="BH155">
        <v>10007.5</v>
      </c>
      <c r="BI155">
        <v>1041.1300000000001</v>
      </c>
      <c r="BJ155">
        <v>1.62592</v>
      </c>
      <c r="BK155">
        <v>-289.51600000000002</v>
      </c>
      <c r="BL155">
        <v>521.31799999999998</v>
      </c>
      <c r="BM155">
        <v>802.64800000000002</v>
      </c>
      <c r="BN155">
        <v>17.4819</v>
      </c>
      <c r="BO155">
        <v>800.00300000000004</v>
      </c>
      <c r="BP155">
        <v>3.2948900000000001</v>
      </c>
      <c r="BQ155">
        <v>2.06128</v>
      </c>
      <c r="BR155">
        <v>0.32688800000000001</v>
      </c>
      <c r="BS155">
        <v>17.923100000000002</v>
      </c>
      <c r="BT155">
        <v>-8.3700899999999994</v>
      </c>
      <c r="BU155">
        <v>1800</v>
      </c>
      <c r="BV155">
        <v>0.91001200000000004</v>
      </c>
      <c r="BW155">
        <v>3.4000500000000003E-2</v>
      </c>
      <c r="BX155">
        <v>2.1994900000000001E-2</v>
      </c>
      <c r="BY155">
        <v>3.3993000000000002E-2</v>
      </c>
      <c r="BZ155">
        <v>26</v>
      </c>
      <c r="CA155">
        <v>33528.5</v>
      </c>
      <c r="CB155">
        <v>1690306253.5999999</v>
      </c>
      <c r="CC155" t="s">
        <v>332</v>
      </c>
      <c r="CD155">
        <v>1690306253.5999999</v>
      </c>
      <c r="CE155">
        <v>1690306251.5999999</v>
      </c>
      <c r="CF155">
        <v>9</v>
      </c>
      <c r="CG155">
        <v>0.19</v>
      </c>
      <c r="CH155">
        <v>-8.7999999999999995E-2</v>
      </c>
      <c r="CI155">
        <v>-5.0999999999999997E-2</v>
      </c>
      <c r="CJ155">
        <v>5.0999999999999997E-2</v>
      </c>
      <c r="CK155">
        <v>799</v>
      </c>
      <c r="CL155">
        <v>15</v>
      </c>
      <c r="CM155">
        <v>0.28000000000000003</v>
      </c>
      <c r="CN155">
        <v>0.03</v>
      </c>
      <c r="CO155">
        <v>-288.03235000000012</v>
      </c>
      <c r="CP155">
        <v>-8.8343414634143667</v>
      </c>
      <c r="CQ155">
        <v>0.85180647890233818</v>
      </c>
      <c r="CR155">
        <v>-1</v>
      </c>
      <c r="CS155">
        <v>17.331985</v>
      </c>
      <c r="CT155">
        <v>0.87906866791741278</v>
      </c>
      <c r="CU155">
        <v>8.4685109523457508E-2</v>
      </c>
      <c r="CV155">
        <v>-1</v>
      </c>
      <c r="CW155">
        <v>0</v>
      </c>
      <c r="CX155">
        <v>0</v>
      </c>
      <c r="CY155" t="s">
        <v>333</v>
      </c>
      <c r="CZ155">
        <v>2.36469</v>
      </c>
      <c r="DA155">
        <v>2.7137799999999999</v>
      </c>
      <c r="DB155">
        <v>0.107395</v>
      </c>
      <c r="DC155">
        <v>0.14621500000000001</v>
      </c>
      <c r="DD155">
        <v>0.102813</v>
      </c>
      <c r="DE155">
        <v>2.3822200000000002E-2</v>
      </c>
      <c r="DF155">
        <v>32606.2</v>
      </c>
      <c r="DG155">
        <v>27539.4</v>
      </c>
      <c r="DH155">
        <v>31185</v>
      </c>
      <c r="DI155">
        <v>28106.5</v>
      </c>
      <c r="DJ155">
        <v>37989.9</v>
      </c>
      <c r="DK155">
        <v>39027.199999999997</v>
      </c>
      <c r="DL155">
        <v>44383.9</v>
      </c>
      <c r="DM155">
        <v>42607.9</v>
      </c>
      <c r="DN155">
        <v>1.4363699999999999</v>
      </c>
      <c r="DO155">
        <v>2.0326499999999998</v>
      </c>
      <c r="DP155">
        <v>0.18084</v>
      </c>
      <c r="DQ155">
        <v>0.15321399999999999</v>
      </c>
      <c r="DR155">
        <v>24.026700000000002</v>
      </c>
      <c r="DS155">
        <v>23.6158</v>
      </c>
      <c r="DT155">
        <v>37.299999999999997</v>
      </c>
      <c r="DU155">
        <v>29.4</v>
      </c>
      <c r="DV155">
        <v>15.4741</v>
      </c>
      <c r="DW155">
        <v>61.293100000000003</v>
      </c>
      <c r="DX155">
        <v>36.534500000000001</v>
      </c>
      <c r="DY155">
        <v>1</v>
      </c>
      <c r="DZ155">
        <v>-9.3155500000000002E-2</v>
      </c>
      <c r="EA155">
        <v>1.1072500000000001</v>
      </c>
      <c r="EB155">
        <v>20.185500000000001</v>
      </c>
      <c r="EC155">
        <v>5.2411000000000003</v>
      </c>
      <c r="ED155">
        <v>12.039899999999999</v>
      </c>
      <c r="EE155">
        <v>5.0166500000000003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1.8689100000000001</v>
      </c>
      <c r="EL155">
        <v>1.86463</v>
      </c>
      <c r="EM155">
        <v>1.8692</v>
      </c>
      <c r="EN155">
        <v>1.8672599999999999</v>
      </c>
      <c r="EO155">
        <v>1.8633999999999999</v>
      </c>
      <c r="EP155">
        <v>1.8644799999999999</v>
      </c>
      <c r="EQ155">
        <v>1.8702000000000001</v>
      </c>
      <c r="ER155">
        <v>1.8694200000000001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0.153</v>
      </c>
      <c r="FG155">
        <v>0.21560000000000001</v>
      </c>
      <c r="FH155">
        <v>0.49996858830924029</v>
      </c>
      <c r="FI155">
        <v>-6.1462078757559423E-4</v>
      </c>
      <c r="FJ155">
        <v>-1.8861989874597051E-7</v>
      </c>
      <c r="FK155">
        <v>1.1980462299894961E-10</v>
      </c>
      <c r="FL155">
        <v>-3.8593581000597899E-2</v>
      </c>
      <c r="FM155">
        <v>-1.6848085045870601E-2</v>
      </c>
      <c r="FN155">
        <v>1.9789084769509481E-3</v>
      </c>
      <c r="FO155">
        <v>-2.7142391389806329E-5</v>
      </c>
      <c r="FP155">
        <v>3</v>
      </c>
      <c r="FQ155">
        <v>2158</v>
      </c>
      <c r="FR155">
        <v>1</v>
      </c>
      <c r="FS155">
        <v>19</v>
      </c>
      <c r="FT155">
        <v>32.1</v>
      </c>
      <c r="FU155">
        <v>32.1</v>
      </c>
      <c r="FV155">
        <v>1.7675799999999999</v>
      </c>
      <c r="FW155">
        <v>2.5903299999999998</v>
      </c>
      <c r="FX155">
        <v>1.5490699999999999</v>
      </c>
      <c r="FY155">
        <v>2.32666</v>
      </c>
      <c r="FZ155">
        <v>1.50146</v>
      </c>
      <c r="GA155">
        <v>2.3791500000000001</v>
      </c>
      <c r="GB155">
        <v>34.054499999999997</v>
      </c>
      <c r="GC155">
        <v>23.982399999999998</v>
      </c>
      <c r="GD155">
        <v>19</v>
      </c>
      <c r="GE155">
        <v>266.32900000000001</v>
      </c>
      <c r="GF155">
        <v>580.42200000000003</v>
      </c>
      <c r="GG155">
        <v>21.446300000000001</v>
      </c>
      <c r="GH155">
        <v>26.174800000000001</v>
      </c>
      <c r="GI155">
        <v>29.9999</v>
      </c>
      <c r="GJ155">
        <v>26.366700000000002</v>
      </c>
      <c r="GK155">
        <v>26.367699999999999</v>
      </c>
      <c r="GL155">
        <v>35.346800000000002</v>
      </c>
      <c r="GM155">
        <v>73.565200000000004</v>
      </c>
      <c r="GN155">
        <v>42.194099999999999</v>
      </c>
      <c r="GO155">
        <v>21.457799999999999</v>
      </c>
      <c r="GP155">
        <v>800</v>
      </c>
      <c r="GQ155">
        <v>3.1588799999999999</v>
      </c>
      <c r="GR155">
        <v>99.784999999999997</v>
      </c>
      <c r="GS155">
        <v>99.667199999999994</v>
      </c>
    </row>
    <row r="156" spans="1:201" x14ac:dyDescent="0.25">
      <c r="A156">
        <v>140</v>
      </c>
      <c r="B156">
        <v>1690308190</v>
      </c>
      <c r="C156">
        <v>1571.400000095367</v>
      </c>
      <c r="D156" t="s">
        <v>613</v>
      </c>
      <c r="E156" t="s">
        <v>614</v>
      </c>
      <c r="F156" t="s">
        <v>330</v>
      </c>
      <c r="H156">
        <v>1690308190</v>
      </c>
      <c r="I156">
        <f t="shared" si="60"/>
        <v>1.7333332216702489E-3</v>
      </c>
      <c r="J156">
        <f t="shared" si="61"/>
        <v>1.7333332216702488</v>
      </c>
      <c r="K156">
        <f t="shared" si="62"/>
        <v>27.107287859736644</v>
      </c>
      <c r="L156">
        <f t="shared" si="63"/>
        <v>509.13900000000001</v>
      </c>
      <c r="M156">
        <f t="shared" si="64"/>
        <v>170.47877540459078</v>
      </c>
      <c r="N156">
        <f t="shared" si="65"/>
        <v>16.930173879556484</v>
      </c>
      <c r="O156">
        <f t="shared" si="66"/>
        <v>50.562375160229998</v>
      </c>
      <c r="P156">
        <f t="shared" si="67"/>
        <v>0.13465698668557574</v>
      </c>
      <c r="Q156">
        <f t="shared" si="68"/>
        <v>2.1972927374525715</v>
      </c>
      <c r="R156">
        <f t="shared" si="69"/>
        <v>0.13023474691782772</v>
      </c>
      <c r="S156">
        <f t="shared" si="70"/>
        <v>8.1781939189634861E-2</v>
      </c>
      <c r="T156">
        <f t="shared" si="71"/>
        <v>276.11466980400002</v>
      </c>
      <c r="U156">
        <f t="shared" si="72"/>
        <v>25.873967673519193</v>
      </c>
      <c r="V156">
        <f t="shared" si="73"/>
        <v>25.873967673519193</v>
      </c>
      <c r="W156">
        <f t="shared" si="74"/>
        <v>3.3491758756000318</v>
      </c>
      <c r="X156">
        <f t="shared" si="75"/>
        <v>67.524324144345854</v>
      </c>
      <c r="Y156">
        <f t="shared" si="76"/>
        <v>2.0634542454599996</v>
      </c>
      <c r="Z156">
        <f t="shared" si="77"/>
        <v>3.0558680469707196</v>
      </c>
      <c r="AA156">
        <f t="shared" si="78"/>
        <v>1.2857216301400323</v>
      </c>
      <c r="AB156">
        <f t="shared" si="79"/>
        <v>-76.439995075657976</v>
      </c>
      <c r="AC156">
        <f t="shared" si="80"/>
        <v>-182.24756685634802</v>
      </c>
      <c r="AD156">
        <f t="shared" si="81"/>
        <v>-17.562831550417357</v>
      </c>
      <c r="AE156">
        <f t="shared" si="82"/>
        <v>-0.13572367842331801</v>
      </c>
      <c r="AF156">
        <v>13</v>
      </c>
      <c r="AG156">
        <v>4</v>
      </c>
      <c r="AH156">
        <f t="shared" si="83"/>
        <v>1</v>
      </c>
      <c r="AI156">
        <f t="shared" si="84"/>
        <v>0</v>
      </c>
      <c r="AJ156">
        <f t="shared" si="85"/>
        <v>52989.731925671382</v>
      </c>
      <c r="AK156">
        <f t="shared" si="86"/>
        <v>1800</v>
      </c>
      <c r="AL156">
        <f t="shared" si="87"/>
        <v>1499.1133374000001</v>
      </c>
      <c r="AM156">
        <f t="shared" si="88"/>
        <v>0.83284074299999999</v>
      </c>
      <c r="AN156">
        <f t="shared" si="89"/>
        <v>0.15339703878000002</v>
      </c>
      <c r="AO156">
        <v>31.2</v>
      </c>
      <c r="AP156">
        <v>0.5</v>
      </c>
      <c r="AQ156" t="s">
        <v>331</v>
      </c>
      <c r="AR156">
        <v>2</v>
      </c>
      <c r="AS156">
        <v>1690308190</v>
      </c>
      <c r="AT156">
        <v>509.13900000000001</v>
      </c>
      <c r="AU156">
        <v>800.1</v>
      </c>
      <c r="AV156">
        <v>20.777999999999999</v>
      </c>
      <c r="AW156">
        <v>3.13395</v>
      </c>
      <c r="AX156">
        <v>508.98500000000001</v>
      </c>
      <c r="AY156">
        <v>20.5623</v>
      </c>
      <c r="AZ156">
        <v>300.137</v>
      </c>
      <c r="BA156">
        <v>99.209599999999995</v>
      </c>
      <c r="BB156">
        <v>9.9970000000000003E-2</v>
      </c>
      <c r="BC156">
        <v>24.3355</v>
      </c>
      <c r="BD156">
        <v>27.005299999999998</v>
      </c>
      <c r="BE156">
        <v>26.133400000000002</v>
      </c>
      <c r="BF156">
        <v>0</v>
      </c>
      <c r="BG156">
        <v>0</v>
      </c>
      <c r="BH156">
        <v>10011.9</v>
      </c>
      <c r="BI156">
        <v>1041.1199999999999</v>
      </c>
      <c r="BJ156">
        <v>1.62592</v>
      </c>
      <c r="BK156">
        <v>-290.96199999999999</v>
      </c>
      <c r="BL156">
        <v>519.94200000000001</v>
      </c>
      <c r="BM156">
        <v>802.61599999999999</v>
      </c>
      <c r="BN156">
        <v>17.643999999999998</v>
      </c>
      <c r="BO156">
        <v>800.1</v>
      </c>
      <c r="BP156">
        <v>3.13395</v>
      </c>
      <c r="BQ156">
        <v>2.0613700000000001</v>
      </c>
      <c r="BR156">
        <v>0.31091800000000003</v>
      </c>
      <c r="BS156">
        <v>17.9238</v>
      </c>
      <c r="BT156">
        <v>-9.0108700000000006</v>
      </c>
      <c r="BU156">
        <v>1800</v>
      </c>
      <c r="BV156">
        <v>0.91001200000000004</v>
      </c>
      <c r="BW156">
        <v>3.4000500000000003E-2</v>
      </c>
      <c r="BX156">
        <v>2.1994900000000001E-2</v>
      </c>
      <c r="BY156">
        <v>3.3993000000000002E-2</v>
      </c>
      <c r="BZ156">
        <v>26</v>
      </c>
      <c r="CA156">
        <v>33528.5</v>
      </c>
      <c r="CB156">
        <v>1690306253.5999999</v>
      </c>
      <c r="CC156" t="s">
        <v>332</v>
      </c>
      <c r="CD156">
        <v>1690306253.5999999</v>
      </c>
      <c r="CE156">
        <v>1690306251.5999999</v>
      </c>
      <c r="CF156">
        <v>9</v>
      </c>
      <c r="CG156">
        <v>0.19</v>
      </c>
      <c r="CH156">
        <v>-8.7999999999999995E-2</v>
      </c>
      <c r="CI156">
        <v>-5.0999999999999997E-2</v>
      </c>
      <c r="CJ156">
        <v>5.0999999999999997E-2</v>
      </c>
      <c r="CK156">
        <v>799</v>
      </c>
      <c r="CL156">
        <v>15</v>
      </c>
      <c r="CM156">
        <v>0.28000000000000003</v>
      </c>
      <c r="CN156">
        <v>0.03</v>
      </c>
      <c r="CO156">
        <v>-289.5051951219512</v>
      </c>
      <c r="CP156">
        <v>-8.1116236933801709</v>
      </c>
      <c r="CQ156">
        <v>0.80261144563178066</v>
      </c>
      <c r="CR156">
        <v>-1</v>
      </c>
      <c r="CS156">
        <v>17.48319268292683</v>
      </c>
      <c r="CT156">
        <v>0.88186202090595167</v>
      </c>
      <c r="CU156">
        <v>8.7068678780082315E-2</v>
      </c>
      <c r="CV156">
        <v>-1</v>
      </c>
      <c r="CW156">
        <v>0</v>
      </c>
      <c r="CX156">
        <v>0</v>
      </c>
      <c r="CY156" t="s">
        <v>333</v>
      </c>
      <c r="CZ156">
        <v>2.3644500000000002</v>
      </c>
      <c r="DA156">
        <v>2.7137699999999998</v>
      </c>
      <c r="DB156">
        <v>0.10718800000000001</v>
      </c>
      <c r="DC156">
        <v>0.14622299999999999</v>
      </c>
      <c r="DD156">
        <v>0.10281700000000001</v>
      </c>
      <c r="DE156">
        <v>2.2804600000000001E-2</v>
      </c>
      <c r="DF156">
        <v>32613.7</v>
      </c>
      <c r="DG156">
        <v>27539.3</v>
      </c>
      <c r="DH156">
        <v>31185</v>
      </c>
      <c r="DI156">
        <v>28106.7</v>
      </c>
      <c r="DJ156">
        <v>37989.599999999999</v>
      </c>
      <c r="DK156">
        <v>39068.199999999997</v>
      </c>
      <c r="DL156">
        <v>44383.8</v>
      </c>
      <c r="DM156">
        <v>42608.3</v>
      </c>
      <c r="DN156">
        <v>1.4361999999999999</v>
      </c>
      <c r="DO156">
        <v>2.0325799999999998</v>
      </c>
      <c r="DP156">
        <v>0.18168999999999999</v>
      </c>
      <c r="DQ156">
        <v>0.15340699999999999</v>
      </c>
      <c r="DR156">
        <v>24.026700000000002</v>
      </c>
      <c r="DS156">
        <v>23.6158</v>
      </c>
      <c r="DT156">
        <v>36.9</v>
      </c>
      <c r="DU156">
        <v>29.4</v>
      </c>
      <c r="DV156">
        <v>15.3072</v>
      </c>
      <c r="DW156">
        <v>61.402999999999999</v>
      </c>
      <c r="DX156">
        <v>37.227600000000002</v>
      </c>
      <c r="DY156">
        <v>1</v>
      </c>
      <c r="DZ156">
        <v>-9.3274899999999994E-2</v>
      </c>
      <c r="EA156">
        <v>1.2652300000000001</v>
      </c>
      <c r="EB156">
        <v>20.184000000000001</v>
      </c>
      <c r="EC156">
        <v>5.2408000000000001</v>
      </c>
      <c r="ED156">
        <v>12.039899999999999</v>
      </c>
      <c r="EE156">
        <v>5.0167000000000002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1.8689199999999999</v>
      </c>
      <c r="EL156">
        <v>1.8646199999999999</v>
      </c>
      <c r="EM156">
        <v>1.8692</v>
      </c>
      <c r="EN156">
        <v>1.8672599999999999</v>
      </c>
      <c r="EO156">
        <v>1.8633999999999999</v>
      </c>
      <c r="EP156">
        <v>1.8644799999999999</v>
      </c>
      <c r="EQ156">
        <v>1.87018</v>
      </c>
      <c r="ER156">
        <v>1.8694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0.154</v>
      </c>
      <c r="FG156">
        <v>0.2157</v>
      </c>
      <c r="FH156">
        <v>0.49996858830924029</v>
      </c>
      <c r="FI156">
        <v>-6.1462078757559423E-4</v>
      </c>
      <c r="FJ156">
        <v>-1.8861989874597051E-7</v>
      </c>
      <c r="FK156">
        <v>1.1980462299894961E-10</v>
      </c>
      <c r="FL156">
        <v>-3.8593581000597899E-2</v>
      </c>
      <c r="FM156">
        <v>-1.6848085045870601E-2</v>
      </c>
      <c r="FN156">
        <v>1.9789084769509481E-3</v>
      </c>
      <c r="FO156">
        <v>-2.7142391389806329E-5</v>
      </c>
      <c r="FP156">
        <v>3</v>
      </c>
      <c r="FQ156">
        <v>2158</v>
      </c>
      <c r="FR156">
        <v>1</v>
      </c>
      <c r="FS156">
        <v>19</v>
      </c>
      <c r="FT156">
        <v>32.299999999999997</v>
      </c>
      <c r="FU156">
        <v>32.299999999999997</v>
      </c>
      <c r="FV156">
        <v>1.7675799999999999</v>
      </c>
      <c r="FW156">
        <v>2.5891099999999998</v>
      </c>
      <c r="FX156">
        <v>1.5490699999999999</v>
      </c>
      <c r="FY156">
        <v>2.32666</v>
      </c>
      <c r="FZ156">
        <v>1.50146</v>
      </c>
      <c r="GA156">
        <v>2.3339799999999999</v>
      </c>
      <c r="GB156">
        <v>34.054499999999997</v>
      </c>
      <c r="GC156">
        <v>23.982399999999998</v>
      </c>
      <c r="GD156">
        <v>19</v>
      </c>
      <c r="GE156">
        <v>266.24200000000002</v>
      </c>
      <c r="GF156">
        <v>580.31100000000004</v>
      </c>
      <c r="GG156">
        <v>21.4636</v>
      </c>
      <c r="GH156">
        <v>26.1709</v>
      </c>
      <c r="GI156">
        <v>30</v>
      </c>
      <c r="GJ156">
        <v>26.3628</v>
      </c>
      <c r="GK156">
        <v>26.363299999999999</v>
      </c>
      <c r="GL156">
        <v>35.338299999999997</v>
      </c>
      <c r="GM156">
        <v>74.435299999999998</v>
      </c>
      <c r="GN156">
        <v>41.388399999999997</v>
      </c>
      <c r="GO156">
        <v>21.4268</v>
      </c>
      <c r="GP156">
        <v>800</v>
      </c>
      <c r="GQ156">
        <v>3.0108999999999999</v>
      </c>
      <c r="GR156">
        <v>99.784700000000001</v>
      </c>
      <c r="GS156">
        <v>99.667900000000003</v>
      </c>
    </row>
    <row r="157" spans="1:201" x14ac:dyDescent="0.25">
      <c r="A157">
        <v>141</v>
      </c>
      <c r="B157">
        <v>1690308200</v>
      </c>
      <c r="C157">
        <v>1581.400000095367</v>
      </c>
      <c r="D157" t="s">
        <v>615</v>
      </c>
      <c r="E157" t="s">
        <v>616</v>
      </c>
      <c r="F157" t="s">
        <v>330</v>
      </c>
      <c r="H157">
        <v>1690308200</v>
      </c>
      <c r="I157">
        <f t="shared" si="60"/>
        <v>1.7462657997673445E-3</v>
      </c>
      <c r="J157">
        <f t="shared" si="61"/>
        <v>1.7462657997673445</v>
      </c>
      <c r="K157">
        <f t="shared" si="62"/>
        <v>27.239905443952896</v>
      </c>
      <c r="L157">
        <f t="shared" si="63"/>
        <v>507.762</v>
      </c>
      <c r="M157">
        <f t="shared" si="64"/>
        <v>169.93898662714372</v>
      </c>
      <c r="N157">
        <f t="shared" si="65"/>
        <v>16.876467933992245</v>
      </c>
      <c r="O157">
        <f t="shared" si="66"/>
        <v>50.425327826046001</v>
      </c>
      <c r="P157">
        <f t="shared" si="67"/>
        <v>0.13568690996645594</v>
      </c>
      <c r="Q157">
        <f t="shared" si="68"/>
        <v>2.1931302551960492</v>
      </c>
      <c r="R157">
        <f t="shared" si="69"/>
        <v>0.1311897620664868</v>
      </c>
      <c r="S157">
        <f t="shared" si="70"/>
        <v>8.2385235374544549E-2</v>
      </c>
      <c r="T157">
        <f t="shared" si="71"/>
        <v>276.11438740200003</v>
      </c>
      <c r="U157">
        <f t="shared" si="72"/>
        <v>25.866336255212275</v>
      </c>
      <c r="V157">
        <f t="shared" si="73"/>
        <v>25.866336255212275</v>
      </c>
      <c r="W157">
        <f t="shared" si="74"/>
        <v>3.347662337484925</v>
      </c>
      <c r="X157">
        <f t="shared" si="75"/>
        <v>67.492859921112853</v>
      </c>
      <c r="Y157">
        <f t="shared" si="76"/>
        <v>2.0617637269612996</v>
      </c>
      <c r="Z157">
        <f t="shared" si="77"/>
        <v>3.0547879129305455</v>
      </c>
      <c r="AA157">
        <f t="shared" si="78"/>
        <v>1.2858986105236254</v>
      </c>
      <c r="AB157">
        <f t="shared" si="79"/>
        <v>-77.010321769739889</v>
      </c>
      <c r="AC157">
        <f t="shared" si="80"/>
        <v>-181.69760675613733</v>
      </c>
      <c r="AD157">
        <f t="shared" si="81"/>
        <v>-17.541871344755254</v>
      </c>
      <c r="AE157">
        <f t="shared" si="82"/>
        <v>-0.13541246863243828</v>
      </c>
      <c r="AF157">
        <v>13</v>
      </c>
      <c r="AG157">
        <v>4</v>
      </c>
      <c r="AH157">
        <f t="shared" si="83"/>
        <v>1</v>
      </c>
      <c r="AI157">
        <f t="shared" si="84"/>
        <v>0</v>
      </c>
      <c r="AJ157">
        <f t="shared" si="85"/>
        <v>52818.89490941001</v>
      </c>
      <c r="AK157">
        <f t="shared" si="86"/>
        <v>1800</v>
      </c>
      <c r="AL157">
        <f t="shared" si="87"/>
        <v>1499.1121152000001</v>
      </c>
      <c r="AM157">
        <f t="shared" si="88"/>
        <v>0.83284006399999999</v>
      </c>
      <c r="AN157">
        <f t="shared" si="89"/>
        <v>0.15339688189</v>
      </c>
      <c r="AO157">
        <v>31.2</v>
      </c>
      <c r="AP157">
        <v>0.5</v>
      </c>
      <c r="AQ157" t="s">
        <v>331</v>
      </c>
      <c r="AR157">
        <v>2</v>
      </c>
      <c r="AS157">
        <v>1690308200</v>
      </c>
      <c r="AT157">
        <v>507.762</v>
      </c>
      <c r="AU157">
        <v>800.072</v>
      </c>
      <c r="AV157">
        <v>20.761099999999999</v>
      </c>
      <c r="AW157">
        <v>2.9895399999999999</v>
      </c>
      <c r="AX157">
        <v>507.60700000000003</v>
      </c>
      <c r="AY157">
        <v>20.5459</v>
      </c>
      <c r="AZ157">
        <v>300.21199999999999</v>
      </c>
      <c r="BA157">
        <v>99.2089</v>
      </c>
      <c r="BB157">
        <v>0.10008300000000001</v>
      </c>
      <c r="BC157">
        <v>24.329599999999999</v>
      </c>
      <c r="BD157">
        <v>26.9878</v>
      </c>
      <c r="BE157">
        <v>26.118500000000001</v>
      </c>
      <c r="BF157">
        <v>0</v>
      </c>
      <c r="BG157">
        <v>0</v>
      </c>
      <c r="BH157">
        <v>9978.1200000000008</v>
      </c>
      <c r="BI157">
        <v>1041.1400000000001</v>
      </c>
      <c r="BJ157">
        <v>1.62592</v>
      </c>
      <c r="BK157">
        <v>-292.31099999999998</v>
      </c>
      <c r="BL157">
        <v>518.52700000000004</v>
      </c>
      <c r="BM157">
        <v>802.471</v>
      </c>
      <c r="BN157">
        <v>17.771599999999999</v>
      </c>
      <c r="BO157">
        <v>800.072</v>
      </c>
      <c r="BP157">
        <v>2.9895399999999999</v>
      </c>
      <c r="BQ157">
        <v>2.0596899999999998</v>
      </c>
      <c r="BR157">
        <v>0.29658899999999999</v>
      </c>
      <c r="BS157">
        <v>17.910799999999998</v>
      </c>
      <c r="BT157">
        <v>-9.6112199999999994</v>
      </c>
      <c r="BU157">
        <v>1800</v>
      </c>
      <c r="BV157">
        <v>0.91001200000000004</v>
      </c>
      <c r="BW157">
        <v>3.4000099999999998E-2</v>
      </c>
      <c r="BX157">
        <v>2.1994699999999999E-2</v>
      </c>
      <c r="BY157">
        <v>3.3992700000000001E-2</v>
      </c>
      <c r="BZ157">
        <v>26</v>
      </c>
      <c r="CA157">
        <v>33528.400000000001</v>
      </c>
      <c r="CB157">
        <v>1690306253.5999999</v>
      </c>
      <c r="CC157" t="s">
        <v>332</v>
      </c>
      <c r="CD157">
        <v>1690306253.5999999</v>
      </c>
      <c r="CE157">
        <v>1690306251.5999999</v>
      </c>
      <c r="CF157">
        <v>9</v>
      </c>
      <c r="CG157">
        <v>0.19</v>
      </c>
      <c r="CH157">
        <v>-8.7999999999999995E-2</v>
      </c>
      <c r="CI157">
        <v>-5.0999999999999997E-2</v>
      </c>
      <c r="CJ157">
        <v>5.0999999999999997E-2</v>
      </c>
      <c r="CK157">
        <v>799</v>
      </c>
      <c r="CL157">
        <v>15</v>
      </c>
      <c r="CM157">
        <v>0.28000000000000003</v>
      </c>
      <c r="CN157">
        <v>0.03</v>
      </c>
      <c r="CO157">
        <v>-290.73960975609759</v>
      </c>
      <c r="CP157">
        <v>-8.305923344947864</v>
      </c>
      <c r="CQ157">
        <v>0.82159600415968803</v>
      </c>
      <c r="CR157">
        <v>-1</v>
      </c>
      <c r="CS157">
        <v>17.61467073170731</v>
      </c>
      <c r="CT157">
        <v>0.88545156794429525</v>
      </c>
      <c r="CU157">
        <v>8.7418855040190188E-2</v>
      </c>
      <c r="CV157">
        <v>-1</v>
      </c>
      <c r="CW157">
        <v>0</v>
      </c>
      <c r="CX157">
        <v>0</v>
      </c>
      <c r="CY157" t="s">
        <v>333</v>
      </c>
      <c r="CZ157">
        <v>2.36469</v>
      </c>
      <c r="DA157">
        <v>2.7138599999999999</v>
      </c>
      <c r="DB157">
        <v>0.106977</v>
      </c>
      <c r="DC157">
        <v>0.14621700000000001</v>
      </c>
      <c r="DD157">
        <v>0.102759</v>
      </c>
      <c r="DE157">
        <v>2.1881899999999999E-2</v>
      </c>
      <c r="DF157">
        <v>32621.200000000001</v>
      </c>
      <c r="DG157">
        <v>27539.9</v>
      </c>
      <c r="DH157">
        <v>31184.799999999999</v>
      </c>
      <c r="DI157">
        <v>28107.1</v>
      </c>
      <c r="DJ157">
        <v>37991.800000000003</v>
      </c>
      <c r="DK157">
        <v>39105.5</v>
      </c>
      <c r="DL157">
        <v>44383.5</v>
      </c>
      <c r="DM157">
        <v>42608.6</v>
      </c>
      <c r="DN157">
        <v>1.43642</v>
      </c>
      <c r="DO157">
        <v>2.0320499999999999</v>
      </c>
      <c r="DP157">
        <v>0.18063899999999999</v>
      </c>
      <c r="DQ157">
        <v>0.152618</v>
      </c>
      <c r="DR157">
        <v>24.026399999999999</v>
      </c>
      <c r="DS157">
        <v>23.613800000000001</v>
      </c>
      <c r="DT157">
        <v>36.6</v>
      </c>
      <c r="DU157">
        <v>29.4</v>
      </c>
      <c r="DV157">
        <v>15.1853</v>
      </c>
      <c r="DW157">
        <v>61.603099999999998</v>
      </c>
      <c r="DX157">
        <v>36.093800000000002</v>
      </c>
      <c r="DY157">
        <v>1</v>
      </c>
      <c r="DZ157">
        <v>-9.3201199999999998E-2</v>
      </c>
      <c r="EA157">
        <v>1.30264</v>
      </c>
      <c r="EB157">
        <v>20.183599999999998</v>
      </c>
      <c r="EC157">
        <v>5.2409499999999998</v>
      </c>
      <c r="ED157">
        <v>12.039899999999999</v>
      </c>
      <c r="EE157">
        <v>5.0168499999999998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1.8689100000000001</v>
      </c>
      <c r="EL157">
        <v>1.8646199999999999</v>
      </c>
      <c r="EM157">
        <v>1.8692</v>
      </c>
      <c r="EN157">
        <v>1.8672500000000001</v>
      </c>
      <c r="EO157">
        <v>1.8633999999999999</v>
      </c>
      <c r="EP157">
        <v>1.8644700000000001</v>
      </c>
      <c r="EQ157">
        <v>1.87018</v>
      </c>
      <c r="ER157">
        <v>1.86937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0.155</v>
      </c>
      <c r="FG157">
        <v>0.2152</v>
      </c>
      <c r="FH157">
        <v>0.49996858830924029</v>
      </c>
      <c r="FI157">
        <v>-6.1462078757559423E-4</v>
      </c>
      <c r="FJ157">
        <v>-1.8861989874597051E-7</v>
      </c>
      <c r="FK157">
        <v>1.1980462299894961E-10</v>
      </c>
      <c r="FL157">
        <v>-3.8593581000597899E-2</v>
      </c>
      <c r="FM157">
        <v>-1.6848085045870601E-2</v>
      </c>
      <c r="FN157">
        <v>1.9789084769509481E-3</v>
      </c>
      <c r="FO157">
        <v>-2.7142391389806329E-5</v>
      </c>
      <c r="FP157">
        <v>3</v>
      </c>
      <c r="FQ157">
        <v>2158</v>
      </c>
      <c r="FR157">
        <v>1</v>
      </c>
      <c r="FS157">
        <v>19</v>
      </c>
      <c r="FT157">
        <v>32.4</v>
      </c>
      <c r="FU157">
        <v>32.5</v>
      </c>
      <c r="FV157">
        <v>1.7675799999999999</v>
      </c>
      <c r="FW157">
        <v>2.5952099999999998</v>
      </c>
      <c r="FX157">
        <v>1.5490699999999999</v>
      </c>
      <c r="FY157">
        <v>2.32666</v>
      </c>
      <c r="FZ157">
        <v>1.50146</v>
      </c>
      <c r="GA157">
        <v>2.34985</v>
      </c>
      <c r="GB157">
        <v>34.054499999999997</v>
      </c>
      <c r="GC157">
        <v>23.982399999999998</v>
      </c>
      <c r="GD157">
        <v>19</v>
      </c>
      <c r="GE157">
        <v>266.315</v>
      </c>
      <c r="GF157">
        <v>579.83299999999997</v>
      </c>
      <c r="GG157">
        <v>21.4175</v>
      </c>
      <c r="GH157">
        <v>26.166899999999998</v>
      </c>
      <c r="GI157">
        <v>30</v>
      </c>
      <c r="GJ157">
        <v>26.3584</v>
      </c>
      <c r="GK157">
        <v>26.359200000000001</v>
      </c>
      <c r="GL157">
        <v>35.3339</v>
      </c>
      <c r="GM157">
        <v>74.987099999999998</v>
      </c>
      <c r="GN157">
        <v>40.991799999999998</v>
      </c>
      <c r="GO157">
        <v>21.408999999999999</v>
      </c>
      <c r="GP157">
        <v>800</v>
      </c>
      <c r="GQ157">
        <v>2.8781699999999999</v>
      </c>
      <c r="GR157">
        <v>99.784099999999995</v>
      </c>
      <c r="GS157">
        <v>99.668899999999994</v>
      </c>
    </row>
    <row r="158" spans="1:201" x14ac:dyDescent="0.25">
      <c r="A158">
        <v>142</v>
      </c>
      <c r="B158">
        <v>1690308210</v>
      </c>
      <c r="C158">
        <v>1591.400000095367</v>
      </c>
      <c r="D158" t="s">
        <v>617</v>
      </c>
      <c r="E158" t="s">
        <v>618</v>
      </c>
      <c r="F158" t="s">
        <v>330</v>
      </c>
      <c r="H158">
        <v>1690308210</v>
      </c>
      <c r="I158">
        <f t="shared" si="60"/>
        <v>1.7561751288867784E-3</v>
      </c>
      <c r="J158">
        <f t="shared" si="61"/>
        <v>1.7561751288867784</v>
      </c>
      <c r="K158">
        <f t="shared" si="62"/>
        <v>27.337718453354469</v>
      </c>
      <c r="L158">
        <f t="shared" si="63"/>
        <v>506.53699999999998</v>
      </c>
      <c r="M158">
        <f t="shared" si="64"/>
        <v>169.22275769464903</v>
      </c>
      <c r="N158">
        <f t="shared" si="65"/>
        <v>16.805213219265507</v>
      </c>
      <c r="O158">
        <f t="shared" si="66"/>
        <v>50.303294925657994</v>
      </c>
      <c r="P158">
        <f t="shared" si="67"/>
        <v>0.13638928069466247</v>
      </c>
      <c r="Q158">
        <f t="shared" si="68"/>
        <v>2.1976559720652999</v>
      </c>
      <c r="R158">
        <f t="shared" si="69"/>
        <v>0.13185531379433649</v>
      </c>
      <c r="S158">
        <f t="shared" si="70"/>
        <v>8.2804374052646804E-2</v>
      </c>
      <c r="T158">
        <f t="shared" si="71"/>
        <v>276.11471052000007</v>
      </c>
      <c r="U158">
        <f t="shared" si="72"/>
        <v>25.859684221505375</v>
      </c>
      <c r="V158">
        <f t="shared" si="73"/>
        <v>25.859684221505375</v>
      </c>
      <c r="W158">
        <f t="shared" si="74"/>
        <v>3.3463435279623011</v>
      </c>
      <c r="X158">
        <f t="shared" si="75"/>
        <v>67.425697953374964</v>
      </c>
      <c r="Y158">
        <f t="shared" si="76"/>
        <v>2.0596627039834003</v>
      </c>
      <c r="Z158">
        <f t="shared" si="77"/>
        <v>3.0547146955863358</v>
      </c>
      <c r="AA158">
        <f t="shared" si="78"/>
        <v>1.2866808239789007</v>
      </c>
      <c r="AB158">
        <f t="shared" si="79"/>
        <v>-77.447323183906931</v>
      </c>
      <c r="AC158">
        <f t="shared" si="80"/>
        <v>-181.3318145898422</v>
      </c>
      <c r="AD158">
        <f t="shared" si="81"/>
        <v>-17.46988339431676</v>
      </c>
      <c r="AE158">
        <f t="shared" si="82"/>
        <v>-0.13431064806579229</v>
      </c>
      <c r="AF158">
        <v>13</v>
      </c>
      <c r="AG158">
        <v>4</v>
      </c>
      <c r="AH158">
        <f t="shared" si="83"/>
        <v>1</v>
      </c>
      <c r="AI158">
        <f t="shared" si="84"/>
        <v>0</v>
      </c>
      <c r="AJ158">
        <f t="shared" si="85"/>
        <v>53005.838306861151</v>
      </c>
      <c r="AK158">
        <f t="shared" si="86"/>
        <v>1800</v>
      </c>
      <c r="AL158">
        <f t="shared" si="87"/>
        <v>1499.1134939999999</v>
      </c>
      <c r="AM158">
        <f t="shared" si="88"/>
        <v>0.83284082999999998</v>
      </c>
      <c r="AN158">
        <f t="shared" si="89"/>
        <v>0.15339706140000003</v>
      </c>
      <c r="AO158">
        <v>31.2</v>
      </c>
      <c r="AP158">
        <v>0.5</v>
      </c>
      <c r="AQ158" t="s">
        <v>331</v>
      </c>
      <c r="AR158">
        <v>2</v>
      </c>
      <c r="AS158">
        <v>1690308210</v>
      </c>
      <c r="AT158">
        <v>506.53699999999998</v>
      </c>
      <c r="AU158">
        <v>799.95699999999999</v>
      </c>
      <c r="AV158">
        <v>20.740100000000002</v>
      </c>
      <c r="AW158">
        <v>2.8634400000000002</v>
      </c>
      <c r="AX158">
        <v>506.38099999999997</v>
      </c>
      <c r="AY158">
        <v>20.525500000000001</v>
      </c>
      <c r="AZ158">
        <v>300.14699999999999</v>
      </c>
      <c r="BA158">
        <v>99.208200000000005</v>
      </c>
      <c r="BB158">
        <v>0.100034</v>
      </c>
      <c r="BC158">
        <v>24.3292</v>
      </c>
      <c r="BD158">
        <v>26.965499999999999</v>
      </c>
      <c r="BE158">
        <v>26.1342</v>
      </c>
      <c r="BF158">
        <v>0</v>
      </c>
      <c r="BG158">
        <v>0</v>
      </c>
      <c r="BH158">
        <v>10015</v>
      </c>
      <c r="BI158">
        <v>1041.19</v>
      </c>
      <c r="BJ158">
        <v>1.62592</v>
      </c>
      <c r="BK158">
        <v>-293.42099999999999</v>
      </c>
      <c r="BL158">
        <v>517.26499999999999</v>
      </c>
      <c r="BM158">
        <v>802.255</v>
      </c>
      <c r="BN158">
        <v>17.8767</v>
      </c>
      <c r="BO158">
        <v>799.95699999999999</v>
      </c>
      <c r="BP158">
        <v>2.8634400000000002</v>
      </c>
      <c r="BQ158">
        <v>2.0575899999999998</v>
      </c>
      <c r="BR158">
        <v>0.28407700000000002</v>
      </c>
      <c r="BS158">
        <v>17.894600000000001</v>
      </c>
      <c r="BT158">
        <v>-10.157</v>
      </c>
      <c r="BU158">
        <v>1800</v>
      </c>
      <c r="BV158">
        <v>0.91001200000000004</v>
      </c>
      <c r="BW158">
        <v>3.4000500000000003E-2</v>
      </c>
      <c r="BX158">
        <v>2.1995000000000001E-2</v>
      </c>
      <c r="BY158">
        <v>3.3993000000000002E-2</v>
      </c>
      <c r="BZ158">
        <v>26</v>
      </c>
      <c r="CA158">
        <v>33528.5</v>
      </c>
      <c r="CB158">
        <v>1690306253.5999999</v>
      </c>
      <c r="CC158" t="s">
        <v>332</v>
      </c>
      <c r="CD158">
        <v>1690306253.5999999</v>
      </c>
      <c r="CE158">
        <v>1690306251.5999999</v>
      </c>
      <c r="CF158">
        <v>9</v>
      </c>
      <c r="CG158">
        <v>0.19</v>
      </c>
      <c r="CH158">
        <v>-8.7999999999999995E-2</v>
      </c>
      <c r="CI158">
        <v>-5.0999999999999997E-2</v>
      </c>
      <c r="CJ158">
        <v>5.0999999999999997E-2</v>
      </c>
      <c r="CK158">
        <v>799</v>
      </c>
      <c r="CL158">
        <v>15</v>
      </c>
      <c r="CM158">
        <v>0.28000000000000003</v>
      </c>
      <c r="CN158">
        <v>0.03</v>
      </c>
      <c r="CO158">
        <v>-292.16795000000002</v>
      </c>
      <c r="CP158">
        <v>-7.7004202626641964</v>
      </c>
      <c r="CQ158">
        <v>0.74272302879337315</v>
      </c>
      <c r="CR158">
        <v>-1</v>
      </c>
      <c r="CS158">
        <v>17.757312500000001</v>
      </c>
      <c r="CT158">
        <v>0.70556060037521673</v>
      </c>
      <c r="CU158">
        <v>6.8008588382277219E-2</v>
      </c>
      <c r="CV158">
        <v>-1</v>
      </c>
      <c r="CW158">
        <v>0</v>
      </c>
      <c r="CX158">
        <v>0</v>
      </c>
      <c r="CY158" t="s">
        <v>333</v>
      </c>
      <c r="CZ158">
        <v>2.3645100000000001</v>
      </c>
      <c r="DA158">
        <v>2.7138399999999998</v>
      </c>
      <c r="DB158">
        <v>0.106789</v>
      </c>
      <c r="DC158">
        <v>0.146201</v>
      </c>
      <c r="DD158">
        <v>0.102687</v>
      </c>
      <c r="DE158">
        <v>2.1068300000000002E-2</v>
      </c>
      <c r="DF158">
        <v>32628.400000000001</v>
      </c>
      <c r="DG158">
        <v>27540.3</v>
      </c>
      <c r="DH158">
        <v>31185</v>
      </c>
      <c r="DI158">
        <v>28107</v>
      </c>
      <c r="DJ158">
        <v>37995.1</v>
      </c>
      <c r="DK158">
        <v>39138.1</v>
      </c>
      <c r="DL158">
        <v>44383.8</v>
      </c>
      <c r="DM158">
        <v>42608.6</v>
      </c>
      <c r="DN158">
        <v>1.4367000000000001</v>
      </c>
      <c r="DO158">
        <v>2.0318499999999999</v>
      </c>
      <c r="DP158">
        <v>0.17938000000000001</v>
      </c>
      <c r="DQ158">
        <v>0.15362400000000001</v>
      </c>
      <c r="DR158">
        <v>24.024699999999999</v>
      </c>
      <c r="DS158">
        <v>23.613</v>
      </c>
      <c r="DT158">
        <v>36.200000000000003</v>
      </c>
      <c r="DU158">
        <v>29.4</v>
      </c>
      <c r="DV158">
        <v>15.016999999999999</v>
      </c>
      <c r="DW158">
        <v>61.563099999999999</v>
      </c>
      <c r="DX158">
        <v>37.375799999999998</v>
      </c>
      <c r="DY158">
        <v>1</v>
      </c>
      <c r="DZ158">
        <v>-9.38364E-2</v>
      </c>
      <c r="EA158">
        <v>1.1854800000000001</v>
      </c>
      <c r="EB158">
        <v>20.184799999999999</v>
      </c>
      <c r="EC158">
        <v>5.2406499999999996</v>
      </c>
      <c r="ED158">
        <v>12.039899999999999</v>
      </c>
      <c r="EE158">
        <v>5.0168999999999997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1.86893</v>
      </c>
      <c r="EL158">
        <v>1.86463</v>
      </c>
      <c r="EM158">
        <v>1.8692</v>
      </c>
      <c r="EN158">
        <v>1.8672599999999999</v>
      </c>
      <c r="EO158">
        <v>1.8633999999999999</v>
      </c>
      <c r="EP158">
        <v>1.86449</v>
      </c>
      <c r="EQ158">
        <v>1.8702000000000001</v>
      </c>
      <c r="ER158">
        <v>1.86941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0.156</v>
      </c>
      <c r="FG158">
        <v>0.21460000000000001</v>
      </c>
      <c r="FH158">
        <v>0.49996858830924029</v>
      </c>
      <c r="FI158">
        <v>-6.1462078757559423E-4</v>
      </c>
      <c r="FJ158">
        <v>-1.8861989874597051E-7</v>
      </c>
      <c r="FK158">
        <v>1.1980462299894961E-10</v>
      </c>
      <c r="FL158">
        <v>-3.8593581000597899E-2</v>
      </c>
      <c r="FM158">
        <v>-1.6848085045870601E-2</v>
      </c>
      <c r="FN158">
        <v>1.9789084769509481E-3</v>
      </c>
      <c r="FO158">
        <v>-2.7142391389806329E-5</v>
      </c>
      <c r="FP158">
        <v>3</v>
      </c>
      <c r="FQ158">
        <v>2158</v>
      </c>
      <c r="FR158">
        <v>1</v>
      </c>
      <c r="FS158">
        <v>19</v>
      </c>
      <c r="FT158">
        <v>32.6</v>
      </c>
      <c r="FU158">
        <v>32.6</v>
      </c>
      <c r="FV158">
        <v>1.7675799999999999</v>
      </c>
      <c r="FW158">
        <v>2.5927699999999998</v>
      </c>
      <c r="FX158">
        <v>1.5490699999999999</v>
      </c>
      <c r="FY158">
        <v>2.32666</v>
      </c>
      <c r="FZ158">
        <v>1.50146</v>
      </c>
      <c r="GA158">
        <v>2.3596200000000001</v>
      </c>
      <c r="GB158">
        <v>34.054499999999997</v>
      </c>
      <c r="GC158">
        <v>23.982399999999998</v>
      </c>
      <c r="GD158">
        <v>19</v>
      </c>
      <c r="GE158">
        <v>266.41300000000001</v>
      </c>
      <c r="GF158">
        <v>579.62</v>
      </c>
      <c r="GG158">
        <v>21.413599999999999</v>
      </c>
      <c r="GH158">
        <v>26.1632</v>
      </c>
      <c r="GI158">
        <v>29.9999</v>
      </c>
      <c r="GJ158">
        <v>26.354900000000001</v>
      </c>
      <c r="GK158">
        <v>26.354800000000001</v>
      </c>
      <c r="GL158">
        <v>35.332299999999996</v>
      </c>
      <c r="GM158">
        <v>75.587800000000001</v>
      </c>
      <c r="GN158">
        <v>40.192599999999999</v>
      </c>
      <c r="GO158">
        <v>21.4328</v>
      </c>
      <c r="GP158">
        <v>800</v>
      </c>
      <c r="GQ158">
        <v>2.7521200000000001</v>
      </c>
      <c r="GR158">
        <v>99.784700000000001</v>
      </c>
      <c r="GS158">
        <v>99.668800000000005</v>
      </c>
    </row>
    <row r="159" spans="1:201" x14ac:dyDescent="0.25">
      <c r="A159">
        <v>143</v>
      </c>
      <c r="B159">
        <v>1690308220</v>
      </c>
      <c r="C159">
        <v>1601.400000095367</v>
      </c>
      <c r="D159" t="s">
        <v>619</v>
      </c>
      <c r="E159" t="s">
        <v>620</v>
      </c>
      <c r="F159" t="s">
        <v>330</v>
      </c>
      <c r="H159">
        <v>1690308220</v>
      </c>
      <c r="I159">
        <f t="shared" si="60"/>
        <v>1.768470001081894E-3</v>
      </c>
      <c r="J159">
        <f t="shared" si="61"/>
        <v>1.7684700010818939</v>
      </c>
      <c r="K159">
        <f t="shared" si="62"/>
        <v>27.463625585355683</v>
      </c>
      <c r="L159">
        <f t="shared" si="63"/>
        <v>505.25700000000001</v>
      </c>
      <c r="M159">
        <f t="shared" si="64"/>
        <v>168.57611196094371</v>
      </c>
      <c r="N159">
        <f t="shared" si="65"/>
        <v>16.740758618261957</v>
      </c>
      <c r="O159">
        <f t="shared" si="66"/>
        <v>50.175468984281999</v>
      </c>
      <c r="P159">
        <f t="shared" si="67"/>
        <v>0.13730583489018652</v>
      </c>
      <c r="Q159">
        <f t="shared" si="68"/>
        <v>2.1944902046841848</v>
      </c>
      <c r="R159">
        <f t="shared" si="69"/>
        <v>0.13270544160284856</v>
      </c>
      <c r="S159">
        <f t="shared" si="70"/>
        <v>8.3341387659105787E-2</v>
      </c>
      <c r="T159">
        <f t="shared" si="71"/>
        <v>276.1160858737328</v>
      </c>
      <c r="U159">
        <f t="shared" si="72"/>
        <v>25.860123787022758</v>
      </c>
      <c r="V159">
        <f t="shared" si="73"/>
        <v>25.860123787022758</v>
      </c>
      <c r="W159">
        <f t="shared" si="74"/>
        <v>3.34643066071808</v>
      </c>
      <c r="X159">
        <f t="shared" si="75"/>
        <v>67.39538601094111</v>
      </c>
      <c r="Y159">
        <f t="shared" si="76"/>
        <v>2.0590575223318002</v>
      </c>
      <c r="Z159">
        <f t="shared" si="77"/>
        <v>3.0551906357469756</v>
      </c>
      <c r="AA159">
        <f t="shared" si="78"/>
        <v>1.2873731383862799</v>
      </c>
      <c r="AB159">
        <f t="shared" si="79"/>
        <v>-77.989527047711519</v>
      </c>
      <c r="AC159">
        <f t="shared" si="80"/>
        <v>-180.81500287213478</v>
      </c>
      <c r="AD159">
        <f t="shared" si="81"/>
        <v>-17.445489373348501</v>
      </c>
      <c r="AE159">
        <f t="shared" si="82"/>
        <v>-0.13393341946201076</v>
      </c>
      <c r="AF159">
        <v>13</v>
      </c>
      <c r="AG159">
        <v>4</v>
      </c>
      <c r="AH159">
        <f t="shared" si="83"/>
        <v>1</v>
      </c>
      <c r="AI159">
        <f t="shared" si="84"/>
        <v>0</v>
      </c>
      <c r="AJ159">
        <f t="shared" si="85"/>
        <v>52874.574761548203</v>
      </c>
      <c r="AK159">
        <f t="shared" si="86"/>
        <v>1800.01</v>
      </c>
      <c r="AL159">
        <f t="shared" si="87"/>
        <v>1499.1218188082801</v>
      </c>
      <c r="AM159">
        <f t="shared" si="88"/>
        <v>0.83284082800000003</v>
      </c>
      <c r="AN159">
        <f t="shared" si="89"/>
        <v>0.15339697327999999</v>
      </c>
      <c r="AO159">
        <v>31.2</v>
      </c>
      <c r="AP159">
        <v>0.5</v>
      </c>
      <c r="AQ159" t="s">
        <v>331</v>
      </c>
      <c r="AR159">
        <v>2</v>
      </c>
      <c r="AS159">
        <v>1690308220</v>
      </c>
      <c r="AT159">
        <v>505.25700000000001</v>
      </c>
      <c r="AU159">
        <v>800.02700000000004</v>
      </c>
      <c r="AV159">
        <v>20.734300000000001</v>
      </c>
      <c r="AW159">
        <v>2.73238</v>
      </c>
      <c r="AX159">
        <v>505.1</v>
      </c>
      <c r="AY159">
        <v>20.5199</v>
      </c>
      <c r="AZ159">
        <v>300.14699999999999</v>
      </c>
      <c r="BA159">
        <v>99.206800000000001</v>
      </c>
      <c r="BB159">
        <v>0.100026</v>
      </c>
      <c r="BC159">
        <v>24.331800000000001</v>
      </c>
      <c r="BD159">
        <v>27.011600000000001</v>
      </c>
      <c r="BE159">
        <v>26.123699999999999</v>
      </c>
      <c r="BF159">
        <v>0</v>
      </c>
      <c r="BG159">
        <v>0</v>
      </c>
      <c r="BH159">
        <v>9989.3799999999992</v>
      </c>
      <c r="BI159">
        <v>1041.18</v>
      </c>
      <c r="BJ159">
        <v>1.62592</v>
      </c>
      <c r="BK159">
        <v>-294.77100000000002</v>
      </c>
      <c r="BL159">
        <v>515.95500000000004</v>
      </c>
      <c r="BM159">
        <v>802.21900000000005</v>
      </c>
      <c r="BN159">
        <v>18.001899999999999</v>
      </c>
      <c r="BO159">
        <v>800.02700000000004</v>
      </c>
      <c r="BP159">
        <v>2.73238</v>
      </c>
      <c r="BQ159">
        <v>2.0569799999999998</v>
      </c>
      <c r="BR159">
        <v>0.27107100000000001</v>
      </c>
      <c r="BS159">
        <v>17.889900000000001</v>
      </c>
      <c r="BT159">
        <v>-10.7475</v>
      </c>
      <c r="BU159">
        <v>1800.01</v>
      </c>
      <c r="BV159">
        <v>0.91001399999999999</v>
      </c>
      <c r="BW159">
        <v>3.3999700000000001E-2</v>
      </c>
      <c r="BX159">
        <v>2.1994400000000001E-2</v>
      </c>
      <c r="BY159">
        <v>3.39922E-2</v>
      </c>
      <c r="BZ159">
        <v>26</v>
      </c>
      <c r="CA159">
        <v>33528.6</v>
      </c>
      <c r="CB159">
        <v>1690306253.5999999</v>
      </c>
      <c r="CC159" t="s">
        <v>332</v>
      </c>
      <c r="CD159">
        <v>1690306253.5999999</v>
      </c>
      <c r="CE159">
        <v>1690306251.5999999</v>
      </c>
      <c r="CF159">
        <v>9</v>
      </c>
      <c r="CG159">
        <v>0.19</v>
      </c>
      <c r="CH159">
        <v>-8.7999999999999995E-2</v>
      </c>
      <c r="CI159">
        <v>-5.0999999999999997E-2</v>
      </c>
      <c r="CJ159">
        <v>5.0999999999999997E-2</v>
      </c>
      <c r="CK159">
        <v>799</v>
      </c>
      <c r="CL159">
        <v>15</v>
      </c>
      <c r="CM159">
        <v>0.28000000000000003</v>
      </c>
      <c r="CN159">
        <v>0.03</v>
      </c>
      <c r="CO159">
        <v>-293.38746341463423</v>
      </c>
      <c r="CP159">
        <v>-8.2455052264812423</v>
      </c>
      <c r="CQ159">
        <v>0.81694547382190785</v>
      </c>
      <c r="CR159">
        <v>-1</v>
      </c>
      <c r="CS159">
        <v>17.86361707317073</v>
      </c>
      <c r="CT159">
        <v>0.68328083623697722</v>
      </c>
      <c r="CU159">
        <v>6.7572768011970083E-2</v>
      </c>
      <c r="CV159">
        <v>-1</v>
      </c>
      <c r="CW159">
        <v>0</v>
      </c>
      <c r="CX159">
        <v>0</v>
      </c>
      <c r="CY159" t="s">
        <v>333</v>
      </c>
      <c r="CZ159">
        <v>2.3644799999999999</v>
      </c>
      <c r="DA159">
        <v>2.7138100000000001</v>
      </c>
      <c r="DB159">
        <v>0.10659100000000001</v>
      </c>
      <c r="DC159">
        <v>0.146206</v>
      </c>
      <c r="DD159">
        <v>0.10266599999999999</v>
      </c>
      <c r="DE159">
        <v>2.02145E-2</v>
      </c>
      <c r="DF159">
        <v>32635.9</v>
      </c>
      <c r="DG159">
        <v>27540.799999999999</v>
      </c>
      <c r="DH159">
        <v>31185.3</v>
      </c>
      <c r="DI159">
        <v>28107.7</v>
      </c>
      <c r="DJ159">
        <v>37996.300000000003</v>
      </c>
      <c r="DK159">
        <v>39173.300000000003</v>
      </c>
      <c r="DL159">
        <v>44384.2</v>
      </c>
      <c r="DM159">
        <v>42609.599999999999</v>
      </c>
      <c r="DN159">
        <v>1.4366000000000001</v>
      </c>
      <c r="DO159">
        <v>2.0316700000000001</v>
      </c>
      <c r="DP159">
        <v>0.18232300000000001</v>
      </c>
      <c r="DQ159">
        <v>0.153057</v>
      </c>
      <c r="DR159">
        <v>24.022600000000001</v>
      </c>
      <c r="DS159">
        <v>23.611799999999999</v>
      </c>
      <c r="DT159">
        <v>35.799999999999997</v>
      </c>
      <c r="DU159">
        <v>29.4</v>
      </c>
      <c r="DV159">
        <v>14.8537</v>
      </c>
      <c r="DW159">
        <v>61.493099999999998</v>
      </c>
      <c r="DX159">
        <v>36.470399999999998</v>
      </c>
      <c r="DY159">
        <v>1</v>
      </c>
      <c r="DZ159">
        <v>-9.4095499999999999E-2</v>
      </c>
      <c r="EA159">
        <v>1.1307700000000001</v>
      </c>
      <c r="EB159">
        <v>20.185099999999998</v>
      </c>
      <c r="EC159">
        <v>5.2408000000000001</v>
      </c>
      <c r="ED159">
        <v>12.039899999999999</v>
      </c>
      <c r="EE159">
        <v>5.01715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1.8689199999999999</v>
      </c>
      <c r="EL159">
        <v>1.8646199999999999</v>
      </c>
      <c r="EM159">
        <v>1.8692</v>
      </c>
      <c r="EN159">
        <v>1.8672599999999999</v>
      </c>
      <c r="EO159">
        <v>1.8633999999999999</v>
      </c>
      <c r="EP159">
        <v>1.8644700000000001</v>
      </c>
      <c r="EQ159">
        <v>1.87019</v>
      </c>
      <c r="ER159">
        <v>1.8694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0.157</v>
      </c>
      <c r="FG159">
        <v>0.21440000000000001</v>
      </c>
      <c r="FH159">
        <v>0.49996858830924029</v>
      </c>
      <c r="FI159">
        <v>-6.1462078757559423E-4</v>
      </c>
      <c r="FJ159">
        <v>-1.8861989874597051E-7</v>
      </c>
      <c r="FK159">
        <v>1.1980462299894961E-10</v>
      </c>
      <c r="FL159">
        <v>-3.8593581000597899E-2</v>
      </c>
      <c r="FM159">
        <v>-1.6848085045870601E-2</v>
      </c>
      <c r="FN159">
        <v>1.9789084769509481E-3</v>
      </c>
      <c r="FO159">
        <v>-2.7142391389806329E-5</v>
      </c>
      <c r="FP159">
        <v>3</v>
      </c>
      <c r="FQ159">
        <v>2158</v>
      </c>
      <c r="FR159">
        <v>1</v>
      </c>
      <c r="FS159">
        <v>19</v>
      </c>
      <c r="FT159">
        <v>32.799999999999997</v>
      </c>
      <c r="FU159">
        <v>32.799999999999997</v>
      </c>
      <c r="FV159">
        <v>1.7675799999999999</v>
      </c>
      <c r="FW159">
        <v>2.6000999999999999</v>
      </c>
      <c r="FX159">
        <v>1.5490699999999999</v>
      </c>
      <c r="FY159">
        <v>2.32666</v>
      </c>
      <c r="FZ159">
        <v>1.50146</v>
      </c>
      <c r="GA159">
        <v>2.2839399999999999</v>
      </c>
      <c r="GB159">
        <v>34.054499999999997</v>
      </c>
      <c r="GC159">
        <v>23.973700000000001</v>
      </c>
      <c r="GD159">
        <v>19</v>
      </c>
      <c r="GE159">
        <v>266.35399999999998</v>
      </c>
      <c r="GF159">
        <v>579.43899999999996</v>
      </c>
      <c r="GG159">
        <v>21.456</v>
      </c>
      <c r="GH159">
        <v>26.1599</v>
      </c>
      <c r="GI159">
        <v>29.9998</v>
      </c>
      <c r="GJ159">
        <v>26.3504</v>
      </c>
      <c r="GK159">
        <v>26.351500000000001</v>
      </c>
      <c r="GL159">
        <v>35.328299999999999</v>
      </c>
      <c r="GM159">
        <v>76.166399999999996</v>
      </c>
      <c r="GN159">
        <v>39.398200000000003</v>
      </c>
      <c r="GO159">
        <v>21.459800000000001</v>
      </c>
      <c r="GP159">
        <v>800</v>
      </c>
      <c r="GQ159">
        <v>2.6121400000000001</v>
      </c>
      <c r="GR159">
        <v>99.785600000000002</v>
      </c>
      <c r="GS159">
        <v>99.671099999999996</v>
      </c>
    </row>
    <row r="160" spans="1:201" x14ac:dyDescent="0.25">
      <c r="A160">
        <v>144</v>
      </c>
      <c r="B160">
        <v>1690308230</v>
      </c>
      <c r="C160">
        <v>1611.400000095367</v>
      </c>
      <c r="D160" t="s">
        <v>621</v>
      </c>
      <c r="E160" t="s">
        <v>622</v>
      </c>
      <c r="F160" t="s">
        <v>330</v>
      </c>
      <c r="H160">
        <v>1690308230</v>
      </c>
      <c r="I160">
        <f t="shared" si="60"/>
        <v>1.7817962087144771E-3</v>
      </c>
      <c r="J160">
        <f t="shared" si="61"/>
        <v>1.7817962087144772</v>
      </c>
      <c r="K160">
        <f t="shared" si="62"/>
        <v>27.599401297879375</v>
      </c>
      <c r="L160">
        <f t="shared" si="63"/>
        <v>503.88900000000001</v>
      </c>
      <c r="M160">
        <f t="shared" si="64"/>
        <v>167.91360294910973</v>
      </c>
      <c r="N160">
        <f t="shared" si="65"/>
        <v>16.676284065401862</v>
      </c>
      <c r="O160">
        <f t="shared" si="66"/>
        <v>50.04356975163001</v>
      </c>
      <c r="P160">
        <f t="shared" si="67"/>
        <v>0.13831253054438206</v>
      </c>
      <c r="Q160">
        <f t="shared" si="68"/>
        <v>2.1888840721851768</v>
      </c>
      <c r="R160">
        <f t="shared" si="69"/>
        <v>0.13363414791179018</v>
      </c>
      <c r="S160">
        <f t="shared" si="70"/>
        <v>8.3928493606565624E-2</v>
      </c>
      <c r="T160">
        <f t="shared" si="71"/>
        <v>276.11299919637133</v>
      </c>
      <c r="U160">
        <f t="shared" si="72"/>
        <v>25.862822497484295</v>
      </c>
      <c r="V160">
        <f t="shared" si="73"/>
        <v>25.862822497484295</v>
      </c>
      <c r="W160">
        <f t="shared" si="74"/>
        <v>3.3469656553023768</v>
      </c>
      <c r="X160">
        <f t="shared" si="75"/>
        <v>67.372118459365112</v>
      </c>
      <c r="Y160">
        <f t="shared" si="76"/>
        <v>2.0588030405670001</v>
      </c>
      <c r="Z160">
        <f t="shared" si="77"/>
        <v>3.0558680469707196</v>
      </c>
      <c r="AA160">
        <f t="shared" si="78"/>
        <v>1.2881626147353766</v>
      </c>
      <c r="AB160">
        <f t="shared" si="79"/>
        <v>-78.577212804308445</v>
      </c>
      <c r="AC160">
        <f t="shared" si="80"/>
        <v>-180.23492633687744</v>
      </c>
      <c r="AD160">
        <f t="shared" si="81"/>
        <v>-17.434621060989691</v>
      </c>
      <c r="AE160">
        <f t="shared" si="82"/>
        <v>-0.13376100580421735</v>
      </c>
      <c r="AF160">
        <v>12</v>
      </c>
      <c r="AG160">
        <v>4</v>
      </c>
      <c r="AH160">
        <f t="shared" si="83"/>
        <v>1</v>
      </c>
      <c r="AI160">
        <f t="shared" si="84"/>
        <v>0</v>
      </c>
      <c r="AJ160">
        <f t="shared" si="85"/>
        <v>52642.987168764252</v>
      </c>
      <c r="AK160">
        <f t="shared" si="86"/>
        <v>1799.99</v>
      </c>
      <c r="AL160">
        <f t="shared" si="87"/>
        <v>1499.10474619403</v>
      </c>
      <c r="AM160">
        <f t="shared" si="88"/>
        <v>0.83284059700000002</v>
      </c>
      <c r="AN160">
        <f t="shared" si="89"/>
        <v>0.15339696287000001</v>
      </c>
      <c r="AO160">
        <v>31.2</v>
      </c>
      <c r="AP160">
        <v>0.5</v>
      </c>
      <c r="AQ160" t="s">
        <v>331</v>
      </c>
      <c r="AR160">
        <v>2</v>
      </c>
      <c r="AS160">
        <v>1690308230</v>
      </c>
      <c r="AT160">
        <v>503.88900000000001</v>
      </c>
      <c r="AU160">
        <v>800.04300000000001</v>
      </c>
      <c r="AV160">
        <v>20.7301</v>
      </c>
      <c r="AW160">
        <v>2.5968599999999999</v>
      </c>
      <c r="AX160">
        <v>503.73200000000003</v>
      </c>
      <c r="AY160">
        <v>20.515799999999999</v>
      </c>
      <c r="AZ160">
        <v>300.22000000000003</v>
      </c>
      <c r="BA160">
        <v>99.214600000000004</v>
      </c>
      <c r="BB160">
        <v>0.10007000000000001</v>
      </c>
      <c r="BC160">
        <v>24.3355</v>
      </c>
      <c r="BD160">
        <v>26.9876</v>
      </c>
      <c r="BE160">
        <v>26.116599999999998</v>
      </c>
      <c r="BF160">
        <v>0</v>
      </c>
      <c r="BG160">
        <v>0</v>
      </c>
      <c r="BH160">
        <v>9943.1200000000008</v>
      </c>
      <c r="BI160">
        <v>1041.24</v>
      </c>
      <c r="BJ160">
        <v>1.62592</v>
      </c>
      <c r="BK160">
        <v>-296.154</v>
      </c>
      <c r="BL160">
        <v>514.55600000000004</v>
      </c>
      <c r="BM160">
        <v>802.12599999999998</v>
      </c>
      <c r="BN160">
        <v>18.133299999999998</v>
      </c>
      <c r="BO160">
        <v>800.04300000000001</v>
      </c>
      <c r="BP160">
        <v>2.5968599999999999</v>
      </c>
      <c r="BQ160">
        <v>2.0567299999999999</v>
      </c>
      <c r="BR160">
        <v>0.25764599999999999</v>
      </c>
      <c r="BS160">
        <v>17.888000000000002</v>
      </c>
      <c r="BT160">
        <v>-11.384</v>
      </c>
      <c r="BU160">
        <v>1799.99</v>
      </c>
      <c r="BV160">
        <v>0.91001299999999996</v>
      </c>
      <c r="BW160">
        <v>3.4000000000000002E-2</v>
      </c>
      <c r="BX160">
        <v>2.19946E-2</v>
      </c>
      <c r="BY160">
        <v>3.3992500000000002E-2</v>
      </c>
      <c r="BZ160">
        <v>26</v>
      </c>
      <c r="CA160">
        <v>33528.400000000001</v>
      </c>
      <c r="CB160">
        <v>1690306253.5999999</v>
      </c>
      <c r="CC160" t="s">
        <v>332</v>
      </c>
      <c r="CD160">
        <v>1690306253.5999999</v>
      </c>
      <c r="CE160">
        <v>1690306251.5999999</v>
      </c>
      <c r="CF160">
        <v>9</v>
      </c>
      <c r="CG160">
        <v>0.19</v>
      </c>
      <c r="CH160">
        <v>-8.7999999999999995E-2</v>
      </c>
      <c r="CI160">
        <v>-5.0999999999999997E-2</v>
      </c>
      <c r="CJ160">
        <v>5.0999999999999997E-2</v>
      </c>
      <c r="CK160">
        <v>799</v>
      </c>
      <c r="CL160">
        <v>15</v>
      </c>
      <c r="CM160">
        <v>0.28000000000000003</v>
      </c>
      <c r="CN160">
        <v>0.03</v>
      </c>
      <c r="CO160">
        <v>-294.78969999999998</v>
      </c>
      <c r="CP160">
        <v>-7.7561876172604256</v>
      </c>
      <c r="CQ160">
        <v>0.75208447663809808</v>
      </c>
      <c r="CR160">
        <v>-1</v>
      </c>
      <c r="CS160">
        <v>17.994307500000001</v>
      </c>
      <c r="CT160">
        <v>0.7950833020638004</v>
      </c>
      <c r="CU160">
        <v>7.6562341877388071E-2</v>
      </c>
      <c r="CV160">
        <v>-1</v>
      </c>
      <c r="CW160">
        <v>0</v>
      </c>
      <c r="CX160">
        <v>0</v>
      </c>
      <c r="CY160" t="s">
        <v>333</v>
      </c>
      <c r="CZ160">
        <v>2.3647300000000002</v>
      </c>
      <c r="DA160">
        <v>2.7138100000000001</v>
      </c>
      <c r="DB160">
        <v>0.10639</v>
      </c>
      <c r="DC160">
        <v>0.14621799999999999</v>
      </c>
      <c r="DD160">
        <v>0.10266</v>
      </c>
      <c r="DE160">
        <v>1.93247E-2</v>
      </c>
      <c r="DF160">
        <v>32643</v>
      </c>
      <c r="DG160">
        <v>27540.6</v>
      </c>
      <c r="DH160">
        <v>31185</v>
      </c>
      <c r="DI160">
        <v>28107.8</v>
      </c>
      <c r="DJ160">
        <v>37996.400000000001</v>
      </c>
      <c r="DK160">
        <v>39209.199999999997</v>
      </c>
      <c r="DL160">
        <v>44384</v>
      </c>
      <c r="DM160">
        <v>42609.8</v>
      </c>
      <c r="DN160">
        <v>1.4371499999999999</v>
      </c>
      <c r="DO160">
        <v>2.0316000000000001</v>
      </c>
      <c r="DP160">
        <v>0.18090000000000001</v>
      </c>
      <c r="DQ160">
        <v>0.15267</v>
      </c>
      <c r="DR160">
        <v>24.021799999999999</v>
      </c>
      <c r="DS160">
        <v>23.611000000000001</v>
      </c>
      <c r="DT160">
        <v>35.5</v>
      </c>
      <c r="DU160">
        <v>29.4</v>
      </c>
      <c r="DV160">
        <v>14.726100000000001</v>
      </c>
      <c r="DW160">
        <v>61.603099999999998</v>
      </c>
      <c r="DX160">
        <v>36.486400000000003</v>
      </c>
      <c r="DY160">
        <v>1</v>
      </c>
      <c r="DZ160">
        <v>-9.4400399999999995E-2</v>
      </c>
      <c r="EA160">
        <v>1.2596400000000001</v>
      </c>
      <c r="EB160">
        <v>20.184000000000001</v>
      </c>
      <c r="EC160">
        <v>5.2404999999999999</v>
      </c>
      <c r="ED160">
        <v>12.039899999999999</v>
      </c>
      <c r="EE160">
        <v>5.0174000000000003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1.8689100000000001</v>
      </c>
      <c r="EL160">
        <v>1.8646199999999999</v>
      </c>
      <c r="EM160">
        <v>1.8692</v>
      </c>
      <c r="EN160">
        <v>1.8672800000000001</v>
      </c>
      <c r="EO160">
        <v>1.86338</v>
      </c>
      <c r="EP160">
        <v>1.8644700000000001</v>
      </c>
      <c r="EQ160">
        <v>1.8701700000000001</v>
      </c>
      <c r="ER160">
        <v>1.8693900000000001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0.157</v>
      </c>
      <c r="FG160">
        <v>0.21429999999999999</v>
      </c>
      <c r="FH160">
        <v>0.49996858830924029</v>
      </c>
      <c r="FI160">
        <v>-6.1462078757559423E-4</v>
      </c>
      <c r="FJ160">
        <v>-1.8861989874597051E-7</v>
      </c>
      <c r="FK160">
        <v>1.1980462299894961E-10</v>
      </c>
      <c r="FL160">
        <v>-3.8593581000597899E-2</v>
      </c>
      <c r="FM160">
        <v>-1.6848085045870601E-2</v>
      </c>
      <c r="FN160">
        <v>1.9789084769509481E-3</v>
      </c>
      <c r="FO160">
        <v>-2.7142391389806329E-5</v>
      </c>
      <c r="FP160">
        <v>3</v>
      </c>
      <c r="FQ160">
        <v>2158</v>
      </c>
      <c r="FR160">
        <v>1</v>
      </c>
      <c r="FS160">
        <v>19</v>
      </c>
      <c r="FT160">
        <v>32.9</v>
      </c>
      <c r="FU160">
        <v>33</v>
      </c>
      <c r="FV160">
        <v>1.7663599999999999</v>
      </c>
      <c r="FW160">
        <v>2.5939899999999998</v>
      </c>
      <c r="FX160">
        <v>1.5490699999999999</v>
      </c>
      <c r="FY160">
        <v>2.32666</v>
      </c>
      <c r="FZ160">
        <v>1.50146</v>
      </c>
      <c r="GA160">
        <v>2.3754900000000001</v>
      </c>
      <c r="GB160">
        <v>34.054499999999997</v>
      </c>
      <c r="GC160">
        <v>23.982399999999998</v>
      </c>
      <c r="GD160">
        <v>19</v>
      </c>
      <c r="GE160">
        <v>266.565</v>
      </c>
      <c r="GF160">
        <v>579.33399999999995</v>
      </c>
      <c r="GG160">
        <v>21.445699999999999</v>
      </c>
      <c r="GH160">
        <v>26.155899999999999</v>
      </c>
      <c r="GI160">
        <v>30</v>
      </c>
      <c r="GJ160">
        <v>26.346800000000002</v>
      </c>
      <c r="GK160">
        <v>26.3476</v>
      </c>
      <c r="GL160">
        <v>35.322400000000002</v>
      </c>
      <c r="GM160">
        <v>77.036600000000007</v>
      </c>
      <c r="GN160">
        <v>38.603099999999998</v>
      </c>
      <c r="GO160">
        <v>21.4343</v>
      </c>
      <c r="GP160">
        <v>800</v>
      </c>
      <c r="GQ160">
        <v>2.4782099999999998</v>
      </c>
      <c r="GR160">
        <v>99.7851</v>
      </c>
      <c r="GS160">
        <v>99.671599999999998</v>
      </c>
    </row>
    <row r="161" spans="1:201" x14ac:dyDescent="0.25">
      <c r="A161">
        <v>145</v>
      </c>
      <c r="B161">
        <v>1690308240</v>
      </c>
      <c r="C161">
        <v>1621.400000095367</v>
      </c>
      <c r="D161" t="s">
        <v>623</v>
      </c>
      <c r="E161" t="s">
        <v>624</v>
      </c>
      <c r="F161" t="s">
        <v>330</v>
      </c>
      <c r="H161">
        <v>1690308240</v>
      </c>
      <c r="I161">
        <f t="shared" si="60"/>
        <v>1.7915988279892589E-3</v>
      </c>
      <c r="J161">
        <f t="shared" si="61"/>
        <v>1.791598827989259</v>
      </c>
      <c r="K161">
        <f t="shared" si="62"/>
        <v>27.70193010277448</v>
      </c>
      <c r="L161">
        <f t="shared" si="63"/>
        <v>502.70400000000001</v>
      </c>
      <c r="M161">
        <f t="shared" si="64"/>
        <v>167.24673443032768</v>
      </c>
      <c r="N161">
        <f t="shared" si="65"/>
        <v>16.609165489378871</v>
      </c>
      <c r="O161">
        <f t="shared" si="66"/>
        <v>49.923210498624002</v>
      </c>
      <c r="P161">
        <f t="shared" si="67"/>
        <v>0.13905246179485184</v>
      </c>
      <c r="Q161">
        <f t="shared" si="68"/>
        <v>2.1926745614381931</v>
      </c>
      <c r="R161">
        <f t="shared" si="69"/>
        <v>0.1343326841221017</v>
      </c>
      <c r="S161">
        <f t="shared" si="70"/>
        <v>8.4368634943768353E-2</v>
      </c>
      <c r="T161">
        <f t="shared" si="71"/>
        <v>276.11284382123449</v>
      </c>
      <c r="U161">
        <f t="shared" si="72"/>
        <v>25.855177255322339</v>
      </c>
      <c r="V161">
        <f t="shared" si="73"/>
        <v>25.855177255322339</v>
      </c>
      <c r="W161">
        <f t="shared" si="74"/>
        <v>3.3454502501265209</v>
      </c>
      <c r="X161">
        <f t="shared" si="75"/>
        <v>67.320280834037973</v>
      </c>
      <c r="Y161">
        <f t="shared" si="76"/>
        <v>2.0569847598923996</v>
      </c>
      <c r="Z161">
        <f t="shared" si="77"/>
        <v>3.0555201707541935</v>
      </c>
      <c r="AA161">
        <f t="shared" si="78"/>
        <v>1.2884654902341213</v>
      </c>
      <c r="AB161">
        <f t="shared" si="79"/>
        <v>-79.009508314326311</v>
      </c>
      <c r="AC161">
        <f t="shared" si="80"/>
        <v>-179.86788552523609</v>
      </c>
      <c r="AD161">
        <f t="shared" si="81"/>
        <v>-17.368203155478696</v>
      </c>
      <c r="AE161">
        <f t="shared" si="82"/>
        <v>-0.13275317380657725</v>
      </c>
      <c r="AF161">
        <v>12</v>
      </c>
      <c r="AG161">
        <v>4</v>
      </c>
      <c r="AH161">
        <f t="shared" si="83"/>
        <v>1</v>
      </c>
      <c r="AI161">
        <f t="shared" si="84"/>
        <v>0</v>
      </c>
      <c r="AJ161">
        <f t="shared" si="85"/>
        <v>52799.39759440958</v>
      </c>
      <c r="AK161">
        <f t="shared" si="86"/>
        <v>1799.99</v>
      </c>
      <c r="AL161">
        <f t="shared" si="87"/>
        <v>1499.1040675977999</v>
      </c>
      <c r="AM161">
        <f t="shared" si="88"/>
        <v>0.83284022000000002</v>
      </c>
      <c r="AN161">
        <f t="shared" si="89"/>
        <v>0.15339687655000001</v>
      </c>
      <c r="AO161">
        <v>31.2</v>
      </c>
      <c r="AP161">
        <v>0.5</v>
      </c>
      <c r="AQ161" t="s">
        <v>331</v>
      </c>
      <c r="AR161">
        <v>2</v>
      </c>
      <c r="AS161">
        <v>1690308240</v>
      </c>
      <c r="AT161">
        <v>502.70400000000001</v>
      </c>
      <c r="AU161">
        <v>800.14400000000001</v>
      </c>
      <c r="AV161">
        <v>20.712900000000001</v>
      </c>
      <c r="AW161">
        <v>2.4678499999999999</v>
      </c>
      <c r="AX161">
        <v>502.54599999999999</v>
      </c>
      <c r="AY161">
        <v>20.499099999999999</v>
      </c>
      <c r="AZ161">
        <v>300.02699999999999</v>
      </c>
      <c r="BA161">
        <v>99.209299999999999</v>
      </c>
      <c r="BB161">
        <v>0.10005600000000001</v>
      </c>
      <c r="BC161">
        <v>24.333600000000001</v>
      </c>
      <c r="BD161">
        <v>26.956800000000001</v>
      </c>
      <c r="BE161">
        <v>26.1296</v>
      </c>
      <c r="BF161">
        <v>0</v>
      </c>
      <c r="BG161">
        <v>0</v>
      </c>
      <c r="BH161">
        <v>9974.3799999999992</v>
      </c>
      <c r="BI161">
        <v>1041.24</v>
      </c>
      <c r="BJ161">
        <v>1.62592</v>
      </c>
      <c r="BK161">
        <v>-297.44</v>
      </c>
      <c r="BL161">
        <v>513.33699999999999</v>
      </c>
      <c r="BM161">
        <v>802.12400000000002</v>
      </c>
      <c r="BN161">
        <v>18.245000000000001</v>
      </c>
      <c r="BO161">
        <v>800.14400000000001</v>
      </c>
      <c r="BP161">
        <v>2.4678499999999999</v>
      </c>
      <c r="BQ161">
        <v>2.05491</v>
      </c>
      <c r="BR161">
        <v>0.244833</v>
      </c>
      <c r="BS161">
        <v>17.873899999999999</v>
      </c>
      <c r="BT161">
        <v>-12.0198</v>
      </c>
      <c r="BU161">
        <v>1799.99</v>
      </c>
      <c r="BV161">
        <v>0.91001299999999996</v>
      </c>
      <c r="BW161">
        <v>3.3999799999999997E-2</v>
      </c>
      <c r="BX161">
        <v>2.19945E-2</v>
      </c>
      <c r="BY161">
        <v>3.3992300000000003E-2</v>
      </c>
      <c r="BZ161">
        <v>26</v>
      </c>
      <c r="CA161">
        <v>33528.400000000001</v>
      </c>
      <c r="CB161">
        <v>1690306253.5999999</v>
      </c>
      <c r="CC161" t="s">
        <v>332</v>
      </c>
      <c r="CD161">
        <v>1690306253.5999999</v>
      </c>
      <c r="CE161">
        <v>1690306251.5999999</v>
      </c>
      <c r="CF161">
        <v>9</v>
      </c>
      <c r="CG161">
        <v>0.19</v>
      </c>
      <c r="CH161">
        <v>-8.7999999999999995E-2</v>
      </c>
      <c r="CI161">
        <v>-5.0999999999999997E-2</v>
      </c>
      <c r="CJ161">
        <v>5.0999999999999997E-2</v>
      </c>
      <c r="CK161">
        <v>799</v>
      </c>
      <c r="CL161">
        <v>15</v>
      </c>
      <c r="CM161">
        <v>0.28000000000000003</v>
      </c>
      <c r="CN161">
        <v>0.03</v>
      </c>
      <c r="CO161">
        <v>-296.041</v>
      </c>
      <c r="CP161">
        <v>-7.572607879924484</v>
      </c>
      <c r="CQ161">
        <v>0.73169074751564267</v>
      </c>
      <c r="CR161">
        <v>-1</v>
      </c>
      <c r="CS161">
        <v>18.122755000000002</v>
      </c>
      <c r="CT161">
        <v>0.75734634146338164</v>
      </c>
      <c r="CU161">
        <v>7.3034484834220412E-2</v>
      </c>
      <c r="CV161">
        <v>-1</v>
      </c>
      <c r="CW161">
        <v>0</v>
      </c>
      <c r="CX161">
        <v>0</v>
      </c>
      <c r="CY161" t="s">
        <v>333</v>
      </c>
      <c r="CZ161">
        <v>2.36409</v>
      </c>
      <c r="DA161">
        <v>2.7138200000000001</v>
      </c>
      <c r="DB161">
        <v>0.106202</v>
      </c>
      <c r="DC161">
        <v>0.14622099999999999</v>
      </c>
      <c r="DD161">
        <v>0.10259600000000001</v>
      </c>
      <c r="DE161">
        <v>1.84666E-2</v>
      </c>
      <c r="DF161">
        <v>32649.9</v>
      </c>
      <c r="DG161">
        <v>27540.3</v>
      </c>
      <c r="DH161">
        <v>31185</v>
      </c>
      <c r="DI161">
        <v>28107.599999999999</v>
      </c>
      <c r="DJ161">
        <v>37999</v>
      </c>
      <c r="DK161">
        <v>39243.199999999997</v>
      </c>
      <c r="DL161">
        <v>44383.9</v>
      </c>
      <c r="DM161">
        <v>42609.4</v>
      </c>
      <c r="DN161">
        <v>1.43672</v>
      </c>
      <c r="DO161">
        <v>2.0313699999999999</v>
      </c>
      <c r="DP161">
        <v>0.17909700000000001</v>
      </c>
      <c r="DQ161">
        <v>0.153646</v>
      </c>
      <c r="DR161">
        <v>24.020600000000002</v>
      </c>
      <c r="DS161">
        <v>23.608000000000001</v>
      </c>
      <c r="DT161">
        <v>35.200000000000003</v>
      </c>
      <c r="DU161">
        <v>29.4</v>
      </c>
      <c r="DV161">
        <v>14.605600000000001</v>
      </c>
      <c r="DW161">
        <v>61.863100000000003</v>
      </c>
      <c r="DX161">
        <v>37.299700000000001</v>
      </c>
      <c r="DY161">
        <v>1</v>
      </c>
      <c r="DZ161">
        <v>-9.4474100000000005E-2</v>
      </c>
      <c r="EA161">
        <v>1.1801600000000001</v>
      </c>
      <c r="EB161">
        <v>20.184799999999999</v>
      </c>
      <c r="EC161">
        <v>5.2411000000000003</v>
      </c>
      <c r="ED161">
        <v>12.039899999999999</v>
      </c>
      <c r="EE161">
        <v>5.0171000000000001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1.8689100000000001</v>
      </c>
      <c r="EL161">
        <v>1.8646199999999999</v>
      </c>
      <c r="EM161">
        <v>1.8692</v>
      </c>
      <c r="EN161">
        <v>1.8672299999999999</v>
      </c>
      <c r="EO161">
        <v>1.8633999999999999</v>
      </c>
      <c r="EP161">
        <v>1.8644700000000001</v>
      </c>
      <c r="EQ161">
        <v>1.8702099999999999</v>
      </c>
      <c r="ER161">
        <v>1.86937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0.158</v>
      </c>
      <c r="FG161">
        <v>0.21379999999999999</v>
      </c>
      <c r="FH161">
        <v>0.49996858830924029</v>
      </c>
      <c r="FI161">
        <v>-6.1462078757559423E-4</v>
      </c>
      <c r="FJ161">
        <v>-1.8861989874597051E-7</v>
      </c>
      <c r="FK161">
        <v>1.1980462299894961E-10</v>
      </c>
      <c r="FL161">
        <v>-3.8593581000597899E-2</v>
      </c>
      <c r="FM161">
        <v>-1.6848085045870601E-2</v>
      </c>
      <c r="FN161">
        <v>1.9789084769509481E-3</v>
      </c>
      <c r="FO161">
        <v>-2.7142391389806329E-5</v>
      </c>
      <c r="FP161">
        <v>3</v>
      </c>
      <c r="FQ161">
        <v>2158</v>
      </c>
      <c r="FR161">
        <v>1</v>
      </c>
      <c r="FS161">
        <v>19</v>
      </c>
      <c r="FT161">
        <v>33.1</v>
      </c>
      <c r="FU161">
        <v>33.1</v>
      </c>
      <c r="FV161">
        <v>1.7663599999999999</v>
      </c>
      <c r="FW161">
        <v>2.5891099999999998</v>
      </c>
      <c r="FX161">
        <v>1.5490699999999999</v>
      </c>
      <c r="FY161">
        <v>2.32666</v>
      </c>
      <c r="FZ161">
        <v>1.50146</v>
      </c>
      <c r="GA161">
        <v>2.3596200000000001</v>
      </c>
      <c r="GB161">
        <v>34.077100000000002</v>
      </c>
      <c r="GC161">
        <v>23.982399999999998</v>
      </c>
      <c r="GD161">
        <v>19</v>
      </c>
      <c r="GE161">
        <v>266.37599999999998</v>
      </c>
      <c r="GF161">
        <v>579.10199999999998</v>
      </c>
      <c r="GG161">
        <v>21.438300000000002</v>
      </c>
      <c r="GH161">
        <v>26.152699999999999</v>
      </c>
      <c r="GI161">
        <v>30</v>
      </c>
      <c r="GJ161">
        <v>26.343399999999999</v>
      </c>
      <c r="GK161">
        <v>26.343399999999999</v>
      </c>
      <c r="GL161">
        <v>35.314500000000002</v>
      </c>
      <c r="GM161">
        <v>77.600999999999999</v>
      </c>
      <c r="GN161">
        <v>37.811199999999999</v>
      </c>
      <c r="GO161">
        <v>21.454699999999999</v>
      </c>
      <c r="GP161">
        <v>800</v>
      </c>
      <c r="GQ161">
        <v>2.3532299999999999</v>
      </c>
      <c r="GR161">
        <v>99.784999999999997</v>
      </c>
      <c r="GS161">
        <v>99.6708</v>
      </c>
    </row>
    <row r="162" spans="1:201" x14ac:dyDescent="0.25">
      <c r="A162">
        <v>146</v>
      </c>
      <c r="B162">
        <v>1690308250</v>
      </c>
      <c r="C162">
        <v>1631.400000095367</v>
      </c>
      <c r="D162" t="s">
        <v>625</v>
      </c>
      <c r="E162" t="s">
        <v>626</v>
      </c>
      <c r="F162" t="s">
        <v>330</v>
      </c>
      <c r="H162">
        <v>1690308250</v>
      </c>
      <c r="I162">
        <f t="shared" si="60"/>
        <v>1.8050231952281414E-3</v>
      </c>
      <c r="J162">
        <f t="shared" si="61"/>
        <v>1.8050231952281415</v>
      </c>
      <c r="K162">
        <f t="shared" si="62"/>
        <v>27.832504062193721</v>
      </c>
      <c r="L162">
        <f t="shared" si="63"/>
        <v>501.47300000000001</v>
      </c>
      <c r="M162">
        <f t="shared" si="64"/>
        <v>167.07432352416765</v>
      </c>
      <c r="N162">
        <f t="shared" si="65"/>
        <v>16.591573159100022</v>
      </c>
      <c r="O162">
        <f t="shared" si="66"/>
        <v>49.799549034893005</v>
      </c>
      <c r="P162">
        <f t="shared" si="67"/>
        <v>0.14018043503260141</v>
      </c>
      <c r="Q162">
        <f t="shared" si="68"/>
        <v>2.1952539650438663</v>
      </c>
      <c r="R162">
        <f t="shared" si="69"/>
        <v>0.13539062244003952</v>
      </c>
      <c r="S162">
        <f t="shared" si="70"/>
        <v>8.5035850245906208E-2</v>
      </c>
      <c r="T162">
        <f t="shared" si="71"/>
        <v>276.11439652799999</v>
      </c>
      <c r="U162">
        <f t="shared" si="72"/>
        <v>25.847993622478558</v>
      </c>
      <c r="V162">
        <f t="shared" si="73"/>
        <v>25.847993622478558</v>
      </c>
      <c r="W162">
        <f t="shared" si="74"/>
        <v>3.3440268892132812</v>
      </c>
      <c r="X162">
        <f t="shared" si="75"/>
        <v>67.29445409697999</v>
      </c>
      <c r="Y162">
        <f t="shared" si="76"/>
        <v>2.0560724168263</v>
      </c>
      <c r="Z162">
        <f t="shared" si="77"/>
        <v>3.0553370919143417</v>
      </c>
      <c r="AA162">
        <f t="shared" si="78"/>
        <v>1.2879544723869811</v>
      </c>
      <c r="AB162">
        <f t="shared" si="79"/>
        <v>-79.601522909561041</v>
      </c>
      <c r="AC162">
        <f t="shared" si="80"/>
        <v>-179.34764105127056</v>
      </c>
      <c r="AD162">
        <f t="shared" si="81"/>
        <v>-17.296906217395524</v>
      </c>
      <c r="AE162">
        <f t="shared" si="82"/>
        <v>-0.13167365022712829</v>
      </c>
      <c r="AF162">
        <v>13</v>
      </c>
      <c r="AG162">
        <v>4</v>
      </c>
      <c r="AH162">
        <f t="shared" si="83"/>
        <v>1</v>
      </c>
      <c r="AI162">
        <f t="shared" si="84"/>
        <v>0</v>
      </c>
      <c r="AJ162">
        <f t="shared" si="85"/>
        <v>52905.956824099761</v>
      </c>
      <c r="AK162">
        <f t="shared" si="86"/>
        <v>1800</v>
      </c>
      <c r="AL162">
        <f t="shared" si="87"/>
        <v>1499.1128117999999</v>
      </c>
      <c r="AM162">
        <f t="shared" si="88"/>
        <v>0.83284045099999993</v>
      </c>
      <c r="AN162">
        <f t="shared" si="89"/>
        <v>0.15339688696000001</v>
      </c>
      <c r="AO162">
        <v>31.2</v>
      </c>
      <c r="AP162">
        <v>0.5</v>
      </c>
      <c r="AQ162" t="s">
        <v>331</v>
      </c>
      <c r="AR162">
        <v>2</v>
      </c>
      <c r="AS162">
        <v>1690308250</v>
      </c>
      <c r="AT162">
        <v>501.47300000000001</v>
      </c>
      <c r="AU162">
        <v>800.08900000000006</v>
      </c>
      <c r="AV162">
        <v>20.7043</v>
      </c>
      <c r="AW162">
        <v>2.3364600000000002</v>
      </c>
      <c r="AX162">
        <v>501.31400000000002</v>
      </c>
      <c r="AY162">
        <v>20.4908</v>
      </c>
      <c r="AZ162">
        <v>300.25700000000001</v>
      </c>
      <c r="BA162">
        <v>99.206500000000005</v>
      </c>
      <c r="BB162">
        <v>0.100041</v>
      </c>
      <c r="BC162">
        <v>24.332599999999999</v>
      </c>
      <c r="BD162">
        <v>26.9895</v>
      </c>
      <c r="BE162">
        <v>26.097799999999999</v>
      </c>
      <c r="BF162">
        <v>0</v>
      </c>
      <c r="BG162">
        <v>0</v>
      </c>
      <c r="BH162">
        <v>9995.6200000000008</v>
      </c>
      <c r="BI162">
        <v>1041.27</v>
      </c>
      <c r="BJ162">
        <v>1.62592</v>
      </c>
      <c r="BK162">
        <v>-298.61500000000001</v>
      </c>
      <c r="BL162">
        <v>512.07600000000002</v>
      </c>
      <c r="BM162">
        <v>801.96199999999999</v>
      </c>
      <c r="BN162">
        <v>18.367899999999999</v>
      </c>
      <c r="BO162">
        <v>800.08900000000006</v>
      </c>
      <c r="BP162">
        <v>2.3364600000000002</v>
      </c>
      <c r="BQ162">
        <v>2.0539999999999998</v>
      </c>
      <c r="BR162">
        <v>0.231792</v>
      </c>
      <c r="BS162">
        <v>17.866900000000001</v>
      </c>
      <c r="BT162">
        <v>-12.6981</v>
      </c>
      <c r="BU162">
        <v>1800</v>
      </c>
      <c r="BV162">
        <v>0.91001399999999999</v>
      </c>
      <c r="BW162">
        <v>3.3999500000000002E-2</v>
      </c>
      <c r="BX162">
        <v>2.1994300000000001E-2</v>
      </c>
      <c r="BY162">
        <v>3.3992000000000001E-2</v>
      </c>
      <c r="BZ162">
        <v>26</v>
      </c>
      <c r="CA162">
        <v>33528.5</v>
      </c>
      <c r="CB162">
        <v>1690306253.5999999</v>
      </c>
      <c r="CC162" t="s">
        <v>332</v>
      </c>
      <c r="CD162">
        <v>1690306253.5999999</v>
      </c>
      <c r="CE162">
        <v>1690306251.5999999</v>
      </c>
      <c r="CF162">
        <v>9</v>
      </c>
      <c r="CG162">
        <v>0.19</v>
      </c>
      <c r="CH162">
        <v>-8.7999999999999995E-2</v>
      </c>
      <c r="CI162">
        <v>-5.0999999999999997E-2</v>
      </c>
      <c r="CJ162">
        <v>5.0999999999999997E-2</v>
      </c>
      <c r="CK162">
        <v>799</v>
      </c>
      <c r="CL162">
        <v>15</v>
      </c>
      <c r="CM162">
        <v>0.28000000000000003</v>
      </c>
      <c r="CN162">
        <v>0.03</v>
      </c>
      <c r="CO162">
        <v>-297.16178048780489</v>
      </c>
      <c r="CP162">
        <v>-6.9069198606269504</v>
      </c>
      <c r="CQ162">
        <v>0.68333281225344322</v>
      </c>
      <c r="CR162">
        <v>-1</v>
      </c>
      <c r="CS162">
        <v>18.231290243902439</v>
      </c>
      <c r="CT162">
        <v>0.65648362369338686</v>
      </c>
      <c r="CU162">
        <v>6.4826281198961694E-2</v>
      </c>
      <c r="CV162">
        <v>-1</v>
      </c>
      <c r="CW162">
        <v>0</v>
      </c>
      <c r="CX162">
        <v>0</v>
      </c>
      <c r="CY162" t="s">
        <v>333</v>
      </c>
      <c r="CZ162">
        <v>2.3648699999999998</v>
      </c>
      <c r="DA162">
        <v>2.7138300000000002</v>
      </c>
      <c r="DB162">
        <v>0.10600999999999999</v>
      </c>
      <c r="DC162">
        <v>0.14620900000000001</v>
      </c>
      <c r="DD162">
        <v>0.102565</v>
      </c>
      <c r="DE162">
        <v>1.7584200000000001E-2</v>
      </c>
      <c r="DF162">
        <v>32657.599999999999</v>
      </c>
      <c r="DG162">
        <v>27541.200000000001</v>
      </c>
      <c r="DH162">
        <v>31185.7</v>
      </c>
      <c r="DI162">
        <v>28108.1</v>
      </c>
      <c r="DJ162">
        <v>38001.1</v>
      </c>
      <c r="DK162">
        <v>39279.300000000003</v>
      </c>
      <c r="DL162">
        <v>44384.800000000003</v>
      </c>
      <c r="DM162">
        <v>42610.1</v>
      </c>
      <c r="DN162">
        <v>1.4371799999999999</v>
      </c>
      <c r="DO162">
        <v>2.0315300000000001</v>
      </c>
      <c r="DP162">
        <v>0.181094</v>
      </c>
      <c r="DQ162">
        <v>0.15182799999999999</v>
      </c>
      <c r="DR162">
        <v>24.020600000000002</v>
      </c>
      <c r="DS162">
        <v>23.606100000000001</v>
      </c>
      <c r="DT162">
        <v>34.799999999999997</v>
      </c>
      <c r="DU162">
        <v>29.5</v>
      </c>
      <c r="DV162">
        <v>14.521100000000001</v>
      </c>
      <c r="DW162">
        <v>61.763100000000001</v>
      </c>
      <c r="DX162">
        <v>35.9816</v>
      </c>
      <c r="DY162">
        <v>1</v>
      </c>
      <c r="DZ162">
        <v>-9.5155000000000003E-2</v>
      </c>
      <c r="EA162">
        <v>1.08772</v>
      </c>
      <c r="EB162">
        <v>20.185500000000001</v>
      </c>
      <c r="EC162">
        <v>5.2411000000000003</v>
      </c>
      <c r="ED162">
        <v>12.039899999999999</v>
      </c>
      <c r="EE162">
        <v>5.0172999999999996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1.8689100000000001</v>
      </c>
      <c r="EL162">
        <v>1.8646199999999999</v>
      </c>
      <c r="EM162">
        <v>1.8691899999999999</v>
      </c>
      <c r="EN162">
        <v>1.86724</v>
      </c>
      <c r="EO162">
        <v>1.8633999999999999</v>
      </c>
      <c r="EP162">
        <v>1.8644700000000001</v>
      </c>
      <c r="EQ162">
        <v>1.8701700000000001</v>
      </c>
      <c r="ER162">
        <v>1.86937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0.159</v>
      </c>
      <c r="FG162">
        <v>0.2135</v>
      </c>
      <c r="FH162">
        <v>0.49996858830924029</v>
      </c>
      <c r="FI162">
        <v>-6.1462078757559423E-4</v>
      </c>
      <c r="FJ162">
        <v>-1.8861989874597051E-7</v>
      </c>
      <c r="FK162">
        <v>1.1980462299894961E-10</v>
      </c>
      <c r="FL162">
        <v>-3.8593581000597899E-2</v>
      </c>
      <c r="FM162">
        <v>-1.6848085045870601E-2</v>
      </c>
      <c r="FN162">
        <v>1.9789084769509481E-3</v>
      </c>
      <c r="FO162">
        <v>-2.7142391389806329E-5</v>
      </c>
      <c r="FP162">
        <v>3</v>
      </c>
      <c r="FQ162">
        <v>2158</v>
      </c>
      <c r="FR162">
        <v>1</v>
      </c>
      <c r="FS162">
        <v>19</v>
      </c>
      <c r="FT162">
        <v>33.299999999999997</v>
      </c>
      <c r="FU162">
        <v>33.299999999999997</v>
      </c>
      <c r="FV162">
        <v>1.7663599999999999</v>
      </c>
      <c r="FW162">
        <v>2.5976599999999999</v>
      </c>
      <c r="FX162">
        <v>1.5490699999999999</v>
      </c>
      <c r="FY162">
        <v>2.32666</v>
      </c>
      <c r="FZ162">
        <v>1.50146</v>
      </c>
      <c r="GA162">
        <v>2.32056</v>
      </c>
      <c r="GB162">
        <v>34.077100000000002</v>
      </c>
      <c r="GC162">
        <v>23.982399999999998</v>
      </c>
      <c r="GD162">
        <v>19</v>
      </c>
      <c r="GE162">
        <v>266.54399999999998</v>
      </c>
      <c r="GF162">
        <v>579.18600000000004</v>
      </c>
      <c r="GG162">
        <v>21.481999999999999</v>
      </c>
      <c r="GH162">
        <v>26.1493</v>
      </c>
      <c r="GI162">
        <v>29.9999</v>
      </c>
      <c r="GJ162">
        <v>26.339400000000001</v>
      </c>
      <c r="GK162">
        <v>26.3399</v>
      </c>
      <c r="GL162">
        <v>35.3108</v>
      </c>
      <c r="GM162">
        <v>78.181700000000006</v>
      </c>
      <c r="GN162">
        <v>37.011000000000003</v>
      </c>
      <c r="GO162">
        <v>21.4954</v>
      </c>
      <c r="GP162">
        <v>800</v>
      </c>
      <c r="GQ162">
        <v>2.2191100000000001</v>
      </c>
      <c r="GR162">
        <v>99.787000000000006</v>
      </c>
      <c r="GS162">
        <v>99.672600000000003</v>
      </c>
    </row>
    <row r="163" spans="1:201" x14ac:dyDescent="0.25">
      <c r="A163">
        <v>147</v>
      </c>
      <c r="B163">
        <v>1690308260</v>
      </c>
      <c r="C163">
        <v>1641.400000095367</v>
      </c>
      <c r="D163" t="s">
        <v>627</v>
      </c>
      <c r="E163" t="s">
        <v>628</v>
      </c>
      <c r="F163" t="s">
        <v>330</v>
      </c>
      <c r="H163">
        <v>1690308260</v>
      </c>
      <c r="I163">
        <f t="shared" si="60"/>
        <v>1.8170153480195695E-3</v>
      </c>
      <c r="J163">
        <f t="shared" si="61"/>
        <v>1.8170153480195694</v>
      </c>
      <c r="K163">
        <f t="shared" si="62"/>
        <v>27.94446182449197</v>
      </c>
      <c r="L163">
        <f t="shared" si="63"/>
        <v>500.25799999999998</v>
      </c>
      <c r="M163">
        <f t="shared" si="64"/>
        <v>166.48657096809322</v>
      </c>
      <c r="N163">
        <f t="shared" si="65"/>
        <v>16.534092526242478</v>
      </c>
      <c r="O163">
        <f t="shared" si="66"/>
        <v>49.681556962201995</v>
      </c>
      <c r="P163">
        <f t="shared" si="67"/>
        <v>0.14103856031626533</v>
      </c>
      <c r="Q163">
        <f t="shared" si="68"/>
        <v>2.1927818987762446</v>
      </c>
      <c r="R163">
        <f t="shared" si="69"/>
        <v>0.13618575426634347</v>
      </c>
      <c r="S163">
        <f t="shared" si="70"/>
        <v>8.5538191410300723E-2</v>
      </c>
      <c r="T163">
        <f t="shared" si="71"/>
        <v>276.11437667400008</v>
      </c>
      <c r="U163">
        <f t="shared" si="72"/>
        <v>25.852760335580108</v>
      </c>
      <c r="V163">
        <f t="shared" si="73"/>
        <v>25.852760335580108</v>
      </c>
      <c r="W163">
        <f t="shared" si="74"/>
        <v>3.3449713039688063</v>
      </c>
      <c r="X163">
        <f t="shared" si="75"/>
        <v>67.26148702248274</v>
      </c>
      <c r="Y163">
        <f t="shared" si="76"/>
        <v>2.0559642432249001</v>
      </c>
      <c r="Z163">
        <f t="shared" si="77"/>
        <v>3.05667378798461</v>
      </c>
      <c r="AA163">
        <f t="shared" si="78"/>
        <v>1.2890070607439061</v>
      </c>
      <c r="AB163">
        <f t="shared" si="79"/>
        <v>-80.130376847663015</v>
      </c>
      <c r="AC163">
        <f t="shared" si="80"/>
        <v>-178.8462001959644</v>
      </c>
      <c r="AD163">
        <f t="shared" si="81"/>
        <v>-17.269039098657093</v>
      </c>
      <c r="AE163">
        <f t="shared" si="82"/>
        <v>-0.13123946828443422</v>
      </c>
      <c r="AF163">
        <v>12</v>
      </c>
      <c r="AG163">
        <v>4</v>
      </c>
      <c r="AH163">
        <f t="shared" si="83"/>
        <v>1</v>
      </c>
      <c r="AI163">
        <f t="shared" si="84"/>
        <v>0</v>
      </c>
      <c r="AJ163">
        <f t="shared" si="85"/>
        <v>52802.759204371796</v>
      </c>
      <c r="AK163">
        <f t="shared" si="86"/>
        <v>1800</v>
      </c>
      <c r="AL163">
        <f t="shared" si="87"/>
        <v>1499.1133824000001</v>
      </c>
      <c r="AM163">
        <f t="shared" si="88"/>
        <v>0.83284076800000006</v>
      </c>
      <c r="AN163">
        <f t="shared" si="89"/>
        <v>0.15339687593000004</v>
      </c>
      <c r="AO163">
        <v>31.2</v>
      </c>
      <c r="AP163">
        <v>0.5</v>
      </c>
      <c r="AQ163" t="s">
        <v>331</v>
      </c>
      <c r="AR163">
        <v>2</v>
      </c>
      <c r="AS163">
        <v>1690308260</v>
      </c>
      <c r="AT163">
        <v>500.25799999999998</v>
      </c>
      <c r="AU163">
        <v>800.024</v>
      </c>
      <c r="AV163">
        <v>20.702100000000002</v>
      </c>
      <c r="AW163">
        <v>2.2154500000000001</v>
      </c>
      <c r="AX163">
        <v>500.09800000000001</v>
      </c>
      <c r="AY163">
        <v>20.488600000000002</v>
      </c>
      <c r="AZ163">
        <v>300.31</v>
      </c>
      <c r="BA163">
        <v>99.211799999999997</v>
      </c>
      <c r="BB163">
        <v>0.10006900000000001</v>
      </c>
      <c r="BC163">
        <v>24.3399</v>
      </c>
      <c r="BD163">
        <v>26.983000000000001</v>
      </c>
      <c r="BE163">
        <v>26.101800000000001</v>
      </c>
      <c r="BF163">
        <v>0</v>
      </c>
      <c r="BG163">
        <v>0</v>
      </c>
      <c r="BH163">
        <v>9975</v>
      </c>
      <c r="BI163">
        <v>1041.3599999999999</v>
      </c>
      <c r="BJ163">
        <v>1.62592</v>
      </c>
      <c r="BK163">
        <v>-299.76600000000002</v>
      </c>
      <c r="BL163">
        <v>510.834</v>
      </c>
      <c r="BM163">
        <v>801.8</v>
      </c>
      <c r="BN163">
        <v>18.486599999999999</v>
      </c>
      <c r="BO163">
        <v>800.024</v>
      </c>
      <c r="BP163">
        <v>2.2154500000000001</v>
      </c>
      <c r="BQ163">
        <v>2.05389</v>
      </c>
      <c r="BR163">
        <v>0.21979899999999999</v>
      </c>
      <c r="BS163">
        <v>17.866</v>
      </c>
      <c r="BT163">
        <v>-13.352600000000001</v>
      </c>
      <c r="BU163">
        <v>1800</v>
      </c>
      <c r="BV163">
        <v>0.91001600000000005</v>
      </c>
      <c r="BW163">
        <v>3.3998800000000003E-2</v>
      </c>
      <c r="BX163">
        <v>2.19939E-2</v>
      </c>
      <c r="BY163">
        <v>3.3991300000000002E-2</v>
      </c>
      <c r="BZ163">
        <v>26</v>
      </c>
      <c r="CA163">
        <v>33528.400000000001</v>
      </c>
      <c r="CB163">
        <v>1690306253.5999999</v>
      </c>
      <c r="CC163" t="s">
        <v>332</v>
      </c>
      <c r="CD163">
        <v>1690306253.5999999</v>
      </c>
      <c r="CE163">
        <v>1690306251.5999999</v>
      </c>
      <c r="CF163">
        <v>9</v>
      </c>
      <c r="CG163">
        <v>0.19</v>
      </c>
      <c r="CH163">
        <v>-8.7999999999999995E-2</v>
      </c>
      <c r="CI163">
        <v>-5.0999999999999997E-2</v>
      </c>
      <c r="CJ163">
        <v>5.0999999999999997E-2</v>
      </c>
      <c r="CK163">
        <v>799</v>
      </c>
      <c r="CL163">
        <v>15</v>
      </c>
      <c r="CM163">
        <v>0.28000000000000003</v>
      </c>
      <c r="CN163">
        <v>0.03</v>
      </c>
      <c r="CO163">
        <v>-298.46734146341458</v>
      </c>
      <c r="CP163">
        <v>-7.1229198606269728</v>
      </c>
      <c r="CQ163">
        <v>0.70452407771890202</v>
      </c>
      <c r="CR163">
        <v>-1</v>
      </c>
      <c r="CS163">
        <v>18.359736585365852</v>
      </c>
      <c r="CT163">
        <v>0.73226341463415945</v>
      </c>
      <c r="CU163">
        <v>7.233005567669612E-2</v>
      </c>
      <c r="CV163">
        <v>-1</v>
      </c>
      <c r="CW163">
        <v>0</v>
      </c>
      <c r="CX163">
        <v>0</v>
      </c>
      <c r="CY163" t="s">
        <v>333</v>
      </c>
      <c r="CZ163">
        <v>2.3650500000000001</v>
      </c>
      <c r="DA163">
        <v>2.7138399999999998</v>
      </c>
      <c r="DB163">
        <v>0.10582800000000001</v>
      </c>
      <c r="DC163">
        <v>0.146207</v>
      </c>
      <c r="DD163">
        <v>0.102563</v>
      </c>
      <c r="DE163">
        <v>1.6764899999999999E-2</v>
      </c>
      <c r="DF163">
        <v>32664.3</v>
      </c>
      <c r="DG163">
        <v>27541.599999999999</v>
      </c>
      <c r="DH163">
        <v>31185.8</v>
      </c>
      <c r="DI163">
        <v>28108.5</v>
      </c>
      <c r="DJ163">
        <v>38001.1</v>
      </c>
      <c r="DK163">
        <v>39312.6</v>
      </c>
      <c r="DL163">
        <v>44384.800000000003</v>
      </c>
      <c r="DM163">
        <v>42610.6</v>
      </c>
      <c r="DN163">
        <v>1.4376</v>
      </c>
      <c r="DO163">
        <v>2.0312000000000001</v>
      </c>
      <c r="DP163">
        <v>0.180699</v>
      </c>
      <c r="DQ163">
        <v>0.15208099999999999</v>
      </c>
      <c r="DR163">
        <v>24.020600000000002</v>
      </c>
      <c r="DS163">
        <v>23.605899999999998</v>
      </c>
      <c r="DT163">
        <v>34.5</v>
      </c>
      <c r="DU163">
        <v>29.5</v>
      </c>
      <c r="DV163">
        <v>14.3948</v>
      </c>
      <c r="DW163">
        <v>61.6631</v>
      </c>
      <c r="DX163">
        <v>36.871000000000002</v>
      </c>
      <c r="DY163">
        <v>1</v>
      </c>
      <c r="DZ163">
        <v>-9.5393800000000001E-2</v>
      </c>
      <c r="EA163">
        <v>1.1098399999999999</v>
      </c>
      <c r="EB163">
        <v>20.185400000000001</v>
      </c>
      <c r="EC163">
        <v>5.2411000000000003</v>
      </c>
      <c r="ED163">
        <v>12.039899999999999</v>
      </c>
      <c r="EE163">
        <v>5.0172999999999996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1.8689199999999999</v>
      </c>
      <c r="EL163">
        <v>1.8646199999999999</v>
      </c>
      <c r="EM163">
        <v>1.8692</v>
      </c>
      <c r="EN163">
        <v>1.8672500000000001</v>
      </c>
      <c r="EO163">
        <v>1.8633999999999999</v>
      </c>
      <c r="EP163">
        <v>1.86449</v>
      </c>
      <c r="EQ163">
        <v>1.87022</v>
      </c>
      <c r="ER163">
        <v>1.86941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0.16</v>
      </c>
      <c r="FG163">
        <v>0.2135</v>
      </c>
      <c r="FH163">
        <v>0.49996858830924029</v>
      </c>
      <c r="FI163">
        <v>-6.1462078757559423E-4</v>
      </c>
      <c r="FJ163">
        <v>-1.8861989874597051E-7</v>
      </c>
      <c r="FK163">
        <v>1.1980462299894961E-10</v>
      </c>
      <c r="FL163">
        <v>-3.8593581000597899E-2</v>
      </c>
      <c r="FM163">
        <v>-1.6848085045870601E-2</v>
      </c>
      <c r="FN163">
        <v>1.9789084769509481E-3</v>
      </c>
      <c r="FO163">
        <v>-2.7142391389806329E-5</v>
      </c>
      <c r="FP163">
        <v>3</v>
      </c>
      <c r="FQ163">
        <v>2158</v>
      </c>
      <c r="FR163">
        <v>1</v>
      </c>
      <c r="FS163">
        <v>19</v>
      </c>
      <c r="FT163">
        <v>33.4</v>
      </c>
      <c r="FU163">
        <v>33.5</v>
      </c>
      <c r="FV163">
        <v>1.7663599999999999</v>
      </c>
      <c r="FW163">
        <v>2.5878899999999998</v>
      </c>
      <c r="FX163">
        <v>1.5490699999999999</v>
      </c>
      <c r="FY163">
        <v>2.3278799999999999</v>
      </c>
      <c r="FZ163">
        <v>1.50146</v>
      </c>
      <c r="GA163">
        <v>2.4182100000000002</v>
      </c>
      <c r="GB163">
        <v>34.054499999999997</v>
      </c>
      <c r="GC163">
        <v>23.982399999999998</v>
      </c>
      <c r="GD163">
        <v>19</v>
      </c>
      <c r="GE163">
        <v>266.70499999999998</v>
      </c>
      <c r="GF163">
        <v>578.88199999999995</v>
      </c>
      <c r="GG163">
        <v>21.508600000000001</v>
      </c>
      <c r="GH163">
        <v>26.146599999999999</v>
      </c>
      <c r="GI163">
        <v>29.9999</v>
      </c>
      <c r="GJ163">
        <v>26.336300000000001</v>
      </c>
      <c r="GK163">
        <v>26.336600000000001</v>
      </c>
      <c r="GL163">
        <v>35.312600000000003</v>
      </c>
      <c r="GM163">
        <v>79.019499999999994</v>
      </c>
      <c r="GN163">
        <v>36.614600000000003</v>
      </c>
      <c r="GO163">
        <v>21.5153</v>
      </c>
      <c r="GP163">
        <v>800</v>
      </c>
      <c r="GQ163">
        <v>2.0854300000000001</v>
      </c>
      <c r="GR163">
        <v>99.787099999999995</v>
      </c>
      <c r="GS163">
        <v>99.673699999999997</v>
      </c>
    </row>
    <row r="164" spans="1:201" x14ac:dyDescent="0.25">
      <c r="A164">
        <v>148</v>
      </c>
      <c r="B164">
        <v>1690308270</v>
      </c>
      <c r="C164">
        <v>1651.400000095367</v>
      </c>
      <c r="D164" t="s">
        <v>629</v>
      </c>
      <c r="E164" t="s">
        <v>630</v>
      </c>
      <c r="F164" t="s">
        <v>330</v>
      </c>
      <c r="H164">
        <v>1690308270</v>
      </c>
      <c r="I164">
        <f t="shared" si="60"/>
        <v>1.8278365948431101E-3</v>
      </c>
      <c r="J164">
        <f t="shared" si="61"/>
        <v>1.8278365948431101</v>
      </c>
      <c r="K164">
        <f t="shared" si="62"/>
        <v>28.030918603763801</v>
      </c>
      <c r="L164">
        <f t="shared" si="63"/>
        <v>499.15699999999998</v>
      </c>
      <c r="M164">
        <f t="shared" si="64"/>
        <v>166.09145510335443</v>
      </c>
      <c r="N164">
        <f t="shared" si="65"/>
        <v>16.493910627637209</v>
      </c>
      <c r="O164">
        <f t="shared" si="66"/>
        <v>49.569382976603393</v>
      </c>
      <c r="P164">
        <f t="shared" si="67"/>
        <v>0.1417947307760169</v>
      </c>
      <c r="Q164">
        <f t="shared" si="68"/>
        <v>2.1950202952900586</v>
      </c>
      <c r="R164">
        <f t="shared" si="69"/>
        <v>0.13689553756643053</v>
      </c>
      <c r="S164">
        <f t="shared" si="70"/>
        <v>8.5985782012069703E-2</v>
      </c>
      <c r="T164">
        <f t="shared" si="71"/>
        <v>276.11429736600007</v>
      </c>
      <c r="U164">
        <f t="shared" si="72"/>
        <v>25.853164083316276</v>
      </c>
      <c r="V164">
        <f t="shared" si="73"/>
        <v>25.853164083316276</v>
      </c>
      <c r="W164">
        <f t="shared" si="74"/>
        <v>3.3450513080136823</v>
      </c>
      <c r="X164">
        <f t="shared" si="75"/>
        <v>67.213075533014091</v>
      </c>
      <c r="Y164">
        <f t="shared" si="76"/>
        <v>2.0551615915982402</v>
      </c>
      <c r="Z164">
        <f t="shared" si="77"/>
        <v>3.0576812254168826</v>
      </c>
      <c r="AA164">
        <f t="shared" si="78"/>
        <v>1.2898897164154421</v>
      </c>
      <c r="AB164">
        <f t="shared" si="79"/>
        <v>-80.607593832581159</v>
      </c>
      <c r="AC164">
        <f t="shared" si="80"/>
        <v>-178.42568681980802</v>
      </c>
      <c r="AD164">
        <f t="shared" si="81"/>
        <v>-17.211376805363493</v>
      </c>
      <c r="AE164">
        <f t="shared" si="82"/>
        <v>-0.13036009175260688</v>
      </c>
      <c r="AF164">
        <v>12</v>
      </c>
      <c r="AG164">
        <v>4</v>
      </c>
      <c r="AH164">
        <f t="shared" si="83"/>
        <v>1</v>
      </c>
      <c r="AI164">
        <f t="shared" si="84"/>
        <v>0</v>
      </c>
      <c r="AJ164">
        <f t="shared" si="85"/>
        <v>52894.025303125716</v>
      </c>
      <c r="AK164">
        <f t="shared" si="86"/>
        <v>1800</v>
      </c>
      <c r="AL164">
        <f t="shared" si="87"/>
        <v>1499.1133805999998</v>
      </c>
      <c r="AM164">
        <f t="shared" si="88"/>
        <v>0.83284076699999987</v>
      </c>
      <c r="AN164">
        <f t="shared" si="89"/>
        <v>0.15339683187000003</v>
      </c>
      <c r="AO164">
        <v>31.2</v>
      </c>
      <c r="AP164">
        <v>0.5</v>
      </c>
      <c r="AQ164" t="s">
        <v>331</v>
      </c>
      <c r="AR164">
        <v>2</v>
      </c>
      <c r="AS164">
        <v>1690308270</v>
      </c>
      <c r="AT164">
        <v>499.15699999999998</v>
      </c>
      <c r="AU164">
        <v>800.07600000000002</v>
      </c>
      <c r="AV164">
        <v>20.6952</v>
      </c>
      <c r="AW164">
        <v>2.0847500000000001</v>
      </c>
      <c r="AX164">
        <v>498.99599999999998</v>
      </c>
      <c r="AY164">
        <v>20.4819</v>
      </c>
      <c r="AZ164">
        <v>300.09100000000001</v>
      </c>
      <c r="BA164">
        <v>99.206199999999995</v>
      </c>
      <c r="BB164">
        <v>9.9996199999999993E-2</v>
      </c>
      <c r="BC164">
        <v>24.345400000000001</v>
      </c>
      <c r="BD164">
        <v>27.000499999999999</v>
      </c>
      <c r="BE164">
        <v>26.114000000000001</v>
      </c>
      <c r="BF164">
        <v>0</v>
      </c>
      <c r="BG164">
        <v>0</v>
      </c>
      <c r="BH164">
        <v>9993.75</v>
      </c>
      <c r="BI164">
        <v>1041.3399999999999</v>
      </c>
      <c r="BJ164">
        <v>1.62592</v>
      </c>
      <c r="BK164">
        <v>-300.91899999999998</v>
      </c>
      <c r="BL164">
        <v>509.70600000000002</v>
      </c>
      <c r="BM164">
        <v>801.74800000000005</v>
      </c>
      <c r="BN164">
        <v>18.610399999999998</v>
      </c>
      <c r="BO164">
        <v>800.07600000000002</v>
      </c>
      <c r="BP164">
        <v>2.0847500000000001</v>
      </c>
      <c r="BQ164">
        <v>2.0530900000000001</v>
      </c>
      <c r="BR164">
        <v>0.20682</v>
      </c>
      <c r="BS164">
        <v>17.8598</v>
      </c>
      <c r="BT164">
        <v>-14.097799999999999</v>
      </c>
      <c r="BU164">
        <v>1800</v>
      </c>
      <c r="BV164">
        <v>0.91001699999999996</v>
      </c>
      <c r="BW164">
        <v>3.3998399999999998E-2</v>
      </c>
      <c r="BX164">
        <v>2.1993599999999999E-2</v>
      </c>
      <c r="BY164">
        <v>3.3990899999999998E-2</v>
      </c>
      <c r="BZ164">
        <v>26</v>
      </c>
      <c r="CA164">
        <v>33528.5</v>
      </c>
      <c r="CB164">
        <v>1690306253.5999999</v>
      </c>
      <c r="CC164" t="s">
        <v>332</v>
      </c>
      <c r="CD164">
        <v>1690306253.5999999</v>
      </c>
      <c r="CE164">
        <v>1690306251.5999999</v>
      </c>
      <c r="CF164">
        <v>9</v>
      </c>
      <c r="CG164">
        <v>0.19</v>
      </c>
      <c r="CH164">
        <v>-8.7999999999999995E-2</v>
      </c>
      <c r="CI164">
        <v>-5.0999999999999997E-2</v>
      </c>
      <c r="CJ164">
        <v>5.0999999999999997E-2</v>
      </c>
      <c r="CK164">
        <v>799</v>
      </c>
      <c r="CL164">
        <v>15</v>
      </c>
      <c r="CM164">
        <v>0.28000000000000003</v>
      </c>
      <c r="CN164">
        <v>0.03</v>
      </c>
      <c r="CO164">
        <v>-299.68626829268288</v>
      </c>
      <c r="CP164">
        <v>-7.2480209059230418</v>
      </c>
      <c r="CQ164">
        <v>0.71634495792931085</v>
      </c>
      <c r="CR164">
        <v>-1</v>
      </c>
      <c r="CS164">
        <v>18.483892682926829</v>
      </c>
      <c r="CT164">
        <v>0.72522648083622288</v>
      </c>
      <c r="CU164">
        <v>7.1580581881946354E-2</v>
      </c>
      <c r="CV164">
        <v>-1</v>
      </c>
      <c r="CW164">
        <v>0</v>
      </c>
      <c r="CX164">
        <v>0</v>
      </c>
      <c r="CY164" t="s">
        <v>333</v>
      </c>
      <c r="CZ164">
        <v>2.3643299999999998</v>
      </c>
      <c r="DA164">
        <v>2.7137799999999999</v>
      </c>
      <c r="DB164">
        <v>0.105653</v>
      </c>
      <c r="DC164">
        <v>0.146205</v>
      </c>
      <c r="DD164">
        <v>0.102534</v>
      </c>
      <c r="DE164">
        <v>1.5869100000000001E-2</v>
      </c>
      <c r="DF164">
        <v>32671.200000000001</v>
      </c>
      <c r="DG164">
        <v>27541.4</v>
      </c>
      <c r="DH164">
        <v>31186.2</v>
      </c>
      <c r="DI164">
        <v>28108.2</v>
      </c>
      <c r="DJ164">
        <v>38003.1</v>
      </c>
      <c r="DK164">
        <v>39348.1</v>
      </c>
      <c r="DL164">
        <v>44385.7</v>
      </c>
      <c r="DM164">
        <v>42610.2</v>
      </c>
      <c r="DN164">
        <v>1.4373</v>
      </c>
      <c r="DO164">
        <v>2.0312000000000001</v>
      </c>
      <c r="DP164">
        <v>0.181787</v>
      </c>
      <c r="DQ164">
        <v>0.15282599999999999</v>
      </c>
      <c r="DR164">
        <v>24.020299999999999</v>
      </c>
      <c r="DS164">
        <v>23.605899999999998</v>
      </c>
      <c r="DT164">
        <v>34.1</v>
      </c>
      <c r="DU164">
        <v>29.5</v>
      </c>
      <c r="DV164">
        <v>14.228400000000001</v>
      </c>
      <c r="DW164">
        <v>61.353099999999998</v>
      </c>
      <c r="DX164">
        <v>37.115400000000001</v>
      </c>
      <c r="DY164">
        <v>1</v>
      </c>
      <c r="DZ164">
        <v>-9.5558900000000002E-2</v>
      </c>
      <c r="EA164">
        <v>1.12357</v>
      </c>
      <c r="EB164">
        <v>20.185500000000001</v>
      </c>
      <c r="EC164">
        <v>5.2411000000000003</v>
      </c>
      <c r="ED164">
        <v>12.039899999999999</v>
      </c>
      <c r="EE164">
        <v>5.0170000000000003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1.8689100000000001</v>
      </c>
      <c r="EL164">
        <v>1.8646199999999999</v>
      </c>
      <c r="EM164">
        <v>1.8692</v>
      </c>
      <c r="EN164">
        <v>1.8672599999999999</v>
      </c>
      <c r="EO164">
        <v>1.8633900000000001</v>
      </c>
      <c r="EP164">
        <v>1.8644700000000001</v>
      </c>
      <c r="EQ164">
        <v>1.8702099999999999</v>
      </c>
      <c r="ER164">
        <v>1.8693900000000001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0.161</v>
      </c>
      <c r="FG164">
        <v>0.21329999999999999</v>
      </c>
      <c r="FH164">
        <v>0.49996858830924029</v>
      </c>
      <c r="FI164">
        <v>-6.1462078757559423E-4</v>
      </c>
      <c r="FJ164">
        <v>-1.8861989874597051E-7</v>
      </c>
      <c r="FK164">
        <v>1.1980462299894961E-10</v>
      </c>
      <c r="FL164">
        <v>-3.8593581000597899E-2</v>
      </c>
      <c r="FM164">
        <v>-1.6848085045870601E-2</v>
      </c>
      <c r="FN164">
        <v>1.9789084769509481E-3</v>
      </c>
      <c r="FO164">
        <v>-2.7142391389806329E-5</v>
      </c>
      <c r="FP164">
        <v>3</v>
      </c>
      <c r="FQ164">
        <v>2158</v>
      </c>
      <c r="FR164">
        <v>1</v>
      </c>
      <c r="FS164">
        <v>19</v>
      </c>
      <c r="FT164">
        <v>33.6</v>
      </c>
      <c r="FU164">
        <v>33.6</v>
      </c>
      <c r="FV164">
        <v>1.7651399999999999</v>
      </c>
      <c r="FW164">
        <v>2.5915499999999998</v>
      </c>
      <c r="FX164">
        <v>1.5490699999999999</v>
      </c>
      <c r="FY164">
        <v>2.3278799999999999</v>
      </c>
      <c r="FZ164">
        <v>1.50146</v>
      </c>
      <c r="GA164">
        <v>2.3303199999999999</v>
      </c>
      <c r="GB164">
        <v>34.054499999999997</v>
      </c>
      <c r="GC164">
        <v>23.982399999999998</v>
      </c>
      <c r="GD164">
        <v>19</v>
      </c>
      <c r="GE164">
        <v>266.56700000000001</v>
      </c>
      <c r="GF164">
        <v>578.83399999999995</v>
      </c>
      <c r="GG164">
        <v>21.530799999999999</v>
      </c>
      <c r="GH164">
        <v>26.142800000000001</v>
      </c>
      <c r="GI164">
        <v>30</v>
      </c>
      <c r="GJ164">
        <v>26.332699999999999</v>
      </c>
      <c r="GK164">
        <v>26.3324</v>
      </c>
      <c r="GL164">
        <v>35.3035</v>
      </c>
      <c r="GM164">
        <v>79.930899999999994</v>
      </c>
      <c r="GN164">
        <v>35.839700000000001</v>
      </c>
      <c r="GO164">
        <v>21.5307</v>
      </c>
      <c r="GP164">
        <v>800</v>
      </c>
      <c r="GQ164">
        <v>1.95713</v>
      </c>
      <c r="GR164">
        <v>99.788799999999995</v>
      </c>
      <c r="GS164">
        <v>99.672799999999995</v>
      </c>
    </row>
    <row r="165" spans="1:201" x14ac:dyDescent="0.25">
      <c r="A165">
        <v>149</v>
      </c>
      <c r="B165">
        <v>1690308280</v>
      </c>
      <c r="C165">
        <v>1661.400000095367</v>
      </c>
      <c r="D165" t="s">
        <v>631</v>
      </c>
      <c r="E165" t="s">
        <v>632</v>
      </c>
      <c r="F165" t="s">
        <v>330</v>
      </c>
      <c r="H165">
        <v>1690308280</v>
      </c>
      <c r="I165">
        <f t="shared" si="60"/>
        <v>1.8393298782077593E-3</v>
      </c>
      <c r="J165">
        <f t="shared" si="61"/>
        <v>1.8393298782077594</v>
      </c>
      <c r="K165">
        <f t="shared" si="62"/>
        <v>28.144911420166085</v>
      </c>
      <c r="L165">
        <f t="shared" si="63"/>
        <v>498.06700000000001</v>
      </c>
      <c r="M165">
        <f t="shared" si="64"/>
        <v>165.63326861463275</v>
      </c>
      <c r="N165">
        <f t="shared" si="65"/>
        <v>16.448336577570657</v>
      </c>
      <c r="O165">
        <f t="shared" si="66"/>
        <v>49.460918828097903</v>
      </c>
      <c r="P165">
        <f t="shared" si="67"/>
        <v>0.14266150934209071</v>
      </c>
      <c r="Q165">
        <f t="shared" si="68"/>
        <v>2.1980926096806224</v>
      </c>
      <c r="R165">
        <f t="shared" si="69"/>
        <v>0.13771003448255939</v>
      </c>
      <c r="S165">
        <f t="shared" si="70"/>
        <v>8.6499324744969339E-2</v>
      </c>
      <c r="T165">
        <f t="shared" si="71"/>
        <v>276.11426838600005</v>
      </c>
      <c r="U165">
        <f t="shared" si="72"/>
        <v>25.848734554152337</v>
      </c>
      <c r="V165">
        <f t="shared" si="73"/>
        <v>25.848734554152337</v>
      </c>
      <c r="W165">
        <f t="shared" si="74"/>
        <v>3.3441736725229245</v>
      </c>
      <c r="X165">
        <f t="shared" si="75"/>
        <v>67.164271889962919</v>
      </c>
      <c r="Y165">
        <f t="shared" si="76"/>
        <v>2.0538415980233999</v>
      </c>
      <c r="Z165">
        <f t="shared" si="77"/>
        <v>3.0579377103771264</v>
      </c>
      <c r="AA165">
        <f t="shared" si="78"/>
        <v>1.2903320744995246</v>
      </c>
      <c r="AB165">
        <f t="shared" si="79"/>
        <v>-81.114447628962182</v>
      </c>
      <c r="AC165">
        <f t="shared" si="80"/>
        <v>-177.98460473068911</v>
      </c>
      <c r="AD165">
        <f t="shared" si="81"/>
        <v>-17.144569560607135</v>
      </c>
      <c r="AE165">
        <f t="shared" si="82"/>
        <v>-0.12935353425837093</v>
      </c>
      <c r="AF165">
        <v>13</v>
      </c>
      <c r="AG165">
        <v>4</v>
      </c>
      <c r="AH165">
        <f t="shared" si="83"/>
        <v>1</v>
      </c>
      <c r="AI165">
        <f t="shared" si="84"/>
        <v>0</v>
      </c>
      <c r="AJ165">
        <f t="shared" si="85"/>
        <v>53020.6987484079</v>
      </c>
      <c r="AK165">
        <f t="shared" si="86"/>
        <v>1800</v>
      </c>
      <c r="AL165">
        <f t="shared" si="87"/>
        <v>1499.1132545999997</v>
      </c>
      <c r="AM165">
        <f t="shared" si="88"/>
        <v>0.83284069699999985</v>
      </c>
      <c r="AN165">
        <f t="shared" si="89"/>
        <v>0.15339681577000003</v>
      </c>
      <c r="AO165">
        <v>31.2</v>
      </c>
      <c r="AP165">
        <v>0.5</v>
      </c>
      <c r="AQ165" t="s">
        <v>331</v>
      </c>
      <c r="AR165">
        <v>2</v>
      </c>
      <c r="AS165">
        <v>1690308280</v>
      </c>
      <c r="AT165">
        <v>498.06700000000001</v>
      </c>
      <c r="AU165">
        <v>800.05600000000004</v>
      </c>
      <c r="AV165">
        <v>20.681999999999999</v>
      </c>
      <c r="AW165">
        <v>1.9638199999999999</v>
      </c>
      <c r="AX165">
        <v>497.90499999999997</v>
      </c>
      <c r="AY165">
        <v>20.469100000000001</v>
      </c>
      <c r="AZ165">
        <v>300.24400000000003</v>
      </c>
      <c r="BA165">
        <v>99.205799999999996</v>
      </c>
      <c r="BB165">
        <v>9.9953700000000006E-2</v>
      </c>
      <c r="BC165">
        <v>24.346800000000002</v>
      </c>
      <c r="BD165">
        <v>27.001799999999999</v>
      </c>
      <c r="BE165">
        <v>26.098099999999999</v>
      </c>
      <c r="BF165">
        <v>0</v>
      </c>
      <c r="BG165">
        <v>0</v>
      </c>
      <c r="BH165">
        <v>10018.799999999999</v>
      </c>
      <c r="BI165">
        <v>1041.33</v>
      </c>
      <c r="BJ165">
        <v>1.62592</v>
      </c>
      <c r="BK165">
        <v>-301.98899999999998</v>
      </c>
      <c r="BL165">
        <v>508.58499999999998</v>
      </c>
      <c r="BM165">
        <v>801.63</v>
      </c>
      <c r="BN165">
        <v>18.7182</v>
      </c>
      <c r="BO165">
        <v>800.05600000000004</v>
      </c>
      <c r="BP165">
        <v>1.9638199999999999</v>
      </c>
      <c r="BQ165">
        <v>2.0517699999999999</v>
      </c>
      <c r="BR165">
        <v>0.194822</v>
      </c>
      <c r="BS165">
        <v>17.849599999999999</v>
      </c>
      <c r="BT165">
        <v>-14.8249</v>
      </c>
      <c r="BU165">
        <v>1800</v>
      </c>
      <c r="BV165">
        <v>0.91001699999999996</v>
      </c>
      <c r="BW165">
        <v>3.3998300000000002E-2</v>
      </c>
      <c r="BX165">
        <v>2.1993599999999999E-2</v>
      </c>
      <c r="BY165">
        <v>3.3990899999999998E-2</v>
      </c>
      <c r="BZ165">
        <v>26</v>
      </c>
      <c r="CA165">
        <v>33528.5</v>
      </c>
      <c r="CB165">
        <v>1690306253.5999999</v>
      </c>
      <c r="CC165" t="s">
        <v>332</v>
      </c>
      <c r="CD165">
        <v>1690306253.5999999</v>
      </c>
      <c r="CE165">
        <v>1690306251.5999999</v>
      </c>
      <c r="CF165">
        <v>9</v>
      </c>
      <c r="CG165">
        <v>0.19</v>
      </c>
      <c r="CH165">
        <v>-8.7999999999999995E-2</v>
      </c>
      <c r="CI165">
        <v>-5.0999999999999997E-2</v>
      </c>
      <c r="CJ165">
        <v>5.0999999999999997E-2</v>
      </c>
      <c r="CK165">
        <v>799</v>
      </c>
      <c r="CL165">
        <v>15</v>
      </c>
      <c r="CM165">
        <v>0.28000000000000003</v>
      </c>
      <c r="CN165">
        <v>0.03</v>
      </c>
      <c r="CO165">
        <v>-300.87626829268288</v>
      </c>
      <c r="CP165">
        <v>-6.9145505226477244</v>
      </c>
      <c r="CQ165">
        <v>0.68473259955772492</v>
      </c>
      <c r="CR165">
        <v>-1</v>
      </c>
      <c r="CS165">
        <v>18.60350731707317</v>
      </c>
      <c r="CT165">
        <v>0.69698885017423784</v>
      </c>
      <c r="CU165">
        <v>6.8790365144432652E-2</v>
      </c>
      <c r="CV165">
        <v>-1</v>
      </c>
      <c r="CW165">
        <v>0</v>
      </c>
      <c r="CX165">
        <v>0</v>
      </c>
      <c r="CY165" t="s">
        <v>333</v>
      </c>
      <c r="CZ165">
        <v>2.3648799999999999</v>
      </c>
      <c r="DA165">
        <v>2.7137600000000002</v>
      </c>
      <c r="DB165">
        <v>0.105485</v>
      </c>
      <c r="DC165">
        <v>0.1462</v>
      </c>
      <c r="DD165">
        <v>0.102489</v>
      </c>
      <c r="DE165">
        <v>1.5032200000000001E-2</v>
      </c>
      <c r="DF165">
        <v>32677.1</v>
      </c>
      <c r="DG165">
        <v>27541.7</v>
      </c>
      <c r="DH165">
        <v>31185.9</v>
      </c>
      <c r="DI165">
        <v>28108.400000000001</v>
      </c>
      <c r="DJ165">
        <v>38004.5</v>
      </c>
      <c r="DK165">
        <v>39381.699999999997</v>
      </c>
      <c r="DL165">
        <v>44385.1</v>
      </c>
      <c r="DM165">
        <v>42610.2</v>
      </c>
      <c r="DN165">
        <v>1.4372199999999999</v>
      </c>
      <c r="DO165">
        <v>2.0310199999999998</v>
      </c>
      <c r="DP165">
        <v>0.18184600000000001</v>
      </c>
      <c r="DQ165">
        <v>0.15185799999999999</v>
      </c>
      <c r="DR165">
        <v>24.020600000000002</v>
      </c>
      <c r="DS165">
        <v>23.605899999999998</v>
      </c>
      <c r="DT165">
        <v>33.700000000000003</v>
      </c>
      <c r="DU165">
        <v>29.5</v>
      </c>
      <c r="DV165">
        <v>14.0608</v>
      </c>
      <c r="DW165">
        <v>61.073</v>
      </c>
      <c r="DX165">
        <v>36.253999999999998</v>
      </c>
      <c r="DY165">
        <v>1</v>
      </c>
      <c r="DZ165">
        <v>-9.5388700000000007E-2</v>
      </c>
      <c r="EA165">
        <v>1.3568199999999999</v>
      </c>
      <c r="EB165">
        <v>20.183</v>
      </c>
      <c r="EC165">
        <v>5.2409499999999998</v>
      </c>
      <c r="ED165">
        <v>12.039899999999999</v>
      </c>
      <c r="EE165">
        <v>5.0175000000000001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1.86893</v>
      </c>
      <c r="EL165">
        <v>1.8646199999999999</v>
      </c>
      <c r="EM165">
        <v>1.8692</v>
      </c>
      <c r="EN165">
        <v>1.86727</v>
      </c>
      <c r="EO165">
        <v>1.8633999999999999</v>
      </c>
      <c r="EP165">
        <v>1.8644799999999999</v>
      </c>
      <c r="EQ165">
        <v>1.87022</v>
      </c>
      <c r="ER165">
        <v>1.8693900000000001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0.16200000000000001</v>
      </c>
      <c r="FG165">
        <v>0.21290000000000001</v>
      </c>
      <c r="FH165">
        <v>0.49996858830924029</v>
      </c>
      <c r="FI165">
        <v>-6.1462078757559423E-4</v>
      </c>
      <c r="FJ165">
        <v>-1.8861989874597051E-7</v>
      </c>
      <c r="FK165">
        <v>1.1980462299894961E-10</v>
      </c>
      <c r="FL165">
        <v>-3.8593581000597899E-2</v>
      </c>
      <c r="FM165">
        <v>-1.6848085045870601E-2</v>
      </c>
      <c r="FN165">
        <v>1.9789084769509481E-3</v>
      </c>
      <c r="FO165">
        <v>-2.7142391389806329E-5</v>
      </c>
      <c r="FP165">
        <v>3</v>
      </c>
      <c r="FQ165">
        <v>2158</v>
      </c>
      <c r="FR165">
        <v>1</v>
      </c>
      <c r="FS165">
        <v>19</v>
      </c>
      <c r="FT165">
        <v>33.799999999999997</v>
      </c>
      <c r="FU165">
        <v>33.799999999999997</v>
      </c>
      <c r="FV165">
        <v>1.7663599999999999</v>
      </c>
      <c r="FW165">
        <v>2.5988799999999999</v>
      </c>
      <c r="FX165">
        <v>1.5490699999999999</v>
      </c>
      <c r="FY165">
        <v>2.32666</v>
      </c>
      <c r="FZ165">
        <v>1.50146</v>
      </c>
      <c r="GA165">
        <v>2.31934</v>
      </c>
      <c r="GB165">
        <v>34.054499999999997</v>
      </c>
      <c r="GC165">
        <v>23.973700000000001</v>
      </c>
      <c r="GD165">
        <v>19</v>
      </c>
      <c r="GE165">
        <v>266.52</v>
      </c>
      <c r="GF165">
        <v>578.65200000000004</v>
      </c>
      <c r="GG165">
        <v>21.491499999999998</v>
      </c>
      <c r="GH165">
        <v>26.140499999999999</v>
      </c>
      <c r="GI165">
        <v>30.0002</v>
      </c>
      <c r="GJ165">
        <v>26.328499999999998</v>
      </c>
      <c r="GK165">
        <v>26.328900000000001</v>
      </c>
      <c r="GL165">
        <v>35.301499999999997</v>
      </c>
      <c r="GM165">
        <v>80.8292</v>
      </c>
      <c r="GN165">
        <v>35.056399999999996</v>
      </c>
      <c r="GO165">
        <v>21.456299999999999</v>
      </c>
      <c r="GP165">
        <v>800</v>
      </c>
      <c r="GQ165">
        <v>1.83962</v>
      </c>
      <c r="GR165">
        <v>99.787700000000001</v>
      </c>
      <c r="GS165">
        <v>99.673100000000005</v>
      </c>
    </row>
    <row r="166" spans="1:201" x14ac:dyDescent="0.25">
      <c r="A166">
        <v>150</v>
      </c>
      <c r="B166">
        <v>1690308290</v>
      </c>
      <c r="C166">
        <v>1671.400000095367</v>
      </c>
      <c r="D166" t="s">
        <v>633</v>
      </c>
      <c r="E166" t="s">
        <v>634</v>
      </c>
      <c r="F166" t="s">
        <v>330</v>
      </c>
      <c r="H166">
        <v>1690308290</v>
      </c>
      <c r="I166">
        <f t="shared" si="60"/>
        <v>1.8475474634976762E-3</v>
      </c>
      <c r="J166">
        <f t="shared" si="61"/>
        <v>1.8475474634976761</v>
      </c>
      <c r="K166">
        <f t="shared" si="62"/>
        <v>28.230360526170042</v>
      </c>
      <c r="L166">
        <f t="shared" si="63"/>
        <v>496.947</v>
      </c>
      <c r="M166">
        <f t="shared" si="64"/>
        <v>164.64245166390543</v>
      </c>
      <c r="N166">
        <f t="shared" si="65"/>
        <v>16.349996048261552</v>
      </c>
      <c r="O166">
        <f t="shared" si="66"/>
        <v>49.349857245697798</v>
      </c>
      <c r="P166">
        <f t="shared" si="67"/>
        <v>0.14317097096227355</v>
      </c>
      <c r="Q166">
        <f t="shared" si="68"/>
        <v>2.1925573180932294</v>
      </c>
      <c r="R166">
        <f t="shared" si="69"/>
        <v>0.13817261800968533</v>
      </c>
      <c r="S166">
        <f t="shared" si="70"/>
        <v>8.6792430700192574E-2</v>
      </c>
      <c r="T166">
        <f t="shared" si="71"/>
        <v>276.11431610400001</v>
      </c>
      <c r="U166">
        <f t="shared" si="72"/>
        <v>25.845402675576821</v>
      </c>
      <c r="V166">
        <f t="shared" si="73"/>
        <v>25.845402675576821</v>
      </c>
      <c r="W166">
        <f t="shared" si="74"/>
        <v>3.3435136502841587</v>
      </c>
      <c r="X166">
        <f t="shared" si="75"/>
        <v>67.111401084076292</v>
      </c>
      <c r="Y166">
        <f t="shared" si="76"/>
        <v>2.05173307333818</v>
      </c>
      <c r="Z166">
        <f t="shared" si="77"/>
        <v>3.057204946098198</v>
      </c>
      <c r="AA166">
        <f t="shared" si="78"/>
        <v>1.2917805769459787</v>
      </c>
      <c r="AB166">
        <f t="shared" si="79"/>
        <v>-81.476843140247524</v>
      </c>
      <c r="AC166">
        <f t="shared" si="80"/>
        <v>-177.61537485686898</v>
      </c>
      <c r="AD166">
        <f t="shared" si="81"/>
        <v>-17.151563466491886</v>
      </c>
      <c r="AE166">
        <f t="shared" si="82"/>
        <v>-0.12946535960838901</v>
      </c>
      <c r="AF166">
        <v>12</v>
      </c>
      <c r="AG166">
        <v>4</v>
      </c>
      <c r="AH166">
        <f t="shared" si="83"/>
        <v>1</v>
      </c>
      <c r="AI166">
        <f t="shared" si="84"/>
        <v>0</v>
      </c>
      <c r="AJ166">
        <f t="shared" si="85"/>
        <v>52792.860462056866</v>
      </c>
      <c r="AK166">
        <f t="shared" si="86"/>
        <v>1800</v>
      </c>
      <c r="AL166">
        <f t="shared" si="87"/>
        <v>1499.1137964</v>
      </c>
      <c r="AM166">
        <f t="shared" si="88"/>
        <v>0.832840998</v>
      </c>
      <c r="AN166">
        <f t="shared" si="89"/>
        <v>0.15339684228</v>
      </c>
      <c r="AO166">
        <v>31.2</v>
      </c>
      <c r="AP166">
        <v>0.5</v>
      </c>
      <c r="AQ166" t="s">
        <v>331</v>
      </c>
      <c r="AR166">
        <v>2</v>
      </c>
      <c r="AS166">
        <v>1690308290</v>
      </c>
      <c r="AT166">
        <v>496.947</v>
      </c>
      <c r="AU166">
        <v>799.95699999999999</v>
      </c>
      <c r="AV166">
        <v>20.660699999999999</v>
      </c>
      <c r="AW166">
        <v>1.8515299999999999</v>
      </c>
      <c r="AX166">
        <v>496.78399999999999</v>
      </c>
      <c r="AY166">
        <v>20.448399999999999</v>
      </c>
      <c r="AZ166">
        <v>300.13299999999998</v>
      </c>
      <c r="BA166">
        <v>99.206100000000006</v>
      </c>
      <c r="BB166">
        <v>9.9977399999999994E-2</v>
      </c>
      <c r="BC166">
        <v>24.3428</v>
      </c>
      <c r="BD166">
        <v>26.983000000000001</v>
      </c>
      <c r="BE166">
        <v>26.1008</v>
      </c>
      <c r="BF166">
        <v>0</v>
      </c>
      <c r="BG166">
        <v>0</v>
      </c>
      <c r="BH166">
        <v>9973.75</v>
      </c>
      <c r="BI166">
        <v>1041.3800000000001</v>
      </c>
      <c r="BJ166">
        <v>1.62592</v>
      </c>
      <c r="BK166">
        <v>-303.01</v>
      </c>
      <c r="BL166">
        <v>507.43099999999998</v>
      </c>
      <c r="BM166">
        <v>801.44100000000003</v>
      </c>
      <c r="BN166">
        <v>18.809100000000001</v>
      </c>
      <c r="BO166">
        <v>799.95699999999999</v>
      </c>
      <c r="BP166">
        <v>1.8515299999999999</v>
      </c>
      <c r="BQ166">
        <v>2.0496599999999998</v>
      </c>
      <c r="BR166">
        <v>0.18368300000000001</v>
      </c>
      <c r="BS166">
        <v>17.833300000000001</v>
      </c>
      <c r="BT166">
        <v>-15.5366</v>
      </c>
      <c r="BU166">
        <v>1800</v>
      </c>
      <c r="BV166">
        <v>0.91001799999999999</v>
      </c>
      <c r="BW166">
        <v>3.3998100000000003E-2</v>
      </c>
      <c r="BX166">
        <v>2.19934E-2</v>
      </c>
      <c r="BY166">
        <v>3.3990600000000003E-2</v>
      </c>
      <c r="BZ166">
        <v>26</v>
      </c>
      <c r="CA166">
        <v>33528.6</v>
      </c>
      <c r="CB166">
        <v>1690306253.5999999</v>
      </c>
      <c r="CC166" t="s">
        <v>332</v>
      </c>
      <c r="CD166">
        <v>1690306253.5999999</v>
      </c>
      <c r="CE166">
        <v>1690306251.5999999</v>
      </c>
      <c r="CF166">
        <v>9</v>
      </c>
      <c r="CG166">
        <v>0.19</v>
      </c>
      <c r="CH166">
        <v>-8.7999999999999995E-2</v>
      </c>
      <c r="CI166">
        <v>-5.0999999999999997E-2</v>
      </c>
      <c r="CJ166">
        <v>5.0999999999999997E-2</v>
      </c>
      <c r="CK166">
        <v>799</v>
      </c>
      <c r="CL166">
        <v>15</v>
      </c>
      <c r="CM166">
        <v>0.28000000000000003</v>
      </c>
      <c r="CN166">
        <v>0.03</v>
      </c>
      <c r="CO166">
        <v>-301.84907317073169</v>
      </c>
      <c r="CP166">
        <v>-6.4272125435539298</v>
      </c>
      <c r="CQ166">
        <v>0.63908194024973297</v>
      </c>
      <c r="CR166">
        <v>-1</v>
      </c>
      <c r="CS166">
        <v>18.698839024390239</v>
      </c>
      <c r="CT166">
        <v>0.58190592334494184</v>
      </c>
      <c r="CU166">
        <v>5.7563398254102033E-2</v>
      </c>
      <c r="CV166">
        <v>-1</v>
      </c>
      <c r="CW166">
        <v>0</v>
      </c>
      <c r="CX166">
        <v>0</v>
      </c>
      <c r="CY166" t="s">
        <v>333</v>
      </c>
      <c r="CZ166">
        <v>2.3645200000000002</v>
      </c>
      <c r="DA166">
        <v>2.71374</v>
      </c>
      <c r="DB166">
        <v>0.105312</v>
      </c>
      <c r="DC166">
        <v>0.14618700000000001</v>
      </c>
      <c r="DD166">
        <v>0.10241599999999999</v>
      </c>
      <c r="DE166">
        <v>1.4247599999999999E-2</v>
      </c>
      <c r="DF166">
        <v>32683.5</v>
      </c>
      <c r="DG166">
        <v>27542</v>
      </c>
      <c r="DH166">
        <v>31186</v>
      </c>
      <c r="DI166">
        <v>28108.3</v>
      </c>
      <c r="DJ166">
        <v>38007.800000000003</v>
      </c>
      <c r="DK166">
        <v>39413</v>
      </c>
      <c r="DL166">
        <v>44385.4</v>
      </c>
      <c r="DM166">
        <v>42610.1</v>
      </c>
      <c r="DN166">
        <v>1.4372499999999999</v>
      </c>
      <c r="DO166">
        <v>2.0308999999999999</v>
      </c>
      <c r="DP166">
        <v>0.180699</v>
      </c>
      <c r="DQ166">
        <v>0.15202199999999999</v>
      </c>
      <c r="DR166">
        <v>24.020600000000002</v>
      </c>
      <c r="DS166">
        <v>23.605899999999998</v>
      </c>
      <c r="DT166">
        <v>33.4</v>
      </c>
      <c r="DU166">
        <v>29.5</v>
      </c>
      <c r="DV166">
        <v>13.936999999999999</v>
      </c>
      <c r="DW166">
        <v>61.873100000000001</v>
      </c>
      <c r="DX166">
        <v>37.055300000000003</v>
      </c>
      <c r="DY166">
        <v>1</v>
      </c>
      <c r="DZ166">
        <v>-9.5586900000000002E-2</v>
      </c>
      <c r="EA166">
        <v>1.15055</v>
      </c>
      <c r="EB166">
        <v>20.185199999999998</v>
      </c>
      <c r="EC166">
        <v>5.24125</v>
      </c>
      <c r="ED166">
        <v>12.039899999999999</v>
      </c>
      <c r="EE166">
        <v>5.0172999999999996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1.86894</v>
      </c>
      <c r="EL166">
        <v>1.86463</v>
      </c>
      <c r="EM166">
        <v>1.8692</v>
      </c>
      <c r="EN166">
        <v>1.8672599999999999</v>
      </c>
      <c r="EO166">
        <v>1.8633900000000001</v>
      </c>
      <c r="EP166">
        <v>1.8644700000000001</v>
      </c>
      <c r="EQ166">
        <v>1.8702099999999999</v>
      </c>
      <c r="ER166">
        <v>1.86941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0.16300000000000001</v>
      </c>
      <c r="FG166">
        <v>0.21229999999999999</v>
      </c>
      <c r="FH166">
        <v>0.49996858830924029</v>
      </c>
      <c r="FI166">
        <v>-6.1462078757559423E-4</v>
      </c>
      <c r="FJ166">
        <v>-1.8861989874597051E-7</v>
      </c>
      <c r="FK166">
        <v>1.1980462299894961E-10</v>
      </c>
      <c r="FL166">
        <v>-3.8593581000597899E-2</v>
      </c>
      <c r="FM166">
        <v>-1.6848085045870601E-2</v>
      </c>
      <c r="FN166">
        <v>1.9789084769509481E-3</v>
      </c>
      <c r="FO166">
        <v>-2.7142391389806329E-5</v>
      </c>
      <c r="FP166">
        <v>3</v>
      </c>
      <c r="FQ166">
        <v>2158</v>
      </c>
      <c r="FR166">
        <v>1</v>
      </c>
      <c r="FS166">
        <v>19</v>
      </c>
      <c r="FT166">
        <v>33.9</v>
      </c>
      <c r="FU166">
        <v>34</v>
      </c>
      <c r="FV166">
        <v>1.7651399999999999</v>
      </c>
      <c r="FW166">
        <v>2.5915499999999998</v>
      </c>
      <c r="FX166">
        <v>1.5490699999999999</v>
      </c>
      <c r="FY166">
        <v>2.3278799999999999</v>
      </c>
      <c r="FZ166">
        <v>1.50146</v>
      </c>
      <c r="GA166">
        <v>2.3999000000000001</v>
      </c>
      <c r="GB166">
        <v>34.054499999999997</v>
      </c>
      <c r="GC166">
        <v>23.991199999999999</v>
      </c>
      <c r="GD166">
        <v>19</v>
      </c>
      <c r="GE166">
        <v>266.51900000000001</v>
      </c>
      <c r="GF166">
        <v>578.51499999999999</v>
      </c>
      <c r="GG166">
        <v>21.4678</v>
      </c>
      <c r="GH166">
        <v>26.136700000000001</v>
      </c>
      <c r="GI166">
        <v>30</v>
      </c>
      <c r="GJ166">
        <v>26.325800000000001</v>
      </c>
      <c r="GK166">
        <v>26.325900000000001</v>
      </c>
      <c r="GL166">
        <v>35.301600000000001</v>
      </c>
      <c r="GM166">
        <v>81.750799999999998</v>
      </c>
      <c r="GN166">
        <v>34.265700000000002</v>
      </c>
      <c r="GO166">
        <v>21.494199999999999</v>
      </c>
      <c r="GP166">
        <v>800</v>
      </c>
      <c r="GQ166">
        <v>1.72441</v>
      </c>
      <c r="GR166">
        <v>99.788200000000003</v>
      </c>
      <c r="GS166">
        <v>99.672600000000003</v>
      </c>
    </row>
    <row r="167" spans="1:201" x14ac:dyDescent="0.25">
      <c r="A167">
        <v>151</v>
      </c>
      <c r="B167">
        <v>1690308300</v>
      </c>
      <c r="C167">
        <v>1681.400000095367</v>
      </c>
      <c r="D167" t="s">
        <v>635</v>
      </c>
      <c r="E167" t="s">
        <v>636</v>
      </c>
      <c r="F167" t="s">
        <v>330</v>
      </c>
      <c r="H167">
        <v>1690308300</v>
      </c>
      <c r="I167">
        <f t="shared" si="60"/>
        <v>1.8580879557633444E-3</v>
      </c>
      <c r="J167">
        <f t="shared" si="61"/>
        <v>1.8580879557633443</v>
      </c>
      <c r="K167">
        <f t="shared" si="62"/>
        <v>28.317235944505576</v>
      </c>
      <c r="L167">
        <f t="shared" si="63"/>
        <v>495.91399999999999</v>
      </c>
      <c r="M167">
        <f t="shared" si="64"/>
        <v>164.48493317370719</v>
      </c>
      <c r="N167">
        <f t="shared" si="65"/>
        <v>16.33418653622633</v>
      </c>
      <c r="O167">
        <f t="shared" si="66"/>
        <v>49.246770665442199</v>
      </c>
      <c r="P167">
        <f t="shared" si="67"/>
        <v>0.14401131486984603</v>
      </c>
      <c r="Q167">
        <f t="shared" si="68"/>
        <v>2.1963157899495886</v>
      </c>
      <c r="R167">
        <f t="shared" si="69"/>
        <v>0.13896355467626909</v>
      </c>
      <c r="S167">
        <f t="shared" si="70"/>
        <v>8.7291002788035976E-2</v>
      </c>
      <c r="T167">
        <f t="shared" si="71"/>
        <v>276.11429625</v>
      </c>
      <c r="U167">
        <f t="shared" si="72"/>
        <v>25.838773695277851</v>
      </c>
      <c r="V167">
        <f t="shared" si="73"/>
        <v>25.838773695277851</v>
      </c>
      <c r="W167">
        <f t="shared" si="74"/>
        <v>3.3422008332397994</v>
      </c>
      <c r="X167">
        <f t="shared" si="75"/>
        <v>67.071950697062874</v>
      </c>
      <c r="Y167">
        <f t="shared" si="76"/>
        <v>2.0504409958641698</v>
      </c>
      <c r="Z167">
        <f t="shared" si="77"/>
        <v>3.0570767281321372</v>
      </c>
      <c r="AA167">
        <f t="shared" si="78"/>
        <v>1.2917598373756296</v>
      </c>
      <c r="AB167">
        <f t="shared" si="79"/>
        <v>-81.94167884916348</v>
      </c>
      <c r="AC167">
        <f t="shared" si="80"/>
        <v>-177.21780495430912</v>
      </c>
      <c r="AD167">
        <f t="shared" si="81"/>
        <v>-17.083255821404496</v>
      </c>
      <c r="AE167">
        <f t="shared" si="82"/>
        <v>-0.1284433748771221</v>
      </c>
      <c r="AF167">
        <v>12</v>
      </c>
      <c r="AG167">
        <v>4</v>
      </c>
      <c r="AH167">
        <f t="shared" si="83"/>
        <v>1</v>
      </c>
      <c r="AI167">
        <f t="shared" si="84"/>
        <v>0</v>
      </c>
      <c r="AJ167">
        <f t="shared" si="85"/>
        <v>52948.08940277779</v>
      </c>
      <c r="AK167">
        <f t="shared" si="86"/>
        <v>1800</v>
      </c>
      <c r="AL167">
        <f t="shared" si="87"/>
        <v>1499.1143670000001</v>
      </c>
      <c r="AM167">
        <f t="shared" si="88"/>
        <v>0.83284131500000003</v>
      </c>
      <c r="AN167">
        <f t="shared" si="89"/>
        <v>0.15339683125</v>
      </c>
      <c r="AO167">
        <v>31.2</v>
      </c>
      <c r="AP167">
        <v>0.5</v>
      </c>
      <c r="AQ167" t="s">
        <v>331</v>
      </c>
      <c r="AR167">
        <v>2</v>
      </c>
      <c r="AS167">
        <v>1690308300</v>
      </c>
      <c r="AT167">
        <v>495.91399999999999</v>
      </c>
      <c r="AU167">
        <v>799.89300000000003</v>
      </c>
      <c r="AV167">
        <v>20.6479</v>
      </c>
      <c r="AW167">
        <v>1.72922</v>
      </c>
      <c r="AX167">
        <v>495.75</v>
      </c>
      <c r="AY167">
        <v>20.436</v>
      </c>
      <c r="AZ167">
        <v>300.10199999999998</v>
      </c>
      <c r="BA167">
        <v>99.205100000000002</v>
      </c>
      <c r="BB167">
        <v>9.9962300000000004E-2</v>
      </c>
      <c r="BC167">
        <v>24.342099999999999</v>
      </c>
      <c r="BD167">
        <v>26.946200000000001</v>
      </c>
      <c r="BE167">
        <v>26.105699999999999</v>
      </c>
      <c r="BF167">
        <v>0</v>
      </c>
      <c r="BG167">
        <v>0</v>
      </c>
      <c r="BH167">
        <v>10004.4</v>
      </c>
      <c r="BI167">
        <v>1041.28</v>
      </c>
      <c r="BJ167">
        <v>1.62592</v>
      </c>
      <c r="BK167">
        <v>-303.97899999999998</v>
      </c>
      <c r="BL167">
        <v>506.36900000000003</v>
      </c>
      <c r="BM167">
        <v>801.27800000000002</v>
      </c>
      <c r="BN167">
        <v>18.918700000000001</v>
      </c>
      <c r="BO167">
        <v>799.89300000000003</v>
      </c>
      <c r="BP167">
        <v>1.72922</v>
      </c>
      <c r="BQ167">
        <v>2.0483799999999999</v>
      </c>
      <c r="BR167">
        <v>0.17154800000000001</v>
      </c>
      <c r="BS167">
        <v>17.8233</v>
      </c>
      <c r="BT167">
        <v>-16.357199999999999</v>
      </c>
      <c r="BU167">
        <v>1800</v>
      </c>
      <c r="BV167">
        <v>0.91002000000000005</v>
      </c>
      <c r="BW167">
        <v>3.3997399999999997E-2</v>
      </c>
      <c r="BX167">
        <v>2.1992999999999999E-2</v>
      </c>
      <c r="BY167">
        <v>3.3989900000000003E-2</v>
      </c>
      <c r="BZ167">
        <v>26</v>
      </c>
      <c r="CA167">
        <v>33528.5</v>
      </c>
      <c r="CB167">
        <v>1690306253.5999999</v>
      </c>
      <c r="CC167" t="s">
        <v>332</v>
      </c>
      <c r="CD167">
        <v>1690306253.5999999</v>
      </c>
      <c r="CE167">
        <v>1690306251.5999999</v>
      </c>
      <c r="CF167">
        <v>9</v>
      </c>
      <c r="CG167">
        <v>0.19</v>
      </c>
      <c r="CH167">
        <v>-8.7999999999999995E-2</v>
      </c>
      <c r="CI167">
        <v>-5.0999999999999997E-2</v>
      </c>
      <c r="CJ167">
        <v>5.0999999999999997E-2</v>
      </c>
      <c r="CK167">
        <v>799</v>
      </c>
      <c r="CL167">
        <v>15</v>
      </c>
      <c r="CM167">
        <v>0.28000000000000003</v>
      </c>
      <c r="CN167">
        <v>0.03</v>
      </c>
      <c r="CO167">
        <v>-302.97725000000003</v>
      </c>
      <c r="CP167">
        <v>-6.6028142589118488</v>
      </c>
      <c r="CQ167">
        <v>0.63776812988734177</v>
      </c>
      <c r="CR167">
        <v>-1</v>
      </c>
      <c r="CS167">
        <v>18.804535000000001</v>
      </c>
      <c r="CT167">
        <v>0.60491482176355627</v>
      </c>
      <c r="CU167">
        <v>5.8347774379148273E-2</v>
      </c>
      <c r="CV167">
        <v>-1</v>
      </c>
      <c r="CW167">
        <v>0</v>
      </c>
      <c r="CX167">
        <v>0</v>
      </c>
      <c r="CY167" t="s">
        <v>333</v>
      </c>
      <c r="CZ167">
        <v>2.36442</v>
      </c>
      <c r="DA167">
        <v>2.7137600000000002</v>
      </c>
      <c r="DB167">
        <v>0.10515099999999999</v>
      </c>
      <c r="DC167">
        <v>0.146177</v>
      </c>
      <c r="DD167">
        <v>0.102372</v>
      </c>
      <c r="DE167">
        <v>1.3384200000000001E-2</v>
      </c>
      <c r="DF167">
        <v>32689.7</v>
      </c>
      <c r="DG167">
        <v>27542.799999999999</v>
      </c>
      <c r="DH167">
        <v>31186.400000000001</v>
      </c>
      <c r="DI167">
        <v>28108.7</v>
      </c>
      <c r="DJ167">
        <v>38009.9</v>
      </c>
      <c r="DK167">
        <v>39448.199999999997</v>
      </c>
      <c r="DL167">
        <v>44385.599999999999</v>
      </c>
      <c r="DM167">
        <v>42610.7</v>
      </c>
      <c r="DN167">
        <v>1.4371799999999999</v>
      </c>
      <c r="DO167">
        <v>2.0306000000000002</v>
      </c>
      <c r="DP167">
        <v>0.17838200000000001</v>
      </c>
      <c r="DQ167">
        <v>0.15232000000000001</v>
      </c>
      <c r="DR167">
        <v>24.021599999999999</v>
      </c>
      <c r="DS167">
        <v>23.605899999999998</v>
      </c>
      <c r="DT167">
        <v>33</v>
      </c>
      <c r="DU167">
        <v>29.5</v>
      </c>
      <c r="DV167">
        <v>13.7706</v>
      </c>
      <c r="DW167">
        <v>61.803100000000001</v>
      </c>
      <c r="DX167">
        <v>37.251600000000003</v>
      </c>
      <c r="DY167">
        <v>1</v>
      </c>
      <c r="DZ167">
        <v>-9.5874000000000001E-2</v>
      </c>
      <c r="EA167">
        <v>1.0346299999999999</v>
      </c>
      <c r="EB167">
        <v>20.186</v>
      </c>
      <c r="EC167">
        <v>5.2411000000000003</v>
      </c>
      <c r="ED167">
        <v>12.039899999999999</v>
      </c>
      <c r="EE167">
        <v>5.0171999999999999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1.8689100000000001</v>
      </c>
      <c r="EL167">
        <v>1.8646199999999999</v>
      </c>
      <c r="EM167">
        <v>1.8692</v>
      </c>
      <c r="EN167">
        <v>1.86724</v>
      </c>
      <c r="EO167">
        <v>1.86338</v>
      </c>
      <c r="EP167">
        <v>1.8644700000000001</v>
      </c>
      <c r="EQ167">
        <v>1.87019</v>
      </c>
      <c r="ER167">
        <v>1.8693900000000001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0.16400000000000001</v>
      </c>
      <c r="FG167">
        <v>0.21190000000000001</v>
      </c>
      <c r="FH167">
        <v>0.49996858830924029</v>
      </c>
      <c r="FI167">
        <v>-6.1462078757559423E-4</v>
      </c>
      <c r="FJ167">
        <v>-1.8861989874597051E-7</v>
      </c>
      <c r="FK167">
        <v>1.1980462299894961E-10</v>
      </c>
      <c r="FL167">
        <v>-3.8593581000597899E-2</v>
      </c>
      <c r="FM167">
        <v>-1.6848085045870601E-2</v>
      </c>
      <c r="FN167">
        <v>1.9789084769509481E-3</v>
      </c>
      <c r="FO167">
        <v>-2.7142391389806329E-5</v>
      </c>
      <c r="FP167">
        <v>3</v>
      </c>
      <c r="FQ167">
        <v>2158</v>
      </c>
      <c r="FR167">
        <v>1</v>
      </c>
      <c r="FS167">
        <v>19</v>
      </c>
      <c r="FT167">
        <v>34.1</v>
      </c>
      <c r="FU167">
        <v>34.1</v>
      </c>
      <c r="FV167">
        <v>1.7651399999999999</v>
      </c>
      <c r="FW167">
        <v>2.5915499999999998</v>
      </c>
      <c r="FX167">
        <v>1.5490699999999999</v>
      </c>
      <c r="FY167">
        <v>2.3278799999999999</v>
      </c>
      <c r="FZ167">
        <v>1.50146</v>
      </c>
      <c r="GA167">
        <v>2.34985</v>
      </c>
      <c r="GB167">
        <v>34.054499999999997</v>
      </c>
      <c r="GC167">
        <v>23.991199999999999</v>
      </c>
      <c r="GD167">
        <v>19</v>
      </c>
      <c r="GE167">
        <v>266.47199999999998</v>
      </c>
      <c r="GF167">
        <v>578.22299999999996</v>
      </c>
      <c r="GG167">
        <v>21.508600000000001</v>
      </c>
      <c r="GH167">
        <v>26.134</v>
      </c>
      <c r="GI167">
        <v>29.9998</v>
      </c>
      <c r="GJ167">
        <v>26.321899999999999</v>
      </c>
      <c r="GK167">
        <v>26.3218</v>
      </c>
      <c r="GL167">
        <v>35.301000000000002</v>
      </c>
      <c r="GM167">
        <v>82.609499999999997</v>
      </c>
      <c r="GN167">
        <v>33.478099999999998</v>
      </c>
      <c r="GO167">
        <v>21.5459</v>
      </c>
      <c r="GP167">
        <v>800</v>
      </c>
      <c r="GQ167">
        <v>1.6052200000000001</v>
      </c>
      <c r="GR167">
        <v>99.789000000000001</v>
      </c>
      <c r="GS167">
        <v>99.674099999999996</v>
      </c>
    </row>
    <row r="168" spans="1:201" x14ac:dyDescent="0.25">
      <c r="A168">
        <v>152</v>
      </c>
      <c r="B168">
        <v>1690308310</v>
      </c>
      <c r="C168">
        <v>1691.400000095367</v>
      </c>
      <c r="D168" t="s">
        <v>637</v>
      </c>
      <c r="E168" t="s">
        <v>638</v>
      </c>
      <c r="F168" t="s">
        <v>330</v>
      </c>
      <c r="H168">
        <v>1690308310</v>
      </c>
      <c r="I168">
        <f t="shared" si="60"/>
        <v>1.8694171103166332E-3</v>
      </c>
      <c r="J168">
        <f t="shared" si="61"/>
        <v>1.8694171103166333</v>
      </c>
      <c r="K168">
        <f t="shared" si="62"/>
        <v>28.441230995501574</v>
      </c>
      <c r="L168">
        <f t="shared" si="63"/>
        <v>494.85700000000003</v>
      </c>
      <c r="M168">
        <f t="shared" si="64"/>
        <v>163.76232363354629</v>
      </c>
      <c r="N168">
        <f t="shared" si="65"/>
        <v>16.26245423118981</v>
      </c>
      <c r="O168">
        <f t="shared" si="66"/>
        <v>49.141885232968008</v>
      </c>
      <c r="P168">
        <f t="shared" si="67"/>
        <v>0.14481258775768022</v>
      </c>
      <c r="Q168">
        <f t="shared" si="68"/>
        <v>2.1946229283931959</v>
      </c>
      <c r="R168">
        <f t="shared" si="69"/>
        <v>0.13970578409323814</v>
      </c>
      <c r="S168">
        <f t="shared" si="70"/>
        <v>8.7759937522325096E-2</v>
      </c>
      <c r="T168">
        <f t="shared" si="71"/>
        <v>276.11421694200004</v>
      </c>
      <c r="U168">
        <f t="shared" si="72"/>
        <v>25.844861243025701</v>
      </c>
      <c r="V168">
        <f t="shared" si="73"/>
        <v>25.844861243025701</v>
      </c>
      <c r="W168">
        <f t="shared" si="74"/>
        <v>3.343406406966094</v>
      </c>
      <c r="X168">
        <f t="shared" si="75"/>
        <v>67.044096760916901</v>
      </c>
      <c r="Y168">
        <f t="shared" si="76"/>
        <v>2.0506826671672003</v>
      </c>
      <c r="Z168">
        <f t="shared" si="77"/>
        <v>3.0587072781069038</v>
      </c>
      <c r="AA168">
        <f t="shared" si="78"/>
        <v>1.2927237397988938</v>
      </c>
      <c r="AB168">
        <f t="shared" si="79"/>
        <v>-82.441294564963528</v>
      </c>
      <c r="AC168">
        <f t="shared" si="80"/>
        <v>-176.7484506642881</v>
      </c>
      <c r="AD168">
        <f t="shared" si="81"/>
        <v>-17.052439657501953</v>
      </c>
      <c r="AE168">
        <f t="shared" si="82"/>
        <v>-0.12796794475355</v>
      </c>
      <c r="AF168">
        <v>12</v>
      </c>
      <c r="AG168">
        <v>4</v>
      </c>
      <c r="AH168">
        <f t="shared" si="83"/>
        <v>1</v>
      </c>
      <c r="AI168">
        <f t="shared" si="84"/>
        <v>0</v>
      </c>
      <c r="AJ168">
        <f t="shared" si="85"/>
        <v>52876.60415007572</v>
      </c>
      <c r="AK168">
        <f t="shared" si="86"/>
        <v>1800</v>
      </c>
      <c r="AL168">
        <f t="shared" si="87"/>
        <v>1499.1143651999998</v>
      </c>
      <c r="AM168">
        <f t="shared" si="88"/>
        <v>0.83284131399999994</v>
      </c>
      <c r="AN168">
        <f t="shared" si="89"/>
        <v>0.15339678719000002</v>
      </c>
      <c r="AO168">
        <v>31.2</v>
      </c>
      <c r="AP168">
        <v>0.5</v>
      </c>
      <c r="AQ168" t="s">
        <v>331</v>
      </c>
      <c r="AR168">
        <v>2</v>
      </c>
      <c r="AS168">
        <v>1690308310</v>
      </c>
      <c r="AT168">
        <v>494.85700000000003</v>
      </c>
      <c r="AU168">
        <v>800.10500000000002</v>
      </c>
      <c r="AV168">
        <v>20.650300000000001</v>
      </c>
      <c r="AW168">
        <v>1.6199300000000001</v>
      </c>
      <c r="AX168">
        <v>494.69200000000001</v>
      </c>
      <c r="AY168">
        <v>20.438300000000002</v>
      </c>
      <c r="AZ168">
        <v>300.15899999999999</v>
      </c>
      <c r="BA168">
        <v>99.205200000000005</v>
      </c>
      <c r="BB168">
        <v>0.100024</v>
      </c>
      <c r="BC168">
        <v>24.350999999999999</v>
      </c>
      <c r="BD168">
        <v>27.0002</v>
      </c>
      <c r="BE168">
        <v>26.093</v>
      </c>
      <c r="BF168">
        <v>0</v>
      </c>
      <c r="BG168">
        <v>0</v>
      </c>
      <c r="BH168">
        <v>9990.6200000000008</v>
      </c>
      <c r="BI168">
        <v>1041.27</v>
      </c>
      <c r="BJ168">
        <v>1.62592</v>
      </c>
      <c r="BK168">
        <v>-305.24799999999999</v>
      </c>
      <c r="BL168">
        <v>505.291</v>
      </c>
      <c r="BM168">
        <v>801.40300000000002</v>
      </c>
      <c r="BN168">
        <v>19.0303</v>
      </c>
      <c r="BO168">
        <v>800.10500000000002</v>
      </c>
      <c r="BP168">
        <v>1.6199300000000001</v>
      </c>
      <c r="BQ168">
        <v>2.04861</v>
      </c>
      <c r="BR168">
        <v>0.16070599999999999</v>
      </c>
      <c r="BS168">
        <v>17.825099999999999</v>
      </c>
      <c r="BT168">
        <v>-17.1355</v>
      </c>
      <c r="BU168">
        <v>1800</v>
      </c>
      <c r="BV168">
        <v>0.91002099999999997</v>
      </c>
      <c r="BW168">
        <v>3.3996999999999999E-2</v>
      </c>
      <c r="BX168">
        <v>2.19927E-2</v>
      </c>
      <c r="BY168">
        <v>3.3989499999999999E-2</v>
      </c>
      <c r="BZ168">
        <v>26</v>
      </c>
      <c r="CA168">
        <v>33528.5</v>
      </c>
      <c r="CB168">
        <v>1690306253.5999999</v>
      </c>
      <c r="CC168" t="s">
        <v>332</v>
      </c>
      <c r="CD168">
        <v>1690306253.5999999</v>
      </c>
      <c r="CE168">
        <v>1690306251.5999999</v>
      </c>
      <c r="CF168">
        <v>9</v>
      </c>
      <c r="CG168">
        <v>0.19</v>
      </c>
      <c r="CH168">
        <v>-8.7999999999999995E-2</v>
      </c>
      <c r="CI168">
        <v>-5.0999999999999997E-2</v>
      </c>
      <c r="CJ168">
        <v>5.0999999999999997E-2</v>
      </c>
      <c r="CK168">
        <v>799</v>
      </c>
      <c r="CL168">
        <v>15</v>
      </c>
      <c r="CM168">
        <v>0.28000000000000003</v>
      </c>
      <c r="CN168">
        <v>0.03</v>
      </c>
      <c r="CO168">
        <v>-303.96487804878052</v>
      </c>
      <c r="CP168">
        <v>-6.4842020905926274</v>
      </c>
      <c r="CQ168">
        <v>0.64430591110056001</v>
      </c>
      <c r="CR168">
        <v>-1</v>
      </c>
      <c r="CS168">
        <v>18.901936585365849</v>
      </c>
      <c r="CT168">
        <v>0.66196306620209944</v>
      </c>
      <c r="CU168">
        <v>6.5299739498593704E-2</v>
      </c>
      <c r="CV168">
        <v>-1</v>
      </c>
      <c r="CW168">
        <v>0</v>
      </c>
      <c r="CX168">
        <v>0</v>
      </c>
      <c r="CY168" t="s">
        <v>333</v>
      </c>
      <c r="CZ168">
        <v>2.36463</v>
      </c>
      <c r="DA168">
        <v>2.7138100000000001</v>
      </c>
      <c r="DB168">
        <v>0.104987</v>
      </c>
      <c r="DC168">
        <v>0.146202</v>
      </c>
      <c r="DD168">
        <v>0.102381</v>
      </c>
      <c r="DE168">
        <v>1.26049E-2</v>
      </c>
      <c r="DF168">
        <v>32696.3</v>
      </c>
      <c r="DG168">
        <v>27542.1</v>
      </c>
      <c r="DH168">
        <v>31187</v>
      </c>
      <c r="DI168">
        <v>28108.799999999999</v>
      </c>
      <c r="DJ168">
        <v>38010.300000000003</v>
      </c>
      <c r="DK168">
        <v>39479.699999999997</v>
      </c>
      <c r="DL168">
        <v>44386.5</v>
      </c>
      <c r="DM168">
        <v>42610.9</v>
      </c>
      <c r="DN168">
        <v>1.4375500000000001</v>
      </c>
      <c r="DO168">
        <v>2.0306700000000002</v>
      </c>
      <c r="DP168">
        <v>0.18174899999999999</v>
      </c>
      <c r="DQ168">
        <v>0.15154500000000001</v>
      </c>
      <c r="DR168">
        <v>24.020600000000002</v>
      </c>
      <c r="DS168">
        <v>23.605899999999998</v>
      </c>
      <c r="DT168">
        <v>32.6</v>
      </c>
      <c r="DU168">
        <v>29.5</v>
      </c>
      <c r="DV168">
        <v>13.6046</v>
      </c>
      <c r="DW168">
        <v>61.883000000000003</v>
      </c>
      <c r="DX168">
        <v>36.4223</v>
      </c>
      <c r="DY168">
        <v>1</v>
      </c>
      <c r="DZ168">
        <v>-9.6282999999999994E-2</v>
      </c>
      <c r="EA168">
        <v>0.92703999999999998</v>
      </c>
      <c r="EB168">
        <v>20.187100000000001</v>
      </c>
      <c r="EC168">
        <v>5.2413999999999996</v>
      </c>
      <c r="ED168">
        <v>12.039899999999999</v>
      </c>
      <c r="EE168">
        <v>5.0174000000000003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1.8689199999999999</v>
      </c>
      <c r="EL168">
        <v>1.86463</v>
      </c>
      <c r="EM168">
        <v>1.8692</v>
      </c>
      <c r="EN168">
        <v>1.8672299999999999</v>
      </c>
      <c r="EO168">
        <v>1.86338</v>
      </c>
      <c r="EP168">
        <v>1.8644700000000001</v>
      </c>
      <c r="EQ168">
        <v>1.87022</v>
      </c>
      <c r="ER168">
        <v>1.8694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0.16500000000000001</v>
      </c>
      <c r="FG168">
        <v>0.21199999999999999</v>
      </c>
      <c r="FH168">
        <v>0.49996858830924029</v>
      </c>
      <c r="FI168">
        <v>-6.1462078757559423E-4</v>
      </c>
      <c r="FJ168">
        <v>-1.8861989874597051E-7</v>
      </c>
      <c r="FK168">
        <v>1.1980462299894961E-10</v>
      </c>
      <c r="FL168">
        <v>-3.8593581000597899E-2</v>
      </c>
      <c r="FM168">
        <v>-1.6848085045870601E-2</v>
      </c>
      <c r="FN168">
        <v>1.9789084769509481E-3</v>
      </c>
      <c r="FO168">
        <v>-2.7142391389806329E-5</v>
      </c>
      <c r="FP168">
        <v>3</v>
      </c>
      <c r="FQ168">
        <v>2158</v>
      </c>
      <c r="FR168">
        <v>1</v>
      </c>
      <c r="FS168">
        <v>19</v>
      </c>
      <c r="FT168">
        <v>34.299999999999997</v>
      </c>
      <c r="FU168">
        <v>34.299999999999997</v>
      </c>
      <c r="FV168">
        <v>1.7651399999999999</v>
      </c>
      <c r="FW168">
        <v>2.6000999999999999</v>
      </c>
      <c r="FX168">
        <v>1.5490699999999999</v>
      </c>
      <c r="FY168">
        <v>2.3278799999999999</v>
      </c>
      <c r="FZ168">
        <v>1.50146</v>
      </c>
      <c r="GA168">
        <v>2.2875999999999999</v>
      </c>
      <c r="GB168">
        <v>34.054499999999997</v>
      </c>
      <c r="GC168">
        <v>23.973700000000001</v>
      </c>
      <c r="GD168">
        <v>19</v>
      </c>
      <c r="GE168">
        <v>266.61500000000001</v>
      </c>
      <c r="GF168">
        <v>578.25400000000002</v>
      </c>
      <c r="GG168">
        <v>21.5929</v>
      </c>
      <c r="GH168">
        <v>26.131599999999999</v>
      </c>
      <c r="GI168">
        <v>29.9999</v>
      </c>
      <c r="GJ168">
        <v>26.319500000000001</v>
      </c>
      <c r="GK168">
        <v>26.318999999999999</v>
      </c>
      <c r="GL168">
        <v>35.290999999999997</v>
      </c>
      <c r="GM168">
        <v>83.517700000000005</v>
      </c>
      <c r="GN168">
        <v>32.694400000000002</v>
      </c>
      <c r="GO168">
        <v>21.62</v>
      </c>
      <c r="GP168">
        <v>800</v>
      </c>
      <c r="GQ168">
        <v>1.4774</v>
      </c>
      <c r="GR168">
        <v>99.790999999999997</v>
      </c>
      <c r="GS168">
        <v>99.674599999999998</v>
      </c>
    </row>
    <row r="169" spans="1:201" x14ac:dyDescent="0.25">
      <c r="A169">
        <v>153</v>
      </c>
      <c r="B169">
        <v>1690308320</v>
      </c>
      <c r="C169">
        <v>1701.400000095367</v>
      </c>
      <c r="D169" t="s">
        <v>639</v>
      </c>
      <c r="E169" t="s">
        <v>640</v>
      </c>
      <c r="F169" t="s">
        <v>330</v>
      </c>
      <c r="H169">
        <v>1690308320</v>
      </c>
      <c r="I169">
        <f t="shared" si="60"/>
        <v>1.8814943451325272E-3</v>
      </c>
      <c r="J169">
        <f t="shared" si="61"/>
        <v>1.8814943451325272</v>
      </c>
      <c r="K169">
        <f t="shared" si="62"/>
        <v>28.518406794289337</v>
      </c>
      <c r="L169">
        <f t="shared" si="63"/>
        <v>493.90300000000002</v>
      </c>
      <c r="M169">
        <f t="shared" si="64"/>
        <v>163.89810971409031</v>
      </c>
      <c r="N169">
        <f t="shared" si="65"/>
        <v>16.275412877096461</v>
      </c>
      <c r="O169">
        <f t="shared" si="66"/>
        <v>49.045564102350994</v>
      </c>
      <c r="P169">
        <f t="shared" si="67"/>
        <v>0.14572177151946569</v>
      </c>
      <c r="Q169">
        <f t="shared" si="68"/>
        <v>2.1939680887215594</v>
      </c>
      <c r="R169">
        <f t="shared" si="69"/>
        <v>0.1405503893756834</v>
      </c>
      <c r="S169">
        <f t="shared" si="70"/>
        <v>8.8293331965838134E-2</v>
      </c>
      <c r="T169">
        <f t="shared" si="71"/>
        <v>276.11406156600003</v>
      </c>
      <c r="U169">
        <f t="shared" si="72"/>
        <v>25.845851490087895</v>
      </c>
      <c r="V169">
        <f t="shared" si="73"/>
        <v>25.845851490087895</v>
      </c>
      <c r="W169">
        <f t="shared" si="74"/>
        <v>3.3436025507214602</v>
      </c>
      <c r="X169">
        <f t="shared" si="75"/>
        <v>67.015591858866586</v>
      </c>
      <c r="Y169">
        <f t="shared" si="76"/>
        <v>2.0503880470159999</v>
      </c>
      <c r="Z169">
        <f t="shared" si="77"/>
        <v>3.0595686617736266</v>
      </c>
      <c r="AA169">
        <f t="shared" si="78"/>
        <v>1.2932145037054603</v>
      </c>
      <c r="AB169">
        <f t="shared" si="79"/>
        <v>-82.973900620344452</v>
      </c>
      <c r="AC169">
        <f t="shared" si="80"/>
        <v>-176.2569177532792</v>
      </c>
      <c r="AD169">
        <f t="shared" si="81"/>
        <v>-17.010579313013711</v>
      </c>
      <c r="AE169">
        <f t="shared" si="82"/>
        <v>-0.1273361206373238</v>
      </c>
      <c r="AF169">
        <v>12</v>
      </c>
      <c r="AG169">
        <v>4</v>
      </c>
      <c r="AH169">
        <f t="shared" si="83"/>
        <v>1</v>
      </c>
      <c r="AI169">
        <f t="shared" si="84"/>
        <v>0</v>
      </c>
      <c r="AJ169">
        <f t="shared" si="85"/>
        <v>52848.674685042926</v>
      </c>
      <c r="AK169">
        <f t="shared" si="86"/>
        <v>1800</v>
      </c>
      <c r="AL169">
        <f t="shared" si="87"/>
        <v>1499.1136865999999</v>
      </c>
      <c r="AM169">
        <f t="shared" si="88"/>
        <v>0.83284093699999995</v>
      </c>
      <c r="AN169">
        <f t="shared" si="89"/>
        <v>0.15339670087000001</v>
      </c>
      <c r="AO169">
        <v>31.2</v>
      </c>
      <c r="AP169">
        <v>0.5</v>
      </c>
      <c r="AQ169" t="s">
        <v>331</v>
      </c>
      <c r="AR169">
        <v>2</v>
      </c>
      <c r="AS169">
        <v>1690308320</v>
      </c>
      <c r="AT169">
        <v>493.90300000000002</v>
      </c>
      <c r="AU169">
        <v>799.96199999999999</v>
      </c>
      <c r="AV169">
        <v>20.648</v>
      </c>
      <c r="AW169">
        <v>1.49681</v>
      </c>
      <c r="AX169">
        <v>493.738</v>
      </c>
      <c r="AY169">
        <v>20.4361</v>
      </c>
      <c r="AZ169">
        <v>300.19299999999998</v>
      </c>
      <c r="BA169">
        <v>99.201999999999998</v>
      </c>
      <c r="BB169">
        <v>0.10001699999999999</v>
      </c>
      <c r="BC169">
        <v>24.355699999999999</v>
      </c>
      <c r="BD169">
        <v>27.0124</v>
      </c>
      <c r="BE169">
        <v>26.113199999999999</v>
      </c>
      <c r="BF169">
        <v>0</v>
      </c>
      <c r="BG169">
        <v>0</v>
      </c>
      <c r="BH169">
        <v>9985.6200000000008</v>
      </c>
      <c r="BI169">
        <v>1041.3900000000001</v>
      </c>
      <c r="BJ169">
        <v>1.62592</v>
      </c>
      <c r="BK169">
        <v>-306.05900000000003</v>
      </c>
      <c r="BL169">
        <v>504.31599999999997</v>
      </c>
      <c r="BM169">
        <v>801.16099999999994</v>
      </c>
      <c r="BN169">
        <v>19.151199999999999</v>
      </c>
      <c r="BO169">
        <v>799.96199999999999</v>
      </c>
      <c r="BP169">
        <v>1.49681</v>
      </c>
      <c r="BQ169">
        <v>2.0483199999999999</v>
      </c>
      <c r="BR169">
        <v>0.14848700000000001</v>
      </c>
      <c r="BS169">
        <v>17.822900000000001</v>
      </c>
      <c r="BT169">
        <v>-18.071000000000002</v>
      </c>
      <c r="BU169">
        <v>1800</v>
      </c>
      <c r="BV169">
        <v>0.91002099999999997</v>
      </c>
      <c r="BW169">
        <v>3.3996800000000001E-2</v>
      </c>
      <c r="BX169">
        <v>2.1992600000000001E-2</v>
      </c>
      <c r="BY169">
        <v>3.39893E-2</v>
      </c>
      <c r="BZ169">
        <v>26</v>
      </c>
      <c r="CA169">
        <v>33528.5</v>
      </c>
      <c r="CB169">
        <v>1690306253.5999999</v>
      </c>
      <c r="CC169" t="s">
        <v>332</v>
      </c>
      <c r="CD169">
        <v>1690306253.5999999</v>
      </c>
      <c r="CE169">
        <v>1690306251.5999999</v>
      </c>
      <c r="CF169">
        <v>9</v>
      </c>
      <c r="CG169">
        <v>0.19</v>
      </c>
      <c r="CH169">
        <v>-8.7999999999999995E-2</v>
      </c>
      <c r="CI169">
        <v>-5.0999999999999997E-2</v>
      </c>
      <c r="CJ169">
        <v>5.0999999999999997E-2</v>
      </c>
      <c r="CK169">
        <v>799</v>
      </c>
      <c r="CL169">
        <v>15</v>
      </c>
      <c r="CM169">
        <v>0.28000000000000003</v>
      </c>
      <c r="CN169">
        <v>0.03</v>
      </c>
      <c r="CO169">
        <v>-305.111175</v>
      </c>
      <c r="CP169">
        <v>-6.4846941838644216</v>
      </c>
      <c r="CQ169">
        <v>0.62976693655271987</v>
      </c>
      <c r="CR169">
        <v>-1</v>
      </c>
      <c r="CS169">
        <v>19.027104999999999</v>
      </c>
      <c r="CT169">
        <v>0.74763602251404648</v>
      </c>
      <c r="CU169">
        <v>7.2038881688988157E-2</v>
      </c>
      <c r="CV169">
        <v>-1</v>
      </c>
      <c r="CW169">
        <v>0</v>
      </c>
      <c r="CX169">
        <v>0</v>
      </c>
      <c r="CY169" t="s">
        <v>333</v>
      </c>
      <c r="CZ169">
        <v>2.3647399999999998</v>
      </c>
      <c r="DA169">
        <v>2.7138</v>
      </c>
      <c r="DB169">
        <v>0.104837</v>
      </c>
      <c r="DC169">
        <v>0.146178</v>
      </c>
      <c r="DD169">
        <v>0.102371</v>
      </c>
      <c r="DE169">
        <v>1.1717399999999999E-2</v>
      </c>
      <c r="DF169">
        <v>32701.9</v>
      </c>
      <c r="DG169">
        <v>27543.5</v>
      </c>
      <c r="DH169">
        <v>31187</v>
      </c>
      <c r="DI169">
        <v>28109.5</v>
      </c>
      <c r="DJ169">
        <v>38010.699999999997</v>
      </c>
      <c r="DK169">
        <v>39516.300000000003</v>
      </c>
      <c r="DL169">
        <v>44386.6</v>
      </c>
      <c r="DM169">
        <v>42612</v>
      </c>
      <c r="DN169">
        <v>1.4376</v>
      </c>
      <c r="DO169">
        <v>2.0303</v>
      </c>
      <c r="DP169">
        <v>0.18249499999999999</v>
      </c>
      <c r="DQ169">
        <v>0.152782</v>
      </c>
      <c r="DR169">
        <v>24.020600000000002</v>
      </c>
      <c r="DS169">
        <v>23.605899999999998</v>
      </c>
      <c r="DT169">
        <v>32.299999999999997</v>
      </c>
      <c r="DU169">
        <v>29.5</v>
      </c>
      <c r="DV169">
        <v>13.4803</v>
      </c>
      <c r="DW169">
        <v>61.662999999999997</v>
      </c>
      <c r="DX169">
        <v>36.578499999999998</v>
      </c>
      <c r="DY169">
        <v>1</v>
      </c>
      <c r="DZ169">
        <v>-9.6186499999999994E-2</v>
      </c>
      <c r="EA169">
        <v>1.29284</v>
      </c>
      <c r="EB169">
        <v>20.183800000000002</v>
      </c>
      <c r="EC169">
        <v>5.2413999999999996</v>
      </c>
      <c r="ED169">
        <v>12.039899999999999</v>
      </c>
      <c r="EE169">
        <v>5.0172999999999996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1.8689100000000001</v>
      </c>
      <c r="EL169">
        <v>1.86463</v>
      </c>
      <c r="EM169">
        <v>1.8691899999999999</v>
      </c>
      <c r="EN169">
        <v>1.8672299999999999</v>
      </c>
      <c r="EO169">
        <v>1.8633900000000001</v>
      </c>
      <c r="EP169">
        <v>1.8644799999999999</v>
      </c>
      <c r="EQ169">
        <v>1.87018</v>
      </c>
      <c r="ER169">
        <v>1.86938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0.16500000000000001</v>
      </c>
      <c r="FG169">
        <v>0.21190000000000001</v>
      </c>
      <c r="FH169">
        <v>0.49996858830924029</v>
      </c>
      <c r="FI169">
        <v>-6.1462078757559423E-4</v>
      </c>
      <c r="FJ169">
        <v>-1.8861989874597051E-7</v>
      </c>
      <c r="FK169">
        <v>1.1980462299894961E-10</v>
      </c>
      <c r="FL169">
        <v>-3.8593581000597899E-2</v>
      </c>
      <c r="FM169">
        <v>-1.6848085045870601E-2</v>
      </c>
      <c r="FN169">
        <v>1.9789084769509481E-3</v>
      </c>
      <c r="FO169">
        <v>-2.7142391389806329E-5</v>
      </c>
      <c r="FP169">
        <v>3</v>
      </c>
      <c r="FQ169">
        <v>2158</v>
      </c>
      <c r="FR169">
        <v>1</v>
      </c>
      <c r="FS169">
        <v>19</v>
      </c>
      <c r="FT169">
        <v>34.4</v>
      </c>
      <c r="FU169">
        <v>34.5</v>
      </c>
      <c r="FV169">
        <v>1.7651399999999999</v>
      </c>
      <c r="FW169">
        <v>2.5939899999999998</v>
      </c>
      <c r="FX169">
        <v>1.5490699999999999</v>
      </c>
      <c r="FY169">
        <v>2.3278799999999999</v>
      </c>
      <c r="FZ169">
        <v>1.50146</v>
      </c>
      <c r="GA169">
        <v>2.3718300000000001</v>
      </c>
      <c r="GB169">
        <v>34.054499999999997</v>
      </c>
      <c r="GC169">
        <v>23.982399999999998</v>
      </c>
      <c r="GD169">
        <v>19</v>
      </c>
      <c r="GE169">
        <v>266.62400000000002</v>
      </c>
      <c r="GF169">
        <v>577.899</v>
      </c>
      <c r="GG169">
        <v>21.5656</v>
      </c>
      <c r="GH169">
        <v>26.1295</v>
      </c>
      <c r="GI169">
        <v>30.0001</v>
      </c>
      <c r="GJ169">
        <v>26.316400000000002</v>
      </c>
      <c r="GK169">
        <v>26.314800000000002</v>
      </c>
      <c r="GL169">
        <v>35.287599999999998</v>
      </c>
      <c r="GM169">
        <v>84.661799999999999</v>
      </c>
      <c r="GN169">
        <v>32.3035</v>
      </c>
      <c r="GO169">
        <v>21.540700000000001</v>
      </c>
      <c r="GP169">
        <v>800</v>
      </c>
      <c r="GQ169">
        <v>1.35808</v>
      </c>
      <c r="GR169">
        <v>99.7911</v>
      </c>
      <c r="GS169">
        <v>99.677099999999996</v>
      </c>
    </row>
    <row r="170" spans="1:201" x14ac:dyDescent="0.25">
      <c r="A170">
        <v>154</v>
      </c>
      <c r="B170">
        <v>1690308330</v>
      </c>
      <c r="C170">
        <v>1711.400000095367</v>
      </c>
      <c r="D170" t="s">
        <v>641</v>
      </c>
      <c r="E170" t="s">
        <v>642</v>
      </c>
      <c r="F170" t="s">
        <v>330</v>
      </c>
      <c r="H170">
        <v>1690308330</v>
      </c>
      <c r="I170">
        <f t="shared" si="60"/>
        <v>1.8889227515832138E-3</v>
      </c>
      <c r="J170">
        <f t="shared" si="61"/>
        <v>1.8889227515832137</v>
      </c>
      <c r="K170">
        <f t="shared" si="62"/>
        <v>28.60591272634602</v>
      </c>
      <c r="L170">
        <f t="shared" si="63"/>
        <v>492.85700000000003</v>
      </c>
      <c r="M170">
        <f t="shared" si="64"/>
        <v>162.64844682151963</v>
      </c>
      <c r="N170">
        <f t="shared" si="65"/>
        <v>16.151363380703721</v>
      </c>
      <c r="O170">
        <f t="shared" si="66"/>
        <v>48.941829186101309</v>
      </c>
      <c r="P170">
        <f t="shared" si="67"/>
        <v>0.14607693429260959</v>
      </c>
      <c r="Q170">
        <f t="shared" si="68"/>
        <v>2.1962086146962165</v>
      </c>
      <c r="R170">
        <f t="shared" si="69"/>
        <v>0.14088589522112729</v>
      </c>
      <c r="S170">
        <f t="shared" si="70"/>
        <v>8.8504710193541267E-2</v>
      </c>
      <c r="T170">
        <f t="shared" si="71"/>
        <v>276.11411889600004</v>
      </c>
      <c r="U170">
        <f t="shared" si="72"/>
        <v>25.843037883803301</v>
      </c>
      <c r="V170">
        <f t="shared" si="73"/>
        <v>25.843037883803301</v>
      </c>
      <c r="W170">
        <f t="shared" si="74"/>
        <v>3.3430452703318201</v>
      </c>
      <c r="X170">
        <f t="shared" si="75"/>
        <v>66.926330623002812</v>
      </c>
      <c r="Y170">
        <f t="shared" si="76"/>
        <v>2.0477919824816202</v>
      </c>
      <c r="Z170">
        <f t="shared" si="77"/>
        <v>3.0597702928267028</v>
      </c>
      <c r="AA170">
        <f t="shared" si="78"/>
        <v>1.2952532878501999</v>
      </c>
      <c r="AB170">
        <f t="shared" si="79"/>
        <v>-83.301493344819733</v>
      </c>
      <c r="AC170">
        <f t="shared" si="80"/>
        <v>-175.97353618735812</v>
      </c>
      <c r="AD170">
        <f t="shared" si="81"/>
        <v>-16.965757338504709</v>
      </c>
      <c r="AE170">
        <f t="shared" si="82"/>
        <v>-0.12666797468253321</v>
      </c>
      <c r="AF170">
        <v>12</v>
      </c>
      <c r="AG170">
        <v>4</v>
      </c>
      <c r="AH170">
        <f t="shared" si="83"/>
        <v>1</v>
      </c>
      <c r="AI170">
        <f t="shared" si="84"/>
        <v>0</v>
      </c>
      <c r="AJ170">
        <f t="shared" si="85"/>
        <v>52940.985747983315</v>
      </c>
      <c r="AK170">
        <f t="shared" si="86"/>
        <v>1800</v>
      </c>
      <c r="AL170">
        <f t="shared" si="87"/>
        <v>1499.1139475999998</v>
      </c>
      <c r="AM170">
        <f t="shared" si="88"/>
        <v>0.83284108199999995</v>
      </c>
      <c r="AN170">
        <f t="shared" si="89"/>
        <v>0.15339673272000001</v>
      </c>
      <c r="AO170">
        <v>31.2</v>
      </c>
      <c r="AP170">
        <v>0.5</v>
      </c>
      <c r="AQ170" t="s">
        <v>331</v>
      </c>
      <c r="AR170">
        <v>2</v>
      </c>
      <c r="AS170">
        <v>1690308330</v>
      </c>
      <c r="AT170">
        <v>492.85700000000003</v>
      </c>
      <c r="AU170">
        <v>800.05899999999997</v>
      </c>
      <c r="AV170">
        <v>20.6218</v>
      </c>
      <c r="AW170">
        <v>1.38096</v>
      </c>
      <c r="AX170">
        <v>492.69099999999997</v>
      </c>
      <c r="AY170">
        <v>20.410699999999999</v>
      </c>
      <c r="AZ170">
        <v>299.98200000000003</v>
      </c>
      <c r="BA170">
        <v>99.202399999999997</v>
      </c>
      <c r="BB170">
        <v>9.9890900000000005E-2</v>
      </c>
      <c r="BC170">
        <v>24.3568</v>
      </c>
      <c r="BD170">
        <v>27.027000000000001</v>
      </c>
      <c r="BE170">
        <v>26.110600000000002</v>
      </c>
      <c r="BF170">
        <v>0</v>
      </c>
      <c r="BG170">
        <v>0</v>
      </c>
      <c r="BH170">
        <v>10003.799999999999</v>
      </c>
      <c r="BI170">
        <v>1041.48</v>
      </c>
      <c r="BJ170">
        <v>1.62592</v>
      </c>
      <c r="BK170">
        <v>-307.202</v>
      </c>
      <c r="BL170">
        <v>503.23399999999998</v>
      </c>
      <c r="BM170">
        <v>801.16499999999996</v>
      </c>
      <c r="BN170">
        <v>19.2408</v>
      </c>
      <c r="BO170">
        <v>800.05899999999997</v>
      </c>
      <c r="BP170">
        <v>1.38096</v>
      </c>
      <c r="BQ170">
        <v>2.0457299999999998</v>
      </c>
      <c r="BR170">
        <v>0.136994</v>
      </c>
      <c r="BS170">
        <v>17.802800000000001</v>
      </c>
      <c r="BT170">
        <v>-19.015899999999998</v>
      </c>
      <c r="BU170">
        <v>1800</v>
      </c>
      <c r="BV170">
        <v>0.91002099999999997</v>
      </c>
      <c r="BW170">
        <v>3.3996899999999997E-2</v>
      </c>
      <c r="BX170">
        <v>2.1992600000000001E-2</v>
      </c>
      <c r="BY170">
        <v>3.3989400000000003E-2</v>
      </c>
      <c r="BZ170">
        <v>26</v>
      </c>
      <c r="CA170">
        <v>33528.6</v>
      </c>
      <c r="CB170">
        <v>1690306253.5999999</v>
      </c>
      <c r="CC170" t="s">
        <v>332</v>
      </c>
      <c r="CD170">
        <v>1690306253.5999999</v>
      </c>
      <c r="CE170">
        <v>1690306251.5999999</v>
      </c>
      <c r="CF170">
        <v>9</v>
      </c>
      <c r="CG170">
        <v>0.19</v>
      </c>
      <c r="CH170">
        <v>-8.7999999999999995E-2</v>
      </c>
      <c r="CI170">
        <v>-5.0999999999999997E-2</v>
      </c>
      <c r="CJ170">
        <v>5.0999999999999997E-2</v>
      </c>
      <c r="CK170">
        <v>799</v>
      </c>
      <c r="CL170">
        <v>15</v>
      </c>
      <c r="CM170">
        <v>0.28000000000000003</v>
      </c>
      <c r="CN170">
        <v>0.03</v>
      </c>
      <c r="CO170">
        <v>-306.11327499999999</v>
      </c>
      <c r="CP170">
        <v>-5.7202063789859148</v>
      </c>
      <c r="CQ170">
        <v>0.55462207797292351</v>
      </c>
      <c r="CR170">
        <v>-1</v>
      </c>
      <c r="CS170">
        <v>19.138735</v>
      </c>
      <c r="CT170">
        <v>0.61523527204501005</v>
      </c>
      <c r="CU170">
        <v>5.9740101899812638E-2</v>
      </c>
      <c r="CV170">
        <v>-1</v>
      </c>
      <c r="CW170">
        <v>0</v>
      </c>
      <c r="CX170">
        <v>0</v>
      </c>
      <c r="CY170" t="s">
        <v>333</v>
      </c>
      <c r="CZ170">
        <v>2.3640599999999998</v>
      </c>
      <c r="DA170">
        <v>2.7136800000000001</v>
      </c>
      <c r="DB170">
        <v>0.104675</v>
      </c>
      <c r="DC170">
        <v>0.14618900000000001</v>
      </c>
      <c r="DD170">
        <v>0.102281</v>
      </c>
      <c r="DE170">
        <v>1.0873499999999999E-2</v>
      </c>
      <c r="DF170">
        <v>32708.400000000001</v>
      </c>
      <c r="DG170">
        <v>27543.5</v>
      </c>
      <c r="DH170">
        <v>31187.5</v>
      </c>
      <c r="DI170">
        <v>28109.9</v>
      </c>
      <c r="DJ170">
        <v>38015.300000000003</v>
      </c>
      <c r="DK170">
        <v>39550.400000000001</v>
      </c>
      <c r="DL170">
        <v>44387.5</v>
      </c>
      <c r="DM170">
        <v>42612.3</v>
      </c>
      <c r="DN170">
        <v>1.4372</v>
      </c>
      <c r="DO170">
        <v>2.0305800000000001</v>
      </c>
      <c r="DP170">
        <v>0.18326200000000001</v>
      </c>
      <c r="DQ170">
        <v>0.152618</v>
      </c>
      <c r="DR170">
        <v>24.022600000000001</v>
      </c>
      <c r="DS170">
        <v>23.605899999999998</v>
      </c>
      <c r="DT170">
        <v>32</v>
      </c>
      <c r="DU170">
        <v>29.5</v>
      </c>
      <c r="DV170">
        <v>13.353400000000001</v>
      </c>
      <c r="DW170">
        <v>61.353000000000002</v>
      </c>
      <c r="DX170">
        <v>37.608199999999997</v>
      </c>
      <c r="DY170">
        <v>1</v>
      </c>
      <c r="DZ170">
        <v>-9.6237299999999998E-2</v>
      </c>
      <c r="EA170">
        <v>1.2438199999999999</v>
      </c>
      <c r="EB170">
        <v>20.184100000000001</v>
      </c>
      <c r="EC170">
        <v>5.24125</v>
      </c>
      <c r="ED170">
        <v>12.039899999999999</v>
      </c>
      <c r="EE170">
        <v>5.0174000000000003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1.8689199999999999</v>
      </c>
      <c r="EL170">
        <v>1.8646199999999999</v>
      </c>
      <c r="EM170">
        <v>1.8692</v>
      </c>
      <c r="EN170">
        <v>1.8672299999999999</v>
      </c>
      <c r="EO170">
        <v>1.8633999999999999</v>
      </c>
      <c r="EP170">
        <v>1.8644700000000001</v>
      </c>
      <c r="EQ170">
        <v>1.8702000000000001</v>
      </c>
      <c r="ER170">
        <v>1.8694200000000001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0.16600000000000001</v>
      </c>
      <c r="FG170">
        <v>0.21110000000000001</v>
      </c>
      <c r="FH170">
        <v>0.49996858830924029</v>
      </c>
      <c r="FI170">
        <v>-6.1462078757559423E-4</v>
      </c>
      <c r="FJ170">
        <v>-1.8861989874597051E-7</v>
      </c>
      <c r="FK170">
        <v>1.1980462299894961E-10</v>
      </c>
      <c r="FL170">
        <v>-3.8593581000597899E-2</v>
      </c>
      <c r="FM170">
        <v>-1.6848085045870601E-2</v>
      </c>
      <c r="FN170">
        <v>1.9789084769509481E-3</v>
      </c>
      <c r="FO170">
        <v>-2.7142391389806329E-5</v>
      </c>
      <c r="FP170">
        <v>3</v>
      </c>
      <c r="FQ170">
        <v>2158</v>
      </c>
      <c r="FR170">
        <v>1</v>
      </c>
      <c r="FS170">
        <v>19</v>
      </c>
      <c r="FT170">
        <v>34.6</v>
      </c>
      <c r="FU170">
        <v>34.6</v>
      </c>
      <c r="FV170">
        <v>1.7651399999999999</v>
      </c>
      <c r="FW170">
        <v>2.5903299999999998</v>
      </c>
      <c r="FX170">
        <v>1.5490699999999999</v>
      </c>
      <c r="FY170">
        <v>2.3278799999999999</v>
      </c>
      <c r="FZ170">
        <v>1.50146</v>
      </c>
      <c r="GA170">
        <v>2.4060100000000002</v>
      </c>
      <c r="GB170">
        <v>34.054499999999997</v>
      </c>
      <c r="GC170">
        <v>23.982399999999998</v>
      </c>
      <c r="GD170">
        <v>19</v>
      </c>
      <c r="GE170">
        <v>266.44499999999999</v>
      </c>
      <c r="GF170">
        <v>578.09799999999996</v>
      </c>
      <c r="GG170">
        <v>21.524000000000001</v>
      </c>
      <c r="GH170">
        <v>26.126799999999999</v>
      </c>
      <c r="GI170">
        <v>30.0001</v>
      </c>
      <c r="GJ170">
        <v>26.312799999999999</v>
      </c>
      <c r="GK170">
        <v>26.3124</v>
      </c>
      <c r="GL170">
        <v>35.282400000000003</v>
      </c>
      <c r="GM170">
        <v>85.5274</v>
      </c>
      <c r="GN170">
        <v>31.529900000000001</v>
      </c>
      <c r="GO170">
        <v>21.523</v>
      </c>
      <c r="GP170">
        <v>800</v>
      </c>
      <c r="GQ170">
        <v>1.25305</v>
      </c>
      <c r="GR170">
        <v>99.793000000000006</v>
      </c>
      <c r="GS170">
        <v>99.678100000000001</v>
      </c>
    </row>
    <row r="171" spans="1:201" x14ac:dyDescent="0.25">
      <c r="A171">
        <v>155</v>
      </c>
      <c r="B171">
        <v>1690308340</v>
      </c>
      <c r="C171">
        <v>1721.400000095367</v>
      </c>
      <c r="D171" t="s">
        <v>643</v>
      </c>
      <c r="E171" t="s">
        <v>644</v>
      </c>
      <c r="F171" t="s">
        <v>330</v>
      </c>
      <c r="H171">
        <v>1690308340</v>
      </c>
      <c r="I171">
        <f t="shared" si="60"/>
        <v>1.8984083530010575E-3</v>
      </c>
      <c r="J171">
        <f t="shared" si="61"/>
        <v>1.8984083530010576</v>
      </c>
      <c r="K171">
        <f t="shared" si="62"/>
        <v>28.710554935842467</v>
      </c>
      <c r="L171">
        <f t="shared" si="63"/>
        <v>491.88200000000001</v>
      </c>
      <c r="M171">
        <f t="shared" si="64"/>
        <v>162.18920973284258</v>
      </c>
      <c r="N171">
        <f t="shared" si="65"/>
        <v>16.105726739630324</v>
      </c>
      <c r="O171">
        <f t="shared" si="66"/>
        <v>48.844908321534604</v>
      </c>
      <c r="P171">
        <f t="shared" si="67"/>
        <v>0.14685714833458044</v>
      </c>
      <c r="Q171">
        <f t="shared" si="68"/>
        <v>2.1985743106928917</v>
      </c>
      <c r="R171">
        <f t="shared" si="69"/>
        <v>0.14161700809106531</v>
      </c>
      <c r="S171">
        <f t="shared" si="70"/>
        <v>8.8965858295177599E-2</v>
      </c>
      <c r="T171">
        <f t="shared" si="71"/>
        <v>276.11399187000006</v>
      </c>
      <c r="U171">
        <f t="shared" si="72"/>
        <v>25.83286310613326</v>
      </c>
      <c r="V171">
        <f t="shared" si="73"/>
        <v>25.83286310613326</v>
      </c>
      <c r="W171">
        <f t="shared" si="74"/>
        <v>3.3410306676005939</v>
      </c>
      <c r="X171">
        <f t="shared" si="75"/>
        <v>66.888837535447294</v>
      </c>
      <c r="Y171">
        <f t="shared" si="76"/>
        <v>2.0459705144785501</v>
      </c>
      <c r="Z171">
        <f t="shared" si="77"/>
        <v>3.0587622537083283</v>
      </c>
      <c r="AA171">
        <f t="shared" si="78"/>
        <v>1.2950601531220438</v>
      </c>
      <c r="AB171">
        <f t="shared" si="79"/>
        <v>-83.71980836734663</v>
      </c>
      <c r="AC171">
        <f t="shared" si="80"/>
        <v>-175.6089908405439</v>
      </c>
      <c r="AD171">
        <f t="shared" si="81"/>
        <v>-16.911059086376305</v>
      </c>
      <c r="AE171">
        <f t="shared" si="82"/>
        <v>-0.12586642426677486</v>
      </c>
      <c r="AF171">
        <v>12</v>
      </c>
      <c r="AG171">
        <v>4</v>
      </c>
      <c r="AH171">
        <f t="shared" si="83"/>
        <v>1</v>
      </c>
      <c r="AI171">
        <f t="shared" si="84"/>
        <v>0</v>
      </c>
      <c r="AJ171">
        <f t="shared" si="85"/>
        <v>53039.732125547787</v>
      </c>
      <c r="AK171">
        <f t="shared" si="86"/>
        <v>1800</v>
      </c>
      <c r="AL171">
        <f t="shared" si="87"/>
        <v>1499.1134039999997</v>
      </c>
      <c r="AM171">
        <f t="shared" si="88"/>
        <v>0.83284077999999984</v>
      </c>
      <c r="AN171">
        <f t="shared" si="89"/>
        <v>0.15339666215000003</v>
      </c>
      <c r="AO171">
        <v>31.2</v>
      </c>
      <c r="AP171">
        <v>0.5</v>
      </c>
      <c r="AQ171" t="s">
        <v>331</v>
      </c>
      <c r="AR171">
        <v>2</v>
      </c>
      <c r="AS171">
        <v>1690308340</v>
      </c>
      <c r="AT171">
        <v>491.88200000000001</v>
      </c>
      <c r="AU171">
        <v>800.06200000000001</v>
      </c>
      <c r="AV171">
        <v>20.6035</v>
      </c>
      <c r="AW171">
        <v>1.27444</v>
      </c>
      <c r="AX171">
        <v>491.71600000000001</v>
      </c>
      <c r="AY171">
        <v>20.392800000000001</v>
      </c>
      <c r="AZ171">
        <v>300.11799999999999</v>
      </c>
      <c r="BA171">
        <v>99.202100000000002</v>
      </c>
      <c r="BB171">
        <v>9.9985299999999999E-2</v>
      </c>
      <c r="BC171">
        <v>24.351299999999998</v>
      </c>
      <c r="BD171">
        <v>26.985900000000001</v>
      </c>
      <c r="BE171">
        <v>26.118400000000001</v>
      </c>
      <c r="BF171">
        <v>0</v>
      </c>
      <c r="BG171">
        <v>0</v>
      </c>
      <c r="BH171">
        <v>10023.1</v>
      </c>
      <c r="BI171">
        <v>1041.53</v>
      </c>
      <c r="BJ171">
        <v>1.62592</v>
      </c>
      <c r="BK171">
        <v>-308.17899999999997</v>
      </c>
      <c r="BL171">
        <v>502.23</v>
      </c>
      <c r="BM171">
        <v>801.08299999999997</v>
      </c>
      <c r="BN171">
        <v>19.329000000000001</v>
      </c>
      <c r="BO171">
        <v>800.06200000000001</v>
      </c>
      <c r="BP171">
        <v>1.27444</v>
      </c>
      <c r="BQ171">
        <v>2.0439099999999999</v>
      </c>
      <c r="BR171">
        <v>0.12642700000000001</v>
      </c>
      <c r="BS171">
        <v>17.788599999999999</v>
      </c>
      <c r="BT171">
        <v>-19.9497</v>
      </c>
      <c r="BU171">
        <v>1800</v>
      </c>
      <c r="BV171">
        <v>0.91002099999999997</v>
      </c>
      <c r="BW171">
        <v>3.3996699999999998E-2</v>
      </c>
      <c r="BX171">
        <v>2.1992500000000002E-2</v>
      </c>
      <c r="BY171">
        <v>3.39893E-2</v>
      </c>
      <c r="BZ171">
        <v>26</v>
      </c>
      <c r="CA171">
        <v>33528.6</v>
      </c>
      <c r="CB171">
        <v>1690306253.5999999</v>
      </c>
      <c r="CC171" t="s">
        <v>332</v>
      </c>
      <c r="CD171">
        <v>1690306253.5999999</v>
      </c>
      <c r="CE171">
        <v>1690306251.5999999</v>
      </c>
      <c r="CF171">
        <v>9</v>
      </c>
      <c r="CG171">
        <v>0.19</v>
      </c>
      <c r="CH171">
        <v>-8.7999999999999995E-2</v>
      </c>
      <c r="CI171">
        <v>-5.0999999999999997E-2</v>
      </c>
      <c r="CJ171">
        <v>5.0999999999999997E-2</v>
      </c>
      <c r="CK171">
        <v>799</v>
      </c>
      <c r="CL171">
        <v>15</v>
      </c>
      <c r="CM171">
        <v>0.28000000000000003</v>
      </c>
      <c r="CN171">
        <v>0.03</v>
      </c>
      <c r="CO171">
        <v>-307.00046341463423</v>
      </c>
      <c r="CP171">
        <v>-6.1194355400702953</v>
      </c>
      <c r="CQ171">
        <v>0.60615461673835036</v>
      </c>
      <c r="CR171">
        <v>-1</v>
      </c>
      <c r="CS171">
        <v>19.227399999999999</v>
      </c>
      <c r="CT171">
        <v>0.54193588850175178</v>
      </c>
      <c r="CU171">
        <v>5.3460160685203928E-2</v>
      </c>
      <c r="CV171">
        <v>-1</v>
      </c>
      <c r="CW171">
        <v>0</v>
      </c>
      <c r="CX171">
        <v>0</v>
      </c>
      <c r="CY171" t="s">
        <v>333</v>
      </c>
      <c r="CZ171">
        <v>2.3645</v>
      </c>
      <c r="DA171">
        <v>2.7138</v>
      </c>
      <c r="DB171">
        <v>0.104523</v>
      </c>
      <c r="DC171">
        <v>0.14618800000000001</v>
      </c>
      <c r="DD171">
        <v>0.102218</v>
      </c>
      <c r="DE171">
        <v>1.00894E-2</v>
      </c>
      <c r="DF171">
        <v>32714</v>
      </c>
      <c r="DG171">
        <v>27543.8</v>
      </c>
      <c r="DH171">
        <v>31187.599999999999</v>
      </c>
      <c r="DI171">
        <v>28110.1</v>
      </c>
      <c r="DJ171">
        <v>38017.9</v>
      </c>
      <c r="DK171">
        <v>39582.199999999997</v>
      </c>
      <c r="DL171">
        <v>44387.3</v>
      </c>
      <c r="DM171">
        <v>42612.7</v>
      </c>
      <c r="DN171">
        <v>1.4379299999999999</v>
      </c>
      <c r="DO171">
        <v>2.0300500000000001</v>
      </c>
      <c r="DP171">
        <v>0.180751</v>
      </c>
      <c r="DQ171">
        <v>0.15309500000000001</v>
      </c>
      <c r="DR171">
        <v>24.022600000000001</v>
      </c>
      <c r="DS171">
        <v>23.605899999999998</v>
      </c>
      <c r="DT171">
        <v>31.6</v>
      </c>
      <c r="DU171">
        <v>29.5</v>
      </c>
      <c r="DV171">
        <v>13.1875</v>
      </c>
      <c r="DW171">
        <v>61.7331</v>
      </c>
      <c r="DX171">
        <v>36.863</v>
      </c>
      <c r="DY171">
        <v>1</v>
      </c>
      <c r="DZ171">
        <v>-9.6468499999999999E-2</v>
      </c>
      <c r="EA171">
        <v>1.3173999999999999</v>
      </c>
      <c r="EB171">
        <v>20.183399999999999</v>
      </c>
      <c r="EC171">
        <v>5.24125</v>
      </c>
      <c r="ED171">
        <v>12.039899999999999</v>
      </c>
      <c r="EE171">
        <v>5.0176999999999996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1.86893</v>
      </c>
      <c r="EL171">
        <v>1.8646199999999999</v>
      </c>
      <c r="EM171">
        <v>1.8692</v>
      </c>
      <c r="EN171">
        <v>1.8672500000000001</v>
      </c>
      <c r="EO171">
        <v>1.8633999999999999</v>
      </c>
      <c r="EP171">
        <v>1.8644799999999999</v>
      </c>
      <c r="EQ171">
        <v>1.87018</v>
      </c>
      <c r="ER171">
        <v>1.8694299999999999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0.16600000000000001</v>
      </c>
      <c r="FG171">
        <v>0.2107</v>
      </c>
      <c r="FH171">
        <v>0.49996858830924029</v>
      </c>
      <c r="FI171">
        <v>-6.1462078757559423E-4</v>
      </c>
      <c r="FJ171">
        <v>-1.8861989874597051E-7</v>
      </c>
      <c r="FK171">
        <v>1.1980462299894961E-10</v>
      </c>
      <c r="FL171">
        <v>-3.8593581000597899E-2</v>
      </c>
      <c r="FM171">
        <v>-1.6848085045870601E-2</v>
      </c>
      <c r="FN171">
        <v>1.9789084769509481E-3</v>
      </c>
      <c r="FO171">
        <v>-2.7142391389806329E-5</v>
      </c>
      <c r="FP171">
        <v>3</v>
      </c>
      <c r="FQ171">
        <v>2158</v>
      </c>
      <c r="FR171">
        <v>1</v>
      </c>
      <c r="FS171">
        <v>19</v>
      </c>
      <c r="FT171">
        <v>34.799999999999997</v>
      </c>
      <c r="FU171">
        <v>34.799999999999997</v>
      </c>
      <c r="FV171">
        <v>1.7639199999999999</v>
      </c>
      <c r="FW171">
        <v>2.5964399999999999</v>
      </c>
      <c r="FX171">
        <v>1.5490699999999999</v>
      </c>
      <c r="FY171">
        <v>2.3278799999999999</v>
      </c>
      <c r="FZ171">
        <v>1.50146</v>
      </c>
      <c r="GA171">
        <v>2.2766099999999998</v>
      </c>
      <c r="GB171">
        <v>34.077100000000002</v>
      </c>
      <c r="GC171">
        <v>23.973700000000001</v>
      </c>
      <c r="GD171">
        <v>19</v>
      </c>
      <c r="GE171">
        <v>266.72899999999998</v>
      </c>
      <c r="GF171">
        <v>577.625</v>
      </c>
      <c r="GG171">
        <v>21.487400000000001</v>
      </c>
      <c r="GH171">
        <v>26.123999999999999</v>
      </c>
      <c r="GI171">
        <v>30.000299999999999</v>
      </c>
      <c r="GJ171">
        <v>26.309799999999999</v>
      </c>
      <c r="GK171">
        <v>26.308599999999998</v>
      </c>
      <c r="GL171">
        <v>35.281300000000002</v>
      </c>
      <c r="GM171">
        <v>86.658900000000003</v>
      </c>
      <c r="GN171">
        <v>30.758299999999998</v>
      </c>
      <c r="GO171">
        <v>21.472999999999999</v>
      </c>
      <c r="GP171">
        <v>800</v>
      </c>
      <c r="GQ171">
        <v>1.14798</v>
      </c>
      <c r="GR171">
        <v>99.792900000000003</v>
      </c>
      <c r="GS171">
        <v>99.678899999999999</v>
      </c>
    </row>
    <row r="172" spans="1:201" x14ac:dyDescent="0.25">
      <c r="A172">
        <v>156</v>
      </c>
      <c r="B172">
        <v>1690308350</v>
      </c>
      <c r="C172">
        <v>1731.400000095367</v>
      </c>
      <c r="D172" t="s">
        <v>645</v>
      </c>
      <c r="E172" t="s">
        <v>646</v>
      </c>
      <c r="F172" t="s">
        <v>330</v>
      </c>
      <c r="H172">
        <v>1690308350</v>
      </c>
      <c r="I172">
        <f t="shared" si="60"/>
        <v>1.9078234080457306E-3</v>
      </c>
      <c r="J172">
        <f t="shared" si="61"/>
        <v>1.9078234080457306</v>
      </c>
      <c r="K172">
        <f t="shared" si="62"/>
        <v>28.801625132158243</v>
      </c>
      <c r="L172">
        <f t="shared" si="63"/>
        <v>490.935</v>
      </c>
      <c r="M172">
        <f t="shared" si="64"/>
        <v>161.69473138630377</v>
      </c>
      <c r="N172">
        <f t="shared" si="65"/>
        <v>16.056602454775632</v>
      </c>
      <c r="O172">
        <f t="shared" si="66"/>
        <v>48.75080380512</v>
      </c>
      <c r="P172">
        <f t="shared" si="67"/>
        <v>0.1475469515604616</v>
      </c>
      <c r="Q172">
        <f t="shared" si="68"/>
        <v>2.1978111093587298</v>
      </c>
      <c r="R172">
        <f t="shared" si="69"/>
        <v>0.14225665673986421</v>
      </c>
      <c r="S172">
        <f t="shared" si="70"/>
        <v>8.9369919406319276E-2</v>
      </c>
      <c r="T172">
        <f t="shared" si="71"/>
        <v>276.11397201599999</v>
      </c>
      <c r="U172">
        <f t="shared" si="72"/>
        <v>25.827437690236707</v>
      </c>
      <c r="V172">
        <f t="shared" si="73"/>
        <v>25.827437690236707</v>
      </c>
      <c r="W172">
        <f t="shared" si="74"/>
        <v>3.3399568705298428</v>
      </c>
      <c r="X172">
        <f t="shared" si="75"/>
        <v>66.845343728075434</v>
      </c>
      <c r="Y172">
        <f t="shared" si="76"/>
        <v>2.0443094254336001</v>
      </c>
      <c r="Z172">
        <f t="shared" si="77"/>
        <v>3.0582675043901046</v>
      </c>
      <c r="AA172">
        <f t="shared" si="78"/>
        <v>1.2956474450962427</v>
      </c>
      <c r="AB172">
        <f t="shared" si="79"/>
        <v>-84.135012294816718</v>
      </c>
      <c r="AC172">
        <f t="shared" si="80"/>
        <v>-175.22510072559476</v>
      </c>
      <c r="AD172">
        <f t="shared" si="81"/>
        <v>-16.879259730309425</v>
      </c>
      <c r="AE172">
        <f t="shared" si="82"/>
        <v>-0.12540073472086988</v>
      </c>
      <c r="AF172">
        <v>12</v>
      </c>
      <c r="AG172">
        <v>4</v>
      </c>
      <c r="AH172">
        <f t="shared" si="83"/>
        <v>1</v>
      </c>
      <c r="AI172">
        <f t="shared" si="84"/>
        <v>0</v>
      </c>
      <c r="AJ172">
        <f t="shared" si="85"/>
        <v>53008.654102422443</v>
      </c>
      <c r="AK172">
        <f t="shared" si="86"/>
        <v>1800</v>
      </c>
      <c r="AL172">
        <f t="shared" si="87"/>
        <v>1499.1139745999999</v>
      </c>
      <c r="AM172">
        <f t="shared" si="88"/>
        <v>0.83284109699999997</v>
      </c>
      <c r="AN172">
        <f t="shared" si="89"/>
        <v>0.15339665112</v>
      </c>
      <c r="AO172">
        <v>31.2</v>
      </c>
      <c r="AP172">
        <v>0.5</v>
      </c>
      <c r="AQ172" t="s">
        <v>331</v>
      </c>
      <c r="AR172">
        <v>2</v>
      </c>
      <c r="AS172">
        <v>1690308350</v>
      </c>
      <c r="AT172">
        <v>490.935</v>
      </c>
      <c r="AU172">
        <v>799.94799999999998</v>
      </c>
      <c r="AV172">
        <v>20.5868</v>
      </c>
      <c r="AW172">
        <v>1.1705399999999999</v>
      </c>
      <c r="AX172">
        <v>490.76799999999997</v>
      </c>
      <c r="AY172">
        <v>20.3767</v>
      </c>
      <c r="AZ172">
        <v>300.25700000000001</v>
      </c>
      <c r="BA172">
        <v>99.201899999999995</v>
      </c>
      <c r="BB172">
        <v>0.100052</v>
      </c>
      <c r="BC172">
        <v>24.348600000000001</v>
      </c>
      <c r="BD172">
        <v>26.965399999999999</v>
      </c>
      <c r="BE172">
        <v>26.090199999999999</v>
      </c>
      <c r="BF172">
        <v>0</v>
      </c>
      <c r="BG172">
        <v>0</v>
      </c>
      <c r="BH172">
        <v>10016.9</v>
      </c>
      <c r="BI172">
        <v>1041.4000000000001</v>
      </c>
      <c r="BJ172">
        <v>1.62592</v>
      </c>
      <c r="BK172">
        <v>-309.01299999999998</v>
      </c>
      <c r="BL172">
        <v>501.25400000000002</v>
      </c>
      <c r="BM172">
        <v>800.88599999999997</v>
      </c>
      <c r="BN172">
        <v>19.4163</v>
      </c>
      <c r="BO172">
        <v>799.94799999999998</v>
      </c>
      <c r="BP172">
        <v>1.1705399999999999</v>
      </c>
      <c r="BQ172">
        <v>2.0422500000000001</v>
      </c>
      <c r="BR172">
        <v>0.11612</v>
      </c>
      <c r="BS172">
        <v>17.7758</v>
      </c>
      <c r="BT172">
        <v>-20.930299999999999</v>
      </c>
      <c r="BU172">
        <v>1800</v>
      </c>
      <c r="BV172">
        <v>0.91002300000000003</v>
      </c>
      <c r="BW172">
        <v>3.3995999999999998E-2</v>
      </c>
      <c r="BX172">
        <v>2.1992100000000001E-2</v>
      </c>
      <c r="BY172">
        <v>3.3988600000000001E-2</v>
      </c>
      <c r="BZ172">
        <v>26</v>
      </c>
      <c r="CA172">
        <v>33528.6</v>
      </c>
      <c r="CB172">
        <v>1690306253.5999999</v>
      </c>
      <c r="CC172" t="s">
        <v>332</v>
      </c>
      <c r="CD172">
        <v>1690306253.5999999</v>
      </c>
      <c r="CE172">
        <v>1690306251.5999999</v>
      </c>
      <c r="CF172">
        <v>9</v>
      </c>
      <c r="CG172">
        <v>0.19</v>
      </c>
      <c r="CH172">
        <v>-8.7999999999999995E-2</v>
      </c>
      <c r="CI172">
        <v>-5.0999999999999997E-2</v>
      </c>
      <c r="CJ172">
        <v>5.0999999999999997E-2</v>
      </c>
      <c r="CK172">
        <v>799</v>
      </c>
      <c r="CL172">
        <v>15</v>
      </c>
      <c r="CM172">
        <v>0.28000000000000003</v>
      </c>
      <c r="CN172">
        <v>0.03</v>
      </c>
      <c r="CO172">
        <v>-308.00514634146339</v>
      </c>
      <c r="CP172">
        <v>-5.7339303135885604</v>
      </c>
      <c r="CQ172">
        <v>0.56730034893453718</v>
      </c>
      <c r="CR172">
        <v>-1</v>
      </c>
      <c r="CS172">
        <v>19.316378048780489</v>
      </c>
      <c r="CT172">
        <v>0.52610592334493789</v>
      </c>
      <c r="CU172">
        <v>5.1907645530166573E-2</v>
      </c>
      <c r="CV172">
        <v>-1</v>
      </c>
      <c r="CW172">
        <v>0</v>
      </c>
      <c r="CX172">
        <v>0</v>
      </c>
      <c r="CY172" t="s">
        <v>333</v>
      </c>
      <c r="CZ172">
        <v>2.3649800000000001</v>
      </c>
      <c r="DA172">
        <v>2.7138599999999999</v>
      </c>
      <c r="DB172">
        <v>0.104376</v>
      </c>
      <c r="DC172">
        <v>0.146173</v>
      </c>
      <c r="DD172">
        <v>0.102161</v>
      </c>
      <c r="DE172">
        <v>9.3167900000000001E-3</v>
      </c>
      <c r="DF172">
        <v>32719.7</v>
      </c>
      <c r="DG172">
        <v>27544.2</v>
      </c>
      <c r="DH172">
        <v>31187.9</v>
      </c>
      <c r="DI172">
        <v>28110</v>
      </c>
      <c r="DJ172">
        <v>38021</v>
      </c>
      <c r="DK172">
        <v>39613.1</v>
      </c>
      <c r="DL172">
        <v>44388.2</v>
      </c>
      <c r="DM172">
        <v>42612.5</v>
      </c>
      <c r="DN172">
        <v>1.43788</v>
      </c>
      <c r="DO172">
        <v>2.0298500000000002</v>
      </c>
      <c r="DP172">
        <v>0.179373</v>
      </c>
      <c r="DQ172">
        <v>0.151254</v>
      </c>
      <c r="DR172">
        <v>24.024699999999999</v>
      </c>
      <c r="DS172">
        <v>23.607800000000001</v>
      </c>
      <c r="DT172">
        <v>31.3</v>
      </c>
      <c r="DU172">
        <v>29.5</v>
      </c>
      <c r="DV172">
        <v>13.060600000000001</v>
      </c>
      <c r="DW172">
        <v>61.753100000000003</v>
      </c>
      <c r="DX172">
        <v>36.137799999999999</v>
      </c>
      <c r="DY172">
        <v>1</v>
      </c>
      <c r="DZ172">
        <v>-9.6859799999999996E-2</v>
      </c>
      <c r="EA172">
        <v>1.1151</v>
      </c>
      <c r="EB172">
        <v>20.185300000000002</v>
      </c>
      <c r="EC172">
        <v>5.2416999999999998</v>
      </c>
      <c r="ED172">
        <v>12.039899999999999</v>
      </c>
      <c r="EE172">
        <v>5.0176999999999996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1.8689199999999999</v>
      </c>
      <c r="EL172">
        <v>1.8646199999999999</v>
      </c>
      <c r="EM172">
        <v>1.8692</v>
      </c>
      <c r="EN172">
        <v>1.8672299999999999</v>
      </c>
      <c r="EO172">
        <v>1.8633999999999999</v>
      </c>
      <c r="EP172">
        <v>1.8644700000000001</v>
      </c>
      <c r="EQ172">
        <v>1.87018</v>
      </c>
      <c r="ER172">
        <v>1.86938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0.16700000000000001</v>
      </c>
      <c r="FG172">
        <v>0.21010000000000001</v>
      </c>
      <c r="FH172">
        <v>0.49996858830924029</v>
      </c>
      <c r="FI172">
        <v>-6.1462078757559423E-4</v>
      </c>
      <c r="FJ172">
        <v>-1.8861989874597051E-7</v>
      </c>
      <c r="FK172">
        <v>1.1980462299894961E-10</v>
      </c>
      <c r="FL172">
        <v>-3.8593581000597899E-2</v>
      </c>
      <c r="FM172">
        <v>-1.6848085045870601E-2</v>
      </c>
      <c r="FN172">
        <v>1.9789084769509481E-3</v>
      </c>
      <c r="FO172">
        <v>-2.7142391389806329E-5</v>
      </c>
      <c r="FP172">
        <v>3</v>
      </c>
      <c r="FQ172">
        <v>2158</v>
      </c>
      <c r="FR172">
        <v>1</v>
      </c>
      <c r="FS172">
        <v>19</v>
      </c>
      <c r="FT172">
        <v>34.9</v>
      </c>
      <c r="FU172">
        <v>35</v>
      </c>
      <c r="FV172">
        <v>1.7651399999999999</v>
      </c>
      <c r="FW172">
        <v>2.5976599999999999</v>
      </c>
      <c r="FX172">
        <v>1.5490699999999999</v>
      </c>
      <c r="FY172">
        <v>2.3278799999999999</v>
      </c>
      <c r="FZ172">
        <v>1.50024</v>
      </c>
      <c r="GA172">
        <v>2.34375</v>
      </c>
      <c r="GB172">
        <v>34.077100000000002</v>
      </c>
      <c r="GC172">
        <v>23.982399999999998</v>
      </c>
      <c r="GD172">
        <v>19</v>
      </c>
      <c r="GE172">
        <v>266.69499999999999</v>
      </c>
      <c r="GF172">
        <v>577.43200000000002</v>
      </c>
      <c r="GG172">
        <v>21.500900000000001</v>
      </c>
      <c r="GH172">
        <v>26.121300000000002</v>
      </c>
      <c r="GI172">
        <v>29.9999</v>
      </c>
      <c r="GJ172">
        <v>26.3064</v>
      </c>
      <c r="GK172">
        <v>26.306000000000001</v>
      </c>
      <c r="GL172">
        <v>35.28</v>
      </c>
      <c r="GM172">
        <v>87.517300000000006</v>
      </c>
      <c r="GN172">
        <v>29.990300000000001</v>
      </c>
      <c r="GO172">
        <v>21.517299999999999</v>
      </c>
      <c r="GP172">
        <v>800</v>
      </c>
      <c r="GQ172">
        <v>1.04382</v>
      </c>
      <c r="GR172">
        <v>99.794399999999996</v>
      </c>
      <c r="GS172">
        <v>99.678600000000003</v>
      </c>
    </row>
    <row r="173" spans="1:201" x14ac:dyDescent="0.25">
      <c r="A173">
        <v>157</v>
      </c>
      <c r="B173">
        <v>1690308360</v>
      </c>
      <c r="C173">
        <v>1741.400000095367</v>
      </c>
      <c r="D173" t="s">
        <v>647</v>
      </c>
      <c r="E173" t="s">
        <v>648</v>
      </c>
      <c r="F173" t="s">
        <v>330</v>
      </c>
      <c r="H173">
        <v>1690308360</v>
      </c>
      <c r="I173">
        <f t="shared" si="60"/>
        <v>1.9150654583036093E-3</v>
      </c>
      <c r="J173">
        <f t="shared" si="61"/>
        <v>1.9150654583036093</v>
      </c>
      <c r="K173">
        <f t="shared" si="62"/>
        <v>28.870253913440759</v>
      </c>
      <c r="L173">
        <f t="shared" si="63"/>
        <v>490.09699999999998</v>
      </c>
      <c r="M173">
        <f t="shared" si="64"/>
        <v>161.25586603432575</v>
      </c>
      <c r="N173">
        <f t="shared" si="65"/>
        <v>16.012742280098848</v>
      </c>
      <c r="O173">
        <f t="shared" si="66"/>
        <v>48.6667378139229</v>
      </c>
      <c r="P173">
        <f t="shared" si="67"/>
        <v>0.14808879580778253</v>
      </c>
      <c r="Q173">
        <f t="shared" si="68"/>
        <v>2.1998638890353828</v>
      </c>
      <c r="R173">
        <f t="shared" si="69"/>
        <v>0.14276510873172354</v>
      </c>
      <c r="S173">
        <f t="shared" si="70"/>
        <v>8.9690560439358399E-2</v>
      </c>
      <c r="T173">
        <f t="shared" si="71"/>
        <v>276.11386435800006</v>
      </c>
      <c r="U173">
        <f t="shared" si="72"/>
        <v>25.824717842716765</v>
      </c>
      <c r="V173">
        <f t="shared" si="73"/>
        <v>25.824717842716765</v>
      </c>
      <c r="W173">
        <f t="shared" si="74"/>
        <v>3.3394186723822323</v>
      </c>
      <c r="X173">
        <f t="shared" si="75"/>
        <v>66.814845645713376</v>
      </c>
      <c r="Y173">
        <f t="shared" si="76"/>
        <v>2.0434991388902999</v>
      </c>
      <c r="Z173">
        <f t="shared" si="77"/>
        <v>3.0584507367209701</v>
      </c>
      <c r="AA173">
        <f t="shared" si="78"/>
        <v>1.2959195334919325</v>
      </c>
      <c r="AB173">
        <f t="shared" si="79"/>
        <v>-84.454386711189173</v>
      </c>
      <c r="AC173">
        <f t="shared" si="80"/>
        <v>-174.94759246454183</v>
      </c>
      <c r="AD173">
        <f t="shared" si="81"/>
        <v>-16.836655646037997</v>
      </c>
      <c r="AE173">
        <f t="shared" si="82"/>
        <v>-0.12477046376889689</v>
      </c>
      <c r="AF173">
        <v>12</v>
      </c>
      <c r="AG173">
        <v>4</v>
      </c>
      <c r="AH173">
        <f t="shared" si="83"/>
        <v>1</v>
      </c>
      <c r="AI173">
        <f t="shared" si="84"/>
        <v>0</v>
      </c>
      <c r="AJ173">
        <f t="shared" si="85"/>
        <v>53093.339801640534</v>
      </c>
      <c r="AK173">
        <f t="shared" si="86"/>
        <v>1800</v>
      </c>
      <c r="AL173">
        <f t="shared" si="87"/>
        <v>1499.1138378000001</v>
      </c>
      <c r="AM173">
        <f t="shared" si="88"/>
        <v>0.83284102100000001</v>
      </c>
      <c r="AN173">
        <f t="shared" si="89"/>
        <v>0.15339659131000002</v>
      </c>
      <c r="AO173">
        <v>31.2</v>
      </c>
      <c r="AP173">
        <v>0.5</v>
      </c>
      <c r="AQ173" t="s">
        <v>331</v>
      </c>
      <c r="AR173">
        <v>2</v>
      </c>
      <c r="AS173">
        <v>1690308360</v>
      </c>
      <c r="AT173">
        <v>490.09699999999998</v>
      </c>
      <c r="AU173">
        <v>800.02300000000002</v>
      </c>
      <c r="AV173">
        <v>20.579000000000001</v>
      </c>
      <c r="AW173">
        <v>1.07758</v>
      </c>
      <c r="AX173">
        <v>489.92899999999997</v>
      </c>
      <c r="AY173">
        <v>20.3691</v>
      </c>
      <c r="AZ173">
        <v>300.08300000000003</v>
      </c>
      <c r="BA173">
        <v>99.200299999999999</v>
      </c>
      <c r="BB173">
        <v>9.9915699999999996E-2</v>
      </c>
      <c r="BC173">
        <v>24.349599999999999</v>
      </c>
      <c r="BD173">
        <v>26.987100000000002</v>
      </c>
      <c r="BE173">
        <v>26.084499999999998</v>
      </c>
      <c r="BF173">
        <v>0</v>
      </c>
      <c r="BG173">
        <v>0</v>
      </c>
      <c r="BH173">
        <v>10033.799999999999</v>
      </c>
      <c r="BI173">
        <v>1041.55</v>
      </c>
      <c r="BJ173">
        <v>1.62592</v>
      </c>
      <c r="BK173">
        <v>-309.92599999999999</v>
      </c>
      <c r="BL173">
        <v>500.39499999999998</v>
      </c>
      <c r="BM173">
        <v>800.88599999999997</v>
      </c>
      <c r="BN173">
        <v>19.5014</v>
      </c>
      <c r="BO173">
        <v>800.02300000000002</v>
      </c>
      <c r="BP173">
        <v>1.07758</v>
      </c>
      <c r="BQ173">
        <v>2.0414500000000002</v>
      </c>
      <c r="BR173">
        <v>0.106896</v>
      </c>
      <c r="BS173">
        <v>17.769500000000001</v>
      </c>
      <c r="BT173">
        <v>-21.8764</v>
      </c>
      <c r="BU173">
        <v>1800</v>
      </c>
      <c r="BV173">
        <v>0.91002400000000006</v>
      </c>
      <c r="BW173">
        <v>3.3995600000000001E-2</v>
      </c>
      <c r="BX173">
        <v>2.1991799999999999E-2</v>
      </c>
      <c r="BY173">
        <v>3.39881E-2</v>
      </c>
      <c r="BZ173">
        <v>26</v>
      </c>
      <c r="CA173">
        <v>33528.6</v>
      </c>
      <c r="CB173">
        <v>1690306253.5999999</v>
      </c>
      <c r="CC173" t="s">
        <v>332</v>
      </c>
      <c r="CD173">
        <v>1690306253.5999999</v>
      </c>
      <c r="CE173">
        <v>1690306251.5999999</v>
      </c>
      <c r="CF173">
        <v>9</v>
      </c>
      <c r="CG173">
        <v>0.19</v>
      </c>
      <c r="CH173">
        <v>-8.7999999999999995E-2</v>
      </c>
      <c r="CI173">
        <v>-5.0999999999999997E-2</v>
      </c>
      <c r="CJ173">
        <v>5.0999999999999997E-2</v>
      </c>
      <c r="CK173">
        <v>799</v>
      </c>
      <c r="CL173">
        <v>15</v>
      </c>
      <c r="CM173">
        <v>0.28000000000000003</v>
      </c>
      <c r="CN173">
        <v>0.03</v>
      </c>
      <c r="CO173">
        <v>-309.02924390243902</v>
      </c>
      <c r="CP173">
        <v>-5.3129268292679708</v>
      </c>
      <c r="CQ173">
        <v>0.52576544805194469</v>
      </c>
      <c r="CR173">
        <v>-1</v>
      </c>
      <c r="CS173">
        <v>19.410402439024391</v>
      </c>
      <c r="CT173">
        <v>0.50219372822300468</v>
      </c>
      <c r="CU173">
        <v>4.9542086015165833E-2</v>
      </c>
      <c r="CV173">
        <v>-1</v>
      </c>
      <c r="CW173">
        <v>0</v>
      </c>
      <c r="CX173">
        <v>0</v>
      </c>
      <c r="CY173" t="s">
        <v>333</v>
      </c>
      <c r="CZ173">
        <v>2.3644099999999999</v>
      </c>
      <c r="DA173">
        <v>2.71374</v>
      </c>
      <c r="DB173">
        <v>0.104244</v>
      </c>
      <c r="DC173">
        <v>0.146179</v>
      </c>
      <c r="DD173">
        <v>0.102133</v>
      </c>
      <c r="DE173">
        <v>8.6187599999999996E-3</v>
      </c>
      <c r="DF173">
        <v>32724.5</v>
      </c>
      <c r="DG173">
        <v>27544.5</v>
      </c>
      <c r="DH173">
        <v>31187.9</v>
      </c>
      <c r="DI173">
        <v>28110.5</v>
      </c>
      <c r="DJ173">
        <v>38022.1</v>
      </c>
      <c r="DK173">
        <v>39641.9</v>
      </c>
      <c r="DL173">
        <v>44388.1</v>
      </c>
      <c r="DM173">
        <v>42613.4</v>
      </c>
      <c r="DN173">
        <v>1.43788</v>
      </c>
      <c r="DO173">
        <v>2.0299999999999998</v>
      </c>
      <c r="DP173">
        <v>0.180699</v>
      </c>
      <c r="DQ173">
        <v>0.15090400000000001</v>
      </c>
      <c r="DR173">
        <v>24.024699999999999</v>
      </c>
      <c r="DS173">
        <v>23.607800000000001</v>
      </c>
      <c r="DT173">
        <v>30.9</v>
      </c>
      <c r="DU173">
        <v>29.5</v>
      </c>
      <c r="DV173">
        <v>12.893700000000001</v>
      </c>
      <c r="DW173">
        <v>61.383099999999999</v>
      </c>
      <c r="DX173">
        <v>36.838900000000002</v>
      </c>
      <c r="DY173">
        <v>1</v>
      </c>
      <c r="DZ173">
        <v>-9.7426299999999993E-2</v>
      </c>
      <c r="EA173">
        <v>1.04203</v>
      </c>
      <c r="EB173">
        <v>20.1861</v>
      </c>
      <c r="EC173">
        <v>5.24125</v>
      </c>
      <c r="ED173">
        <v>12.039899999999999</v>
      </c>
      <c r="EE173">
        <v>5.0175999999999998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1.8646199999999999</v>
      </c>
      <c r="EM173">
        <v>1.8692</v>
      </c>
      <c r="EN173">
        <v>1.8672299999999999</v>
      </c>
      <c r="EO173">
        <v>1.8633999999999999</v>
      </c>
      <c r="EP173">
        <v>1.8644700000000001</v>
      </c>
      <c r="EQ173">
        <v>1.8702099999999999</v>
      </c>
      <c r="ER173">
        <v>1.8693900000000001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0.16800000000000001</v>
      </c>
      <c r="FG173">
        <v>0.2099</v>
      </c>
      <c r="FH173">
        <v>0.49996858830924029</v>
      </c>
      <c r="FI173">
        <v>-6.1462078757559423E-4</v>
      </c>
      <c r="FJ173">
        <v>-1.8861989874597051E-7</v>
      </c>
      <c r="FK173">
        <v>1.1980462299894961E-10</v>
      </c>
      <c r="FL173">
        <v>-3.8593581000597899E-2</v>
      </c>
      <c r="FM173">
        <v>-1.6848085045870601E-2</v>
      </c>
      <c r="FN173">
        <v>1.9789084769509481E-3</v>
      </c>
      <c r="FO173">
        <v>-2.7142391389806329E-5</v>
      </c>
      <c r="FP173">
        <v>3</v>
      </c>
      <c r="FQ173">
        <v>2158</v>
      </c>
      <c r="FR173">
        <v>1</v>
      </c>
      <c r="FS173">
        <v>19</v>
      </c>
      <c r="FT173">
        <v>35.1</v>
      </c>
      <c r="FU173">
        <v>35.1</v>
      </c>
      <c r="FV173">
        <v>1.7639199999999999</v>
      </c>
      <c r="FW173">
        <v>2.5927699999999998</v>
      </c>
      <c r="FX173">
        <v>1.5490699999999999</v>
      </c>
      <c r="FY173">
        <v>2.3278799999999999</v>
      </c>
      <c r="FZ173">
        <v>1.50146</v>
      </c>
      <c r="GA173">
        <v>2.3754900000000001</v>
      </c>
      <c r="GB173">
        <v>34.054499999999997</v>
      </c>
      <c r="GC173">
        <v>23.991199999999999</v>
      </c>
      <c r="GD173">
        <v>19</v>
      </c>
      <c r="GE173">
        <v>266.685</v>
      </c>
      <c r="GF173">
        <v>577.51599999999996</v>
      </c>
      <c r="GG173">
        <v>21.546299999999999</v>
      </c>
      <c r="GH173">
        <v>26.118400000000001</v>
      </c>
      <c r="GI173">
        <v>29.9999</v>
      </c>
      <c r="GJ173">
        <v>26.303999999999998</v>
      </c>
      <c r="GK173">
        <v>26.302499999999998</v>
      </c>
      <c r="GL173">
        <v>35.272199999999998</v>
      </c>
      <c r="GM173">
        <v>88.692499999999995</v>
      </c>
      <c r="GN173">
        <v>29.217400000000001</v>
      </c>
      <c r="GO173">
        <v>21.564499999999999</v>
      </c>
      <c r="GP173">
        <v>800</v>
      </c>
      <c r="GQ173">
        <v>0.93700499999999998</v>
      </c>
      <c r="GR173">
        <v>99.794300000000007</v>
      </c>
      <c r="GS173">
        <v>99.680499999999995</v>
      </c>
    </row>
    <row r="174" spans="1:201" x14ac:dyDescent="0.25">
      <c r="A174">
        <v>158</v>
      </c>
      <c r="B174">
        <v>1690308370</v>
      </c>
      <c r="C174">
        <v>1751.400000095367</v>
      </c>
      <c r="D174" t="s">
        <v>649</v>
      </c>
      <c r="E174" t="s">
        <v>650</v>
      </c>
      <c r="F174" t="s">
        <v>330</v>
      </c>
      <c r="H174">
        <v>1690308370</v>
      </c>
      <c r="I174">
        <f t="shared" si="60"/>
        <v>1.9245498926741197E-3</v>
      </c>
      <c r="J174">
        <f t="shared" si="61"/>
        <v>1.9245498926741198</v>
      </c>
      <c r="K174">
        <f t="shared" si="62"/>
        <v>28.956735106416673</v>
      </c>
      <c r="L174">
        <f t="shared" si="63"/>
        <v>489.24799999999999</v>
      </c>
      <c r="M174">
        <f t="shared" si="64"/>
        <v>160.71504048785789</v>
      </c>
      <c r="N174">
        <f t="shared" si="65"/>
        <v>15.959212032137819</v>
      </c>
      <c r="O174">
        <f t="shared" si="66"/>
        <v>48.582961150355203</v>
      </c>
      <c r="P174">
        <f t="shared" si="67"/>
        <v>0.14870307122538975</v>
      </c>
      <c r="Q174">
        <f t="shared" si="68"/>
        <v>2.1937292649235403</v>
      </c>
      <c r="R174">
        <f t="shared" si="69"/>
        <v>0.14332156370148472</v>
      </c>
      <c r="S174">
        <f t="shared" si="70"/>
        <v>9.0043258674111476E-2</v>
      </c>
      <c r="T174">
        <f t="shared" si="71"/>
        <v>276.11403847199995</v>
      </c>
      <c r="U174">
        <f t="shared" si="72"/>
        <v>25.830449480776707</v>
      </c>
      <c r="V174">
        <f t="shared" si="73"/>
        <v>25.830449480776707</v>
      </c>
      <c r="W174">
        <f t="shared" si="74"/>
        <v>3.3405529261938027</v>
      </c>
      <c r="X174">
        <f t="shared" si="75"/>
        <v>66.786322318983181</v>
      </c>
      <c r="Y174">
        <f t="shared" si="76"/>
        <v>2.0432632158213599</v>
      </c>
      <c r="Z174">
        <f t="shared" si="77"/>
        <v>3.059403699551499</v>
      </c>
      <c r="AA174">
        <f t="shared" si="78"/>
        <v>1.2972897103724428</v>
      </c>
      <c r="AB174">
        <f t="shared" si="79"/>
        <v>-84.872650266928687</v>
      </c>
      <c r="AC174">
        <f t="shared" si="80"/>
        <v>-174.52260290078479</v>
      </c>
      <c r="AD174">
        <f t="shared" si="81"/>
        <v>-16.843650228362222</v>
      </c>
      <c r="AE174">
        <f t="shared" si="82"/>
        <v>-0.12486492407575156</v>
      </c>
      <c r="AF174">
        <v>12</v>
      </c>
      <c r="AG174">
        <v>4</v>
      </c>
      <c r="AH174">
        <f t="shared" si="83"/>
        <v>1</v>
      </c>
      <c r="AI174">
        <f t="shared" si="84"/>
        <v>0</v>
      </c>
      <c r="AJ174">
        <f t="shared" si="85"/>
        <v>52838.965653679341</v>
      </c>
      <c r="AK174">
        <f t="shared" si="86"/>
        <v>1800</v>
      </c>
      <c r="AL174">
        <f t="shared" si="87"/>
        <v>1499.1149321999999</v>
      </c>
      <c r="AM174">
        <f t="shared" si="88"/>
        <v>0.83284162899999992</v>
      </c>
      <c r="AN174">
        <f t="shared" si="89"/>
        <v>0.15339668803999998</v>
      </c>
      <c r="AO174">
        <v>31.2</v>
      </c>
      <c r="AP174">
        <v>0.5</v>
      </c>
      <c r="AQ174" t="s">
        <v>331</v>
      </c>
      <c r="AR174">
        <v>2</v>
      </c>
      <c r="AS174">
        <v>1690308370</v>
      </c>
      <c r="AT174">
        <v>489.24799999999999</v>
      </c>
      <c r="AU174">
        <v>800.03200000000004</v>
      </c>
      <c r="AV174">
        <v>20.5764</v>
      </c>
      <c r="AW174">
        <v>0.98291700000000004</v>
      </c>
      <c r="AX174">
        <v>489.08</v>
      </c>
      <c r="AY174">
        <v>20.366599999999998</v>
      </c>
      <c r="AZ174">
        <v>300.15300000000002</v>
      </c>
      <c r="BA174">
        <v>99.201300000000003</v>
      </c>
      <c r="BB174">
        <v>9.99974E-2</v>
      </c>
      <c r="BC174">
        <v>24.354800000000001</v>
      </c>
      <c r="BD174">
        <v>26.982900000000001</v>
      </c>
      <c r="BE174">
        <v>26.084299999999999</v>
      </c>
      <c r="BF174">
        <v>0</v>
      </c>
      <c r="BG174">
        <v>0</v>
      </c>
      <c r="BH174">
        <v>9983.75</v>
      </c>
      <c r="BI174">
        <v>1041.46</v>
      </c>
      <c r="BJ174">
        <v>1.62592</v>
      </c>
      <c r="BK174">
        <v>-310.78399999999999</v>
      </c>
      <c r="BL174">
        <v>499.52699999999999</v>
      </c>
      <c r="BM174">
        <v>800.81899999999996</v>
      </c>
      <c r="BN174">
        <v>19.593499999999999</v>
      </c>
      <c r="BO174">
        <v>800.03200000000004</v>
      </c>
      <c r="BP174">
        <v>0.98291700000000004</v>
      </c>
      <c r="BQ174">
        <v>2.04121</v>
      </c>
      <c r="BR174">
        <v>9.7506599999999999E-2</v>
      </c>
      <c r="BS174">
        <v>17.767600000000002</v>
      </c>
      <c r="BT174">
        <v>-22.9178</v>
      </c>
      <c r="BU174">
        <v>1800</v>
      </c>
      <c r="BV174">
        <v>0.91002499999999997</v>
      </c>
      <c r="BW174">
        <v>3.3995499999999998E-2</v>
      </c>
      <c r="BX174">
        <v>2.1991699999999999E-2</v>
      </c>
      <c r="BY174">
        <v>3.3987999999999997E-2</v>
      </c>
      <c r="BZ174">
        <v>26</v>
      </c>
      <c r="CA174">
        <v>33528.5</v>
      </c>
      <c r="CB174">
        <v>1690306253.5999999</v>
      </c>
      <c r="CC174" t="s">
        <v>332</v>
      </c>
      <c r="CD174">
        <v>1690306253.5999999</v>
      </c>
      <c r="CE174">
        <v>1690306251.5999999</v>
      </c>
      <c r="CF174">
        <v>9</v>
      </c>
      <c r="CG174">
        <v>0.19</v>
      </c>
      <c r="CH174">
        <v>-8.7999999999999995E-2</v>
      </c>
      <c r="CI174">
        <v>-5.0999999999999997E-2</v>
      </c>
      <c r="CJ174">
        <v>5.0999999999999997E-2</v>
      </c>
      <c r="CK174">
        <v>799</v>
      </c>
      <c r="CL174">
        <v>15</v>
      </c>
      <c r="CM174">
        <v>0.28000000000000003</v>
      </c>
      <c r="CN174">
        <v>0.03</v>
      </c>
      <c r="CO174">
        <v>-309.87073170731708</v>
      </c>
      <c r="CP174">
        <v>-5.0120278745644882</v>
      </c>
      <c r="CQ174">
        <v>0.49655938285563272</v>
      </c>
      <c r="CR174">
        <v>-1</v>
      </c>
      <c r="CS174">
        <v>19.497282926829271</v>
      </c>
      <c r="CT174">
        <v>0.53983066202087759</v>
      </c>
      <c r="CU174">
        <v>5.3261718749178358E-2</v>
      </c>
      <c r="CV174">
        <v>-1</v>
      </c>
      <c r="CW174">
        <v>0</v>
      </c>
      <c r="CX174">
        <v>0</v>
      </c>
      <c r="CY174" t="s">
        <v>333</v>
      </c>
      <c r="CZ174">
        <v>2.3646400000000001</v>
      </c>
      <c r="DA174">
        <v>2.7137699999999998</v>
      </c>
      <c r="DB174">
        <v>0.104113</v>
      </c>
      <c r="DC174">
        <v>0.14618100000000001</v>
      </c>
      <c r="DD174">
        <v>0.10212499999999999</v>
      </c>
      <c r="DE174">
        <v>7.9014600000000008E-3</v>
      </c>
      <c r="DF174">
        <v>32729.8</v>
      </c>
      <c r="DG174">
        <v>27545.1</v>
      </c>
      <c r="DH174">
        <v>31188.400000000001</v>
      </c>
      <c r="DI174">
        <v>28111.200000000001</v>
      </c>
      <c r="DJ174">
        <v>38023.1</v>
      </c>
      <c r="DK174">
        <v>39671.300000000003</v>
      </c>
      <c r="DL174">
        <v>44388.9</v>
      </c>
      <c r="DM174">
        <v>42614.1</v>
      </c>
      <c r="DN174">
        <v>1.4380200000000001</v>
      </c>
      <c r="DO174">
        <v>2.0295700000000001</v>
      </c>
      <c r="DP174">
        <v>0.18031900000000001</v>
      </c>
      <c r="DQ174">
        <v>0.150897</v>
      </c>
      <c r="DR174">
        <v>24.026700000000002</v>
      </c>
      <c r="DS174">
        <v>23.607800000000001</v>
      </c>
      <c r="DT174">
        <v>30.6</v>
      </c>
      <c r="DU174">
        <v>29.5</v>
      </c>
      <c r="DV174">
        <v>12.768599999999999</v>
      </c>
      <c r="DW174">
        <v>61.793100000000003</v>
      </c>
      <c r="DX174">
        <v>37.403799999999997</v>
      </c>
      <c r="DY174">
        <v>1</v>
      </c>
      <c r="DZ174">
        <v>-9.7644800000000004E-2</v>
      </c>
      <c r="EA174">
        <v>1.0531600000000001</v>
      </c>
      <c r="EB174">
        <v>20.1859</v>
      </c>
      <c r="EC174">
        <v>5.24125</v>
      </c>
      <c r="ED174">
        <v>12.039899999999999</v>
      </c>
      <c r="EE174">
        <v>5.0175000000000001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1.8689199999999999</v>
      </c>
      <c r="EL174">
        <v>1.8646199999999999</v>
      </c>
      <c r="EM174">
        <v>1.8691899999999999</v>
      </c>
      <c r="EN174">
        <v>1.8672299999999999</v>
      </c>
      <c r="EO174">
        <v>1.8633999999999999</v>
      </c>
      <c r="EP174">
        <v>1.8644700000000001</v>
      </c>
      <c r="EQ174">
        <v>1.87019</v>
      </c>
      <c r="ER174">
        <v>1.86937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0.16800000000000001</v>
      </c>
      <c r="FG174">
        <v>0.20979999999999999</v>
      </c>
      <c r="FH174">
        <v>0.49996858830924029</v>
      </c>
      <c r="FI174">
        <v>-6.1462078757559423E-4</v>
      </c>
      <c r="FJ174">
        <v>-1.8861989874597051E-7</v>
      </c>
      <c r="FK174">
        <v>1.1980462299894961E-10</v>
      </c>
      <c r="FL174">
        <v>-3.8593581000597899E-2</v>
      </c>
      <c r="FM174">
        <v>-1.6848085045870601E-2</v>
      </c>
      <c r="FN174">
        <v>1.9789084769509481E-3</v>
      </c>
      <c r="FO174">
        <v>-2.7142391389806329E-5</v>
      </c>
      <c r="FP174">
        <v>3</v>
      </c>
      <c r="FQ174">
        <v>2158</v>
      </c>
      <c r="FR174">
        <v>1</v>
      </c>
      <c r="FS174">
        <v>19</v>
      </c>
      <c r="FT174">
        <v>35.299999999999997</v>
      </c>
      <c r="FU174">
        <v>35.299999999999997</v>
      </c>
      <c r="FV174">
        <v>1.7639199999999999</v>
      </c>
      <c r="FW174">
        <v>2.5891099999999998</v>
      </c>
      <c r="FX174">
        <v>1.5490699999999999</v>
      </c>
      <c r="FY174">
        <v>2.3278799999999999</v>
      </c>
      <c r="FZ174">
        <v>1.50146</v>
      </c>
      <c r="GA174">
        <v>2.3742700000000001</v>
      </c>
      <c r="GB174">
        <v>34.054499999999997</v>
      </c>
      <c r="GC174">
        <v>23.991199999999999</v>
      </c>
      <c r="GD174">
        <v>19</v>
      </c>
      <c r="GE174">
        <v>266.733</v>
      </c>
      <c r="GF174">
        <v>577.13300000000004</v>
      </c>
      <c r="GG174">
        <v>21.584900000000001</v>
      </c>
      <c r="GH174">
        <v>26.116199999999999</v>
      </c>
      <c r="GI174">
        <v>29.9999</v>
      </c>
      <c r="GJ174">
        <v>26.300899999999999</v>
      </c>
      <c r="GK174">
        <v>26.299399999999999</v>
      </c>
      <c r="GL174">
        <v>35.273699999999998</v>
      </c>
      <c r="GM174">
        <v>89.952500000000001</v>
      </c>
      <c r="GN174">
        <v>28.8354</v>
      </c>
      <c r="GO174">
        <v>21.5945</v>
      </c>
      <c r="GP174">
        <v>800</v>
      </c>
      <c r="GQ174">
        <v>0.83047899999999997</v>
      </c>
      <c r="GR174">
        <v>99.796000000000006</v>
      </c>
      <c r="GS174">
        <v>99.682500000000005</v>
      </c>
    </row>
    <row r="175" spans="1:201" x14ac:dyDescent="0.25">
      <c r="A175">
        <v>159</v>
      </c>
      <c r="B175">
        <v>1690308380</v>
      </c>
      <c r="C175">
        <v>1761.400000095367</v>
      </c>
      <c r="D175" t="s">
        <v>651</v>
      </c>
      <c r="E175" t="s">
        <v>652</v>
      </c>
      <c r="F175" t="s">
        <v>330</v>
      </c>
      <c r="H175">
        <v>1690308380</v>
      </c>
      <c r="I175">
        <f t="shared" si="60"/>
        <v>1.9318944774953991E-3</v>
      </c>
      <c r="J175">
        <f t="shared" si="61"/>
        <v>1.931894477495399</v>
      </c>
      <c r="K175">
        <f t="shared" si="62"/>
        <v>29.026075420187318</v>
      </c>
      <c r="L175">
        <f t="shared" si="63"/>
        <v>488.31200000000001</v>
      </c>
      <c r="M175">
        <f t="shared" si="64"/>
        <v>159.79321198759939</v>
      </c>
      <c r="N175">
        <f t="shared" si="65"/>
        <v>15.867890472994906</v>
      </c>
      <c r="O175">
        <f t="shared" si="66"/>
        <v>48.490678898490401</v>
      </c>
      <c r="P175">
        <f t="shared" si="67"/>
        <v>0.14907183948041147</v>
      </c>
      <c r="Q175">
        <f t="shared" si="68"/>
        <v>2.1940542897781041</v>
      </c>
      <c r="R175">
        <f t="shared" si="69"/>
        <v>0.14366489965213972</v>
      </c>
      <c r="S175">
        <f t="shared" si="70"/>
        <v>9.0260015384585709E-2</v>
      </c>
      <c r="T175">
        <f t="shared" si="71"/>
        <v>276.11389270800004</v>
      </c>
      <c r="U175">
        <f t="shared" si="72"/>
        <v>25.836838144718936</v>
      </c>
      <c r="V175">
        <f t="shared" si="73"/>
        <v>25.836838144718936</v>
      </c>
      <c r="W175">
        <f t="shared" si="74"/>
        <v>3.3418175977177391</v>
      </c>
      <c r="X175">
        <f t="shared" si="75"/>
        <v>66.730723837187369</v>
      </c>
      <c r="Y175">
        <f t="shared" si="76"/>
        <v>2.0426755088503401</v>
      </c>
      <c r="Z175">
        <f t="shared" si="77"/>
        <v>3.0610720091005637</v>
      </c>
      <c r="AA175">
        <f t="shared" si="78"/>
        <v>1.299142088867399</v>
      </c>
      <c r="AB175">
        <f t="shared" si="79"/>
        <v>-85.1965464575471</v>
      </c>
      <c r="AC175">
        <f t="shared" si="80"/>
        <v>-174.22774761947272</v>
      </c>
      <c r="AD175">
        <f t="shared" si="81"/>
        <v>-16.814011973110166</v>
      </c>
      <c r="AE175">
        <f t="shared" si="82"/>
        <v>-0.12441334212994093</v>
      </c>
      <c r="AF175">
        <v>12</v>
      </c>
      <c r="AG175">
        <v>4</v>
      </c>
      <c r="AH175">
        <f t="shared" si="83"/>
        <v>1</v>
      </c>
      <c r="AI175">
        <f t="shared" si="84"/>
        <v>0</v>
      </c>
      <c r="AJ175">
        <f t="shared" si="85"/>
        <v>52850.789296556803</v>
      </c>
      <c r="AK175">
        <f t="shared" si="86"/>
        <v>1800</v>
      </c>
      <c r="AL175">
        <f t="shared" si="87"/>
        <v>1499.1139728000001</v>
      </c>
      <c r="AM175">
        <f t="shared" si="88"/>
        <v>0.832841096</v>
      </c>
      <c r="AN175">
        <f t="shared" si="89"/>
        <v>0.15339660706000002</v>
      </c>
      <c r="AO175">
        <v>31.2</v>
      </c>
      <c r="AP175">
        <v>0.5</v>
      </c>
      <c r="AQ175" t="s">
        <v>331</v>
      </c>
      <c r="AR175">
        <v>2</v>
      </c>
      <c r="AS175">
        <v>1690308380</v>
      </c>
      <c r="AT175">
        <v>488.31200000000001</v>
      </c>
      <c r="AU175">
        <v>799.96199999999999</v>
      </c>
      <c r="AV175">
        <v>20.5702</v>
      </c>
      <c r="AW175">
        <v>0.89382099999999998</v>
      </c>
      <c r="AX175">
        <v>488.14299999999997</v>
      </c>
      <c r="AY175">
        <v>20.360499999999998</v>
      </c>
      <c r="AZ175">
        <v>300.03100000000001</v>
      </c>
      <c r="BA175">
        <v>99.202699999999993</v>
      </c>
      <c r="BB175">
        <v>9.9956699999999996E-2</v>
      </c>
      <c r="BC175">
        <v>24.363900000000001</v>
      </c>
      <c r="BD175">
        <v>26.983599999999999</v>
      </c>
      <c r="BE175">
        <v>26.106000000000002</v>
      </c>
      <c r="BF175">
        <v>0</v>
      </c>
      <c r="BG175">
        <v>0</v>
      </c>
      <c r="BH175">
        <v>9986.25</v>
      </c>
      <c r="BI175">
        <v>1041.6199999999999</v>
      </c>
      <c r="BJ175">
        <v>1.62592</v>
      </c>
      <c r="BK175">
        <v>-311.64999999999998</v>
      </c>
      <c r="BL175">
        <v>498.56700000000001</v>
      </c>
      <c r="BM175">
        <v>800.67700000000002</v>
      </c>
      <c r="BN175">
        <v>19.676300000000001</v>
      </c>
      <c r="BO175">
        <v>799.96199999999999</v>
      </c>
      <c r="BP175">
        <v>0.89382099999999998</v>
      </c>
      <c r="BQ175">
        <v>2.0406200000000001</v>
      </c>
      <c r="BR175">
        <v>8.8669499999999998E-2</v>
      </c>
      <c r="BS175">
        <v>17.763100000000001</v>
      </c>
      <c r="BT175">
        <v>-23.983699999999999</v>
      </c>
      <c r="BU175">
        <v>1800</v>
      </c>
      <c r="BV175">
        <v>0.91002400000000006</v>
      </c>
      <c r="BW175">
        <v>3.3995600000000001E-2</v>
      </c>
      <c r="BX175">
        <v>2.1991799999999999E-2</v>
      </c>
      <c r="BY175">
        <v>3.3988200000000003E-2</v>
      </c>
      <c r="BZ175">
        <v>26</v>
      </c>
      <c r="CA175">
        <v>33528.6</v>
      </c>
      <c r="CB175">
        <v>1690306253.5999999</v>
      </c>
      <c r="CC175" t="s">
        <v>332</v>
      </c>
      <c r="CD175">
        <v>1690306253.5999999</v>
      </c>
      <c r="CE175">
        <v>1690306251.5999999</v>
      </c>
      <c r="CF175">
        <v>9</v>
      </c>
      <c r="CG175">
        <v>0.19</v>
      </c>
      <c r="CH175">
        <v>-8.7999999999999995E-2</v>
      </c>
      <c r="CI175">
        <v>-5.0999999999999997E-2</v>
      </c>
      <c r="CJ175">
        <v>5.0999999999999997E-2</v>
      </c>
      <c r="CK175">
        <v>799</v>
      </c>
      <c r="CL175">
        <v>15</v>
      </c>
      <c r="CM175">
        <v>0.28000000000000003</v>
      </c>
      <c r="CN175">
        <v>0.03</v>
      </c>
      <c r="CO175">
        <v>-310.63504878048781</v>
      </c>
      <c r="CP175">
        <v>-5.2770522648079794</v>
      </c>
      <c r="CQ175">
        <v>0.52147553090032472</v>
      </c>
      <c r="CR175">
        <v>-1</v>
      </c>
      <c r="CS175">
        <v>19.578860975609761</v>
      </c>
      <c r="CT175">
        <v>0.5496397212543207</v>
      </c>
      <c r="CU175">
        <v>5.420520125366781E-2</v>
      </c>
      <c r="CV175">
        <v>-1</v>
      </c>
      <c r="CW175">
        <v>0</v>
      </c>
      <c r="CX175">
        <v>0</v>
      </c>
      <c r="CY175" t="s">
        <v>333</v>
      </c>
      <c r="CZ175">
        <v>2.3642500000000002</v>
      </c>
      <c r="DA175">
        <v>2.71373</v>
      </c>
      <c r="DB175">
        <v>0.10396900000000001</v>
      </c>
      <c r="DC175">
        <v>0.146174</v>
      </c>
      <c r="DD175">
        <v>0.102106</v>
      </c>
      <c r="DE175">
        <v>7.2201599999999998E-3</v>
      </c>
      <c r="DF175">
        <v>32735.5</v>
      </c>
      <c r="DG175">
        <v>27545.7</v>
      </c>
      <c r="DH175">
        <v>31188.799999999999</v>
      </c>
      <c r="DI175">
        <v>28111.599999999999</v>
      </c>
      <c r="DJ175">
        <v>38024.300000000003</v>
      </c>
      <c r="DK175">
        <v>39699</v>
      </c>
      <c r="DL175">
        <v>44389.4</v>
      </c>
      <c r="DM175">
        <v>42614.5</v>
      </c>
      <c r="DN175">
        <v>1.43763</v>
      </c>
      <c r="DO175">
        <v>2.0300500000000001</v>
      </c>
      <c r="DP175">
        <v>0.180364</v>
      </c>
      <c r="DQ175">
        <v>0.15212600000000001</v>
      </c>
      <c r="DR175">
        <v>24.026700000000002</v>
      </c>
      <c r="DS175">
        <v>23.609300000000001</v>
      </c>
      <c r="DT175">
        <v>30.3</v>
      </c>
      <c r="DU175">
        <v>29.5</v>
      </c>
      <c r="DV175">
        <v>12.645099999999999</v>
      </c>
      <c r="DW175">
        <v>61.303100000000001</v>
      </c>
      <c r="DX175">
        <v>37.303699999999999</v>
      </c>
      <c r="DY175">
        <v>1</v>
      </c>
      <c r="DZ175">
        <v>-9.7962400000000005E-2</v>
      </c>
      <c r="EA175">
        <v>1.0327</v>
      </c>
      <c r="EB175">
        <v>20.186</v>
      </c>
      <c r="EC175">
        <v>5.2413999999999996</v>
      </c>
      <c r="ED175">
        <v>12.039899999999999</v>
      </c>
      <c r="EE175">
        <v>5.0175999999999998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1.8689100000000001</v>
      </c>
      <c r="EL175">
        <v>1.8646199999999999</v>
      </c>
      <c r="EM175">
        <v>1.8692</v>
      </c>
      <c r="EN175">
        <v>1.8672299999999999</v>
      </c>
      <c r="EO175">
        <v>1.8633999999999999</v>
      </c>
      <c r="EP175">
        <v>1.8644700000000001</v>
      </c>
      <c r="EQ175">
        <v>1.87018</v>
      </c>
      <c r="ER175">
        <v>1.86938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0.16900000000000001</v>
      </c>
      <c r="FG175">
        <v>0.2097</v>
      </c>
      <c r="FH175">
        <v>0.49996858830924029</v>
      </c>
      <c r="FI175">
        <v>-6.1462078757559423E-4</v>
      </c>
      <c r="FJ175">
        <v>-1.8861989874597051E-7</v>
      </c>
      <c r="FK175">
        <v>1.1980462299894961E-10</v>
      </c>
      <c r="FL175">
        <v>-3.8593581000597899E-2</v>
      </c>
      <c r="FM175">
        <v>-1.6848085045870601E-2</v>
      </c>
      <c r="FN175">
        <v>1.9789084769509481E-3</v>
      </c>
      <c r="FO175">
        <v>-2.7142391389806329E-5</v>
      </c>
      <c r="FP175">
        <v>3</v>
      </c>
      <c r="FQ175">
        <v>2158</v>
      </c>
      <c r="FR175">
        <v>1</v>
      </c>
      <c r="FS175">
        <v>19</v>
      </c>
      <c r="FT175">
        <v>35.4</v>
      </c>
      <c r="FU175">
        <v>35.5</v>
      </c>
      <c r="FV175">
        <v>1.7639199999999999</v>
      </c>
      <c r="FW175">
        <v>2.5903299999999998</v>
      </c>
      <c r="FX175">
        <v>1.5490699999999999</v>
      </c>
      <c r="FY175">
        <v>2.3278799999999999</v>
      </c>
      <c r="FZ175">
        <v>1.50146</v>
      </c>
      <c r="GA175">
        <v>2.36572</v>
      </c>
      <c r="GB175">
        <v>34.054499999999997</v>
      </c>
      <c r="GC175">
        <v>23.982399999999998</v>
      </c>
      <c r="GD175">
        <v>19</v>
      </c>
      <c r="GE175">
        <v>266.55599999999998</v>
      </c>
      <c r="GF175">
        <v>577.47699999999998</v>
      </c>
      <c r="GG175">
        <v>21.6158</v>
      </c>
      <c r="GH175">
        <v>26.114000000000001</v>
      </c>
      <c r="GI175">
        <v>30.0001</v>
      </c>
      <c r="GJ175">
        <v>26.2974</v>
      </c>
      <c r="GK175">
        <v>26.295400000000001</v>
      </c>
      <c r="GL175">
        <v>35.270699999999998</v>
      </c>
      <c r="GM175">
        <v>90.889099999999999</v>
      </c>
      <c r="GN175">
        <v>28.054300000000001</v>
      </c>
      <c r="GO175">
        <v>21.627600000000001</v>
      </c>
      <c r="GP175">
        <v>800</v>
      </c>
      <c r="GQ175">
        <v>0.796211</v>
      </c>
      <c r="GR175">
        <v>99.7971</v>
      </c>
      <c r="GS175">
        <v>99.683499999999995</v>
      </c>
    </row>
    <row r="176" spans="1:201" x14ac:dyDescent="0.25">
      <c r="A176">
        <v>160</v>
      </c>
      <c r="B176">
        <v>1690308390</v>
      </c>
      <c r="C176">
        <v>1771.400000095367</v>
      </c>
      <c r="D176" t="s">
        <v>653</v>
      </c>
      <c r="E176" t="s">
        <v>654</v>
      </c>
      <c r="F176" t="s">
        <v>330</v>
      </c>
      <c r="H176">
        <v>1690308390</v>
      </c>
      <c r="I176">
        <f t="shared" si="60"/>
        <v>1.9375220400746635E-3</v>
      </c>
      <c r="J176">
        <f t="shared" si="61"/>
        <v>1.9375220400746636</v>
      </c>
      <c r="K176">
        <f t="shared" si="62"/>
        <v>29.12296090012881</v>
      </c>
      <c r="L176">
        <f t="shared" si="63"/>
        <v>487.553</v>
      </c>
      <c r="M176">
        <f t="shared" si="64"/>
        <v>158.64782426066728</v>
      </c>
      <c r="N176">
        <f t="shared" si="65"/>
        <v>15.753332805467082</v>
      </c>
      <c r="O176">
        <f t="shared" si="66"/>
        <v>48.412795480159005</v>
      </c>
      <c r="P176">
        <f t="shared" si="67"/>
        <v>0.14939531297121447</v>
      </c>
      <c r="Q176">
        <f t="shared" si="68"/>
        <v>2.1930666296215313</v>
      </c>
      <c r="R176">
        <f t="shared" si="69"/>
        <v>0.14396299247262737</v>
      </c>
      <c r="S176">
        <f t="shared" si="70"/>
        <v>9.0448485655225758E-2</v>
      </c>
      <c r="T176">
        <f t="shared" si="71"/>
        <v>276.11405721</v>
      </c>
      <c r="U176">
        <f t="shared" si="72"/>
        <v>25.840422911095946</v>
      </c>
      <c r="V176">
        <f t="shared" si="73"/>
        <v>25.840422911095946</v>
      </c>
      <c r="W176">
        <f t="shared" si="74"/>
        <v>3.3425274052886143</v>
      </c>
      <c r="X176">
        <f t="shared" si="75"/>
        <v>66.701191117271065</v>
      </c>
      <c r="Y176">
        <f t="shared" si="76"/>
        <v>2.0423709012046003</v>
      </c>
      <c r="Z176">
        <f t="shared" si="77"/>
        <v>3.0619706589853766</v>
      </c>
      <c r="AA176">
        <f t="shared" si="78"/>
        <v>1.300156504084014</v>
      </c>
      <c r="AB176">
        <f t="shared" si="79"/>
        <v>-85.444721967292665</v>
      </c>
      <c r="AC176">
        <f t="shared" si="80"/>
        <v>-173.99381497179604</v>
      </c>
      <c r="AD176">
        <f t="shared" si="81"/>
        <v>-16.799715247188225</v>
      </c>
      <c r="AE176">
        <f t="shared" si="82"/>
        <v>-0.1241949762768968</v>
      </c>
      <c r="AF176">
        <v>12</v>
      </c>
      <c r="AG176">
        <v>4</v>
      </c>
      <c r="AH176">
        <f t="shared" si="83"/>
        <v>1</v>
      </c>
      <c r="AI176">
        <f t="shared" si="84"/>
        <v>0</v>
      </c>
      <c r="AJ176">
        <f t="shared" si="85"/>
        <v>52809.063125362663</v>
      </c>
      <c r="AK176">
        <f t="shared" si="86"/>
        <v>1800</v>
      </c>
      <c r="AL176">
        <f t="shared" si="87"/>
        <v>1499.115348</v>
      </c>
      <c r="AM176">
        <f t="shared" si="88"/>
        <v>0.83284186000000004</v>
      </c>
      <c r="AN176">
        <f t="shared" si="89"/>
        <v>0.15339669845000001</v>
      </c>
      <c r="AO176">
        <v>31.2</v>
      </c>
      <c r="AP176">
        <v>0.5</v>
      </c>
      <c r="AQ176" t="s">
        <v>331</v>
      </c>
      <c r="AR176">
        <v>2</v>
      </c>
      <c r="AS176">
        <v>1690308390</v>
      </c>
      <c r="AT176">
        <v>487.553</v>
      </c>
      <c r="AU176">
        <v>800.07899999999995</v>
      </c>
      <c r="AV176">
        <v>20.568200000000001</v>
      </c>
      <c r="AW176">
        <v>0.84360199999999996</v>
      </c>
      <c r="AX176">
        <v>487.38299999999998</v>
      </c>
      <c r="AY176">
        <v>20.358599999999999</v>
      </c>
      <c r="AZ176">
        <v>300.17</v>
      </c>
      <c r="BA176">
        <v>99.197500000000005</v>
      </c>
      <c r="BB176">
        <v>0.10000299999999999</v>
      </c>
      <c r="BC176">
        <v>24.3688</v>
      </c>
      <c r="BD176">
        <v>27.014399999999998</v>
      </c>
      <c r="BE176">
        <v>26.1052</v>
      </c>
      <c r="BF176">
        <v>0</v>
      </c>
      <c r="BG176">
        <v>0</v>
      </c>
      <c r="BH176">
        <v>9978.75</v>
      </c>
      <c r="BI176">
        <v>1041.5999999999999</v>
      </c>
      <c r="BJ176">
        <v>1.62592</v>
      </c>
      <c r="BK176">
        <v>-312.52600000000001</v>
      </c>
      <c r="BL176">
        <v>497.79199999999997</v>
      </c>
      <c r="BM176">
        <v>800.755</v>
      </c>
      <c r="BN176">
        <v>19.724599999999999</v>
      </c>
      <c r="BO176">
        <v>800.07899999999995</v>
      </c>
      <c r="BP176">
        <v>0.84360199999999996</v>
      </c>
      <c r="BQ176">
        <v>2.0403199999999999</v>
      </c>
      <c r="BR176">
        <v>8.3683199999999999E-2</v>
      </c>
      <c r="BS176">
        <v>17.7607</v>
      </c>
      <c r="BT176">
        <v>-24.6279</v>
      </c>
      <c r="BU176">
        <v>1800</v>
      </c>
      <c r="BV176">
        <v>0.910026</v>
      </c>
      <c r="BW176">
        <v>3.3995200000000003E-2</v>
      </c>
      <c r="BX176">
        <v>2.1991500000000001E-2</v>
      </c>
      <c r="BY176">
        <v>3.3987700000000003E-2</v>
      </c>
      <c r="BZ176">
        <v>26</v>
      </c>
      <c r="CA176">
        <v>33528.6</v>
      </c>
      <c r="CB176">
        <v>1690306253.5999999</v>
      </c>
      <c r="CC176" t="s">
        <v>332</v>
      </c>
      <c r="CD176">
        <v>1690306253.5999999</v>
      </c>
      <c r="CE176">
        <v>1690306251.5999999</v>
      </c>
      <c r="CF176">
        <v>9</v>
      </c>
      <c r="CG176">
        <v>0.19</v>
      </c>
      <c r="CH176">
        <v>-8.7999999999999995E-2</v>
      </c>
      <c r="CI176">
        <v>-5.0999999999999997E-2</v>
      </c>
      <c r="CJ176">
        <v>5.0999999999999997E-2</v>
      </c>
      <c r="CK176">
        <v>799</v>
      </c>
      <c r="CL176">
        <v>15</v>
      </c>
      <c r="CM176">
        <v>0.28000000000000003</v>
      </c>
      <c r="CN176">
        <v>0.03</v>
      </c>
      <c r="CO176">
        <v>-311.56225000000012</v>
      </c>
      <c r="CP176">
        <v>-4.9322026266408026</v>
      </c>
      <c r="CQ176">
        <v>0.47576395145072192</v>
      </c>
      <c r="CR176">
        <v>-1</v>
      </c>
      <c r="CS176">
        <v>19.662677500000001</v>
      </c>
      <c r="CT176">
        <v>0.38034484052531492</v>
      </c>
      <c r="CU176">
        <v>3.7200641711535067E-2</v>
      </c>
      <c r="CV176">
        <v>-1</v>
      </c>
      <c r="CW176">
        <v>0</v>
      </c>
      <c r="CX176">
        <v>0</v>
      </c>
      <c r="CY176" t="s">
        <v>333</v>
      </c>
      <c r="CZ176">
        <v>2.3647300000000002</v>
      </c>
      <c r="DA176">
        <v>2.7137799999999999</v>
      </c>
      <c r="DB176">
        <v>0.10384500000000001</v>
      </c>
      <c r="DC176">
        <v>0.14618</v>
      </c>
      <c r="DD176">
        <v>0.102094</v>
      </c>
      <c r="DE176">
        <v>6.8329100000000002E-3</v>
      </c>
      <c r="DF176">
        <v>32739.8</v>
      </c>
      <c r="DG176">
        <v>27545.599999999999</v>
      </c>
      <c r="DH176">
        <v>31188.6</v>
      </c>
      <c r="DI176">
        <v>28111.8</v>
      </c>
      <c r="DJ176">
        <v>38024.400000000001</v>
      </c>
      <c r="DK176">
        <v>39714.5</v>
      </c>
      <c r="DL176">
        <v>44389</v>
      </c>
      <c r="DM176">
        <v>42614.5</v>
      </c>
      <c r="DN176">
        <v>1.43807</v>
      </c>
      <c r="DO176">
        <v>2.02962</v>
      </c>
      <c r="DP176">
        <v>0.18212200000000001</v>
      </c>
      <c r="DQ176">
        <v>0.15196899999999999</v>
      </c>
      <c r="DR176">
        <v>24.028700000000001</v>
      </c>
      <c r="DS176">
        <v>23.6111</v>
      </c>
      <c r="DT176">
        <v>30</v>
      </c>
      <c r="DU176">
        <v>29.5</v>
      </c>
      <c r="DV176">
        <v>12.520899999999999</v>
      </c>
      <c r="DW176">
        <v>61.833100000000002</v>
      </c>
      <c r="DX176">
        <v>36.5184</v>
      </c>
      <c r="DY176">
        <v>1</v>
      </c>
      <c r="DZ176">
        <v>-9.8048800000000005E-2</v>
      </c>
      <c r="EA176">
        <v>1.046</v>
      </c>
      <c r="EB176">
        <v>20.1858</v>
      </c>
      <c r="EC176">
        <v>5.24125</v>
      </c>
      <c r="ED176">
        <v>12.039899999999999</v>
      </c>
      <c r="EE176">
        <v>5.0174000000000003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1.8689100000000001</v>
      </c>
      <c r="EL176">
        <v>1.8646199999999999</v>
      </c>
      <c r="EM176">
        <v>1.8692</v>
      </c>
      <c r="EN176">
        <v>1.8672599999999999</v>
      </c>
      <c r="EO176">
        <v>1.8633999999999999</v>
      </c>
      <c r="EP176">
        <v>1.8644700000000001</v>
      </c>
      <c r="EQ176">
        <v>1.87015</v>
      </c>
      <c r="ER176">
        <v>1.8693900000000001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0.17</v>
      </c>
      <c r="FG176">
        <v>0.20960000000000001</v>
      </c>
      <c r="FH176">
        <v>0.49996858830924029</v>
      </c>
      <c r="FI176">
        <v>-6.1462078757559423E-4</v>
      </c>
      <c r="FJ176">
        <v>-1.8861989874597051E-7</v>
      </c>
      <c r="FK176">
        <v>1.1980462299894961E-10</v>
      </c>
      <c r="FL176">
        <v>-3.8593581000597899E-2</v>
      </c>
      <c r="FM176">
        <v>-1.6848085045870601E-2</v>
      </c>
      <c r="FN176">
        <v>1.9789084769509481E-3</v>
      </c>
      <c r="FO176">
        <v>-2.7142391389806329E-5</v>
      </c>
      <c r="FP176">
        <v>3</v>
      </c>
      <c r="FQ176">
        <v>2158</v>
      </c>
      <c r="FR176">
        <v>1</v>
      </c>
      <c r="FS176">
        <v>19</v>
      </c>
      <c r="FT176">
        <v>35.6</v>
      </c>
      <c r="FU176">
        <v>35.6</v>
      </c>
      <c r="FV176">
        <v>1.7639199999999999</v>
      </c>
      <c r="FW176">
        <v>2.6000999999999999</v>
      </c>
      <c r="FX176">
        <v>1.5490699999999999</v>
      </c>
      <c r="FY176">
        <v>2.3278799999999999</v>
      </c>
      <c r="FZ176">
        <v>1.50146</v>
      </c>
      <c r="GA176">
        <v>2.2741699999999998</v>
      </c>
      <c r="GB176">
        <v>34.054499999999997</v>
      </c>
      <c r="GC176">
        <v>23.973700000000001</v>
      </c>
      <c r="GD176">
        <v>19</v>
      </c>
      <c r="GE176">
        <v>266.73</v>
      </c>
      <c r="GF176">
        <v>577.1</v>
      </c>
      <c r="GG176">
        <v>21.645499999999998</v>
      </c>
      <c r="GH176">
        <v>26.111799999999999</v>
      </c>
      <c r="GI176">
        <v>30</v>
      </c>
      <c r="GJ176">
        <v>26.295200000000001</v>
      </c>
      <c r="GK176">
        <v>26.292899999999999</v>
      </c>
      <c r="GL176">
        <v>35.266500000000001</v>
      </c>
      <c r="GM176">
        <v>91.804299999999998</v>
      </c>
      <c r="GN176">
        <v>27.299399999999999</v>
      </c>
      <c r="GO176">
        <v>21.645399999999999</v>
      </c>
      <c r="GP176">
        <v>800</v>
      </c>
      <c r="GQ176">
        <v>0.71232499999999999</v>
      </c>
      <c r="GR176">
        <v>99.796300000000002</v>
      </c>
      <c r="GS176">
        <v>99.683800000000005</v>
      </c>
    </row>
    <row r="177" spans="1:201" x14ac:dyDescent="0.25">
      <c r="A177">
        <v>161</v>
      </c>
      <c r="B177">
        <v>1690308400</v>
      </c>
      <c r="C177">
        <v>1781.400000095367</v>
      </c>
      <c r="D177" t="s">
        <v>655</v>
      </c>
      <c r="E177" t="s">
        <v>656</v>
      </c>
      <c r="F177" t="s">
        <v>330</v>
      </c>
      <c r="H177">
        <v>1690308400</v>
      </c>
      <c r="I177">
        <f t="shared" si="60"/>
        <v>1.9443663097151913E-3</v>
      </c>
      <c r="J177">
        <f t="shared" si="61"/>
        <v>1.9443663097151913</v>
      </c>
      <c r="K177">
        <f t="shared" si="62"/>
        <v>29.189667915672707</v>
      </c>
      <c r="L177">
        <f t="shared" si="63"/>
        <v>486.767</v>
      </c>
      <c r="M177">
        <f t="shared" si="64"/>
        <v>158.13817780772311</v>
      </c>
      <c r="N177">
        <f t="shared" si="65"/>
        <v>15.702838305244986</v>
      </c>
      <c r="O177">
        <f t="shared" si="66"/>
        <v>48.335092760604006</v>
      </c>
      <c r="P177">
        <f t="shared" si="67"/>
        <v>0.14986470323089643</v>
      </c>
      <c r="Q177">
        <f t="shared" si="68"/>
        <v>2.1982192828034943</v>
      </c>
      <c r="R177">
        <f t="shared" si="69"/>
        <v>0.14441117533815881</v>
      </c>
      <c r="S177">
        <f t="shared" si="70"/>
        <v>9.0730428533661769E-2</v>
      </c>
      <c r="T177">
        <f t="shared" si="71"/>
        <v>276.113981142</v>
      </c>
      <c r="U177">
        <f t="shared" si="72"/>
        <v>25.84124111485318</v>
      </c>
      <c r="V177">
        <f t="shared" si="73"/>
        <v>25.84124111485318</v>
      </c>
      <c r="W177">
        <f t="shared" si="74"/>
        <v>3.3426894335287796</v>
      </c>
      <c r="X177">
        <f t="shared" si="75"/>
        <v>66.663209136777112</v>
      </c>
      <c r="Y177">
        <f t="shared" si="76"/>
        <v>2.0419783613892002</v>
      </c>
      <c r="Z177">
        <f t="shared" si="77"/>
        <v>3.063126404850304</v>
      </c>
      <c r="AA177">
        <f t="shared" si="78"/>
        <v>1.3007110721395794</v>
      </c>
      <c r="AB177">
        <f t="shared" si="79"/>
        <v>-85.746554258439943</v>
      </c>
      <c r="AC177">
        <f t="shared" si="80"/>
        <v>-173.75296700803037</v>
      </c>
      <c r="AD177">
        <f t="shared" si="81"/>
        <v>-16.737735023298342</v>
      </c>
      <c r="AE177">
        <f t="shared" si="82"/>
        <v>-0.123275147768652</v>
      </c>
      <c r="AF177">
        <v>12</v>
      </c>
      <c r="AG177">
        <v>4</v>
      </c>
      <c r="AH177">
        <f t="shared" si="83"/>
        <v>1</v>
      </c>
      <c r="AI177">
        <f t="shared" si="84"/>
        <v>0</v>
      </c>
      <c r="AJ177">
        <f t="shared" si="85"/>
        <v>53020.721890448578</v>
      </c>
      <c r="AK177">
        <f t="shared" si="86"/>
        <v>1800</v>
      </c>
      <c r="AL177">
        <f t="shared" si="87"/>
        <v>1499.1146711999997</v>
      </c>
      <c r="AM177">
        <f t="shared" si="88"/>
        <v>0.83284148399999991</v>
      </c>
      <c r="AN177">
        <f t="shared" si="89"/>
        <v>0.15339665619000001</v>
      </c>
      <c r="AO177">
        <v>31.2</v>
      </c>
      <c r="AP177">
        <v>0.5</v>
      </c>
      <c r="AQ177" t="s">
        <v>331</v>
      </c>
      <c r="AR177">
        <v>2</v>
      </c>
      <c r="AS177">
        <v>1690308400</v>
      </c>
      <c r="AT177">
        <v>486.767</v>
      </c>
      <c r="AU177">
        <v>799.92899999999997</v>
      </c>
      <c r="AV177">
        <v>20.5641</v>
      </c>
      <c r="AW177">
        <v>0.77455499999999999</v>
      </c>
      <c r="AX177">
        <v>486.59699999999998</v>
      </c>
      <c r="AY177">
        <v>20.354600000000001</v>
      </c>
      <c r="AZ177">
        <v>300.24299999999999</v>
      </c>
      <c r="BA177">
        <v>99.1982</v>
      </c>
      <c r="BB177">
        <v>0.100012</v>
      </c>
      <c r="BC177">
        <v>24.3751</v>
      </c>
      <c r="BD177">
        <v>27.001899999999999</v>
      </c>
      <c r="BE177">
        <v>26.1035</v>
      </c>
      <c r="BF177">
        <v>0</v>
      </c>
      <c r="BG177">
        <v>0</v>
      </c>
      <c r="BH177">
        <v>10020.6</v>
      </c>
      <c r="BI177">
        <v>1041.5999999999999</v>
      </c>
      <c r="BJ177">
        <v>1.62592</v>
      </c>
      <c r="BK177">
        <v>-313.16199999999998</v>
      </c>
      <c r="BL177">
        <v>496.98700000000002</v>
      </c>
      <c r="BM177">
        <v>800.54899999999998</v>
      </c>
      <c r="BN177">
        <v>19.7895</v>
      </c>
      <c r="BO177">
        <v>799.92899999999997</v>
      </c>
      <c r="BP177">
        <v>0.77455499999999999</v>
      </c>
      <c r="BQ177">
        <v>2.03992</v>
      </c>
      <c r="BR177">
        <v>7.68345E-2</v>
      </c>
      <c r="BS177">
        <v>17.7577</v>
      </c>
      <c r="BT177">
        <v>-25.571300000000001</v>
      </c>
      <c r="BU177">
        <v>1800</v>
      </c>
      <c r="BV177">
        <v>0.91002499999999997</v>
      </c>
      <c r="BW177">
        <v>3.3995400000000002E-2</v>
      </c>
      <c r="BX177">
        <v>2.1991699999999999E-2</v>
      </c>
      <c r="BY177">
        <v>3.3987900000000001E-2</v>
      </c>
      <c r="BZ177">
        <v>26</v>
      </c>
      <c r="CA177">
        <v>33528.5</v>
      </c>
      <c r="CB177">
        <v>1690306253.5999999</v>
      </c>
      <c r="CC177" t="s">
        <v>332</v>
      </c>
      <c r="CD177">
        <v>1690306253.5999999</v>
      </c>
      <c r="CE177">
        <v>1690306251.5999999</v>
      </c>
      <c r="CF177">
        <v>9</v>
      </c>
      <c r="CG177">
        <v>0.19</v>
      </c>
      <c r="CH177">
        <v>-8.7999999999999995E-2</v>
      </c>
      <c r="CI177">
        <v>-5.0999999999999997E-2</v>
      </c>
      <c r="CJ177">
        <v>5.0999999999999997E-2</v>
      </c>
      <c r="CK177">
        <v>799</v>
      </c>
      <c r="CL177">
        <v>15</v>
      </c>
      <c r="CM177">
        <v>0.28000000000000003</v>
      </c>
      <c r="CN177">
        <v>0.03</v>
      </c>
      <c r="CO177">
        <v>-312.34326829268292</v>
      </c>
      <c r="CP177">
        <v>-4.9445017421607407</v>
      </c>
      <c r="CQ177">
        <v>0.49012044435041752</v>
      </c>
      <c r="CR177">
        <v>-1</v>
      </c>
      <c r="CS177">
        <v>19.719626829268289</v>
      </c>
      <c r="CT177">
        <v>0.34225087108022889</v>
      </c>
      <c r="CU177">
        <v>3.3983274396781518E-2</v>
      </c>
      <c r="CV177">
        <v>-1</v>
      </c>
      <c r="CW177">
        <v>0</v>
      </c>
      <c r="CX177">
        <v>0</v>
      </c>
      <c r="CY177" t="s">
        <v>333</v>
      </c>
      <c r="CZ177">
        <v>2.3649399999999998</v>
      </c>
      <c r="DA177">
        <v>2.7138200000000001</v>
      </c>
      <c r="DB177">
        <v>0.103724</v>
      </c>
      <c r="DC177">
        <v>0.14616299999999999</v>
      </c>
      <c r="DD177">
        <v>0.10208200000000001</v>
      </c>
      <c r="DE177">
        <v>6.2976799999999999E-3</v>
      </c>
      <c r="DF177">
        <v>32744.2</v>
      </c>
      <c r="DG177">
        <v>27546</v>
      </c>
      <c r="DH177">
        <v>31188.5</v>
      </c>
      <c r="DI177">
        <v>28111.5</v>
      </c>
      <c r="DJ177">
        <v>38024.9</v>
      </c>
      <c r="DK177">
        <v>39736.1</v>
      </c>
      <c r="DL177">
        <v>44388.800000000003</v>
      </c>
      <c r="DM177">
        <v>42614.6</v>
      </c>
      <c r="DN177">
        <v>1.4382999999999999</v>
      </c>
      <c r="DO177">
        <v>2.0296799999999999</v>
      </c>
      <c r="DP177">
        <v>0.181362</v>
      </c>
      <c r="DQ177">
        <v>0.15177599999999999</v>
      </c>
      <c r="DR177">
        <v>24.028700000000001</v>
      </c>
      <c r="DS177">
        <v>23.6126</v>
      </c>
      <c r="DT177">
        <v>29.7</v>
      </c>
      <c r="DU177">
        <v>29.5</v>
      </c>
      <c r="DV177">
        <v>12.392799999999999</v>
      </c>
      <c r="DW177">
        <v>61.133099999999999</v>
      </c>
      <c r="DX177">
        <v>36.238</v>
      </c>
      <c r="DY177">
        <v>1</v>
      </c>
      <c r="DZ177">
        <v>-9.8147899999999996E-2</v>
      </c>
      <c r="EA177">
        <v>1.3342099999999999</v>
      </c>
      <c r="EB177">
        <v>20.183199999999999</v>
      </c>
      <c r="EC177">
        <v>5.24125</v>
      </c>
      <c r="ED177">
        <v>12.039899999999999</v>
      </c>
      <c r="EE177">
        <v>5.0172499999999998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1.8689100000000001</v>
      </c>
      <c r="EL177">
        <v>1.8646199999999999</v>
      </c>
      <c r="EM177">
        <v>1.8692</v>
      </c>
      <c r="EN177">
        <v>1.8672500000000001</v>
      </c>
      <c r="EO177">
        <v>1.8633999999999999</v>
      </c>
      <c r="EP177">
        <v>1.8644799999999999</v>
      </c>
      <c r="EQ177">
        <v>1.87015</v>
      </c>
      <c r="ER177">
        <v>1.8694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0.17</v>
      </c>
      <c r="FG177">
        <v>0.20949999999999999</v>
      </c>
      <c r="FH177">
        <v>0.49996858830924029</v>
      </c>
      <c r="FI177">
        <v>-6.1462078757559423E-4</v>
      </c>
      <c r="FJ177">
        <v>-1.8861989874597051E-7</v>
      </c>
      <c r="FK177">
        <v>1.1980462299894961E-10</v>
      </c>
      <c r="FL177">
        <v>-3.8593581000597899E-2</v>
      </c>
      <c r="FM177">
        <v>-1.6848085045870601E-2</v>
      </c>
      <c r="FN177">
        <v>1.9789084769509481E-3</v>
      </c>
      <c r="FO177">
        <v>-2.7142391389806329E-5</v>
      </c>
      <c r="FP177">
        <v>3</v>
      </c>
      <c r="FQ177">
        <v>2158</v>
      </c>
      <c r="FR177">
        <v>1</v>
      </c>
      <c r="FS177">
        <v>19</v>
      </c>
      <c r="FT177">
        <v>35.799999999999997</v>
      </c>
      <c r="FU177">
        <v>35.799999999999997</v>
      </c>
      <c r="FV177">
        <v>1.7639199999999999</v>
      </c>
      <c r="FW177">
        <v>2.5927699999999998</v>
      </c>
      <c r="FX177">
        <v>1.5490699999999999</v>
      </c>
      <c r="FY177">
        <v>2.3290999999999999</v>
      </c>
      <c r="FZ177">
        <v>1.50146</v>
      </c>
      <c r="GA177">
        <v>2.3132299999999999</v>
      </c>
      <c r="GB177">
        <v>34.054499999999997</v>
      </c>
      <c r="GC177">
        <v>23.973700000000001</v>
      </c>
      <c r="GD177">
        <v>19</v>
      </c>
      <c r="GE177">
        <v>266.81</v>
      </c>
      <c r="GF177">
        <v>577.10900000000004</v>
      </c>
      <c r="GG177">
        <v>21.5885</v>
      </c>
      <c r="GH177">
        <v>26.108599999999999</v>
      </c>
      <c r="GI177">
        <v>30</v>
      </c>
      <c r="GJ177">
        <v>26.292100000000001</v>
      </c>
      <c r="GK177">
        <v>26.289899999999999</v>
      </c>
      <c r="GL177">
        <v>35.269100000000002</v>
      </c>
      <c r="GM177">
        <v>93.217500000000001</v>
      </c>
      <c r="GN177">
        <v>26.547999999999998</v>
      </c>
      <c r="GO177">
        <v>21.558</v>
      </c>
      <c r="GP177">
        <v>800</v>
      </c>
      <c r="GQ177">
        <v>0.62551199999999996</v>
      </c>
      <c r="GR177">
        <v>99.796099999999996</v>
      </c>
      <c r="GS177">
        <v>99.683599999999998</v>
      </c>
    </row>
    <row r="178" spans="1:201" x14ac:dyDescent="0.25">
      <c r="A178">
        <v>162</v>
      </c>
      <c r="B178">
        <v>1690308410</v>
      </c>
      <c r="C178">
        <v>1791.400000095367</v>
      </c>
      <c r="D178" t="s">
        <v>657</v>
      </c>
      <c r="E178" t="s">
        <v>658</v>
      </c>
      <c r="F178" t="s">
        <v>330</v>
      </c>
      <c r="H178">
        <v>1690308410</v>
      </c>
      <c r="I178">
        <f t="shared" si="60"/>
        <v>1.9485463175545898E-3</v>
      </c>
      <c r="J178">
        <f t="shared" si="61"/>
        <v>1.9485463175545898</v>
      </c>
      <c r="K178">
        <f t="shared" si="62"/>
        <v>29.254865441612282</v>
      </c>
      <c r="L178">
        <f t="shared" si="63"/>
        <v>486.03</v>
      </c>
      <c r="M178">
        <f t="shared" si="64"/>
        <v>156.94296560279159</v>
      </c>
      <c r="N178">
        <f t="shared" si="65"/>
        <v>15.585218813652142</v>
      </c>
      <c r="O178">
        <f t="shared" si="66"/>
        <v>48.265201762343999</v>
      </c>
      <c r="P178">
        <f t="shared" si="67"/>
        <v>0.14998785713775717</v>
      </c>
      <c r="Q178">
        <f t="shared" si="68"/>
        <v>2.1966216801260243</v>
      </c>
      <c r="R178">
        <f t="shared" si="69"/>
        <v>0.14452172124122883</v>
      </c>
      <c r="S178">
        <f t="shared" si="70"/>
        <v>9.0800589572154825E-2</v>
      </c>
      <c r="T178">
        <f t="shared" si="71"/>
        <v>276.11395916399999</v>
      </c>
      <c r="U178">
        <f t="shared" si="72"/>
        <v>25.839395301890328</v>
      </c>
      <c r="V178">
        <f t="shared" si="73"/>
        <v>25.839395301890328</v>
      </c>
      <c r="W178">
        <f t="shared" si="74"/>
        <v>3.3423239183723288</v>
      </c>
      <c r="X178">
        <f t="shared" si="75"/>
        <v>66.594561097033761</v>
      </c>
      <c r="Y178">
        <f t="shared" si="76"/>
        <v>2.03970452679504</v>
      </c>
      <c r="Z178">
        <f t="shared" si="77"/>
        <v>3.0628695394853982</v>
      </c>
      <c r="AA178">
        <f t="shared" si="78"/>
        <v>1.3026193915772888</v>
      </c>
      <c r="AB178">
        <f t="shared" si="79"/>
        <v>-85.930892604157407</v>
      </c>
      <c r="AC178">
        <f t="shared" si="80"/>
        <v>-173.57389326518225</v>
      </c>
      <c r="AD178">
        <f t="shared" si="81"/>
        <v>-16.732372203560782</v>
      </c>
      <c r="AE178">
        <f t="shared" si="82"/>
        <v>-0.12319890890043439</v>
      </c>
      <c r="AF178">
        <v>12</v>
      </c>
      <c r="AG178">
        <v>4</v>
      </c>
      <c r="AH178">
        <f t="shared" si="83"/>
        <v>1</v>
      </c>
      <c r="AI178">
        <f t="shared" si="84"/>
        <v>0</v>
      </c>
      <c r="AJ178">
        <f t="shared" si="85"/>
        <v>52955.096761521112</v>
      </c>
      <c r="AK178">
        <f t="shared" si="86"/>
        <v>1800</v>
      </c>
      <c r="AL178">
        <f t="shared" si="87"/>
        <v>1499.1149304</v>
      </c>
      <c r="AM178">
        <f t="shared" si="88"/>
        <v>0.83284162800000006</v>
      </c>
      <c r="AN178">
        <f t="shared" si="89"/>
        <v>0.15339664398</v>
      </c>
      <c r="AO178">
        <v>31.2</v>
      </c>
      <c r="AP178">
        <v>0.5</v>
      </c>
      <c r="AQ178" t="s">
        <v>331</v>
      </c>
      <c r="AR178">
        <v>2</v>
      </c>
      <c r="AS178">
        <v>1690308410</v>
      </c>
      <c r="AT178">
        <v>486.03</v>
      </c>
      <c r="AU178">
        <v>799.928</v>
      </c>
      <c r="AV178">
        <v>20.5398</v>
      </c>
      <c r="AW178">
        <v>0.70391599999999999</v>
      </c>
      <c r="AX178">
        <v>485.86</v>
      </c>
      <c r="AY178">
        <v>20.331</v>
      </c>
      <c r="AZ178">
        <v>300.19299999999998</v>
      </c>
      <c r="BA178">
        <v>99.204999999999998</v>
      </c>
      <c r="BB178">
        <v>9.9984799999999999E-2</v>
      </c>
      <c r="BC178">
        <v>24.373699999999999</v>
      </c>
      <c r="BD178">
        <v>27.000399999999999</v>
      </c>
      <c r="BE178">
        <v>26.1204</v>
      </c>
      <c r="BF178">
        <v>0</v>
      </c>
      <c r="BG178">
        <v>0</v>
      </c>
      <c r="BH178">
        <v>10006.9</v>
      </c>
      <c r="BI178">
        <v>1041.5899999999999</v>
      </c>
      <c r="BJ178">
        <v>1.62592</v>
      </c>
      <c r="BK178">
        <v>-313.89699999999999</v>
      </c>
      <c r="BL178">
        <v>496.22300000000001</v>
      </c>
      <c r="BM178">
        <v>800.49099999999999</v>
      </c>
      <c r="BN178">
        <v>19.835899999999999</v>
      </c>
      <c r="BO178">
        <v>799.928</v>
      </c>
      <c r="BP178">
        <v>0.70391599999999999</v>
      </c>
      <c r="BQ178">
        <v>2.0376500000000002</v>
      </c>
      <c r="BR178">
        <v>6.9832099999999994E-2</v>
      </c>
      <c r="BS178">
        <v>17.739999999999998</v>
      </c>
      <c r="BT178">
        <v>-26.6175</v>
      </c>
      <c r="BU178">
        <v>1800</v>
      </c>
      <c r="BV178">
        <v>0.910026</v>
      </c>
      <c r="BW178">
        <v>3.39951E-2</v>
      </c>
      <c r="BX178">
        <v>2.1991400000000001E-2</v>
      </c>
      <c r="BY178">
        <v>3.39876E-2</v>
      </c>
      <c r="BZ178">
        <v>26</v>
      </c>
      <c r="CA178">
        <v>33528.5</v>
      </c>
      <c r="CB178">
        <v>1690306253.5999999</v>
      </c>
      <c r="CC178" t="s">
        <v>332</v>
      </c>
      <c r="CD178">
        <v>1690306253.5999999</v>
      </c>
      <c r="CE178">
        <v>1690306251.5999999</v>
      </c>
      <c r="CF178">
        <v>9</v>
      </c>
      <c r="CG178">
        <v>0.19</v>
      </c>
      <c r="CH178">
        <v>-8.7999999999999995E-2</v>
      </c>
      <c r="CI178">
        <v>-5.0999999999999997E-2</v>
      </c>
      <c r="CJ178">
        <v>5.0999999999999997E-2</v>
      </c>
      <c r="CK178">
        <v>799</v>
      </c>
      <c r="CL178">
        <v>15</v>
      </c>
      <c r="CM178">
        <v>0.28000000000000003</v>
      </c>
      <c r="CN178">
        <v>0.03</v>
      </c>
      <c r="CO178">
        <v>-313.18115</v>
      </c>
      <c r="CP178">
        <v>-4.149253283301169</v>
      </c>
      <c r="CQ178">
        <v>0.40480616040272938</v>
      </c>
      <c r="CR178">
        <v>-1</v>
      </c>
      <c r="CS178">
        <v>19.781992500000001</v>
      </c>
      <c r="CT178">
        <v>0.34555609756093553</v>
      </c>
      <c r="CU178">
        <v>3.3336724400426537E-2</v>
      </c>
      <c r="CV178">
        <v>-1</v>
      </c>
      <c r="CW178">
        <v>0</v>
      </c>
      <c r="CX178">
        <v>0</v>
      </c>
      <c r="CY178" t="s">
        <v>333</v>
      </c>
      <c r="CZ178">
        <v>2.3647900000000002</v>
      </c>
      <c r="DA178">
        <v>2.7137799999999999</v>
      </c>
      <c r="DB178">
        <v>0.103616</v>
      </c>
      <c r="DC178">
        <v>0.146172</v>
      </c>
      <c r="DD178">
        <v>0.102005</v>
      </c>
      <c r="DE178">
        <v>5.7463999999999996E-3</v>
      </c>
      <c r="DF178">
        <v>32748.5</v>
      </c>
      <c r="DG178">
        <v>27545.7</v>
      </c>
      <c r="DH178">
        <v>31188.799999999999</v>
      </c>
      <c r="DI178">
        <v>28111.5</v>
      </c>
      <c r="DJ178">
        <v>38028.699999999997</v>
      </c>
      <c r="DK178">
        <v>39757.9</v>
      </c>
      <c r="DL178">
        <v>44389.5</v>
      </c>
      <c r="DM178">
        <v>42614.3</v>
      </c>
      <c r="DN178">
        <v>1.4377200000000001</v>
      </c>
      <c r="DO178">
        <v>2.0297800000000001</v>
      </c>
      <c r="DP178">
        <v>0.181146</v>
      </c>
      <c r="DQ178">
        <v>0.15262500000000001</v>
      </c>
      <c r="DR178">
        <v>24.0307</v>
      </c>
      <c r="DS178">
        <v>23.615600000000001</v>
      </c>
      <c r="DT178">
        <v>29.4</v>
      </c>
      <c r="DU178">
        <v>29.5</v>
      </c>
      <c r="DV178">
        <v>12.2692</v>
      </c>
      <c r="DW178">
        <v>61.333100000000002</v>
      </c>
      <c r="DX178">
        <v>36.370199999999997</v>
      </c>
      <c r="DY178">
        <v>1</v>
      </c>
      <c r="DZ178">
        <v>-9.8079299999999994E-2</v>
      </c>
      <c r="EA178">
        <v>1.22725</v>
      </c>
      <c r="EB178">
        <v>20.1843</v>
      </c>
      <c r="EC178">
        <v>5.2409499999999998</v>
      </c>
      <c r="ED178">
        <v>12.039899999999999</v>
      </c>
      <c r="EE178">
        <v>5.0172999999999996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1.8689499999999999</v>
      </c>
      <c r="EL178">
        <v>1.8646199999999999</v>
      </c>
      <c r="EM178">
        <v>1.8692</v>
      </c>
      <c r="EN178">
        <v>1.8672299999999999</v>
      </c>
      <c r="EO178">
        <v>1.8633900000000001</v>
      </c>
      <c r="EP178">
        <v>1.8644700000000001</v>
      </c>
      <c r="EQ178">
        <v>1.8701700000000001</v>
      </c>
      <c r="ER178">
        <v>1.86941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0.17</v>
      </c>
      <c r="FG178">
        <v>0.20880000000000001</v>
      </c>
      <c r="FH178">
        <v>0.49996858830924029</v>
      </c>
      <c r="FI178">
        <v>-6.1462078757559423E-4</v>
      </c>
      <c r="FJ178">
        <v>-1.8861989874597051E-7</v>
      </c>
      <c r="FK178">
        <v>1.1980462299894961E-10</v>
      </c>
      <c r="FL178">
        <v>-3.8593581000597899E-2</v>
      </c>
      <c r="FM178">
        <v>-1.6848085045870601E-2</v>
      </c>
      <c r="FN178">
        <v>1.9789084769509481E-3</v>
      </c>
      <c r="FO178">
        <v>-2.7142391389806329E-5</v>
      </c>
      <c r="FP178">
        <v>3</v>
      </c>
      <c r="FQ178">
        <v>2158</v>
      </c>
      <c r="FR178">
        <v>1</v>
      </c>
      <c r="FS178">
        <v>19</v>
      </c>
      <c r="FT178">
        <v>35.9</v>
      </c>
      <c r="FU178">
        <v>36</v>
      </c>
      <c r="FV178">
        <v>1.7639199999999999</v>
      </c>
      <c r="FW178">
        <v>2.5976599999999999</v>
      </c>
      <c r="FX178">
        <v>1.5490699999999999</v>
      </c>
      <c r="FY178">
        <v>2.3290999999999999</v>
      </c>
      <c r="FZ178">
        <v>1.50146</v>
      </c>
      <c r="GA178">
        <v>2.36084</v>
      </c>
      <c r="GB178">
        <v>34.054499999999997</v>
      </c>
      <c r="GC178">
        <v>23.982399999999998</v>
      </c>
      <c r="GD178">
        <v>19</v>
      </c>
      <c r="GE178">
        <v>266.56</v>
      </c>
      <c r="GF178">
        <v>577.154</v>
      </c>
      <c r="GG178">
        <v>21.543900000000001</v>
      </c>
      <c r="GH178">
        <v>26.1053</v>
      </c>
      <c r="GI178">
        <v>30</v>
      </c>
      <c r="GJ178">
        <v>26.288499999999999</v>
      </c>
      <c r="GK178">
        <v>26.2866</v>
      </c>
      <c r="GL178">
        <v>35.265700000000002</v>
      </c>
      <c r="GM178">
        <v>94.742599999999996</v>
      </c>
      <c r="GN178">
        <v>26.143899999999999</v>
      </c>
      <c r="GO178">
        <v>21.5472</v>
      </c>
      <c r="GP178">
        <v>800</v>
      </c>
      <c r="GQ178">
        <v>0.54947999999999997</v>
      </c>
      <c r="GR178">
        <v>99.797399999999996</v>
      </c>
      <c r="GS178">
        <v>99.683199999999999</v>
      </c>
    </row>
    <row r="179" spans="1:201" x14ac:dyDescent="0.25">
      <c r="A179">
        <v>163</v>
      </c>
      <c r="B179">
        <v>1690308420</v>
      </c>
      <c r="C179">
        <v>1801.400000095367</v>
      </c>
      <c r="D179" t="s">
        <v>659</v>
      </c>
      <c r="E179" t="s">
        <v>660</v>
      </c>
      <c r="F179" t="s">
        <v>330</v>
      </c>
      <c r="H179">
        <v>1690308420</v>
      </c>
      <c r="I179">
        <f t="shared" si="60"/>
        <v>1.9538624665863197E-3</v>
      </c>
      <c r="J179">
        <f t="shared" si="61"/>
        <v>1.9538624665863196</v>
      </c>
      <c r="K179">
        <f t="shared" si="62"/>
        <v>29.32706336511961</v>
      </c>
      <c r="L179">
        <f t="shared" si="63"/>
        <v>485.322</v>
      </c>
      <c r="M179">
        <f t="shared" si="64"/>
        <v>156.72700690302489</v>
      </c>
      <c r="N179">
        <f t="shared" si="65"/>
        <v>15.56284642117147</v>
      </c>
      <c r="O179">
        <f t="shared" si="66"/>
        <v>48.192024463845001</v>
      </c>
      <c r="P179">
        <f t="shared" si="67"/>
        <v>0.15059915166503596</v>
      </c>
      <c r="Q179">
        <f t="shared" si="68"/>
        <v>2.1963901139449353</v>
      </c>
      <c r="R179">
        <f t="shared" si="69"/>
        <v>0.14508869149207826</v>
      </c>
      <c r="S179">
        <f t="shared" si="70"/>
        <v>9.1158726464307088E-2</v>
      </c>
      <c r="T179">
        <f t="shared" si="71"/>
        <v>276.11376519600003</v>
      </c>
      <c r="U179">
        <f t="shared" si="72"/>
        <v>25.82774077505816</v>
      </c>
      <c r="V179">
        <f t="shared" si="73"/>
        <v>25.82774077505816</v>
      </c>
      <c r="W179">
        <f t="shared" si="74"/>
        <v>3.3400168490575202</v>
      </c>
      <c r="X179">
        <f t="shared" si="75"/>
        <v>66.611683040476422</v>
      </c>
      <c r="Y179">
        <f t="shared" si="76"/>
        <v>2.0390071547150002</v>
      </c>
      <c r="Z179">
        <f t="shared" si="77"/>
        <v>3.0610353344112364</v>
      </c>
      <c r="AA179">
        <f t="shared" si="78"/>
        <v>1.30100969434252</v>
      </c>
      <c r="AB179">
        <f t="shared" si="79"/>
        <v>-86.165334776456703</v>
      </c>
      <c r="AC179">
        <f t="shared" si="80"/>
        <v>-173.35967976424311</v>
      </c>
      <c r="AD179">
        <f t="shared" si="81"/>
        <v>-16.711662869992395</v>
      </c>
      <c r="AE179">
        <f t="shared" si="82"/>
        <v>-0.12291221469214975</v>
      </c>
      <c r="AF179">
        <v>12</v>
      </c>
      <c r="AG179">
        <v>4</v>
      </c>
      <c r="AH179">
        <f t="shared" si="83"/>
        <v>1</v>
      </c>
      <c r="AI179">
        <f t="shared" si="84"/>
        <v>0</v>
      </c>
      <c r="AJ179">
        <f t="shared" si="85"/>
        <v>52947.184413447998</v>
      </c>
      <c r="AK179">
        <f t="shared" si="86"/>
        <v>1800</v>
      </c>
      <c r="AL179">
        <f t="shared" si="87"/>
        <v>1499.1144066000002</v>
      </c>
      <c r="AM179">
        <f t="shared" si="88"/>
        <v>0.83284133700000007</v>
      </c>
      <c r="AN179">
        <f t="shared" si="89"/>
        <v>0.15339653622000002</v>
      </c>
      <c r="AO179">
        <v>31.2</v>
      </c>
      <c r="AP179">
        <v>0.5</v>
      </c>
      <c r="AQ179" t="s">
        <v>331</v>
      </c>
      <c r="AR179">
        <v>2</v>
      </c>
      <c r="AS179">
        <v>1690308420</v>
      </c>
      <c r="AT179">
        <v>485.322</v>
      </c>
      <c r="AU179">
        <v>800.05100000000004</v>
      </c>
      <c r="AV179">
        <v>20.533999999999999</v>
      </c>
      <c r="AW179">
        <v>0.63957299999999995</v>
      </c>
      <c r="AX179">
        <v>485.15100000000001</v>
      </c>
      <c r="AY179">
        <v>20.325399999999998</v>
      </c>
      <c r="AZ179">
        <v>300.12799999999999</v>
      </c>
      <c r="BA179">
        <v>99.199200000000005</v>
      </c>
      <c r="BB179">
        <v>9.9872500000000003E-2</v>
      </c>
      <c r="BC179">
        <v>24.363700000000001</v>
      </c>
      <c r="BD179">
        <v>26.9909</v>
      </c>
      <c r="BE179">
        <v>26.093</v>
      </c>
      <c r="BF179">
        <v>0</v>
      </c>
      <c r="BG179">
        <v>0</v>
      </c>
      <c r="BH179">
        <v>10005.6</v>
      </c>
      <c r="BI179">
        <v>1041.6099999999999</v>
      </c>
      <c r="BJ179">
        <v>1.62592</v>
      </c>
      <c r="BK179">
        <v>-314.72899999999998</v>
      </c>
      <c r="BL179">
        <v>495.49599999999998</v>
      </c>
      <c r="BM179">
        <v>800.56299999999999</v>
      </c>
      <c r="BN179">
        <v>19.894400000000001</v>
      </c>
      <c r="BO179">
        <v>800.05100000000004</v>
      </c>
      <c r="BP179">
        <v>0.63957299999999995</v>
      </c>
      <c r="BQ179">
        <v>2.0369600000000001</v>
      </c>
      <c r="BR179">
        <v>6.3445100000000004E-2</v>
      </c>
      <c r="BS179">
        <v>17.7346</v>
      </c>
      <c r="BT179">
        <v>-27.657399999999999</v>
      </c>
      <c r="BU179">
        <v>1800</v>
      </c>
      <c r="BV179">
        <v>0.91002700000000003</v>
      </c>
      <c r="BW179">
        <v>3.3994499999999997E-2</v>
      </c>
      <c r="BX179">
        <v>2.19911E-2</v>
      </c>
      <c r="BY179">
        <v>3.3987000000000003E-2</v>
      </c>
      <c r="BZ179">
        <v>26</v>
      </c>
      <c r="CA179">
        <v>33528.5</v>
      </c>
      <c r="CB179">
        <v>1690306253.5999999</v>
      </c>
      <c r="CC179" t="s">
        <v>332</v>
      </c>
      <c r="CD179">
        <v>1690306253.5999999</v>
      </c>
      <c r="CE179">
        <v>1690306251.5999999</v>
      </c>
      <c r="CF179">
        <v>9</v>
      </c>
      <c r="CG179">
        <v>0.19</v>
      </c>
      <c r="CH179">
        <v>-8.7999999999999995E-2</v>
      </c>
      <c r="CI179">
        <v>-5.0999999999999997E-2</v>
      </c>
      <c r="CJ179">
        <v>5.0999999999999997E-2</v>
      </c>
      <c r="CK179">
        <v>799</v>
      </c>
      <c r="CL179">
        <v>15</v>
      </c>
      <c r="CM179">
        <v>0.28000000000000003</v>
      </c>
      <c r="CN179">
        <v>0.03</v>
      </c>
      <c r="CO179">
        <v>-313.91692499999999</v>
      </c>
      <c r="CP179">
        <v>-4.6451369606001682</v>
      </c>
      <c r="CQ179">
        <v>0.45321404366480011</v>
      </c>
      <c r="CR179">
        <v>-1</v>
      </c>
      <c r="CS179">
        <v>19.835067500000001</v>
      </c>
      <c r="CT179">
        <v>0.30177748592863701</v>
      </c>
      <c r="CU179">
        <v>2.9090371151809031E-2</v>
      </c>
      <c r="CV179">
        <v>-1</v>
      </c>
      <c r="CW179">
        <v>0</v>
      </c>
      <c r="CX179">
        <v>0</v>
      </c>
      <c r="CY179" t="s">
        <v>333</v>
      </c>
      <c r="CZ179">
        <v>2.3645999999999998</v>
      </c>
      <c r="DA179">
        <v>2.71367</v>
      </c>
      <c r="DB179">
        <v>0.10349899999999999</v>
      </c>
      <c r="DC179">
        <v>0.146178</v>
      </c>
      <c r="DD179">
        <v>0.101979</v>
      </c>
      <c r="DE179">
        <v>5.2398599999999998E-3</v>
      </c>
      <c r="DF179">
        <v>32752.7</v>
      </c>
      <c r="DG179">
        <v>27545.7</v>
      </c>
      <c r="DH179">
        <v>31188.799999999999</v>
      </c>
      <c r="DI179">
        <v>28111.7</v>
      </c>
      <c r="DJ179">
        <v>38029.599999999999</v>
      </c>
      <c r="DK179">
        <v>39778.199999999997</v>
      </c>
      <c r="DL179">
        <v>44389.3</v>
      </c>
      <c r="DM179">
        <v>42614.3</v>
      </c>
      <c r="DN179">
        <v>1.43798</v>
      </c>
      <c r="DO179">
        <v>2.0295000000000001</v>
      </c>
      <c r="DP179">
        <v>0.18043799999999999</v>
      </c>
      <c r="DQ179">
        <v>0.15082200000000001</v>
      </c>
      <c r="DR179">
        <v>24.032699999999998</v>
      </c>
      <c r="DS179">
        <v>23.617799999999999</v>
      </c>
      <c r="DT179">
        <v>29.1</v>
      </c>
      <c r="DU179">
        <v>29.5</v>
      </c>
      <c r="DV179">
        <v>12.1432</v>
      </c>
      <c r="DW179">
        <v>61.533099999999997</v>
      </c>
      <c r="DX179">
        <v>36.794899999999998</v>
      </c>
      <c r="DY179">
        <v>1</v>
      </c>
      <c r="DZ179">
        <v>-9.9232699999999993E-2</v>
      </c>
      <c r="EA179">
        <v>1.1420399999999999</v>
      </c>
      <c r="EB179">
        <v>20.185099999999998</v>
      </c>
      <c r="EC179">
        <v>5.2413999999999996</v>
      </c>
      <c r="ED179">
        <v>12.039899999999999</v>
      </c>
      <c r="EE179">
        <v>5.0173500000000004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1.8689199999999999</v>
      </c>
      <c r="EL179">
        <v>1.86463</v>
      </c>
      <c r="EM179">
        <v>1.8692</v>
      </c>
      <c r="EN179">
        <v>1.86724</v>
      </c>
      <c r="EO179">
        <v>1.8633999999999999</v>
      </c>
      <c r="EP179">
        <v>1.8644700000000001</v>
      </c>
      <c r="EQ179">
        <v>1.87015</v>
      </c>
      <c r="ER179">
        <v>1.8694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0.17100000000000001</v>
      </c>
      <c r="FG179">
        <v>0.20860000000000001</v>
      </c>
      <c r="FH179">
        <v>0.49996858830924029</v>
      </c>
      <c r="FI179">
        <v>-6.1462078757559423E-4</v>
      </c>
      <c r="FJ179">
        <v>-1.8861989874597051E-7</v>
      </c>
      <c r="FK179">
        <v>1.1980462299894961E-10</v>
      </c>
      <c r="FL179">
        <v>-3.8593581000597899E-2</v>
      </c>
      <c r="FM179">
        <v>-1.6848085045870601E-2</v>
      </c>
      <c r="FN179">
        <v>1.9789084769509481E-3</v>
      </c>
      <c r="FO179">
        <v>-2.7142391389806329E-5</v>
      </c>
      <c r="FP179">
        <v>3</v>
      </c>
      <c r="FQ179">
        <v>2158</v>
      </c>
      <c r="FR179">
        <v>1</v>
      </c>
      <c r="FS179">
        <v>19</v>
      </c>
      <c r="FT179">
        <v>36.1</v>
      </c>
      <c r="FU179">
        <v>36.1</v>
      </c>
      <c r="FV179">
        <v>1.7639199999999999</v>
      </c>
      <c r="FW179">
        <v>2.5939899999999998</v>
      </c>
      <c r="FX179">
        <v>1.5490699999999999</v>
      </c>
      <c r="FY179">
        <v>2.3290999999999999</v>
      </c>
      <c r="FZ179">
        <v>1.50146</v>
      </c>
      <c r="GA179">
        <v>2.36816</v>
      </c>
      <c r="GB179">
        <v>34.054499999999997</v>
      </c>
      <c r="GC179">
        <v>23.982399999999998</v>
      </c>
      <c r="GD179">
        <v>19</v>
      </c>
      <c r="GE179">
        <v>266.65300000000002</v>
      </c>
      <c r="GF179">
        <v>576.9</v>
      </c>
      <c r="GG179">
        <v>21.552399999999999</v>
      </c>
      <c r="GH179">
        <v>26.103000000000002</v>
      </c>
      <c r="GI179">
        <v>29.999300000000002</v>
      </c>
      <c r="GJ179">
        <v>26.286300000000001</v>
      </c>
      <c r="GK179">
        <v>26.284099999999999</v>
      </c>
      <c r="GL179">
        <v>35.258200000000002</v>
      </c>
      <c r="GM179">
        <v>96.346299999999999</v>
      </c>
      <c r="GN179">
        <v>25.343</v>
      </c>
      <c r="GO179">
        <v>21.553999999999998</v>
      </c>
      <c r="GP179">
        <v>800</v>
      </c>
      <c r="GQ179">
        <v>0.47022999999999998</v>
      </c>
      <c r="GR179">
        <v>99.796999999999997</v>
      </c>
      <c r="GS179">
        <v>99.683400000000006</v>
      </c>
    </row>
    <row r="180" spans="1:201" x14ac:dyDescent="0.25">
      <c r="A180">
        <v>164</v>
      </c>
      <c r="B180">
        <v>1690308430</v>
      </c>
      <c r="C180">
        <v>1811.400000095367</v>
      </c>
      <c r="D180" t="s">
        <v>661</v>
      </c>
      <c r="E180" t="s">
        <v>662</v>
      </c>
      <c r="F180" t="s">
        <v>330</v>
      </c>
      <c r="H180">
        <v>1690308430</v>
      </c>
      <c r="I180">
        <f t="shared" si="60"/>
        <v>1.958088382592222E-3</v>
      </c>
      <c r="J180">
        <f t="shared" si="61"/>
        <v>1.9580883825922222</v>
      </c>
      <c r="K180">
        <f t="shared" si="62"/>
        <v>29.401621901705976</v>
      </c>
      <c r="L180">
        <f t="shared" si="63"/>
        <v>484.53399999999999</v>
      </c>
      <c r="M180">
        <f t="shared" si="64"/>
        <v>155.78780003523121</v>
      </c>
      <c r="N180">
        <f t="shared" si="65"/>
        <v>15.469596747019629</v>
      </c>
      <c r="O180">
        <f t="shared" si="66"/>
        <v>48.113816284236002</v>
      </c>
      <c r="P180">
        <f t="shared" si="67"/>
        <v>0.1509201529030095</v>
      </c>
      <c r="Q180">
        <f t="shared" si="68"/>
        <v>2.193086448937053</v>
      </c>
      <c r="R180">
        <f t="shared" si="69"/>
        <v>0.14537863452171498</v>
      </c>
      <c r="S180">
        <f t="shared" si="70"/>
        <v>9.1342577477120199E-2</v>
      </c>
      <c r="T180">
        <f t="shared" si="71"/>
        <v>276.11421892200002</v>
      </c>
      <c r="U180">
        <f t="shared" si="72"/>
        <v>25.829816518357763</v>
      </c>
      <c r="V180">
        <f t="shared" si="73"/>
        <v>25.829816518357763</v>
      </c>
      <c r="W180">
        <f t="shared" si="74"/>
        <v>3.3404276505300623</v>
      </c>
      <c r="X180">
        <f t="shared" si="75"/>
        <v>66.612239775382363</v>
      </c>
      <c r="Y180">
        <f t="shared" si="76"/>
        <v>2.0392074265439999</v>
      </c>
      <c r="Z180">
        <f t="shared" si="77"/>
        <v>3.0613104039441446</v>
      </c>
      <c r="AA180">
        <f t="shared" si="78"/>
        <v>1.3012202239860624</v>
      </c>
      <c r="AB180">
        <f t="shared" si="79"/>
        <v>-86.351697672316988</v>
      </c>
      <c r="AC180">
        <f t="shared" si="80"/>
        <v>-173.1669958259294</v>
      </c>
      <c r="AD180">
        <f t="shared" si="81"/>
        <v>-16.718535727075967</v>
      </c>
      <c r="AE180">
        <f t="shared" si="82"/>
        <v>-0.12301030332233154</v>
      </c>
      <c r="AF180">
        <v>12</v>
      </c>
      <c r="AG180">
        <v>4</v>
      </c>
      <c r="AH180">
        <f t="shared" si="83"/>
        <v>1</v>
      </c>
      <c r="AI180">
        <f t="shared" si="84"/>
        <v>0</v>
      </c>
      <c r="AJ180">
        <f t="shared" si="85"/>
        <v>52810.554239948171</v>
      </c>
      <c r="AK180">
        <f t="shared" si="86"/>
        <v>1800</v>
      </c>
      <c r="AL180">
        <f t="shared" si="87"/>
        <v>1499.1158682000002</v>
      </c>
      <c r="AM180">
        <f t="shared" si="88"/>
        <v>0.83284214900000009</v>
      </c>
      <c r="AN180">
        <f t="shared" si="89"/>
        <v>0.15339678829</v>
      </c>
      <c r="AO180">
        <v>31.2</v>
      </c>
      <c r="AP180">
        <v>0.5</v>
      </c>
      <c r="AQ180" t="s">
        <v>331</v>
      </c>
      <c r="AR180">
        <v>2</v>
      </c>
      <c r="AS180">
        <v>1690308430</v>
      </c>
      <c r="AT180">
        <v>484.53399999999999</v>
      </c>
      <c r="AU180">
        <v>800.03599999999994</v>
      </c>
      <c r="AV180">
        <v>20.536000000000001</v>
      </c>
      <c r="AW180">
        <v>0.59904999999999997</v>
      </c>
      <c r="AX180">
        <v>484.36200000000002</v>
      </c>
      <c r="AY180">
        <v>20.327400000000001</v>
      </c>
      <c r="AZ180">
        <v>300.13499999999999</v>
      </c>
      <c r="BA180">
        <v>99.199100000000001</v>
      </c>
      <c r="BB180">
        <v>0.100054</v>
      </c>
      <c r="BC180">
        <v>24.365200000000002</v>
      </c>
      <c r="BD180">
        <v>26.990100000000002</v>
      </c>
      <c r="BE180">
        <v>26.095500000000001</v>
      </c>
      <c r="BF180">
        <v>0</v>
      </c>
      <c r="BG180">
        <v>0</v>
      </c>
      <c r="BH180">
        <v>9978.75</v>
      </c>
      <c r="BI180">
        <v>1041.5899999999999</v>
      </c>
      <c r="BJ180">
        <v>1.62592</v>
      </c>
      <c r="BK180">
        <v>-315.50200000000001</v>
      </c>
      <c r="BL180">
        <v>494.69299999999998</v>
      </c>
      <c r="BM180">
        <v>800.51499999999999</v>
      </c>
      <c r="BN180">
        <v>19.936900000000001</v>
      </c>
      <c r="BO180">
        <v>800.03599999999994</v>
      </c>
      <c r="BP180">
        <v>0.59904999999999997</v>
      </c>
      <c r="BQ180">
        <v>2.03715</v>
      </c>
      <c r="BR180">
        <v>5.94253E-2</v>
      </c>
      <c r="BS180">
        <v>17.7361</v>
      </c>
      <c r="BT180">
        <v>-28.3613</v>
      </c>
      <c r="BU180">
        <v>1800</v>
      </c>
      <c r="BV180">
        <v>0.91002700000000003</v>
      </c>
      <c r="BW180">
        <v>3.3993799999999998E-2</v>
      </c>
      <c r="BX180">
        <v>2.1993200000000001E-2</v>
      </c>
      <c r="BY180">
        <v>3.3986299999999997E-2</v>
      </c>
      <c r="BZ180">
        <v>26</v>
      </c>
      <c r="CA180">
        <v>33528.6</v>
      </c>
      <c r="CB180">
        <v>1690306253.5999999</v>
      </c>
      <c r="CC180" t="s">
        <v>332</v>
      </c>
      <c r="CD180">
        <v>1690306253.5999999</v>
      </c>
      <c r="CE180">
        <v>1690306251.5999999</v>
      </c>
      <c r="CF180">
        <v>9</v>
      </c>
      <c r="CG180">
        <v>0.19</v>
      </c>
      <c r="CH180">
        <v>-8.7999999999999995E-2</v>
      </c>
      <c r="CI180">
        <v>-5.0999999999999997E-2</v>
      </c>
      <c r="CJ180">
        <v>5.0999999999999997E-2</v>
      </c>
      <c r="CK180">
        <v>799</v>
      </c>
      <c r="CL180">
        <v>15</v>
      </c>
      <c r="CM180">
        <v>0.28000000000000003</v>
      </c>
      <c r="CN180">
        <v>0.03</v>
      </c>
      <c r="CO180">
        <v>-314.56529268292678</v>
      </c>
      <c r="CP180">
        <v>-4.2197351916378816</v>
      </c>
      <c r="CQ180">
        <v>0.42287916995932429</v>
      </c>
      <c r="CR180">
        <v>-1</v>
      </c>
      <c r="CS180">
        <v>19.882956097560982</v>
      </c>
      <c r="CT180">
        <v>0.32195540069689138</v>
      </c>
      <c r="CU180">
        <v>3.1830029147059867E-2</v>
      </c>
      <c r="CV180">
        <v>-1</v>
      </c>
      <c r="CW180">
        <v>0</v>
      </c>
      <c r="CX180">
        <v>0</v>
      </c>
      <c r="CY180" t="s">
        <v>333</v>
      </c>
      <c r="CZ180">
        <v>2.36463</v>
      </c>
      <c r="DA180">
        <v>2.7138300000000002</v>
      </c>
      <c r="DB180">
        <v>0.103376</v>
      </c>
      <c r="DC180">
        <v>0.146176</v>
      </c>
      <c r="DD180">
        <v>0.10198699999999999</v>
      </c>
      <c r="DE180">
        <v>4.91926E-3</v>
      </c>
      <c r="DF180">
        <v>32757.7</v>
      </c>
      <c r="DG180">
        <v>27546.3</v>
      </c>
      <c r="DH180">
        <v>31189.200000000001</v>
      </c>
      <c r="DI180">
        <v>28112.2</v>
      </c>
      <c r="DJ180">
        <v>38029.9</v>
      </c>
      <c r="DK180">
        <v>39792</v>
      </c>
      <c r="DL180">
        <v>44390</v>
      </c>
      <c r="DM180">
        <v>42615.3</v>
      </c>
      <c r="DN180">
        <v>1.4382999999999999</v>
      </c>
      <c r="DO180">
        <v>2.0293800000000002</v>
      </c>
      <c r="DP180">
        <v>0.18026700000000001</v>
      </c>
      <c r="DQ180">
        <v>0.15085200000000001</v>
      </c>
      <c r="DR180">
        <v>24.034800000000001</v>
      </c>
      <c r="DS180">
        <v>23.619800000000001</v>
      </c>
      <c r="DT180">
        <v>28.7</v>
      </c>
      <c r="DU180">
        <v>29.5</v>
      </c>
      <c r="DV180">
        <v>11.975899999999999</v>
      </c>
      <c r="DW180">
        <v>61.763100000000001</v>
      </c>
      <c r="DX180">
        <v>37.123399999999997</v>
      </c>
      <c r="DY180">
        <v>1</v>
      </c>
      <c r="DZ180">
        <v>-9.9316600000000005E-2</v>
      </c>
      <c r="EA180">
        <v>1.15316</v>
      </c>
      <c r="EB180">
        <v>20.184999999999999</v>
      </c>
      <c r="EC180">
        <v>5.24125</v>
      </c>
      <c r="ED180">
        <v>12.039899999999999</v>
      </c>
      <c r="EE180">
        <v>5.0175999999999998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1.86893</v>
      </c>
      <c r="EL180">
        <v>1.8646199999999999</v>
      </c>
      <c r="EM180">
        <v>1.8692</v>
      </c>
      <c r="EN180">
        <v>1.86724</v>
      </c>
      <c r="EO180">
        <v>1.8633999999999999</v>
      </c>
      <c r="EP180">
        <v>1.8644799999999999</v>
      </c>
      <c r="EQ180">
        <v>1.87018</v>
      </c>
      <c r="ER180">
        <v>1.86941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0.17199999999999999</v>
      </c>
      <c r="FG180">
        <v>0.20860000000000001</v>
      </c>
      <c r="FH180">
        <v>0.49996858830924029</v>
      </c>
      <c r="FI180">
        <v>-6.1462078757559423E-4</v>
      </c>
      <c r="FJ180">
        <v>-1.8861989874597051E-7</v>
      </c>
      <c r="FK180">
        <v>1.1980462299894961E-10</v>
      </c>
      <c r="FL180">
        <v>-3.8593581000597899E-2</v>
      </c>
      <c r="FM180">
        <v>-1.6848085045870601E-2</v>
      </c>
      <c r="FN180">
        <v>1.9789084769509481E-3</v>
      </c>
      <c r="FO180">
        <v>-2.7142391389806329E-5</v>
      </c>
      <c r="FP180">
        <v>3</v>
      </c>
      <c r="FQ180">
        <v>2158</v>
      </c>
      <c r="FR180">
        <v>1</v>
      </c>
      <c r="FS180">
        <v>19</v>
      </c>
      <c r="FT180">
        <v>36.299999999999997</v>
      </c>
      <c r="FU180">
        <v>36.299999999999997</v>
      </c>
      <c r="FV180">
        <v>1.7639199999999999</v>
      </c>
      <c r="FW180">
        <v>2.5915499999999998</v>
      </c>
      <c r="FX180">
        <v>1.5490699999999999</v>
      </c>
      <c r="FY180">
        <v>2.3290999999999999</v>
      </c>
      <c r="FZ180">
        <v>1.50146</v>
      </c>
      <c r="GA180">
        <v>2.4169900000000002</v>
      </c>
      <c r="GB180">
        <v>34.054499999999997</v>
      </c>
      <c r="GC180">
        <v>23.982399999999998</v>
      </c>
      <c r="GD180">
        <v>19</v>
      </c>
      <c r="GE180">
        <v>266.77600000000001</v>
      </c>
      <c r="GF180">
        <v>576.77099999999996</v>
      </c>
      <c r="GG180">
        <v>21.553899999999999</v>
      </c>
      <c r="GH180">
        <v>26.1008</v>
      </c>
      <c r="GI180">
        <v>29.999700000000001</v>
      </c>
      <c r="GJ180">
        <v>26.283799999999999</v>
      </c>
      <c r="GK180">
        <v>26.281600000000001</v>
      </c>
      <c r="GL180">
        <v>35.257100000000001</v>
      </c>
      <c r="GM180">
        <v>98.7607</v>
      </c>
      <c r="GN180">
        <v>24.5442</v>
      </c>
      <c r="GO180">
        <v>21.555900000000001</v>
      </c>
      <c r="GP180">
        <v>800</v>
      </c>
      <c r="GQ180">
        <v>0.381579</v>
      </c>
      <c r="GR180">
        <v>99.798500000000004</v>
      </c>
      <c r="GS180">
        <v>99.685599999999994</v>
      </c>
    </row>
    <row r="181" spans="1:201" x14ac:dyDescent="0.25">
      <c r="A181">
        <v>165</v>
      </c>
      <c r="B181">
        <v>1690308440</v>
      </c>
      <c r="C181">
        <v>1821.400000095367</v>
      </c>
      <c r="D181" t="s">
        <v>663</v>
      </c>
      <c r="E181" t="s">
        <v>664</v>
      </c>
      <c r="F181" t="s">
        <v>330</v>
      </c>
      <c r="H181">
        <v>1690308440</v>
      </c>
      <c r="I181">
        <f t="shared" si="60"/>
        <v>1.9809816952046015E-3</v>
      </c>
      <c r="J181">
        <f t="shared" si="61"/>
        <v>1.9809816952046015</v>
      </c>
      <c r="K181">
        <f t="shared" si="62"/>
        <v>29.419615621786715</v>
      </c>
      <c r="L181">
        <f t="shared" si="63"/>
        <v>483.983</v>
      </c>
      <c r="M181">
        <f t="shared" si="64"/>
        <v>158.97517904219237</v>
      </c>
      <c r="N181">
        <f t="shared" si="65"/>
        <v>15.78594028454747</v>
      </c>
      <c r="O181">
        <f t="shared" si="66"/>
        <v>48.058613821145201</v>
      </c>
      <c r="P181">
        <f t="shared" si="67"/>
        <v>0.1528614994405938</v>
      </c>
      <c r="Q181">
        <f t="shared" si="68"/>
        <v>2.1924594699354736</v>
      </c>
      <c r="R181">
        <f t="shared" si="69"/>
        <v>0.14717782570755494</v>
      </c>
      <c r="S181">
        <f t="shared" si="70"/>
        <v>9.2479189346711024E-2</v>
      </c>
      <c r="T181">
        <f t="shared" si="71"/>
        <v>276.11533663757035</v>
      </c>
      <c r="U181">
        <f t="shared" si="72"/>
        <v>25.821813872993424</v>
      </c>
      <c r="V181">
        <f t="shared" si="73"/>
        <v>25.821813872993424</v>
      </c>
      <c r="W181">
        <f t="shared" si="74"/>
        <v>3.3388441241101465</v>
      </c>
      <c r="X181">
        <f t="shared" si="75"/>
        <v>66.591574789530711</v>
      </c>
      <c r="Y181">
        <f t="shared" si="76"/>
        <v>2.0385015362020398</v>
      </c>
      <c r="Z181">
        <f t="shared" si="77"/>
        <v>3.0612003735381337</v>
      </c>
      <c r="AA181">
        <f t="shared" si="78"/>
        <v>1.3003425879081068</v>
      </c>
      <c r="AB181">
        <f t="shared" si="79"/>
        <v>-87.361292758522922</v>
      </c>
      <c r="AC181">
        <f t="shared" si="80"/>
        <v>-172.24249755326244</v>
      </c>
      <c r="AD181">
        <f t="shared" si="81"/>
        <v>-16.633313794056612</v>
      </c>
      <c r="AE181">
        <f t="shared" si="82"/>
        <v>-0.12176746827162788</v>
      </c>
      <c r="AF181">
        <v>12</v>
      </c>
      <c r="AG181">
        <v>4</v>
      </c>
      <c r="AH181">
        <f t="shared" si="83"/>
        <v>1</v>
      </c>
      <c r="AI181">
        <f t="shared" si="84"/>
        <v>0</v>
      </c>
      <c r="AJ181">
        <f t="shared" si="85"/>
        <v>52784.786478314963</v>
      </c>
      <c r="AK181">
        <f t="shared" si="86"/>
        <v>1800.01</v>
      </c>
      <c r="AL181">
        <f t="shared" si="87"/>
        <v>1499.1235666179898</v>
      </c>
      <c r="AM181">
        <f t="shared" si="88"/>
        <v>0.83284179899999988</v>
      </c>
      <c r="AN181">
        <f t="shared" si="89"/>
        <v>0.15339655703999996</v>
      </c>
      <c r="AO181">
        <v>31.2</v>
      </c>
      <c r="AP181">
        <v>0.5</v>
      </c>
      <c r="AQ181" t="s">
        <v>331</v>
      </c>
      <c r="AR181">
        <v>2</v>
      </c>
      <c r="AS181">
        <v>1690308440</v>
      </c>
      <c r="AT181">
        <v>483.983</v>
      </c>
      <c r="AU181">
        <v>799.85599999999999</v>
      </c>
      <c r="AV181">
        <v>20.5291</v>
      </c>
      <c r="AW181">
        <v>0.35380299999999998</v>
      </c>
      <c r="AX181">
        <v>483.81099999999998</v>
      </c>
      <c r="AY181">
        <v>20.320599999999999</v>
      </c>
      <c r="AZ181">
        <v>300.05900000000003</v>
      </c>
      <c r="BA181">
        <v>99.1982</v>
      </c>
      <c r="BB181">
        <v>9.9944400000000003E-2</v>
      </c>
      <c r="BC181">
        <v>24.364599999999999</v>
      </c>
      <c r="BD181">
        <v>26.984200000000001</v>
      </c>
      <c r="BE181">
        <v>26.1111</v>
      </c>
      <c r="BF181">
        <v>0</v>
      </c>
      <c r="BG181">
        <v>0</v>
      </c>
      <c r="BH181">
        <v>9973.75</v>
      </c>
      <c r="BI181">
        <v>1041.72</v>
      </c>
      <c r="BJ181">
        <v>1.62592</v>
      </c>
      <c r="BK181">
        <v>-315.87200000000001</v>
      </c>
      <c r="BL181">
        <v>494.12700000000001</v>
      </c>
      <c r="BM181">
        <v>800.13900000000001</v>
      </c>
      <c r="BN181">
        <v>20.1753</v>
      </c>
      <c r="BO181">
        <v>799.85599999999999</v>
      </c>
      <c r="BP181">
        <v>0.35380299999999998</v>
      </c>
      <c r="BQ181">
        <v>2.0364499999999999</v>
      </c>
      <c r="BR181">
        <v>3.5096700000000002E-2</v>
      </c>
      <c r="BS181">
        <v>17.730599999999999</v>
      </c>
      <c r="BT181">
        <v>-33.859499999999997</v>
      </c>
      <c r="BU181">
        <v>1800.01</v>
      </c>
      <c r="BV181">
        <v>0.91002899999999998</v>
      </c>
      <c r="BW181">
        <v>3.3993900000000001E-2</v>
      </c>
      <c r="BX181">
        <v>2.1990699999999998E-2</v>
      </c>
      <c r="BY181">
        <v>3.39864E-2</v>
      </c>
      <c r="BZ181">
        <v>26</v>
      </c>
      <c r="CA181">
        <v>33528.699999999997</v>
      </c>
      <c r="CB181">
        <v>1690306253.5999999</v>
      </c>
      <c r="CC181" t="s">
        <v>332</v>
      </c>
      <c r="CD181">
        <v>1690306253.5999999</v>
      </c>
      <c r="CE181">
        <v>1690306251.5999999</v>
      </c>
      <c r="CF181">
        <v>9</v>
      </c>
      <c r="CG181">
        <v>0.19</v>
      </c>
      <c r="CH181">
        <v>-8.7999999999999995E-2</v>
      </c>
      <c r="CI181">
        <v>-5.0999999999999997E-2</v>
      </c>
      <c r="CJ181">
        <v>5.0999999999999997E-2</v>
      </c>
      <c r="CK181">
        <v>799</v>
      </c>
      <c r="CL181">
        <v>15</v>
      </c>
      <c r="CM181">
        <v>0.28000000000000003</v>
      </c>
      <c r="CN181">
        <v>0.03</v>
      </c>
      <c r="CO181">
        <v>-315.35343902439018</v>
      </c>
      <c r="CP181">
        <v>-4.163498257840816</v>
      </c>
      <c r="CQ181">
        <v>0.42391267213784289</v>
      </c>
      <c r="CR181">
        <v>-1</v>
      </c>
      <c r="CS181">
        <v>19.971282926829272</v>
      </c>
      <c r="CT181">
        <v>0.73660766550522128</v>
      </c>
      <c r="CU181">
        <v>8.2457749424866889E-2</v>
      </c>
      <c r="CV181">
        <v>-1</v>
      </c>
      <c r="CW181">
        <v>0</v>
      </c>
      <c r="CX181">
        <v>0</v>
      </c>
      <c r="CY181" t="s">
        <v>333</v>
      </c>
      <c r="CZ181">
        <v>2.36443</v>
      </c>
      <c r="DA181">
        <v>2.7137099999999998</v>
      </c>
      <c r="DB181">
        <v>0.10328900000000001</v>
      </c>
      <c r="DC181">
        <v>0.14615</v>
      </c>
      <c r="DD181">
        <v>0.101963</v>
      </c>
      <c r="DE181">
        <v>2.9471599999999999E-3</v>
      </c>
      <c r="DF181">
        <v>32760.400000000001</v>
      </c>
      <c r="DG181">
        <v>27546.799999999999</v>
      </c>
      <c r="DH181">
        <v>31188.799999999999</v>
      </c>
      <c r="DI181">
        <v>28111.9</v>
      </c>
      <c r="DJ181">
        <v>38030.5</v>
      </c>
      <c r="DK181">
        <v>39870.5</v>
      </c>
      <c r="DL181">
        <v>44389.5</v>
      </c>
      <c r="DM181">
        <v>42614.7</v>
      </c>
      <c r="DN181">
        <v>1.43798</v>
      </c>
      <c r="DO181">
        <v>2.0297999999999998</v>
      </c>
      <c r="DP181">
        <v>0.17988699999999999</v>
      </c>
      <c r="DQ181">
        <v>0.151806</v>
      </c>
      <c r="DR181">
        <v>24.0351</v>
      </c>
      <c r="DS181">
        <v>23.619800000000001</v>
      </c>
      <c r="DT181">
        <v>28.4</v>
      </c>
      <c r="DU181">
        <v>29.5</v>
      </c>
      <c r="DV181">
        <v>11.850300000000001</v>
      </c>
      <c r="DW181">
        <v>61.723100000000002</v>
      </c>
      <c r="DX181">
        <v>37.107399999999998</v>
      </c>
      <c r="DY181">
        <v>1</v>
      </c>
      <c r="DZ181">
        <v>-9.9098099999999995E-2</v>
      </c>
      <c r="EA181">
        <v>1.14212</v>
      </c>
      <c r="EB181">
        <v>20.185099999999998</v>
      </c>
      <c r="EC181">
        <v>5.24125</v>
      </c>
      <c r="ED181">
        <v>12.039899999999999</v>
      </c>
      <c r="EE181">
        <v>5.0174500000000002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1.8689199999999999</v>
      </c>
      <c r="EL181">
        <v>1.8646400000000001</v>
      </c>
      <c r="EM181">
        <v>1.8692</v>
      </c>
      <c r="EN181">
        <v>1.8672500000000001</v>
      </c>
      <c r="EO181">
        <v>1.8633999999999999</v>
      </c>
      <c r="EP181">
        <v>1.8644700000000001</v>
      </c>
      <c r="EQ181">
        <v>1.8701700000000001</v>
      </c>
      <c r="ER181">
        <v>1.8694500000000001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0.17199999999999999</v>
      </c>
      <c r="FG181">
        <v>0.20849999999999999</v>
      </c>
      <c r="FH181">
        <v>0.49996858830924029</v>
      </c>
      <c r="FI181">
        <v>-6.1462078757559423E-4</v>
      </c>
      <c r="FJ181">
        <v>-1.8861989874597051E-7</v>
      </c>
      <c r="FK181">
        <v>1.1980462299894961E-10</v>
      </c>
      <c r="FL181">
        <v>-3.8593581000597899E-2</v>
      </c>
      <c r="FM181">
        <v>-1.6848085045870601E-2</v>
      </c>
      <c r="FN181">
        <v>1.9789084769509481E-3</v>
      </c>
      <c r="FO181">
        <v>-2.7142391389806329E-5</v>
      </c>
      <c r="FP181">
        <v>3</v>
      </c>
      <c r="FQ181">
        <v>2158</v>
      </c>
      <c r="FR181">
        <v>1</v>
      </c>
      <c r="FS181">
        <v>19</v>
      </c>
      <c r="FT181">
        <v>36.4</v>
      </c>
      <c r="FU181">
        <v>36.5</v>
      </c>
      <c r="FV181">
        <v>1.7639199999999999</v>
      </c>
      <c r="FW181">
        <v>2.5891099999999998</v>
      </c>
      <c r="FX181">
        <v>1.5490699999999999</v>
      </c>
      <c r="FY181">
        <v>2.3303199999999999</v>
      </c>
      <c r="FZ181">
        <v>1.50146</v>
      </c>
      <c r="GA181">
        <v>2.3962400000000001</v>
      </c>
      <c r="GB181">
        <v>34.054499999999997</v>
      </c>
      <c r="GC181">
        <v>23.991199999999999</v>
      </c>
      <c r="GD181">
        <v>19</v>
      </c>
      <c r="GE181">
        <v>266.62700000000001</v>
      </c>
      <c r="GF181">
        <v>577.05700000000002</v>
      </c>
      <c r="GG181">
        <v>21.562100000000001</v>
      </c>
      <c r="GH181">
        <v>26.098600000000001</v>
      </c>
      <c r="GI181">
        <v>30.0001</v>
      </c>
      <c r="GJ181">
        <v>26.279900000000001</v>
      </c>
      <c r="GK181">
        <v>26.276199999999999</v>
      </c>
      <c r="GL181">
        <v>35.255699999999997</v>
      </c>
      <c r="GM181">
        <v>99.441400000000002</v>
      </c>
      <c r="GN181">
        <v>24.1492</v>
      </c>
      <c r="GO181">
        <v>21.5625</v>
      </c>
      <c r="GP181">
        <v>800</v>
      </c>
      <c r="GQ181">
        <v>0.30605399999999999</v>
      </c>
      <c r="GR181">
        <v>99.797399999999996</v>
      </c>
      <c r="GS181">
        <v>99.684299999999993</v>
      </c>
    </row>
    <row r="182" spans="1:201" x14ac:dyDescent="0.25">
      <c r="A182">
        <v>166</v>
      </c>
      <c r="B182">
        <v>1690308450</v>
      </c>
      <c r="C182">
        <v>1831.400000095367</v>
      </c>
      <c r="D182" t="s">
        <v>665</v>
      </c>
      <c r="E182" t="s">
        <v>666</v>
      </c>
      <c r="F182" t="s">
        <v>330</v>
      </c>
      <c r="H182">
        <v>1690308450</v>
      </c>
      <c r="I182">
        <f t="shared" si="60"/>
        <v>1.9825690771353181E-3</v>
      </c>
      <c r="J182">
        <f t="shared" si="61"/>
        <v>1.9825690771353179</v>
      </c>
      <c r="K182">
        <f t="shared" si="62"/>
        <v>29.492020224875542</v>
      </c>
      <c r="L182">
        <f t="shared" si="63"/>
        <v>483.45800000000003</v>
      </c>
      <c r="M182">
        <f t="shared" si="64"/>
        <v>157.06887393174799</v>
      </c>
      <c r="N182">
        <f t="shared" si="65"/>
        <v>15.596747871534125</v>
      </c>
      <c r="O182">
        <f t="shared" si="66"/>
        <v>48.006790548155998</v>
      </c>
      <c r="P182">
        <f t="shared" si="67"/>
        <v>0.15255679170263606</v>
      </c>
      <c r="Q182">
        <f t="shared" si="68"/>
        <v>2.1947736462186325</v>
      </c>
      <c r="R182">
        <f t="shared" si="69"/>
        <v>0.14690103462160475</v>
      </c>
      <c r="S182">
        <f t="shared" si="70"/>
        <v>9.2303824500701154E-2</v>
      </c>
      <c r="T182">
        <f t="shared" si="71"/>
        <v>276.11364729599995</v>
      </c>
      <c r="U182">
        <f t="shared" si="72"/>
        <v>25.819459223951473</v>
      </c>
      <c r="V182">
        <f t="shared" si="73"/>
        <v>25.819459223951473</v>
      </c>
      <c r="W182">
        <f t="shared" si="74"/>
        <v>3.3383783219222716</v>
      </c>
      <c r="X182">
        <f t="shared" si="75"/>
        <v>66.462545991661372</v>
      </c>
      <c r="Y182">
        <f t="shared" si="76"/>
        <v>2.0345029547634002</v>
      </c>
      <c r="Z182">
        <f t="shared" si="77"/>
        <v>3.0611270218547695</v>
      </c>
      <c r="AA182">
        <f t="shared" si="78"/>
        <v>1.3038753671588714</v>
      </c>
      <c r="AB182">
        <f t="shared" si="79"/>
        <v>-87.43129630166753</v>
      </c>
      <c r="AC182">
        <f t="shared" si="80"/>
        <v>-172.19301914564781</v>
      </c>
      <c r="AD182">
        <f t="shared" si="81"/>
        <v>-16.610772010000446</v>
      </c>
      <c r="AE182">
        <f t="shared" si="82"/>
        <v>-0.12144016131586</v>
      </c>
      <c r="AF182">
        <v>12</v>
      </c>
      <c r="AG182">
        <v>4</v>
      </c>
      <c r="AH182">
        <f t="shared" si="83"/>
        <v>1</v>
      </c>
      <c r="AI182">
        <f t="shared" si="84"/>
        <v>0</v>
      </c>
      <c r="AJ182">
        <f t="shared" si="85"/>
        <v>52880.336978804131</v>
      </c>
      <c r="AK182">
        <f t="shared" si="86"/>
        <v>1800</v>
      </c>
      <c r="AL182">
        <f t="shared" si="87"/>
        <v>1499.1145595999999</v>
      </c>
      <c r="AM182">
        <f t="shared" si="88"/>
        <v>0.83284142199999989</v>
      </c>
      <c r="AN182">
        <f t="shared" si="89"/>
        <v>0.15339647071999998</v>
      </c>
      <c r="AO182">
        <v>31.2</v>
      </c>
      <c r="AP182">
        <v>0.5</v>
      </c>
      <c r="AQ182" t="s">
        <v>331</v>
      </c>
      <c r="AR182">
        <v>2</v>
      </c>
      <c r="AS182">
        <v>1690308450</v>
      </c>
      <c r="AT182">
        <v>483.45800000000003</v>
      </c>
      <c r="AU182">
        <v>800.02300000000002</v>
      </c>
      <c r="AV182">
        <v>20.488700000000001</v>
      </c>
      <c r="AW182">
        <v>0.30010399999999998</v>
      </c>
      <c r="AX182">
        <v>483.286</v>
      </c>
      <c r="AY182">
        <v>20.281400000000001</v>
      </c>
      <c r="AZ182">
        <v>300.11399999999998</v>
      </c>
      <c r="BA182">
        <v>99.198700000000002</v>
      </c>
      <c r="BB182">
        <v>0.100082</v>
      </c>
      <c r="BC182">
        <v>24.3642</v>
      </c>
      <c r="BD182">
        <v>26.9559</v>
      </c>
      <c r="BE182">
        <v>26.079000000000001</v>
      </c>
      <c r="BF182">
        <v>0</v>
      </c>
      <c r="BG182">
        <v>0</v>
      </c>
      <c r="BH182">
        <v>9992.5</v>
      </c>
      <c r="BI182">
        <v>1041.75</v>
      </c>
      <c r="BJ182">
        <v>1.62592</v>
      </c>
      <c r="BK182">
        <v>-316.565</v>
      </c>
      <c r="BL182">
        <v>493.57100000000003</v>
      </c>
      <c r="BM182">
        <v>800.26400000000001</v>
      </c>
      <c r="BN182">
        <v>20.188600000000001</v>
      </c>
      <c r="BO182">
        <v>800.02300000000002</v>
      </c>
      <c r="BP182">
        <v>0.30010399999999998</v>
      </c>
      <c r="BQ182">
        <v>2.0324499999999999</v>
      </c>
      <c r="BR182">
        <v>2.9769899999999998E-2</v>
      </c>
      <c r="BS182">
        <v>17.6995</v>
      </c>
      <c r="BT182">
        <v>-35.520299999999999</v>
      </c>
      <c r="BU182">
        <v>1800</v>
      </c>
      <c r="BV182">
        <v>0.91002899999999998</v>
      </c>
      <c r="BW182">
        <v>3.3993700000000002E-2</v>
      </c>
      <c r="BX182">
        <v>2.1990599999999999E-2</v>
      </c>
      <c r="BY182">
        <v>3.3986200000000001E-2</v>
      </c>
      <c r="BZ182">
        <v>26</v>
      </c>
      <c r="CA182">
        <v>33528.5</v>
      </c>
      <c r="CB182">
        <v>1690306253.5999999</v>
      </c>
      <c r="CC182" t="s">
        <v>332</v>
      </c>
      <c r="CD182">
        <v>1690306253.5999999</v>
      </c>
      <c r="CE182">
        <v>1690306251.5999999</v>
      </c>
      <c r="CF182">
        <v>9</v>
      </c>
      <c r="CG182">
        <v>0.19</v>
      </c>
      <c r="CH182">
        <v>-8.7999999999999995E-2</v>
      </c>
      <c r="CI182">
        <v>-5.0999999999999997E-2</v>
      </c>
      <c r="CJ182">
        <v>5.0999999999999997E-2</v>
      </c>
      <c r="CK182">
        <v>799</v>
      </c>
      <c r="CL182">
        <v>15</v>
      </c>
      <c r="CM182">
        <v>0.28000000000000003</v>
      </c>
      <c r="CN182">
        <v>0.03</v>
      </c>
      <c r="CO182">
        <v>-316.00482926829272</v>
      </c>
      <c r="CP182">
        <v>-3.237721254355276</v>
      </c>
      <c r="CQ182">
        <v>0.33211935133865728</v>
      </c>
      <c r="CR182">
        <v>-1</v>
      </c>
      <c r="CS182">
        <v>20.106419512195121</v>
      </c>
      <c r="CT182">
        <v>0.94816933797912206</v>
      </c>
      <c r="CU182">
        <v>0.1020937140500944</v>
      </c>
      <c r="CV182">
        <v>-1</v>
      </c>
      <c r="CW182">
        <v>0</v>
      </c>
      <c r="CX182">
        <v>0</v>
      </c>
      <c r="CY182" t="s">
        <v>333</v>
      </c>
      <c r="CZ182">
        <v>2.3646099999999999</v>
      </c>
      <c r="DA182">
        <v>2.71387</v>
      </c>
      <c r="DB182">
        <v>0.10320799999999999</v>
      </c>
      <c r="DC182">
        <v>0.146171</v>
      </c>
      <c r="DD182">
        <v>0.101824</v>
      </c>
      <c r="DE182">
        <v>2.50804E-3</v>
      </c>
      <c r="DF182">
        <v>32763.5</v>
      </c>
      <c r="DG182">
        <v>27545.9</v>
      </c>
      <c r="DH182">
        <v>31188.9</v>
      </c>
      <c r="DI182">
        <v>28111.7</v>
      </c>
      <c r="DJ182">
        <v>38036.5</v>
      </c>
      <c r="DK182">
        <v>39887.699999999997</v>
      </c>
      <c r="DL182">
        <v>44389.7</v>
      </c>
      <c r="DM182">
        <v>42614.2</v>
      </c>
      <c r="DN182">
        <v>1.43845</v>
      </c>
      <c r="DO182">
        <v>2.02955</v>
      </c>
      <c r="DP182">
        <v>0.17818100000000001</v>
      </c>
      <c r="DQ182">
        <v>0.14984600000000001</v>
      </c>
      <c r="DR182">
        <v>24.034800000000001</v>
      </c>
      <c r="DS182">
        <v>23.619800000000001</v>
      </c>
      <c r="DT182">
        <v>28.1</v>
      </c>
      <c r="DU182">
        <v>29.5</v>
      </c>
      <c r="DV182">
        <v>11.7264</v>
      </c>
      <c r="DW182">
        <v>61.773099999999999</v>
      </c>
      <c r="DX182">
        <v>37.123399999999997</v>
      </c>
      <c r="DY182">
        <v>1</v>
      </c>
      <c r="DZ182">
        <v>-9.9349599999999996E-2</v>
      </c>
      <c r="EA182">
        <v>1.0715300000000001</v>
      </c>
      <c r="EB182">
        <v>20.185700000000001</v>
      </c>
      <c r="EC182">
        <v>5.24125</v>
      </c>
      <c r="ED182">
        <v>12.039899999999999</v>
      </c>
      <c r="EE182">
        <v>5.01715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1.8689499999999999</v>
      </c>
      <c r="EL182">
        <v>1.8646400000000001</v>
      </c>
      <c r="EM182">
        <v>1.8692</v>
      </c>
      <c r="EN182">
        <v>1.8672299999999999</v>
      </c>
      <c r="EO182">
        <v>1.8633900000000001</v>
      </c>
      <c r="EP182">
        <v>1.8644700000000001</v>
      </c>
      <c r="EQ182">
        <v>1.87018</v>
      </c>
      <c r="ER182">
        <v>1.86941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0.17199999999999999</v>
      </c>
      <c r="FG182">
        <v>0.20730000000000001</v>
      </c>
      <c r="FH182">
        <v>0.49996858830924029</v>
      </c>
      <c r="FI182">
        <v>-6.1462078757559423E-4</v>
      </c>
      <c r="FJ182">
        <v>-1.8861989874597051E-7</v>
      </c>
      <c r="FK182">
        <v>1.1980462299894961E-10</v>
      </c>
      <c r="FL182">
        <v>-3.8593581000597899E-2</v>
      </c>
      <c r="FM182">
        <v>-1.6848085045870601E-2</v>
      </c>
      <c r="FN182">
        <v>1.9789084769509481E-3</v>
      </c>
      <c r="FO182">
        <v>-2.7142391389806329E-5</v>
      </c>
      <c r="FP182">
        <v>3</v>
      </c>
      <c r="FQ182">
        <v>2158</v>
      </c>
      <c r="FR182">
        <v>1</v>
      </c>
      <c r="FS182">
        <v>19</v>
      </c>
      <c r="FT182">
        <v>36.6</v>
      </c>
      <c r="FU182">
        <v>36.6</v>
      </c>
      <c r="FV182">
        <v>1.7639199999999999</v>
      </c>
      <c r="FW182">
        <v>2.5878899999999998</v>
      </c>
      <c r="FX182">
        <v>1.5490699999999999</v>
      </c>
      <c r="FY182">
        <v>2.3290999999999999</v>
      </c>
      <c r="FZ182">
        <v>1.50146</v>
      </c>
      <c r="GA182">
        <v>2.4206500000000002</v>
      </c>
      <c r="GB182">
        <v>34.054499999999997</v>
      </c>
      <c r="GC182">
        <v>23.991199999999999</v>
      </c>
      <c r="GD182">
        <v>19</v>
      </c>
      <c r="GE182">
        <v>266.81099999999998</v>
      </c>
      <c r="GF182">
        <v>576.822</v>
      </c>
      <c r="GG182">
        <v>21.575299999999999</v>
      </c>
      <c r="GH182">
        <v>26.096399999999999</v>
      </c>
      <c r="GI182">
        <v>29.9999</v>
      </c>
      <c r="GJ182">
        <v>26.2776</v>
      </c>
      <c r="GK182">
        <v>26.273399999999999</v>
      </c>
      <c r="GL182">
        <v>35.253900000000002</v>
      </c>
      <c r="GM182">
        <v>99.441400000000002</v>
      </c>
      <c r="GN182">
        <v>23.3675</v>
      </c>
      <c r="GO182">
        <v>21.5961</v>
      </c>
      <c r="GP182">
        <v>800</v>
      </c>
      <c r="GQ182">
        <v>0.25343599999999999</v>
      </c>
      <c r="GR182">
        <v>99.797700000000006</v>
      </c>
      <c r="GS182">
        <v>99.683400000000006</v>
      </c>
    </row>
    <row r="183" spans="1:201" x14ac:dyDescent="0.25">
      <c r="A183">
        <v>167</v>
      </c>
      <c r="B183">
        <v>1690308460</v>
      </c>
      <c r="C183">
        <v>1841.400000095367</v>
      </c>
      <c r="D183" t="s">
        <v>667</v>
      </c>
      <c r="E183" t="s">
        <v>668</v>
      </c>
      <c r="F183" t="s">
        <v>330</v>
      </c>
      <c r="H183">
        <v>1690308460</v>
      </c>
      <c r="I183">
        <f t="shared" si="60"/>
        <v>1.983190173191836E-3</v>
      </c>
      <c r="J183">
        <f t="shared" si="61"/>
        <v>1.983190173191836</v>
      </c>
      <c r="K183">
        <f t="shared" si="62"/>
        <v>29.574167606960135</v>
      </c>
      <c r="L183">
        <f t="shared" si="63"/>
        <v>482.69799999999998</v>
      </c>
      <c r="M183">
        <f t="shared" si="64"/>
        <v>154.92776020121329</v>
      </c>
      <c r="N183">
        <f t="shared" si="65"/>
        <v>15.384021380292882</v>
      </c>
      <c r="O183">
        <f t="shared" si="66"/>
        <v>47.930960484940002</v>
      </c>
      <c r="P183">
        <f t="shared" si="67"/>
        <v>0.15230342815664269</v>
      </c>
      <c r="Q183">
        <f t="shared" si="68"/>
        <v>2.196227815292116</v>
      </c>
      <c r="R183">
        <f t="shared" si="69"/>
        <v>0.14666965213918592</v>
      </c>
      <c r="S183">
        <f t="shared" si="70"/>
        <v>9.2157342278560525E-2</v>
      </c>
      <c r="T183">
        <f t="shared" si="71"/>
        <v>276.11445081599993</v>
      </c>
      <c r="U183">
        <f t="shared" si="72"/>
        <v>25.826364638060628</v>
      </c>
      <c r="V183">
        <f t="shared" si="73"/>
        <v>25.826364638060628</v>
      </c>
      <c r="W183">
        <f t="shared" si="74"/>
        <v>3.3397445279997346</v>
      </c>
      <c r="X183">
        <f t="shared" si="75"/>
        <v>66.395183227700358</v>
      </c>
      <c r="Y183">
        <f t="shared" si="76"/>
        <v>2.0334151285369999</v>
      </c>
      <c r="Z183">
        <f t="shared" si="77"/>
        <v>3.0625943474897293</v>
      </c>
      <c r="AA183">
        <f t="shared" si="78"/>
        <v>1.3063293994627347</v>
      </c>
      <c r="AB183">
        <f t="shared" si="79"/>
        <v>-87.458686637759968</v>
      </c>
      <c r="AC183">
        <f t="shared" si="80"/>
        <v>-172.17750504994024</v>
      </c>
      <c r="AD183">
        <f t="shared" si="81"/>
        <v>-16.599522890288519</v>
      </c>
      <c r="AE183">
        <f t="shared" si="82"/>
        <v>-0.12126376198881417</v>
      </c>
      <c r="AF183">
        <v>12</v>
      </c>
      <c r="AG183">
        <v>4</v>
      </c>
      <c r="AH183">
        <f t="shared" si="83"/>
        <v>1</v>
      </c>
      <c r="AI183">
        <f t="shared" si="84"/>
        <v>0</v>
      </c>
      <c r="AJ183">
        <f t="shared" si="85"/>
        <v>52938.940946663766</v>
      </c>
      <c r="AK183">
        <f t="shared" si="86"/>
        <v>1800</v>
      </c>
      <c r="AL183">
        <f t="shared" si="87"/>
        <v>1499.1156936</v>
      </c>
      <c r="AM183">
        <f t="shared" si="88"/>
        <v>0.83284205199999994</v>
      </c>
      <c r="AN183">
        <f t="shared" si="89"/>
        <v>0.15339691711999998</v>
      </c>
      <c r="AO183">
        <v>31.2</v>
      </c>
      <c r="AP183">
        <v>0.5</v>
      </c>
      <c r="AQ183" t="s">
        <v>331</v>
      </c>
      <c r="AR183">
        <v>2</v>
      </c>
      <c r="AS183">
        <v>1690308460</v>
      </c>
      <c r="AT183">
        <v>482.69799999999998</v>
      </c>
      <c r="AU183">
        <v>800.096</v>
      </c>
      <c r="AV183">
        <v>20.477900000000002</v>
      </c>
      <c r="AW183">
        <v>0.28329500000000002</v>
      </c>
      <c r="AX183">
        <v>482.52499999999998</v>
      </c>
      <c r="AY183">
        <v>20.270900000000001</v>
      </c>
      <c r="AZ183">
        <v>300.12200000000001</v>
      </c>
      <c r="BA183">
        <v>99.197999999999993</v>
      </c>
      <c r="BB183">
        <v>0.10002999999999999</v>
      </c>
      <c r="BC183">
        <v>24.372199999999999</v>
      </c>
      <c r="BD183">
        <v>26.966100000000001</v>
      </c>
      <c r="BE183">
        <v>26.079799999999999</v>
      </c>
      <c r="BF183">
        <v>0</v>
      </c>
      <c r="BG183">
        <v>0</v>
      </c>
      <c r="BH183">
        <v>10004.4</v>
      </c>
      <c r="BI183">
        <v>1041.72</v>
      </c>
      <c r="BJ183">
        <v>1.62592</v>
      </c>
      <c r="BK183">
        <v>-317.399</v>
      </c>
      <c r="BL183">
        <v>492.78899999999999</v>
      </c>
      <c r="BM183">
        <v>800.32299999999998</v>
      </c>
      <c r="BN183">
        <v>20.194600000000001</v>
      </c>
      <c r="BO183">
        <v>800.096</v>
      </c>
      <c r="BP183">
        <v>0.28329500000000002</v>
      </c>
      <c r="BQ183">
        <v>2.0313599999999998</v>
      </c>
      <c r="BR183">
        <v>2.81023E-2</v>
      </c>
      <c r="BS183">
        <v>17.690899999999999</v>
      </c>
      <c r="BT183">
        <v>-36.095599999999997</v>
      </c>
      <c r="BU183">
        <v>1800</v>
      </c>
      <c r="BV183">
        <v>0.91002499999999997</v>
      </c>
      <c r="BW183">
        <v>3.39934E-2</v>
      </c>
      <c r="BX183">
        <v>2.1995600000000001E-2</v>
      </c>
      <c r="BY183">
        <v>3.3986000000000002E-2</v>
      </c>
      <c r="BZ183">
        <v>26</v>
      </c>
      <c r="CA183">
        <v>33528.5</v>
      </c>
      <c r="CB183">
        <v>1690306253.5999999</v>
      </c>
      <c r="CC183" t="s">
        <v>332</v>
      </c>
      <c r="CD183">
        <v>1690306253.5999999</v>
      </c>
      <c r="CE183">
        <v>1690306251.5999999</v>
      </c>
      <c r="CF183">
        <v>9</v>
      </c>
      <c r="CG183">
        <v>0.19</v>
      </c>
      <c r="CH183">
        <v>-8.7999999999999995E-2</v>
      </c>
      <c r="CI183">
        <v>-5.0999999999999997E-2</v>
      </c>
      <c r="CJ183">
        <v>5.0999999999999997E-2</v>
      </c>
      <c r="CK183">
        <v>799</v>
      </c>
      <c r="CL183">
        <v>15</v>
      </c>
      <c r="CM183">
        <v>0.28000000000000003</v>
      </c>
      <c r="CN183">
        <v>0.03</v>
      </c>
      <c r="CO183">
        <v>-316.52641463414642</v>
      </c>
      <c r="CP183">
        <v>-4.118174216028927</v>
      </c>
      <c r="CQ183">
        <v>0.4107739854261851</v>
      </c>
      <c r="CR183">
        <v>-1</v>
      </c>
      <c r="CS183">
        <v>20.187999999999999</v>
      </c>
      <c r="CT183">
        <v>3.9037630662106623E-2</v>
      </c>
      <c r="CU183">
        <v>8.9258462740132282E-3</v>
      </c>
      <c r="CV183">
        <v>-1</v>
      </c>
      <c r="CW183">
        <v>0</v>
      </c>
      <c r="CX183">
        <v>0</v>
      </c>
      <c r="CY183" t="s">
        <v>333</v>
      </c>
      <c r="CZ183">
        <v>2.3646199999999999</v>
      </c>
      <c r="DA183">
        <v>2.7138200000000001</v>
      </c>
      <c r="DB183">
        <v>0.103088</v>
      </c>
      <c r="DC183">
        <v>0.146179</v>
      </c>
      <c r="DD183">
        <v>0.101786</v>
      </c>
      <c r="DE183">
        <v>2.3699599999999999E-3</v>
      </c>
      <c r="DF183">
        <v>32768.699999999997</v>
      </c>
      <c r="DG183">
        <v>27546.400000000001</v>
      </c>
      <c r="DH183">
        <v>31189.7</v>
      </c>
      <c r="DI183">
        <v>28112.400000000001</v>
      </c>
      <c r="DJ183">
        <v>38039.199999999997</v>
      </c>
      <c r="DK183">
        <v>39894.199999999997</v>
      </c>
      <c r="DL183">
        <v>44390.9</v>
      </c>
      <c r="DM183">
        <v>42615.199999999997</v>
      </c>
      <c r="DN183">
        <v>1.43835</v>
      </c>
      <c r="DO183">
        <v>2.0293999999999999</v>
      </c>
      <c r="DP183">
        <v>0.17879900000000001</v>
      </c>
      <c r="DQ183">
        <v>0.149898</v>
      </c>
      <c r="DR183">
        <v>24.034800000000001</v>
      </c>
      <c r="DS183">
        <v>23.619800000000001</v>
      </c>
      <c r="DT183">
        <v>27.8</v>
      </c>
      <c r="DU183">
        <v>29.6</v>
      </c>
      <c r="DV183">
        <v>11.668100000000001</v>
      </c>
      <c r="DW183">
        <v>61.673099999999998</v>
      </c>
      <c r="DX183">
        <v>37.1875</v>
      </c>
      <c r="DY183">
        <v>1</v>
      </c>
      <c r="DZ183">
        <v>-9.9944099999999994E-2</v>
      </c>
      <c r="EA183">
        <v>0.95320300000000002</v>
      </c>
      <c r="EB183">
        <v>20.186699999999998</v>
      </c>
      <c r="EC183">
        <v>5.24125</v>
      </c>
      <c r="ED183">
        <v>12.039899999999999</v>
      </c>
      <c r="EE183">
        <v>5.0163500000000001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1.86893</v>
      </c>
      <c r="EL183">
        <v>1.8646199999999999</v>
      </c>
      <c r="EM183">
        <v>1.8692</v>
      </c>
      <c r="EN183">
        <v>1.86724</v>
      </c>
      <c r="EO183">
        <v>1.8633999999999999</v>
      </c>
      <c r="EP183">
        <v>1.8644700000000001</v>
      </c>
      <c r="EQ183">
        <v>1.87019</v>
      </c>
      <c r="ER183">
        <v>1.8694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0.17299999999999999</v>
      </c>
      <c r="FG183">
        <v>0.20699999999999999</v>
      </c>
      <c r="FH183">
        <v>0.49996858830924029</v>
      </c>
      <c r="FI183">
        <v>-6.1462078757559423E-4</v>
      </c>
      <c r="FJ183">
        <v>-1.8861989874597051E-7</v>
      </c>
      <c r="FK183">
        <v>1.1980462299894961E-10</v>
      </c>
      <c r="FL183">
        <v>-3.8593581000597899E-2</v>
      </c>
      <c r="FM183">
        <v>-1.6848085045870601E-2</v>
      </c>
      <c r="FN183">
        <v>1.9789084769509481E-3</v>
      </c>
      <c r="FO183">
        <v>-2.7142391389806329E-5</v>
      </c>
      <c r="FP183">
        <v>3</v>
      </c>
      <c r="FQ183">
        <v>2158</v>
      </c>
      <c r="FR183">
        <v>1</v>
      </c>
      <c r="FS183">
        <v>19</v>
      </c>
      <c r="FT183">
        <v>36.799999999999997</v>
      </c>
      <c r="FU183">
        <v>36.799999999999997</v>
      </c>
      <c r="FV183">
        <v>1.7626999999999999</v>
      </c>
      <c r="FW183">
        <v>2.5878899999999998</v>
      </c>
      <c r="FX183">
        <v>1.5490699999999999</v>
      </c>
      <c r="FY183">
        <v>2.3303199999999999</v>
      </c>
      <c r="FZ183">
        <v>1.50146</v>
      </c>
      <c r="GA183">
        <v>2.3962400000000001</v>
      </c>
      <c r="GB183">
        <v>34.054499999999997</v>
      </c>
      <c r="GC183">
        <v>23.991199999999999</v>
      </c>
      <c r="GD183">
        <v>19</v>
      </c>
      <c r="GE183">
        <v>266.75799999999998</v>
      </c>
      <c r="GF183">
        <v>576.68100000000004</v>
      </c>
      <c r="GG183">
        <v>21.6313</v>
      </c>
      <c r="GH183">
        <v>26.094200000000001</v>
      </c>
      <c r="GI183">
        <v>29.9999</v>
      </c>
      <c r="GJ183">
        <v>26.2744</v>
      </c>
      <c r="GK183">
        <v>26.271799999999999</v>
      </c>
      <c r="GL183">
        <v>35.249499999999998</v>
      </c>
      <c r="GM183">
        <v>99.750200000000007</v>
      </c>
      <c r="GN183">
        <v>22.599799999999998</v>
      </c>
      <c r="GO183">
        <v>21.658000000000001</v>
      </c>
      <c r="GP183">
        <v>800</v>
      </c>
      <c r="GQ183">
        <v>0.184085</v>
      </c>
      <c r="GR183">
        <v>99.800299999999993</v>
      </c>
      <c r="GS183">
        <v>99.685699999999997</v>
      </c>
    </row>
    <row r="184" spans="1:201" x14ac:dyDescent="0.25">
      <c r="A184">
        <v>168</v>
      </c>
      <c r="B184">
        <v>1690308470</v>
      </c>
      <c r="C184">
        <v>1851.400000095367</v>
      </c>
      <c r="D184" t="s">
        <v>669</v>
      </c>
      <c r="E184" t="s">
        <v>670</v>
      </c>
      <c r="F184" t="s">
        <v>330</v>
      </c>
      <c r="H184">
        <v>1690308470</v>
      </c>
      <c r="I184">
        <f t="shared" si="60"/>
        <v>1.987831970436154E-3</v>
      </c>
      <c r="J184">
        <f t="shared" si="61"/>
        <v>1.987831970436154</v>
      </c>
      <c r="K184">
        <f t="shared" si="62"/>
        <v>29.632718837479437</v>
      </c>
      <c r="L184">
        <f t="shared" si="63"/>
        <v>482.01799999999997</v>
      </c>
      <c r="M184">
        <f t="shared" si="64"/>
        <v>153.92886913928226</v>
      </c>
      <c r="N184">
        <f t="shared" si="65"/>
        <v>15.284603803785767</v>
      </c>
      <c r="O184">
        <f t="shared" si="66"/>
        <v>47.862718653683991</v>
      </c>
      <c r="P184">
        <f t="shared" si="67"/>
        <v>0.1524707812229367</v>
      </c>
      <c r="Q184">
        <f t="shared" si="68"/>
        <v>2.1889687570874004</v>
      </c>
      <c r="R184">
        <f t="shared" si="69"/>
        <v>0.14680688951758133</v>
      </c>
      <c r="S184">
        <f t="shared" si="70"/>
        <v>9.224565445697297E-2</v>
      </c>
      <c r="T184">
        <f t="shared" si="71"/>
        <v>276.11406354600001</v>
      </c>
      <c r="U184">
        <f t="shared" si="72"/>
        <v>25.839765179630714</v>
      </c>
      <c r="V184">
        <f t="shared" si="73"/>
        <v>25.839765179630714</v>
      </c>
      <c r="W184">
        <f t="shared" si="74"/>
        <v>3.3423971602229288</v>
      </c>
      <c r="X184">
        <f t="shared" si="75"/>
        <v>66.381204865964747</v>
      </c>
      <c r="Y184">
        <f t="shared" si="76"/>
        <v>2.0342782443521998</v>
      </c>
      <c r="Z184">
        <f t="shared" si="77"/>
        <v>3.0645395009924314</v>
      </c>
      <c r="AA184">
        <f t="shared" si="78"/>
        <v>1.3081189158707289</v>
      </c>
      <c r="AB184">
        <f t="shared" si="79"/>
        <v>-87.663389896234392</v>
      </c>
      <c r="AC184">
        <f t="shared" si="80"/>
        <v>-171.9389138415597</v>
      </c>
      <c r="AD184">
        <f t="shared" si="81"/>
        <v>-16.633500526098903</v>
      </c>
      <c r="AE184">
        <f t="shared" si="82"/>
        <v>-0.12174071789294771</v>
      </c>
      <c r="AF184">
        <v>12</v>
      </c>
      <c r="AG184">
        <v>4</v>
      </c>
      <c r="AH184">
        <f t="shared" si="83"/>
        <v>1</v>
      </c>
      <c r="AI184">
        <f t="shared" si="84"/>
        <v>0</v>
      </c>
      <c r="AJ184">
        <f t="shared" si="85"/>
        <v>52637.720222192926</v>
      </c>
      <c r="AK184">
        <f t="shared" si="86"/>
        <v>1800</v>
      </c>
      <c r="AL184">
        <f t="shared" si="87"/>
        <v>1499.1151895999999</v>
      </c>
      <c r="AM184">
        <f t="shared" si="88"/>
        <v>0.83284177199999998</v>
      </c>
      <c r="AN184">
        <f t="shared" si="89"/>
        <v>0.15339670196999999</v>
      </c>
      <c r="AO184">
        <v>31.2</v>
      </c>
      <c r="AP184">
        <v>0.5</v>
      </c>
      <c r="AQ184" t="s">
        <v>331</v>
      </c>
      <c r="AR184">
        <v>2</v>
      </c>
      <c r="AS184">
        <v>1690308470</v>
      </c>
      <c r="AT184">
        <v>482.01799999999997</v>
      </c>
      <c r="AU184">
        <v>800.053</v>
      </c>
      <c r="AV184">
        <v>20.486899999999999</v>
      </c>
      <c r="AW184">
        <v>0.24399999999999999</v>
      </c>
      <c r="AX184">
        <v>481.84500000000003</v>
      </c>
      <c r="AY184">
        <v>20.279699999999998</v>
      </c>
      <c r="AZ184">
        <v>300.10399999999998</v>
      </c>
      <c r="BA184">
        <v>99.1965</v>
      </c>
      <c r="BB184">
        <v>0.100038</v>
      </c>
      <c r="BC184">
        <v>24.3828</v>
      </c>
      <c r="BD184">
        <v>26.9893</v>
      </c>
      <c r="BE184">
        <v>26.0991</v>
      </c>
      <c r="BF184">
        <v>0</v>
      </c>
      <c r="BG184">
        <v>0</v>
      </c>
      <c r="BH184">
        <v>9945.6200000000008</v>
      </c>
      <c r="BI184">
        <v>1041.8499999999999</v>
      </c>
      <c r="BJ184">
        <v>1.62592</v>
      </c>
      <c r="BK184">
        <v>-318.03399999999999</v>
      </c>
      <c r="BL184">
        <v>492.1</v>
      </c>
      <c r="BM184">
        <v>800.24800000000005</v>
      </c>
      <c r="BN184">
        <v>20.242899999999999</v>
      </c>
      <c r="BO184">
        <v>800.053</v>
      </c>
      <c r="BP184">
        <v>0.24399999999999999</v>
      </c>
      <c r="BQ184">
        <v>2.0322300000000002</v>
      </c>
      <c r="BR184">
        <v>2.4204E-2</v>
      </c>
      <c r="BS184">
        <v>17.697700000000001</v>
      </c>
      <c r="BT184">
        <v>-37.571100000000001</v>
      </c>
      <c r="BU184">
        <v>1800</v>
      </c>
      <c r="BV184">
        <v>0.91002700000000003</v>
      </c>
      <c r="BW184">
        <v>3.3993599999999999E-2</v>
      </c>
      <c r="BX184">
        <v>2.1993100000000002E-2</v>
      </c>
      <c r="BY184">
        <v>3.3986099999999998E-2</v>
      </c>
      <c r="BZ184">
        <v>26</v>
      </c>
      <c r="CA184">
        <v>33528.6</v>
      </c>
      <c r="CB184">
        <v>1690306253.5999999</v>
      </c>
      <c r="CC184" t="s">
        <v>332</v>
      </c>
      <c r="CD184">
        <v>1690306253.5999999</v>
      </c>
      <c r="CE184">
        <v>1690306251.5999999</v>
      </c>
      <c r="CF184">
        <v>9</v>
      </c>
      <c r="CG184">
        <v>0.19</v>
      </c>
      <c r="CH184">
        <v>-8.7999999999999995E-2</v>
      </c>
      <c r="CI184">
        <v>-5.0999999999999997E-2</v>
      </c>
      <c r="CJ184">
        <v>5.0999999999999997E-2</v>
      </c>
      <c r="CK184">
        <v>799</v>
      </c>
      <c r="CL184">
        <v>15</v>
      </c>
      <c r="CM184">
        <v>0.28000000000000003</v>
      </c>
      <c r="CN184">
        <v>0.03</v>
      </c>
      <c r="CO184">
        <v>-317.20292682926828</v>
      </c>
      <c r="CP184">
        <v>-4.1148292682935388</v>
      </c>
      <c r="CQ184">
        <v>0.408477983419827</v>
      </c>
      <c r="CR184">
        <v>-1</v>
      </c>
      <c r="CS184">
        <v>20.20006585365854</v>
      </c>
      <c r="CT184">
        <v>0.12975052264809259</v>
      </c>
      <c r="CU184">
        <v>1.4580401308607729E-2</v>
      </c>
      <c r="CV184">
        <v>-1</v>
      </c>
      <c r="CW184">
        <v>0</v>
      </c>
      <c r="CX184">
        <v>0</v>
      </c>
      <c r="CY184" t="s">
        <v>333</v>
      </c>
      <c r="CZ184">
        <v>2.3645800000000001</v>
      </c>
      <c r="DA184">
        <v>2.7137799999999999</v>
      </c>
      <c r="DB184">
        <v>0.10298</v>
      </c>
      <c r="DC184">
        <v>0.146171</v>
      </c>
      <c r="DD184">
        <v>0.101817</v>
      </c>
      <c r="DE184">
        <v>2.04609E-3</v>
      </c>
      <c r="DF184">
        <v>32772.5</v>
      </c>
      <c r="DG184">
        <v>27546.2</v>
      </c>
      <c r="DH184">
        <v>31189.5</v>
      </c>
      <c r="DI184">
        <v>28112.1</v>
      </c>
      <c r="DJ184">
        <v>38037.599999999999</v>
      </c>
      <c r="DK184">
        <v>39906.800000000003</v>
      </c>
      <c r="DL184">
        <v>44390.6</v>
      </c>
      <c r="DM184">
        <v>42614.8</v>
      </c>
      <c r="DN184">
        <v>1.43855</v>
      </c>
      <c r="DO184">
        <v>2.0293299999999999</v>
      </c>
      <c r="DP184">
        <v>0.18012500000000001</v>
      </c>
      <c r="DQ184">
        <v>0.150949</v>
      </c>
      <c r="DR184">
        <v>24.036300000000001</v>
      </c>
      <c r="DS184">
        <v>23.6218</v>
      </c>
      <c r="DT184">
        <v>27.5</v>
      </c>
      <c r="DU184">
        <v>29.6</v>
      </c>
      <c r="DV184">
        <v>11.543799999999999</v>
      </c>
      <c r="DW184">
        <v>61.723100000000002</v>
      </c>
      <c r="DX184">
        <v>37.275599999999997</v>
      </c>
      <c r="DY184">
        <v>1</v>
      </c>
      <c r="DZ184">
        <v>-9.9939E-2</v>
      </c>
      <c r="EA184">
        <v>1.1660699999999999</v>
      </c>
      <c r="EB184">
        <v>20.184899999999999</v>
      </c>
      <c r="EC184">
        <v>5.24125</v>
      </c>
      <c r="ED184">
        <v>12.039899999999999</v>
      </c>
      <c r="EE184">
        <v>5.0171999999999999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1.86893</v>
      </c>
      <c r="EL184">
        <v>1.86463</v>
      </c>
      <c r="EM184">
        <v>1.8692</v>
      </c>
      <c r="EN184">
        <v>1.86724</v>
      </c>
      <c r="EO184">
        <v>1.8633999999999999</v>
      </c>
      <c r="EP184">
        <v>1.8644700000000001</v>
      </c>
      <c r="EQ184">
        <v>1.8702300000000001</v>
      </c>
      <c r="ER184">
        <v>1.8694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0.17299999999999999</v>
      </c>
      <c r="FG184">
        <v>0.2072</v>
      </c>
      <c r="FH184">
        <v>0.49996858830924029</v>
      </c>
      <c r="FI184">
        <v>-6.1462078757559423E-4</v>
      </c>
      <c r="FJ184">
        <v>-1.8861989874597051E-7</v>
      </c>
      <c r="FK184">
        <v>1.1980462299894961E-10</v>
      </c>
      <c r="FL184">
        <v>-3.8593581000597899E-2</v>
      </c>
      <c r="FM184">
        <v>-1.6848085045870601E-2</v>
      </c>
      <c r="FN184">
        <v>1.9789084769509481E-3</v>
      </c>
      <c r="FO184">
        <v>-2.7142391389806329E-5</v>
      </c>
      <c r="FP184">
        <v>3</v>
      </c>
      <c r="FQ184">
        <v>2158</v>
      </c>
      <c r="FR184">
        <v>1</v>
      </c>
      <c r="FS184">
        <v>19</v>
      </c>
      <c r="FT184">
        <v>36.9</v>
      </c>
      <c r="FU184">
        <v>37</v>
      </c>
      <c r="FV184">
        <v>1.7626999999999999</v>
      </c>
      <c r="FW184">
        <v>2.5915499999999998</v>
      </c>
      <c r="FX184">
        <v>1.5490699999999999</v>
      </c>
      <c r="FY184">
        <v>2.3303199999999999</v>
      </c>
      <c r="FZ184">
        <v>1.50146</v>
      </c>
      <c r="GA184">
        <v>2.3803700000000001</v>
      </c>
      <c r="GB184">
        <v>34.054499999999997</v>
      </c>
      <c r="GC184">
        <v>23.991199999999999</v>
      </c>
      <c r="GD184">
        <v>19</v>
      </c>
      <c r="GE184">
        <v>266.82900000000001</v>
      </c>
      <c r="GF184">
        <v>576.58399999999995</v>
      </c>
      <c r="GG184">
        <v>21.678100000000001</v>
      </c>
      <c r="GH184">
        <v>26.091999999999999</v>
      </c>
      <c r="GI184">
        <v>29.9999</v>
      </c>
      <c r="GJ184">
        <v>26.271699999999999</v>
      </c>
      <c r="GK184">
        <v>26.268699999999999</v>
      </c>
      <c r="GL184">
        <v>35.250900000000001</v>
      </c>
      <c r="GM184">
        <v>100</v>
      </c>
      <c r="GN184">
        <v>21.8185</v>
      </c>
      <c r="GO184">
        <v>21.615400000000001</v>
      </c>
      <c r="GP184">
        <v>800</v>
      </c>
      <c r="GQ184">
        <v>0.10019</v>
      </c>
      <c r="GR184">
        <v>99.799700000000001</v>
      </c>
      <c r="GS184">
        <v>99.684600000000003</v>
      </c>
    </row>
    <row r="185" spans="1:201" x14ac:dyDescent="0.25">
      <c r="A185">
        <v>169</v>
      </c>
      <c r="B185">
        <v>1690308480</v>
      </c>
      <c r="C185">
        <v>1861.400000095367</v>
      </c>
      <c r="D185" t="s">
        <v>671</v>
      </c>
      <c r="E185" t="s">
        <v>672</v>
      </c>
      <c r="F185" t="s">
        <v>330</v>
      </c>
      <c r="H185">
        <v>1690308480</v>
      </c>
      <c r="I185">
        <f t="shared" si="60"/>
        <v>1.9874946604289036E-3</v>
      </c>
      <c r="J185">
        <f t="shared" si="61"/>
        <v>1.9874946604289037</v>
      </c>
      <c r="K185">
        <f t="shared" si="62"/>
        <v>29.677831977045166</v>
      </c>
      <c r="L185">
        <f t="shared" si="63"/>
        <v>481.49099999999999</v>
      </c>
      <c r="M185">
        <f t="shared" si="64"/>
        <v>152.62361782508353</v>
      </c>
      <c r="N185">
        <f t="shared" si="65"/>
        <v>15.155323512132753</v>
      </c>
      <c r="O185">
        <f t="shared" si="66"/>
        <v>47.8114198651962</v>
      </c>
      <c r="P185">
        <f t="shared" si="67"/>
        <v>0.15232309867303231</v>
      </c>
      <c r="Q185">
        <f t="shared" si="68"/>
        <v>2.1886106403558037</v>
      </c>
      <c r="R185">
        <f t="shared" si="69"/>
        <v>0.14666906681530917</v>
      </c>
      <c r="S185">
        <f t="shared" si="70"/>
        <v>9.2158673460169233E-2</v>
      </c>
      <c r="T185">
        <f t="shared" si="71"/>
        <v>276.11396766000001</v>
      </c>
      <c r="U185">
        <f t="shared" si="72"/>
        <v>25.838798643972382</v>
      </c>
      <c r="V185">
        <f t="shared" si="73"/>
        <v>25.838798643972382</v>
      </c>
      <c r="W185">
        <f t="shared" si="74"/>
        <v>3.342205773286933</v>
      </c>
      <c r="X185">
        <f t="shared" si="75"/>
        <v>66.346002330505399</v>
      </c>
      <c r="Y185">
        <f t="shared" si="76"/>
        <v>2.0330411374668</v>
      </c>
      <c r="Z185">
        <f t="shared" si="77"/>
        <v>3.0643008863429628</v>
      </c>
      <c r="AA185">
        <f t="shared" si="78"/>
        <v>1.309164635820133</v>
      </c>
      <c r="AB185">
        <f t="shared" si="79"/>
        <v>-87.648514524914646</v>
      </c>
      <c r="AC185">
        <f t="shared" si="80"/>
        <v>-171.95013077218132</v>
      </c>
      <c r="AD185">
        <f t="shared" si="81"/>
        <v>-16.637117842082731</v>
      </c>
      <c r="AE185">
        <f t="shared" si="82"/>
        <v>-0.12179547917867239</v>
      </c>
      <c r="AF185">
        <v>12</v>
      </c>
      <c r="AG185">
        <v>4</v>
      </c>
      <c r="AH185">
        <f t="shared" si="83"/>
        <v>1</v>
      </c>
      <c r="AI185">
        <f t="shared" si="84"/>
        <v>0</v>
      </c>
      <c r="AJ185">
        <f t="shared" si="85"/>
        <v>52623.257062059361</v>
      </c>
      <c r="AK185">
        <f t="shared" si="86"/>
        <v>1800</v>
      </c>
      <c r="AL185">
        <f t="shared" si="87"/>
        <v>1499.115636</v>
      </c>
      <c r="AM185">
        <f t="shared" si="88"/>
        <v>0.83284201999999996</v>
      </c>
      <c r="AN185">
        <f t="shared" si="89"/>
        <v>0.1533966487</v>
      </c>
      <c r="AO185">
        <v>31.2</v>
      </c>
      <c r="AP185">
        <v>0.5</v>
      </c>
      <c r="AQ185" t="s">
        <v>331</v>
      </c>
      <c r="AR185">
        <v>2</v>
      </c>
      <c r="AS185">
        <v>1690308480</v>
      </c>
      <c r="AT185">
        <v>481.49099999999999</v>
      </c>
      <c r="AU185">
        <v>800.04399999999998</v>
      </c>
      <c r="AV185">
        <v>20.474</v>
      </c>
      <c r="AW185">
        <v>0.23035600000000001</v>
      </c>
      <c r="AX185">
        <v>481.31700000000001</v>
      </c>
      <c r="AY185">
        <v>20.267199999999999</v>
      </c>
      <c r="AZ185">
        <v>300.04599999999999</v>
      </c>
      <c r="BA185">
        <v>99.198700000000002</v>
      </c>
      <c r="BB185">
        <v>9.9978200000000003E-2</v>
      </c>
      <c r="BC185">
        <v>24.381499999999999</v>
      </c>
      <c r="BD185">
        <v>26.985299999999999</v>
      </c>
      <c r="BE185">
        <v>26.1113</v>
      </c>
      <c r="BF185">
        <v>0</v>
      </c>
      <c r="BG185">
        <v>0</v>
      </c>
      <c r="BH185">
        <v>9942.5</v>
      </c>
      <c r="BI185">
        <v>1041.92</v>
      </c>
      <c r="BJ185">
        <v>1.62592</v>
      </c>
      <c r="BK185">
        <v>-318.553</v>
      </c>
      <c r="BL185">
        <v>491.55500000000001</v>
      </c>
      <c r="BM185">
        <v>800.22799999999995</v>
      </c>
      <c r="BN185">
        <v>20.2437</v>
      </c>
      <c r="BO185">
        <v>800.04399999999998</v>
      </c>
      <c r="BP185">
        <v>0.23035600000000001</v>
      </c>
      <c r="BQ185">
        <v>2.0310000000000001</v>
      </c>
      <c r="BR185">
        <v>2.2851E-2</v>
      </c>
      <c r="BS185">
        <v>17.688099999999999</v>
      </c>
      <c r="BT185">
        <v>-38.133800000000001</v>
      </c>
      <c r="BU185">
        <v>1800</v>
      </c>
      <c r="BV185">
        <v>0.91002799999999995</v>
      </c>
      <c r="BW185">
        <v>3.3994400000000001E-2</v>
      </c>
      <c r="BX185">
        <v>2.1991E-2</v>
      </c>
      <c r="BY185">
        <v>3.3987000000000003E-2</v>
      </c>
      <c r="BZ185">
        <v>26</v>
      </c>
      <c r="CA185">
        <v>33528.6</v>
      </c>
      <c r="CB185">
        <v>1690306253.5999999</v>
      </c>
      <c r="CC185" t="s">
        <v>332</v>
      </c>
      <c r="CD185">
        <v>1690306253.5999999</v>
      </c>
      <c r="CE185">
        <v>1690306251.5999999</v>
      </c>
      <c r="CF185">
        <v>9</v>
      </c>
      <c r="CG185">
        <v>0.19</v>
      </c>
      <c r="CH185">
        <v>-8.7999999999999995E-2</v>
      </c>
      <c r="CI185">
        <v>-5.0999999999999997E-2</v>
      </c>
      <c r="CJ185">
        <v>5.0999999999999997E-2</v>
      </c>
      <c r="CK185">
        <v>799</v>
      </c>
      <c r="CL185">
        <v>15</v>
      </c>
      <c r="CM185">
        <v>0.28000000000000003</v>
      </c>
      <c r="CN185">
        <v>0.03</v>
      </c>
      <c r="CO185">
        <v>-317.90257500000001</v>
      </c>
      <c r="CP185">
        <v>-3.4569118198871358</v>
      </c>
      <c r="CQ185">
        <v>0.33803275636393421</v>
      </c>
      <c r="CR185">
        <v>-1</v>
      </c>
      <c r="CS185">
        <v>20.228940000000001</v>
      </c>
      <c r="CT185">
        <v>0.1743287054408578</v>
      </c>
      <c r="CU185">
        <v>1.8563617643121231E-2</v>
      </c>
      <c r="CV185">
        <v>-1</v>
      </c>
      <c r="CW185">
        <v>0</v>
      </c>
      <c r="CX185">
        <v>0</v>
      </c>
      <c r="CY185" t="s">
        <v>333</v>
      </c>
      <c r="CZ185">
        <v>2.3643999999999998</v>
      </c>
      <c r="DA185">
        <v>2.7137199999999999</v>
      </c>
      <c r="DB185">
        <v>0.10290000000000001</v>
      </c>
      <c r="DC185">
        <v>0.146174</v>
      </c>
      <c r="DD185">
        <v>0.101775</v>
      </c>
      <c r="DE185">
        <v>1.93334E-3</v>
      </c>
      <c r="DF185">
        <v>32775.199999999997</v>
      </c>
      <c r="DG185">
        <v>27546.5</v>
      </c>
      <c r="DH185">
        <v>31189.3</v>
      </c>
      <c r="DI185">
        <v>28112.400000000001</v>
      </c>
      <c r="DJ185">
        <v>38039.300000000003</v>
      </c>
      <c r="DK185">
        <v>39911.599999999999</v>
      </c>
      <c r="DL185">
        <v>44390.5</v>
      </c>
      <c r="DM185">
        <v>42615.1</v>
      </c>
      <c r="DN185">
        <v>1.43798</v>
      </c>
      <c r="DO185">
        <v>2.0294300000000001</v>
      </c>
      <c r="DP185">
        <v>0.17980499999999999</v>
      </c>
      <c r="DQ185">
        <v>0.15167900000000001</v>
      </c>
      <c r="DR185">
        <v>24.037600000000001</v>
      </c>
      <c r="DS185">
        <v>23.6221</v>
      </c>
      <c r="DT185">
        <v>27.2</v>
      </c>
      <c r="DU185">
        <v>29.6</v>
      </c>
      <c r="DV185">
        <v>11.4169</v>
      </c>
      <c r="DW185">
        <v>61.9831</v>
      </c>
      <c r="DX185">
        <v>37.331699999999998</v>
      </c>
      <c r="DY185">
        <v>1</v>
      </c>
      <c r="DZ185">
        <v>-9.9776400000000001E-2</v>
      </c>
      <c r="EA185">
        <v>1.0987</v>
      </c>
      <c r="EB185">
        <v>20.185500000000001</v>
      </c>
      <c r="EC185">
        <v>5.24125</v>
      </c>
      <c r="ED185">
        <v>12.039899999999999</v>
      </c>
      <c r="EE185">
        <v>5.0174000000000003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1.86894</v>
      </c>
      <c r="EL185">
        <v>1.8646400000000001</v>
      </c>
      <c r="EM185">
        <v>1.8692</v>
      </c>
      <c r="EN185">
        <v>1.8672500000000001</v>
      </c>
      <c r="EO185">
        <v>1.8633999999999999</v>
      </c>
      <c r="EP185">
        <v>1.8644700000000001</v>
      </c>
      <c r="EQ185">
        <v>1.87022</v>
      </c>
      <c r="ER185">
        <v>1.8694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0.17399999999999999</v>
      </c>
      <c r="FG185">
        <v>0.20680000000000001</v>
      </c>
      <c r="FH185">
        <v>0.49996858830924029</v>
      </c>
      <c r="FI185">
        <v>-6.1462078757559423E-4</v>
      </c>
      <c r="FJ185">
        <v>-1.8861989874597051E-7</v>
      </c>
      <c r="FK185">
        <v>1.1980462299894961E-10</v>
      </c>
      <c r="FL185">
        <v>-3.8593581000597899E-2</v>
      </c>
      <c r="FM185">
        <v>-1.6848085045870601E-2</v>
      </c>
      <c r="FN185">
        <v>1.9789084769509481E-3</v>
      </c>
      <c r="FO185">
        <v>-2.7142391389806329E-5</v>
      </c>
      <c r="FP185">
        <v>3</v>
      </c>
      <c r="FQ185">
        <v>2158</v>
      </c>
      <c r="FR185">
        <v>1</v>
      </c>
      <c r="FS185">
        <v>19</v>
      </c>
      <c r="FT185">
        <v>37.1</v>
      </c>
      <c r="FU185">
        <v>37.1</v>
      </c>
      <c r="FV185">
        <v>1.7626999999999999</v>
      </c>
      <c r="FW185">
        <v>2.5891099999999998</v>
      </c>
      <c r="FX185">
        <v>1.5490699999999999</v>
      </c>
      <c r="FY185">
        <v>2.3290999999999999</v>
      </c>
      <c r="FZ185">
        <v>1.50146</v>
      </c>
      <c r="GA185">
        <v>2.3706100000000001</v>
      </c>
      <c r="GB185">
        <v>34.054499999999997</v>
      </c>
      <c r="GC185">
        <v>23.991199999999999</v>
      </c>
      <c r="GD185">
        <v>19</v>
      </c>
      <c r="GE185">
        <v>266.58100000000002</v>
      </c>
      <c r="GF185">
        <v>576.64200000000005</v>
      </c>
      <c r="GG185">
        <v>21.63</v>
      </c>
      <c r="GH185">
        <v>26.0898</v>
      </c>
      <c r="GI185">
        <v>30.0001</v>
      </c>
      <c r="GJ185">
        <v>26.268699999999999</v>
      </c>
      <c r="GK185">
        <v>26.266500000000001</v>
      </c>
      <c r="GL185">
        <v>35.245899999999999</v>
      </c>
      <c r="GM185">
        <v>100</v>
      </c>
      <c r="GN185">
        <v>21.4238</v>
      </c>
      <c r="GO185">
        <v>21.646000000000001</v>
      </c>
      <c r="GP185">
        <v>800</v>
      </c>
      <c r="GQ185">
        <v>3.5806999999999999E-2</v>
      </c>
      <c r="GR185">
        <v>99.799300000000002</v>
      </c>
      <c r="GS185">
        <v>99.685500000000005</v>
      </c>
    </row>
    <row r="186" spans="1:201" x14ac:dyDescent="0.25">
      <c r="A186">
        <v>170</v>
      </c>
      <c r="B186">
        <v>1690308490</v>
      </c>
      <c r="C186">
        <v>1871.400000095367</v>
      </c>
      <c r="D186" t="s">
        <v>673</v>
      </c>
      <c r="E186" t="s">
        <v>674</v>
      </c>
      <c r="F186" t="s">
        <v>330</v>
      </c>
      <c r="H186">
        <v>1690308490</v>
      </c>
      <c r="I186">
        <f t="shared" si="60"/>
        <v>1.9884556418807123E-3</v>
      </c>
      <c r="J186">
        <f t="shared" si="61"/>
        <v>1.9884556418807122</v>
      </c>
      <c r="K186">
        <f t="shared" si="62"/>
        <v>29.73846555239135</v>
      </c>
      <c r="L186">
        <f t="shared" si="63"/>
        <v>480.91</v>
      </c>
      <c r="M186">
        <f t="shared" si="64"/>
        <v>151.69496979809838</v>
      </c>
      <c r="N186">
        <f t="shared" si="65"/>
        <v>15.063642182002633</v>
      </c>
      <c r="O186">
        <f t="shared" si="66"/>
        <v>47.755414509715003</v>
      </c>
      <c r="P186">
        <f t="shared" si="67"/>
        <v>0.15244677119077663</v>
      </c>
      <c r="Q186">
        <f t="shared" si="68"/>
        <v>2.1966606861995821</v>
      </c>
      <c r="R186">
        <f t="shared" si="69"/>
        <v>0.14680366485281685</v>
      </c>
      <c r="S186">
        <f t="shared" si="70"/>
        <v>9.2241897322871205E-2</v>
      </c>
      <c r="T186">
        <f t="shared" si="71"/>
        <v>276.11391033000001</v>
      </c>
      <c r="U186">
        <f t="shared" si="72"/>
        <v>25.836793411448944</v>
      </c>
      <c r="V186">
        <f t="shared" si="73"/>
        <v>25.836793411448944</v>
      </c>
      <c r="W186">
        <f t="shared" si="74"/>
        <v>3.3418087410647308</v>
      </c>
      <c r="X186">
        <f t="shared" si="75"/>
        <v>66.337250668456065</v>
      </c>
      <c r="Y186">
        <f t="shared" si="76"/>
        <v>2.0331626174942499</v>
      </c>
      <c r="Z186">
        <f t="shared" si="77"/>
        <v>3.064888274697577</v>
      </c>
      <c r="AA186">
        <f t="shared" si="78"/>
        <v>1.3086461235704809</v>
      </c>
      <c r="AB186">
        <f t="shared" si="79"/>
        <v>-87.690893806939414</v>
      </c>
      <c r="AC186">
        <f t="shared" si="80"/>
        <v>-171.96615294659748</v>
      </c>
      <c r="AD186">
        <f t="shared" si="81"/>
        <v>-16.577791730729473</v>
      </c>
      <c r="AE186">
        <f t="shared" si="82"/>
        <v>-0.12092815426635184</v>
      </c>
      <c r="AF186">
        <v>12</v>
      </c>
      <c r="AG186">
        <v>4</v>
      </c>
      <c r="AH186">
        <f t="shared" si="83"/>
        <v>1</v>
      </c>
      <c r="AI186">
        <f t="shared" si="84"/>
        <v>0</v>
      </c>
      <c r="AJ186">
        <f t="shared" si="85"/>
        <v>52954.688015998297</v>
      </c>
      <c r="AK186">
        <f t="shared" si="86"/>
        <v>1800</v>
      </c>
      <c r="AL186">
        <f t="shared" si="87"/>
        <v>1499.1153749999996</v>
      </c>
      <c r="AM186">
        <f t="shared" si="88"/>
        <v>0.83284187499999984</v>
      </c>
      <c r="AN186">
        <f t="shared" si="89"/>
        <v>0.15339661685</v>
      </c>
      <c r="AO186">
        <v>31.2</v>
      </c>
      <c r="AP186">
        <v>0.5</v>
      </c>
      <c r="AQ186" t="s">
        <v>331</v>
      </c>
      <c r="AR186">
        <v>2</v>
      </c>
      <c r="AS186">
        <v>1690308490</v>
      </c>
      <c r="AT186">
        <v>480.91</v>
      </c>
      <c r="AU186">
        <v>800.048</v>
      </c>
      <c r="AV186">
        <v>20.474499999999999</v>
      </c>
      <c r="AW186">
        <v>0.22350800000000001</v>
      </c>
      <c r="AX186">
        <v>480.73599999999999</v>
      </c>
      <c r="AY186">
        <v>20.267600000000002</v>
      </c>
      <c r="AZ186">
        <v>300.08199999999999</v>
      </c>
      <c r="BA186">
        <v>99.202200000000005</v>
      </c>
      <c r="BB186">
        <v>9.9986500000000006E-2</v>
      </c>
      <c r="BC186">
        <v>24.384699999999999</v>
      </c>
      <c r="BD186">
        <v>27.0307</v>
      </c>
      <c r="BE186">
        <v>26.0945</v>
      </c>
      <c r="BF186">
        <v>0</v>
      </c>
      <c r="BG186">
        <v>0</v>
      </c>
      <c r="BH186">
        <v>10007.5</v>
      </c>
      <c r="BI186">
        <v>1041.9100000000001</v>
      </c>
      <c r="BJ186">
        <v>1.62592</v>
      </c>
      <c r="BK186">
        <v>-319.137</v>
      </c>
      <c r="BL186">
        <v>490.96300000000002</v>
      </c>
      <c r="BM186">
        <v>800.226</v>
      </c>
      <c r="BN186">
        <v>20.251000000000001</v>
      </c>
      <c r="BO186">
        <v>800.048</v>
      </c>
      <c r="BP186">
        <v>0.22350800000000001</v>
      </c>
      <c r="BQ186">
        <v>2.03111</v>
      </c>
      <c r="BR186">
        <v>2.2172500000000001E-2</v>
      </c>
      <c r="BS186">
        <v>17.689</v>
      </c>
      <c r="BT186">
        <v>-38.427399999999999</v>
      </c>
      <c r="BU186">
        <v>1800</v>
      </c>
      <c r="BV186">
        <v>0.91002799999999995</v>
      </c>
      <c r="BW186">
        <v>3.3994299999999998E-2</v>
      </c>
      <c r="BX186">
        <v>2.1991E-2</v>
      </c>
      <c r="BY186">
        <v>3.39869E-2</v>
      </c>
      <c r="BZ186">
        <v>26</v>
      </c>
      <c r="CA186">
        <v>33528.699999999997</v>
      </c>
      <c r="CB186">
        <v>1690306253.5999999</v>
      </c>
      <c r="CC186" t="s">
        <v>332</v>
      </c>
      <c r="CD186">
        <v>1690306253.5999999</v>
      </c>
      <c r="CE186">
        <v>1690306251.5999999</v>
      </c>
      <c r="CF186">
        <v>9</v>
      </c>
      <c r="CG186">
        <v>0.19</v>
      </c>
      <c r="CH186">
        <v>-8.7999999999999995E-2</v>
      </c>
      <c r="CI186">
        <v>-5.0999999999999997E-2</v>
      </c>
      <c r="CJ186">
        <v>5.0999999999999997E-2</v>
      </c>
      <c r="CK186">
        <v>799</v>
      </c>
      <c r="CL186">
        <v>15</v>
      </c>
      <c r="CM186">
        <v>0.28000000000000003</v>
      </c>
      <c r="CN186">
        <v>0.03</v>
      </c>
      <c r="CO186">
        <v>-318.44752499999998</v>
      </c>
      <c r="CP186">
        <v>-2.9028405253281302</v>
      </c>
      <c r="CQ186">
        <v>0.29127032010660148</v>
      </c>
      <c r="CR186">
        <v>-1</v>
      </c>
      <c r="CS186">
        <v>20.243337499999999</v>
      </c>
      <c r="CT186">
        <v>-9.7136960600388948E-3</v>
      </c>
      <c r="CU186">
        <v>2.6703639733185089E-3</v>
      </c>
      <c r="CV186">
        <v>-1</v>
      </c>
      <c r="CW186">
        <v>0</v>
      </c>
      <c r="CX186">
        <v>0</v>
      </c>
      <c r="CY186" t="s">
        <v>333</v>
      </c>
      <c r="CZ186">
        <v>2.3644799999999999</v>
      </c>
      <c r="DA186">
        <v>2.7137799999999999</v>
      </c>
      <c r="DB186">
        <v>0.102813</v>
      </c>
      <c r="DC186">
        <v>0.14618</v>
      </c>
      <c r="DD186">
        <v>0.10178</v>
      </c>
      <c r="DE186">
        <v>1.8767300000000001E-3</v>
      </c>
      <c r="DF186">
        <v>32778.300000000003</v>
      </c>
      <c r="DG186">
        <v>27546.7</v>
      </c>
      <c r="DH186">
        <v>31189.200000000001</v>
      </c>
      <c r="DI186">
        <v>28112.799999999999</v>
      </c>
      <c r="DJ186">
        <v>38038.9</v>
      </c>
      <c r="DK186">
        <v>39914.400000000001</v>
      </c>
      <c r="DL186">
        <v>44390.3</v>
      </c>
      <c r="DM186">
        <v>42615.7</v>
      </c>
      <c r="DN186">
        <v>1.43807</v>
      </c>
      <c r="DO186">
        <v>2.02915</v>
      </c>
      <c r="DP186">
        <v>0.18238299999999999</v>
      </c>
      <c r="DQ186">
        <v>0.15044199999999999</v>
      </c>
      <c r="DR186">
        <v>24.040900000000001</v>
      </c>
      <c r="DS186">
        <v>23.625499999999999</v>
      </c>
      <c r="DT186">
        <v>27</v>
      </c>
      <c r="DU186">
        <v>29.6</v>
      </c>
      <c r="DV186">
        <v>11.3323</v>
      </c>
      <c r="DW186">
        <v>61.433100000000003</v>
      </c>
      <c r="DX186">
        <v>37.367800000000003</v>
      </c>
      <c r="DY186">
        <v>1</v>
      </c>
      <c r="DZ186">
        <v>-0.10009899999999999</v>
      </c>
      <c r="EA186">
        <v>1.05325</v>
      </c>
      <c r="EB186">
        <v>20.1859</v>
      </c>
      <c r="EC186">
        <v>5.24125</v>
      </c>
      <c r="ED186">
        <v>12.039899999999999</v>
      </c>
      <c r="EE186">
        <v>5.0175999999999998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1.86893</v>
      </c>
      <c r="EL186">
        <v>1.86463</v>
      </c>
      <c r="EM186">
        <v>1.8692</v>
      </c>
      <c r="EN186">
        <v>1.86724</v>
      </c>
      <c r="EO186">
        <v>1.8633999999999999</v>
      </c>
      <c r="EP186">
        <v>1.8644799999999999</v>
      </c>
      <c r="EQ186">
        <v>1.8702099999999999</v>
      </c>
      <c r="ER186">
        <v>1.86941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0.17399999999999999</v>
      </c>
      <c r="FG186">
        <v>0.2069</v>
      </c>
      <c r="FH186">
        <v>0.49996858830924029</v>
      </c>
      <c r="FI186">
        <v>-6.1462078757559423E-4</v>
      </c>
      <c r="FJ186">
        <v>-1.8861989874597051E-7</v>
      </c>
      <c r="FK186">
        <v>1.1980462299894961E-10</v>
      </c>
      <c r="FL186">
        <v>-3.8593581000597899E-2</v>
      </c>
      <c r="FM186">
        <v>-1.6848085045870601E-2</v>
      </c>
      <c r="FN186">
        <v>1.9789084769509481E-3</v>
      </c>
      <c r="FO186">
        <v>-2.7142391389806329E-5</v>
      </c>
      <c r="FP186">
        <v>3</v>
      </c>
      <c r="FQ186">
        <v>2158</v>
      </c>
      <c r="FR186">
        <v>1</v>
      </c>
      <c r="FS186">
        <v>19</v>
      </c>
      <c r="FT186">
        <v>37.299999999999997</v>
      </c>
      <c r="FU186">
        <v>37.299999999999997</v>
      </c>
      <c r="FV186">
        <v>1.7626999999999999</v>
      </c>
      <c r="FW186">
        <v>2.5915499999999998</v>
      </c>
      <c r="FX186">
        <v>1.5490699999999999</v>
      </c>
      <c r="FY186">
        <v>2.3290999999999999</v>
      </c>
      <c r="FZ186">
        <v>1.50146</v>
      </c>
      <c r="GA186">
        <v>2.3986800000000001</v>
      </c>
      <c r="GB186">
        <v>34.054499999999997</v>
      </c>
      <c r="GC186">
        <v>23.991199999999999</v>
      </c>
      <c r="GD186">
        <v>19</v>
      </c>
      <c r="GE186">
        <v>266.613</v>
      </c>
      <c r="GF186">
        <v>576.39200000000005</v>
      </c>
      <c r="GG186">
        <v>21.656300000000002</v>
      </c>
      <c r="GH186">
        <v>26.087599999999998</v>
      </c>
      <c r="GI186">
        <v>29.9999</v>
      </c>
      <c r="GJ186">
        <v>26.266500000000001</v>
      </c>
      <c r="GK186">
        <v>26.264299999999999</v>
      </c>
      <c r="GL186">
        <v>35.246299999999998</v>
      </c>
      <c r="GM186">
        <v>100</v>
      </c>
      <c r="GN186">
        <v>20.649699999999999</v>
      </c>
      <c r="GO186">
        <v>21.659500000000001</v>
      </c>
      <c r="GP186">
        <v>800</v>
      </c>
      <c r="GQ186">
        <v>0</v>
      </c>
      <c r="GR186">
        <v>99.798900000000003</v>
      </c>
      <c r="GS186">
        <v>99.686899999999994</v>
      </c>
    </row>
    <row r="187" spans="1:201" x14ac:dyDescent="0.25">
      <c r="A187">
        <v>171</v>
      </c>
      <c r="B187">
        <v>1690308500</v>
      </c>
      <c r="C187">
        <v>1881.400000095367</v>
      </c>
      <c r="D187" t="s">
        <v>675</v>
      </c>
      <c r="E187" t="s">
        <v>676</v>
      </c>
      <c r="F187" t="s">
        <v>330</v>
      </c>
      <c r="H187">
        <v>1690308500</v>
      </c>
      <c r="I187">
        <f t="shared" si="60"/>
        <v>1.989642815926469E-3</v>
      </c>
      <c r="J187">
        <f t="shared" si="61"/>
        <v>1.9896428159264692</v>
      </c>
      <c r="K187">
        <f t="shared" si="62"/>
        <v>29.77604261677207</v>
      </c>
      <c r="L187">
        <f t="shared" si="63"/>
        <v>480.46899999999999</v>
      </c>
      <c r="M187">
        <f t="shared" si="64"/>
        <v>150.69438373822911</v>
      </c>
      <c r="N187">
        <f t="shared" si="65"/>
        <v>14.963528884126722</v>
      </c>
      <c r="O187">
        <f t="shared" si="66"/>
        <v>47.709221678203804</v>
      </c>
      <c r="P187">
        <f t="shared" si="67"/>
        <v>0.15237418796797217</v>
      </c>
      <c r="Q187">
        <f t="shared" si="68"/>
        <v>2.1942174950242168</v>
      </c>
      <c r="R187">
        <f t="shared" si="69"/>
        <v>0.14673031964382802</v>
      </c>
      <c r="S187">
        <f t="shared" si="70"/>
        <v>9.2196112021863799E-2</v>
      </c>
      <c r="T187">
        <f t="shared" si="71"/>
        <v>276.11364729599995</v>
      </c>
      <c r="U187">
        <f t="shared" si="72"/>
        <v>25.847250952006998</v>
      </c>
      <c r="V187">
        <f t="shared" si="73"/>
        <v>25.847250952006998</v>
      </c>
      <c r="W187">
        <f t="shared" si="74"/>
        <v>3.3438797670839802</v>
      </c>
      <c r="X187">
        <f t="shared" si="75"/>
        <v>66.323452846801715</v>
      </c>
      <c r="Y187">
        <f t="shared" si="76"/>
        <v>2.0338844874285602</v>
      </c>
      <c r="Z187">
        <f t="shared" si="77"/>
        <v>3.0666142972480048</v>
      </c>
      <c r="AA187">
        <f t="shared" si="78"/>
        <v>1.30999527965542</v>
      </c>
      <c r="AB187">
        <f t="shared" si="79"/>
        <v>-87.743248182357277</v>
      </c>
      <c r="AC187">
        <f t="shared" si="80"/>
        <v>-171.89998848418298</v>
      </c>
      <c r="AD187">
        <f t="shared" si="81"/>
        <v>-16.59152291914333</v>
      </c>
      <c r="AE187">
        <f t="shared" si="82"/>
        <v>-0.1211122896836514</v>
      </c>
      <c r="AF187">
        <v>12</v>
      </c>
      <c r="AG187">
        <v>4</v>
      </c>
      <c r="AH187">
        <f t="shared" si="83"/>
        <v>1</v>
      </c>
      <c r="AI187">
        <f t="shared" si="84"/>
        <v>0</v>
      </c>
      <c r="AJ187">
        <f t="shared" si="85"/>
        <v>52852.039516279532</v>
      </c>
      <c r="AK187">
        <f t="shared" si="86"/>
        <v>1800</v>
      </c>
      <c r="AL187">
        <f t="shared" si="87"/>
        <v>1499.1145595999999</v>
      </c>
      <c r="AM187">
        <f t="shared" si="88"/>
        <v>0.83284142199999989</v>
      </c>
      <c r="AN187">
        <f t="shared" si="89"/>
        <v>0.15339647071999998</v>
      </c>
      <c r="AO187">
        <v>31.2</v>
      </c>
      <c r="AP187">
        <v>0.5</v>
      </c>
      <c r="AQ187" t="s">
        <v>331</v>
      </c>
      <c r="AR187">
        <v>2</v>
      </c>
      <c r="AS187">
        <v>1690308500</v>
      </c>
      <c r="AT187">
        <v>480.46899999999999</v>
      </c>
      <c r="AU187">
        <v>800.01900000000001</v>
      </c>
      <c r="AV187">
        <v>20.482800000000001</v>
      </c>
      <c r="AW187">
        <v>0.218336</v>
      </c>
      <c r="AX187">
        <v>480.29399999999998</v>
      </c>
      <c r="AY187">
        <v>20.275700000000001</v>
      </c>
      <c r="AZ187">
        <v>300.05900000000003</v>
      </c>
      <c r="BA187">
        <v>99.197299999999998</v>
      </c>
      <c r="BB187">
        <v>9.9890199999999998E-2</v>
      </c>
      <c r="BC187">
        <v>24.394100000000002</v>
      </c>
      <c r="BD187">
        <v>26.978300000000001</v>
      </c>
      <c r="BE187">
        <v>26.1251</v>
      </c>
      <c r="BF187">
        <v>0</v>
      </c>
      <c r="BG187">
        <v>0</v>
      </c>
      <c r="BH187">
        <v>9988.1200000000008</v>
      </c>
      <c r="BI187">
        <v>1041.98</v>
      </c>
      <c r="BJ187">
        <v>1.62592</v>
      </c>
      <c r="BK187">
        <v>-319.55099999999999</v>
      </c>
      <c r="BL187">
        <v>490.51600000000002</v>
      </c>
      <c r="BM187">
        <v>800.19399999999996</v>
      </c>
      <c r="BN187">
        <v>20.264399999999998</v>
      </c>
      <c r="BO187">
        <v>800.01900000000001</v>
      </c>
      <c r="BP187">
        <v>0.218336</v>
      </c>
      <c r="BQ187">
        <v>2.0318399999999999</v>
      </c>
      <c r="BR187">
        <v>2.1658299999999998E-2</v>
      </c>
      <c r="BS187">
        <v>17.694600000000001</v>
      </c>
      <c r="BT187">
        <v>-38.6554</v>
      </c>
      <c r="BU187">
        <v>1800</v>
      </c>
      <c r="BV187">
        <v>0.91002899999999998</v>
      </c>
      <c r="BW187">
        <v>3.3993700000000002E-2</v>
      </c>
      <c r="BX187">
        <v>2.1990599999999999E-2</v>
      </c>
      <c r="BY187">
        <v>3.3986200000000001E-2</v>
      </c>
      <c r="BZ187">
        <v>26</v>
      </c>
      <c r="CA187">
        <v>33528.6</v>
      </c>
      <c r="CB187">
        <v>1690306253.5999999</v>
      </c>
      <c r="CC187" t="s">
        <v>332</v>
      </c>
      <c r="CD187">
        <v>1690306253.5999999</v>
      </c>
      <c r="CE187">
        <v>1690306251.5999999</v>
      </c>
      <c r="CF187">
        <v>9</v>
      </c>
      <c r="CG187">
        <v>0.19</v>
      </c>
      <c r="CH187">
        <v>-8.7999999999999995E-2</v>
      </c>
      <c r="CI187">
        <v>-5.0999999999999997E-2</v>
      </c>
      <c r="CJ187">
        <v>5.0999999999999997E-2</v>
      </c>
      <c r="CK187">
        <v>799</v>
      </c>
      <c r="CL187">
        <v>15</v>
      </c>
      <c r="CM187">
        <v>0.28000000000000003</v>
      </c>
      <c r="CN187">
        <v>0.03</v>
      </c>
      <c r="CO187">
        <v>-319.01310000000001</v>
      </c>
      <c r="CP187">
        <v>-3.66506566604032</v>
      </c>
      <c r="CQ187">
        <v>0.36192304430638172</v>
      </c>
      <c r="CR187">
        <v>-1</v>
      </c>
      <c r="CS187">
        <v>20.250177499999999</v>
      </c>
      <c r="CT187">
        <v>8.4924202626624104E-2</v>
      </c>
      <c r="CU187">
        <v>8.7614635620994353E-3</v>
      </c>
      <c r="CV187">
        <v>-1</v>
      </c>
      <c r="CW187">
        <v>0</v>
      </c>
      <c r="CX187">
        <v>0</v>
      </c>
      <c r="CY187" t="s">
        <v>333</v>
      </c>
      <c r="CZ187">
        <v>2.3644099999999999</v>
      </c>
      <c r="DA187">
        <v>2.71367</v>
      </c>
      <c r="DB187">
        <v>0.102739</v>
      </c>
      <c r="DC187">
        <v>0.14616999999999999</v>
      </c>
      <c r="DD187">
        <v>0.10180500000000001</v>
      </c>
      <c r="DE187">
        <v>1.8338E-3</v>
      </c>
      <c r="DF187">
        <v>32781.599999999999</v>
      </c>
      <c r="DG187">
        <v>27546.9</v>
      </c>
      <c r="DH187">
        <v>31189.8</v>
      </c>
      <c r="DI187">
        <v>28112.7</v>
      </c>
      <c r="DJ187">
        <v>38038.199999999997</v>
      </c>
      <c r="DK187">
        <v>39915.9</v>
      </c>
      <c r="DL187">
        <v>44390.8</v>
      </c>
      <c r="DM187">
        <v>42615.5</v>
      </c>
      <c r="DN187">
        <v>1.43848</v>
      </c>
      <c r="DO187">
        <v>2.0293800000000002</v>
      </c>
      <c r="DP187">
        <v>0.179008</v>
      </c>
      <c r="DQ187">
        <v>0.15206600000000001</v>
      </c>
      <c r="DR187">
        <v>24.043700000000001</v>
      </c>
      <c r="DS187">
        <v>23.6295</v>
      </c>
      <c r="DT187">
        <v>26.7</v>
      </c>
      <c r="DU187">
        <v>29.6</v>
      </c>
      <c r="DV187">
        <v>11.206799999999999</v>
      </c>
      <c r="DW187">
        <v>61.633099999999999</v>
      </c>
      <c r="DX187">
        <v>37.423900000000003</v>
      </c>
      <c r="DY187">
        <v>1</v>
      </c>
      <c r="DZ187">
        <v>-0.100366</v>
      </c>
      <c r="EA187">
        <v>1.12992</v>
      </c>
      <c r="EB187">
        <v>20.185300000000002</v>
      </c>
      <c r="EC187">
        <v>5.24125</v>
      </c>
      <c r="ED187">
        <v>12.039899999999999</v>
      </c>
      <c r="EE187">
        <v>5.0175000000000001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1.86893</v>
      </c>
      <c r="EL187">
        <v>1.8646199999999999</v>
      </c>
      <c r="EM187">
        <v>1.8692</v>
      </c>
      <c r="EN187">
        <v>1.8672299999999999</v>
      </c>
      <c r="EO187">
        <v>1.8633999999999999</v>
      </c>
      <c r="EP187">
        <v>1.8644700000000001</v>
      </c>
      <c r="EQ187">
        <v>1.87018</v>
      </c>
      <c r="ER187">
        <v>1.8694299999999999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0.17499999999999999</v>
      </c>
      <c r="FG187">
        <v>0.20710000000000001</v>
      </c>
      <c r="FH187">
        <v>0.49996858830924029</v>
      </c>
      <c r="FI187">
        <v>-6.1462078757559423E-4</v>
      </c>
      <c r="FJ187">
        <v>-1.8861989874597051E-7</v>
      </c>
      <c r="FK187">
        <v>1.1980462299894961E-10</v>
      </c>
      <c r="FL187">
        <v>-3.8593581000597899E-2</v>
      </c>
      <c r="FM187">
        <v>-1.6848085045870601E-2</v>
      </c>
      <c r="FN187">
        <v>1.9789084769509481E-3</v>
      </c>
      <c r="FO187">
        <v>-2.7142391389806329E-5</v>
      </c>
      <c r="FP187">
        <v>3</v>
      </c>
      <c r="FQ187">
        <v>2158</v>
      </c>
      <c r="FR187">
        <v>1</v>
      </c>
      <c r="FS187">
        <v>19</v>
      </c>
      <c r="FT187">
        <v>37.4</v>
      </c>
      <c r="FU187">
        <v>37.5</v>
      </c>
      <c r="FV187">
        <v>1.7626999999999999</v>
      </c>
      <c r="FW187">
        <v>2.5903299999999998</v>
      </c>
      <c r="FX187">
        <v>1.5490699999999999</v>
      </c>
      <c r="FY187">
        <v>2.3290999999999999</v>
      </c>
      <c r="FZ187">
        <v>1.50146</v>
      </c>
      <c r="GA187">
        <v>2.3852500000000001</v>
      </c>
      <c r="GB187">
        <v>34.054499999999997</v>
      </c>
      <c r="GC187">
        <v>23.982399999999998</v>
      </c>
      <c r="GD187">
        <v>19</v>
      </c>
      <c r="GE187">
        <v>266.767</v>
      </c>
      <c r="GF187">
        <v>576.55200000000002</v>
      </c>
      <c r="GG187">
        <v>21.6496</v>
      </c>
      <c r="GH187">
        <v>26.085000000000001</v>
      </c>
      <c r="GI187">
        <v>30.0001</v>
      </c>
      <c r="GJ187">
        <v>26.264299999999999</v>
      </c>
      <c r="GK187">
        <v>26.2621</v>
      </c>
      <c r="GL187">
        <v>35.247100000000003</v>
      </c>
      <c r="GM187">
        <v>100</v>
      </c>
      <c r="GN187">
        <v>20.276800000000001</v>
      </c>
      <c r="GO187">
        <v>21.644600000000001</v>
      </c>
      <c r="GP187">
        <v>800</v>
      </c>
      <c r="GQ187">
        <v>0</v>
      </c>
      <c r="GR187">
        <v>99.800299999999993</v>
      </c>
      <c r="GS187">
        <v>99.686499999999995</v>
      </c>
    </row>
    <row r="188" spans="1:201" x14ac:dyDescent="0.25">
      <c r="A188">
        <v>172</v>
      </c>
      <c r="B188">
        <v>1690308510</v>
      </c>
      <c r="C188">
        <v>1891.400000095367</v>
      </c>
      <c r="D188" t="s">
        <v>677</v>
      </c>
      <c r="E188" t="s">
        <v>678</v>
      </c>
      <c r="F188" t="s">
        <v>330</v>
      </c>
      <c r="H188">
        <v>1690308510</v>
      </c>
      <c r="I188">
        <f t="shared" si="60"/>
        <v>1.9916477977268815E-3</v>
      </c>
      <c r="J188">
        <f t="shared" si="61"/>
        <v>1.9916477977268814</v>
      </c>
      <c r="K188">
        <f t="shared" si="62"/>
        <v>29.83601944596516</v>
      </c>
      <c r="L188">
        <f t="shared" si="63"/>
        <v>479.85199999999998</v>
      </c>
      <c r="M188">
        <f t="shared" si="64"/>
        <v>150.25359137419457</v>
      </c>
      <c r="N188">
        <f t="shared" si="65"/>
        <v>14.919845055412843</v>
      </c>
      <c r="O188">
        <f t="shared" si="66"/>
        <v>47.648228731519993</v>
      </c>
      <c r="P188">
        <f t="shared" si="67"/>
        <v>0.15277475520919456</v>
      </c>
      <c r="Q188">
        <f t="shared" si="68"/>
        <v>2.190758360209212</v>
      </c>
      <c r="R188">
        <f t="shared" si="69"/>
        <v>0.14709316933984287</v>
      </c>
      <c r="S188">
        <f t="shared" si="70"/>
        <v>9.2426094469553105E-2</v>
      </c>
      <c r="T188">
        <f t="shared" si="71"/>
        <v>276.11477468999999</v>
      </c>
      <c r="U188">
        <f t="shared" si="72"/>
        <v>25.844175929560954</v>
      </c>
      <c r="V188">
        <f t="shared" si="73"/>
        <v>25.844175929560954</v>
      </c>
      <c r="W188">
        <f t="shared" si="74"/>
        <v>3.3432706689927585</v>
      </c>
      <c r="X188">
        <f t="shared" si="75"/>
        <v>66.383816924914015</v>
      </c>
      <c r="Y188">
        <f t="shared" si="76"/>
        <v>2.0351870294080001</v>
      </c>
      <c r="Z188">
        <f t="shared" si="77"/>
        <v>3.0657879038651501</v>
      </c>
      <c r="AA188">
        <f t="shared" si="78"/>
        <v>1.3080836395847584</v>
      </c>
      <c r="AB188">
        <f t="shared" si="79"/>
        <v>-87.831667879755472</v>
      </c>
      <c r="AC188">
        <f t="shared" si="80"/>
        <v>-171.7972934799306</v>
      </c>
      <c r="AD188">
        <f t="shared" si="81"/>
        <v>-16.60715998575736</v>
      </c>
      <c r="AE188">
        <f t="shared" si="82"/>
        <v>-0.12134665544340351</v>
      </c>
      <c r="AF188">
        <v>12</v>
      </c>
      <c r="AG188">
        <v>4</v>
      </c>
      <c r="AH188">
        <f t="shared" si="83"/>
        <v>1</v>
      </c>
      <c r="AI188">
        <f t="shared" si="84"/>
        <v>0</v>
      </c>
      <c r="AJ188">
        <f t="shared" si="85"/>
        <v>52710.233441676217</v>
      </c>
      <c r="AK188">
        <f t="shared" si="86"/>
        <v>1800</v>
      </c>
      <c r="AL188">
        <f t="shared" si="87"/>
        <v>1499.1142049999999</v>
      </c>
      <c r="AM188">
        <f t="shared" si="88"/>
        <v>0.83284122499999991</v>
      </c>
      <c r="AN188">
        <f t="shared" si="89"/>
        <v>0.15339709704999999</v>
      </c>
      <c r="AO188">
        <v>31.2</v>
      </c>
      <c r="AP188">
        <v>0.5</v>
      </c>
      <c r="AQ188" t="s">
        <v>331</v>
      </c>
      <c r="AR188">
        <v>2</v>
      </c>
      <c r="AS188">
        <v>1690308510</v>
      </c>
      <c r="AT188">
        <v>479.85199999999998</v>
      </c>
      <c r="AU188">
        <v>799.97699999999998</v>
      </c>
      <c r="AV188">
        <v>20.495799999999999</v>
      </c>
      <c r="AW188">
        <v>0.214091</v>
      </c>
      <c r="AX188">
        <v>479.67700000000002</v>
      </c>
      <c r="AY188">
        <v>20.2883</v>
      </c>
      <c r="AZ188">
        <v>300.10199999999998</v>
      </c>
      <c r="BA188">
        <v>99.197699999999998</v>
      </c>
      <c r="BB188">
        <v>0.10006</v>
      </c>
      <c r="BC188">
        <v>24.389600000000002</v>
      </c>
      <c r="BD188">
        <v>27.006499999999999</v>
      </c>
      <c r="BE188">
        <v>26.126000000000001</v>
      </c>
      <c r="BF188">
        <v>0</v>
      </c>
      <c r="BG188">
        <v>0</v>
      </c>
      <c r="BH188">
        <v>9960</v>
      </c>
      <c r="BI188">
        <v>1042.01</v>
      </c>
      <c r="BJ188">
        <v>1.62592</v>
      </c>
      <c r="BK188">
        <v>-320.12599999999998</v>
      </c>
      <c r="BL188">
        <v>489.892</v>
      </c>
      <c r="BM188">
        <v>800.149</v>
      </c>
      <c r="BN188">
        <v>20.281700000000001</v>
      </c>
      <c r="BO188">
        <v>799.97699999999998</v>
      </c>
      <c r="BP188">
        <v>0.214091</v>
      </c>
      <c r="BQ188">
        <v>2.0331399999999999</v>
      </c>
      <c r="BR188">
        <v>2.1237300000000001E-2</v>
      </c>
      <c r="BS188">
        <v>17.704799999999999</v>
      </c>
      <c r="BT188">
        <v>-38.845700000000001</v>
      </c>
      <c r="BU188">
        <v>1800</v>
      </c>
      <c r="BV188">
        <v>0.91001500000000002</v>
      </c>
      <c r="BW188">
        <v>3.3993200000000001E-2</v>
      </c>
      <c r="BX188">
        <v>2.1998E-2</v>
      </c>
      <c r="BY188">
        <v>3.3993500000000003E-2</v>
      </c>
      <c r="BZ188">
        <v>26</v>
      </c>
      <c r="CA188">
        <v>33528.5</v>
      </c>
      <c r="CB188">
        <v>1690306253.5999999</v>
      </c>
      <c r="CC188" t="s">
        <v>332</v>
      </c>
      <c r="CD188">
        <v>1690306253.5999999</v>
      </c>
      <c r="CE188">
        <v>1690306251.5999999</v>
      </c>
      <c r="CF188">
        <v>9</v>
      </c>
      <c r="CG188">
        <v>0.19</v>
      </c>
      <c r="CH188">
        <v>-8.7999999999999995E-2</v>
      </c>
      <c r="CI188">
        <v>-5.0999999999999997E-2</v>
      </c>
      <c r="CJ188">
        <v>5.0999999999999997E-2</v>
      </c>
      <c r="CK188">
        <v>799</v>
      </c>
      <c r="CL188">
        <v>15</v>
      </c>
      <c r="CM188">
        <v>0.28000000000000003</v>
      </c>
      <c r="CN188">
        <v>0.03</v>
      </c>
      <c r="CO188">
        <v>-319.57572499999998</v>
      </c>
      <c r="CP188">
        <v>-3.0037035647274442</v>
      </c>
      <c r="CQ188">
        <v>0.29217537434732482</v>
      </c>
      <c r="CR188">
        <v>-1</v>
      </c>
      <c r="CS188">
        <v>20.263684999999999</v>
      </c>
      <c r="CT188">
        <v>7.3181988742885423E-2</v>
      </c>
      <c r="CU188">
        <v>7.2647969689454556E-3</v>
      </c>
      <c r="CV188">
        <v>-1</v>
      </c>
      <c r="CW188">
        <v>0</v>
      </c>
      <c r="CX188">
        <v>0</v>
      </c>
      <c r="CY188" t="s">
        <v>333</v>
      </c>
      <c r="CZ188">
        <v>2.3645700000000001</v>
      </c>
      <c r="DA188">
        <v>2.7138100000000001</v>
      </c>
      <c r="DB188">
        <v>0.102643</v>
      </c>
      <c r="DC188">
        <v>0.14616599999999999</v>
      </c>
      <c r="DD188">
        <v>0.101851</v>
      </c>
      <c r="DE188">
        <v>1.79864E-3</v>
      </c>
      <c r="DF188">
        <v>32785.4</v>
      </c>
      <c r="DG188">
        <v>27547.5</v>
      </c>
      <c r="DH188">
        <v>31190</v>
      </c>
      <c r="DI188">
        <v>28113.200000000001</v>
      </c>
      <c r="DJ188">
        <v>38036.699999999997</v>
      </c>
      <c r="DK188">
        <v>39918</v>
      </c>
      <c r="DL188">
        <v>44391.3</v>
      </c>
      <c r="DM188">
        <v>42616.2</v>
      </c>
      <c r="DN188">
        <v>1.4387700000000001</v>
      </c>
      <c r="DO188">
        <v>2.0293800000000002</v>
      </c>
      <c r="DP188">
        <v>0.18065400000000001</v>
      </c>
      <c r="DQ188">
        <v>0.15196899999999999</v>
      </c>
      <c r="DR188">
        <v>24.044899999999998</v>
      </c>
      <c r="DS188">
        <v>23.632000000000001</v>
      </c>
      <c r="DT188">
        <v>26.4</v>
      </c>
      <c r="DU188">
        <v>29.6</v>
      </c>
      <c r="DV188">
        <v>11.0808</v>
      </c>
      <c r="DW188">
        <v>61.713099999999997</v>
      </c>
      <c r="DX188">
        <v>37.475999999999999</v>
      </c>
      <c r="DY188">
        <v>1</v>
      </c>
      <c r="DZ188">
        <v>-0.100554</v>
      </c>
      <c r="EA188">
        <v>1.1114200000000001</v>
      </c>
      <c r="EB188">
        <v>20.185500000000001</v>
      </c>
      <c r="EC188">
        <v>5.2413999999999996</v>
      </c>
      <c r="ED188">
        <v>12.039899999999999</v>
      </c>
      <c r="EE188">
        <v>5.0173500000000004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1.86893</v>
      </c>
      <c r="EL188">
        <v>1.8646400000000001</v>
      </c>
      <c r="EM188">
        <v>1.8692</v>
      </c>
      <c r="EN188">
        <v>1.8672500000000001</v>
      </c>
      <c r="EO188">
        <v>1.8633999999999999</v>
      </c>
      <c r="EP188">
        <v>1.8644799999999999</v>
      </c>
      <c r="EQ188">
        <v>1.8702099999999999</v>
      </c>
      <c r="ER188">
        <v>1.86941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0.17499999999999999</v>
      </c>
      <c r="FG188">
        <v>0.20749999999999999</v>
      </c>
      <c r="FH188">
        <v>0.49996858830924029</v>
      </c>
      <c r="FI188">
        <v>-6.1462078757559423E-4</v>
      </c>
      <c r="FJ188">
        <v>-1.8861989874597051E-7</v>
      </c>
      <c r="FK188">
        <v>1.1980462299894961E-10</v>
      </c>
      <c r="FL188">
        <v>-3.8593581000597899E-2</v>
      </c>
      <c r="FM188">
        <v>-1.6848085045870601E-2</v>
      </c>
      <c r="FN188">
        <v>1.9789084769509481E-3</v>
      </c>
      <c r="FO188">
        <v>-2.7142391389806329E-5</v>
      </c>
      <c r="FP188">
        <v>3</v>
      </c>
      <c r="FQ188">
        <v>2158</v>
      </c>
      <c r="FR188">
        <v>1</v>
      </c>
      <c r="FS188">
        <v>19</v>
      </c>
      <c r="FT188">
        <v>37.6</v>
      </c>
      <c r="FU188">
        <v>37.6</v>
      </c>
      <c r="FV188">
        <v>1.7626999999999999</v>
      </c>
      <c r="FW188">
        <v>2.5866699999999998</v>
      </c>
      <c r="FX188">
        <v>1.5490699999999999</v>
      </c>
      <c r="FY188">
        <v>2.3303199999999999</v>
      </c>
      <c r="FZ188">
        <v>1.50146</v>
      </c>
      <c r="GA188">
        <v>2.4121100000000002</v>
      </c>
      <c r="GB188">
        <v>34.054499999999997</v>
      </c>
      <c r="GC188">
        <v>23.982399999999998</v>
      </c>
      <c r="GD188">
        <v>19</v>
      </c>
      <c r="GE188">
        <v>266.88</v>
      </c>
      <c r="GF188">
        <v>576.52499999999998</v>
      </c>
      <c r="GG188">
        <v>21.645199999999999</v>
      </c>
      <c r="GH188">
        <v>26.0822</v>
      </c>
      <c r="GI188">
        <v>29.9999</v>
      </c>
      <c r="GJ188">
        <v>26.2621</v>
      </c>
      <c r="GK188">
        <v>26.259699999999999</v>
      </c>
      <c r="GL188">
        <v>35.244</v>
      </c>
      <c r="GM188">
        <v>100</v>
      </c>
      <c r="GN188">
        <v>19.500599999999999</v>
      </c>
      <c r="GO188">
        <v>21.645600000000002</v>
      </c>
      <c r="GP188">
        <v>800</v>
      </c>
      <c r="GQ188">
        <v>0</v>
      </c>
      <c r="GR188">
        <v>99.801400000000001</v>
      </c>
      <c r="GS188">
        <v>99.688100000000006</v>
      </c>
    </row>
    <row r="189" spans="1:201" x14ac:dyDescent="0.25">
      <c r="A189">
        <v>173</v>
      </c>
      <c r="B189">
        <v>1690308520</v>
      </c>
      <c r="C189">
        <v>1901.400000095367</v>
      </c>
      <c r="D189" t="s">
        <v>679</v>
      </c>
      <c r="E189" t="s">
        <v>680</v>
      </c>
      <c r="F189" t="s">
        <v>330</v>
      </c>
      <c r="H189">
        <v>1690308520</v>
      </c>
      <c r="I189">
        <f t="shared" si="60"/>
        <v>1.9925383085999866E-3</v>
      </c>
      <c r="J189">
        <f t="shared" si="61"/>
        <v>1.9925383085999866</v>
      </c>
      <c r="K189">
        <f t="shared" si="62"/>
        <v>29.885444581042442</v>
      </c>
      <c r="L189">
        <f t="shared" si="63"/>
        <v>479.35399999999998</v>
      </c>
      <c r="M189">
        <f t="shared" si="64"/>
        <v>149.67300468248516</v>
      </c>
      <c r="N189">
        <f t="shared" si="65"/>
        <v>14.862433723920784</v>
      </c>
      <c r="O189">
        <f t="shared" si="66"/>
        <v>47.599545892793991</v>
      </c>
      <c r="P189">
        <f t="shared" si="67"/>
        <v>0.15297836765491971</v>
      </c>
      <c r="Q189">
        <f t="shared" si="68"/>
        <v>2.1945498359615767</v>
      </c>
      <c r="R189">
        <f t="shared" si="69"/>
        <v>0.1472913790488275</v>
      </c>
      <c r="S189">
        <f t="shared" si="70"/>
        <v>9.2550450940137391E-2</v>
      </c>
      <c r="T189">
        <f t="shared" si="71"/>
        <v>276.11280746143649</v>
      </c>
      <c r="U189">
        <f t="shared" si="72"/>
        <v>25.841764239231871</v>
      </c>
      <c r="V189">
        <f t="shared" si="73"/>
        <v>25.841764239231871</v>
      </c>
      <c r="W189">
        <f t="shared" si="74"/>
        <v>3.3427930310293141</v>
      </c>
      <c r="X189">
        <f t="shared" si="75"/>
        <v>66.405144972108559</v>
      </c>
      <c r="Y189">
        <f t="shared" si="76"/>
        <v>2.0358652890303</v>
      </c>
      <c r="Z189">
        <f t="shared" si="77"/>
        <v>3.065824628325716</v>
      </c>
      <c r="AA189">
        <f t="shared" si="78"/>
        <v>1.3069277419990142</v>
      </c>
      <c r="AB189">
        <f t="shared" si="79"/>
        <v>-87.870939409259407</v>
      </c>
      <c r="AC189">
        <f t="shared" si="80"/>
        <v>-171.7856217898258</v>
      </c>
      <c r="AD189">
        <f t="shared" si="81"/>
        <v>-16.577157008325003</v>
      </c>
      <c r="AE189">
        <f t="shared" si="82"/>
        <v>-0.12091074597370266</v>
      </c>
      <c r="AF189">
        <v>12</v>
      </c>
      <c r="AG189">
        <v>4</v>
      </c>
      <c r="AH189">
        <f t="shared" si="83"/>
        <v>1</v>
      </c>
      <c r="AI189">
        <f t="shared" si="84"/>
        <v>0</v>
      </c>
      <c r="AJ189">
        <f t="shared" si="85"/>
        <v>52866.561115502234</v>
      </c>
      <c r="AK189">
        <f t="shared" si="86"/>
        <v>1799.99</v>
      </c>
      <c r="AL189">
        <f t="shared" si="87"/>
        <v>1499.1060295868997</v>
      </c>
      <c r="AM189">
        <f t="shared" si="88"/>
        <v>0.83284130999999983</v>
      </c>
      <c r="AN189">
        <f t="shared" si="89"/>
        <v>0.15339685635</v>
      </c>
      <c r="AO189">
        <v>31.2</v>
      </c>
      <c r="AP189">
        <v>0.5</v>
      </c>
      <c r="AQ189" t="s">
        <v>331</v>
      </c>
      <c r="AR189">
        <v>2</v>
      </c>
      <c r="AS189">
        <v>1690308520</v>
      </c>
      <c r="AT189">
        <v>479.35399999999998</v>
      </c>
      <c r="AU189">
        <v>800.00300000000004</v>
      </c>
      <c r="AV189">
        <v>20.502300000000002</v>
      </c>
      <c r="AW189">
        <v>0.210643</v>
      </c>
      <c r="AX189">
        <v>479.17899999999997</v>
      </c>
      <c r="AY189">
        <v>20.294599999999999</v>
      </c>
      <c r="AZ189">
        <v>300.08699999999999</v>
      </c>
      <c r="BA189">
        <v>99.199299999999994</v>
      </c>
      <c r="BB189">
        <v>0.100061</v>
      </c>
      <c r="BC189">
        <v>24.389800000000001</v>
      </c>
      <c r="BD189">
        <v>26.996600000000001</v>
      </c>
      <c r="BE189">
        <v>26.106999999999999</v>
      </c>
      <c r="BF189">
        <v>0</v>
      </c>
      <c r="BG189">
        <v>0</v>
      </c>
      <c r="BH189">
        <v>9990.6200000000008</v>
      </c>
      <c r="BI189">
        <v>1041.98</v>
      </c>
      <c r="BJ189">
        <v>1.62592</v>
      </c>
      <c r="BK189">
        <v>-320.649</v>
      </c>
      <c r="BL189">
        <v>489.38799999999998</v>
      </c>
      <c r="BM189">
        <v>800.17200000000003</v>
      </c>
      <c r="BN189">
        <v>20.291599999999999</v>
      </c>
      <c r="BO189">
        <v>800.00300000000004</v>
      </c>
      <c r="BP189">
        <v>0.210643</v>
      </c>
      <c r="BQ189">
        <v>2.0338099999999999</v>
      </c>
      <c r="BR189">
        <v>2.08957E-2</v>
      </c>
      <c r="BS189">
        <v>17.71</v>
      </c>
      <c r="BT189">
        <v>-39.002699999999997</v>
      </c>
      <c r="BU189">
        <v>1799.99</v>
      </c>
      <c r="BV189">
        <v>0.91002099999999997</v>
      </c>
      <c r="BW189">
        <v>3.3993299999999997E-2</v>
      </c>
      <c r="BX189">
        <v>2.1995500000000001E-2</v>
      </c>
      <c r="BY189">
        <v>3.3989699999999998E-2</v>
      </c>
      <c r="BZ189">
        <v>26</v>
      </c>
      <c r="CA189">
        <v>33528.300000000003</v>
      </c>
      <c r="CB189">
        <v>1690306253.5999999</v>
      </c>
      <c r="CC189" t="s">
        <v>332</v>
      </c>
      <c r="CD189">
        <v>1690306253.5999999</v>
      </c>
      <c r="CE189">
        <v>1690306251.5999999</v>
      </c>
      <c r="CF189">
        <v>9</v>
      </c>
      <c r="CG189">
        <v>0.19</v>
      </c>
      <c r="CH189">
        <v>-8.7999999999999995E-2</v>
      </c>
      <c r="CI189">
        <v>-5.0999999999999997E-2</v>
      </c>
      <c r="CJ189">
        <v>5.0999999999999997E-2</v>
      </c>
      <c r="CK189">
        <v>799</v>
      </c>
      <c r="CL189">
        <v>15</v>
      </c>
      <c r="CM189">
        <v>0.28000000000000003</v>
      </c>
      <c r="CN189">
        <v>0.03</v>
      </c>
      <c r="CO189">
        <v>-320.06625000000003</v>
      </c>
      <c r="CP189">
        <v>-3.1298836772984822</v>
      </c>
      <c r="CQ189">
        <v>0.30383603719769697</v>
      </c>
      <c r="CR189">
        <v>-1</v>
      </c>
      <c r="CS189">
        <v>20.2759675</v>
      </c>
      <c r="CT189">
        <v>7.5324202626639788E-2</v>
      </c>
      <c r="CU189">
        <v>7.6481496945338583E-3</v>
      </c>
      <c r="CV189">
        <v>-1</v>
      </c>
      <c r="CW189">
        <v>0</v>
      </c>
      <c r="CX189">
        <v>0</v>
      </c>
      <c r="CY189" t="s">
        <v>333</v>
      </c>
      <c r="CZ189">
        <v>2.3645299999999998</v>
      </c>
      <c r="DA189">
        <v>2.7138399999999998</v>
      </c>
      <c r="DB189">
        <v>0.102566</v>
      </c>
      <c r="DC189">
        <v>0.146172</v>
      </c>
      <c r="DD189">
        <v>0.10187599999999999</v>
      </c>
      <c r="DE189">
        <v>1.77009E-3</v>
      </c>
      <c r="DF189">
        <v>32788.199999999997</v>
      </c>
      <c r="DG189">
        <v>27547</v>
      </c>
      <c r="DH189">
        <v>31190.1</v>
      </c>
      <c r="DI189">
        <v>28112.799999999999</v>
      </c>
      <c r="DJ189">
        <v>38035.699999999997</v>
      </c>
      <c r="DK189">
        <v>39918.800000000003</v>
      </c>
      <c r="DL189">
        <v>44391.4</v>
      </c>
      <c r="DM189">
        <v>42615.8</v>
      </c>
      <c r="DN189">
        <v>1.43858</v>
      </c>
      <c r="DO189">
        <v>2.0291199999999998</v>
      </c>
      <c r="DP189">
        <v>0.17996100000000001</v>
      </c>
      <c r="DQ189">
        <v>0.15071000000000001</v>
      </c>
      <c r="DR189">
        <v>24.046399999999998</v>
      </c>
      <c r="DS189">
        <v>23.633700000000001</v>
      </c>
      <c r="DT189">
        <v>26.1</v>
      </c>
      <c r="DU189">
        <v>29.6</v>
      </c>
      <c r="DV189">
        <v>10.955</v>
      </c>
      <c r="DW189">
        <v>61.7331</v>
      </c>
      <c r="DX189">
        <v>37.451900000000002</v>
      </c>
      <c r="DY189">
        <v>1</v>
      </c>
      <c r="DZ189">
        <v>-0.10066799999999999</v>
      </c>
      <c r="EA189">
        <v>1.1198699999999999</v>
      </c>
      <c r="EB189">
        <v>20.185500000000001</v>
      </c>
      <c r="EC189">
        <v>5.2416999999999998</v>
      </c>
      <c r="ED189">
        <v>12.039899999999999</v>
      </c>
      <c r="EE189">
        <v>5.0174500000000002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1.86893</v>
      </c>
      <c r="EL189">
        <v>1.8646199999999999</v>
      </c>
      <c r="EM189">
        <v>1.8692</v>
      </c>
      <c r="EN189">
        <v>1.8672500000000001</v>
      </c>
      <c r="EO189">
        <v>1.8633999999999999</v>
      </c>
      <c r="EP189">
        <v>1.8644799999999999</v>
      </c>
      <c r="EQ189">
        <v>1.8702000000000001</v>
      </c>
      <c r="ER189">
        <v>1.8694299999999999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0.17499999999999999</v>
      </c>
      <c r="FG189">
        <v>0.2077</v>
      </c>
      <c r="FH189">
        <v>0.49996858830924029</v>
      </c>
      <c r="FI189">
        <v>-6.1462078757559423E-4</v>
      </c>
      <c r="FJ189">
        <v>-1.8861989874597051E-7</v>
      </c>
      <c r="FK189">
        <v>1.1980462299894961E-10</v>
      </c>
      <c r="FL189">
        <v>-3.8593581000597899E-2</v>
      </c>
      <c r="FM189">
        <v>-1.6848085045870601E-2</v>
      </c>
      <c r="FN189">
        <v>1.9789084769509481E-3</v>
      </c>
      <c r="FO189">
        <v>-2.7142391389806329E-5</v>
      </c>
      <c r="FP189">
        <v>3</v>
      </c>
      <c r="FQ189">
        <v>2158</v>
      </c>
      <c r="FR189">
        <v>1</v>
      </c>
      <c r="FS189">
        <v>19</v>
      </c>
      <c r="FT189">
        <v>37.799999999999997</v>
      </c>
      <c r="FU189">
        <v>37.799999999999997</v>
      </c>
      <c r="FV189">
        <v>1.7626999999999999</v>
      </c>
      <c r="FW189">
        <v>2.5915499999999998</v>
      </c>
      <c r="FX189">
        <v>1.5490699999999999</v>
      </c>
      <c r="FY189">
        <v>2.3290999999999999</v>
      </c>
      <c r="FZ189">
        <v>1.50146</v>
      </c>
      <c r="GA189">
        <v>2.36328</v>
      </c>
      <c r="GB189">
        <v>34.054499999999997</v>
      </c>
      <c r="GC189">
        <v>23.982399999999998</v>
      </c>
      <c r="GD189">
        <v>19</v>
      </c>
      <c r="GE189">
        <v>266.78800000000001</v>
      </c>
      <c r="GF189">
        <v>576.29</v>
      </c>
      <c r="GG189">
        <v>21.638100000000001</v>
      </c>
      <c r="GH189">
        <v>26.08</v>
      </c>
      <c r="GI189">
        <v>29.9999</v>
      </c>
      <c r="GJ189">
        <v>26.259499999999999</v>
      </c>
      <c r="GK189">
        <v>26.257000000000001</v>
      </c>
      <c r="GL189">
        <v>35.242600000000003</v>
      </c>
      <c r="GM189">
        <v>100</v>
      </c>
      <c r="GN189">
        <v>18.7163</v>
      </c>
      <c r="GO189">
        <v>21.642800000000001</v>
      </c>
      <c r="GP189">
        <v>800</v>
      </c>
      <c r="GQ189">
        <v>0</v>
      </c>
      <c r="GR189">
        <v>99.801599999999993</v>
      </c>
      <c r="GS189">
        <v>99.687100000000001</v>
      </c>
    </row>
    <row r="190" spans="1:201" x14ac:dyDescent="0.25">
      <c r="A190">
        <v>174</v>
      </c>
      <c r="B190">
        <v>1690308530</v>
      </c>
      <c r="C190">
        <v>1911.400000095367</v>
      </c>
      <c r="D190" t="s">
        <v>681</v>
      </c>
      <c r="E190" t="s">
        <v>682</v>
      </c>
      <c r="F190" t="s">
        <v>330</v>
      </c>
      <c r="H190">
        <v>1690308530</v>
      </c>
      <c r="I190">
        <f t="shared" si="60"/>
        <v>1.9931966428105821E-3</v>
      </c>
      <c r="J190">
        <f t="shared" si="61"/>
        <v>1.9931966428105823</v>
      </c>
      <c r="K190">
        <f t="shared" si="62"/>
        <v>29.921140522498924</v>
      </c>
      <c r="L190">
        <f t="shared" si="63"/>
        <v>479.01299999999998</v>
      </c>
      <c r="M190">
        <f t="shared" si="64"/>
        <v>149.13929132878772</v>
      </c>
      <c r="N190">
        <f t="shared" si="65"/>
        <v>14.809236184012498</v>
      </c>
      <c r="O190">
        <f t="shared" si="66"/>
        <v>47.565041975246999</v>
      </c>
      <c r="P190">
        <f t="shared" si="67"/>
        <v>0.15306563980586499</v>
      </c>
      <c r="Q190">
        <f t="shared" si="68"/>
        <v>2.1953035745012293</v>
      </c>
      <c r="R190">
        <f t="shared" si="69"/>
        <v>0.14737416710525397</v>
      </c>
      <c r="S190">
        <f t="shared" si="70"/>
        <v>9.2602578619172926E-2</v>
      </c>
      <c r="T190">
        <f t="shared" si="71"/>
        <v>276.11349134963706</v>
      </c>
      <c r="U190">
        <f t="shared" si="72"/>
        <v>25.842788519161289</v>
      </c>
      <c r="V190">
        <f t="shared" si="73"/>
        <v>25.842788519161289</v>
      </c>
      <c r="W190">
        <f t="shared" si="74"/>
        <v>3.3429958835313367</v>
      </c>
      <c r="X190">
        <f t="shared" si="75"/>
        <v>66.415622508308232</v>
      </c>
      <c r="Y190">
        <f t="shared" si="76"/>
        <v>2.0363938438500999</v>
      </c>
      <c r="Z190">
        <f t="shared" si="77"/>
        <v>3.0661368017673221</v>
      </c>
      <c r="AA190">
        <f t="shared" si="78"/>
        <v>1.3066020396812368</v>
      </c>
      <c r="AB190">
        <f t="shared" si="79"/>
        <v>-87.899971947946668</v>
      </c>
      <c r="AC190">
        <f t="shared" si="80"/>
        <v>-171.76464952146833</v>
      </c>
      <c r="AD190">
        <f t="shared" si="81"/>
        <v>-16.56966930865811</v>
      </c>
      <c r="AE190">
        <f t="shared" si="82"/>
        <v>-0.12079942843601543</v>
      </c>
      <c r="AF190">
        <v>12</v>
      </c>
      <c r="AG190">
        <v>4</v>
      </c>
      <c r="AH190">
        <f t="shared" si="83"/>
        <v>1</v>
      </c>
      <c r="AI190">
        <f t="shared" si="84"/>
        <v>0</v>
      </c>
      <c r="AJ190">
        <f t="shared" si="85"/>
        <v>52897.341694033566</v>
      </c>
      <c r="AK190">
        <f t="shared" si="86"/>
        <v>1799.99</v>
      </c>
      <c r="AL190">
        <f t="shared" si="87"/>
        <v>1499.1061177864101</v>
      </c>
      <c r="AM190">
        <f t="shared" si="88"/>
        <v>0.832841359</v>
      </c>
      <c r="AN190">
        <f t="shared" si="89"/>
        <v>0.15339723628999999</v>
      </c>
      <c r="AO190">
        <v>31.2</v>
      </c>
      <c r="AP190">
        <v>0.5</v>
      </c>
      <c r="AQ190" t="s">
        <v>331</v>
      </c>
      <c r="AR190">
        <v>2</v>
      </c>
      <c r="AS190">
        <v>1690308530</v>
      </c>
      <c r="AT190">
        <v>479.01299999999998</v>
      </c>
      <c r="AU190">
        <v>800.07</v>
      </c>
      <c r="AV190">
        <v>20.507899999999999</v>
      </c>
      <c r="AW190">
        <v>0.20708399999999999</v>
      </c>
      <c r="AX190">
        <v>478.83699999999999</v>
      </c>
      <c r="AY190">
        <v>20.3</v>
      </c>
      <c r="AZ190">
        <v>300.04899999999998</v>
      </c>
      <c r="BA190">
        <v>99.197999999999993</v>
      </c>
      <c r="BB190">
        <v>0.100019</v>
      </c>
      <c r="BC190">
        <v>24.391500000000001</v>
      </c>
      <c r="BD190">
        <v>26.986999999999998</v>
      </c>
      <c r="BE190">
        <v>26.116900000000001</v>
      </c>
      <c r="BF190">
        <v>0</v>
      </c>
      <c r="BG190">
        <v>0</v>
      </c>
      <c r="BH190">
        <v>9996.8799999999992</v>
      </c>
      <c r="BI190">
        <v>1042.04</v>
      </c>
      <c r="BJ190">
        <v>1.62592</v>
      </c>
      <c r="BK190">
        <v>-321.05799999999999</v>
      </c>
      <c r="BL190">
        <v>489.04199999999997</v>
      </c>
      <c r="BM190">
        <v>800.23599999999999</v>
      </c>
      <c r="BN190">
        <v>20.300799999999999</v>
      </c>
      <c r="BO190">
        <v>800.07</v>
      </c>
      <c r="BP190">
        <v>0.20708399999999999</v>
      </c>
      <c r="BQ190">
        <v>2.0343399999999998</v>
      </c>
      <c r="BR190">
        <v>2.0542399999999999E-2</v>
      </c>
      <c r="BS190">
        <v>17.714200000000002</v>
      </c>
      <c r="BT190">
        <v>-39.167499999999997</v>
      </c>
      <c r="BU190">
        <v>1799.99</v>
      </c>
      <c r="BV190">
        <v>0.91001399999999999</v>
      </c>
      <c r="BW190">
        <v>3.3992500000000002E-2</v>
      </c>
      <c r="BX190">
        <v>2.2000200000000001E-2</v>
      </c>
      <c r="BY190">
        <v>3.39929E-2</v>
      </c>
      <c r="BZ190">
        <v>26</v>
      </c>
      <c r="CA190">
        <v>33528.300000000003</v>
      </c>
      <c r="CB190">
        <v>1690306253.5999999</v>
      </c>
      <c r="CC190" t="s">
        <v>332</v>
      </c>
      <c r="CD190">
        <v>1690306253.5999999</v>
      </c>
      <c r="CE190">
        <v>1690306251.5999999</v>
      </c>
      <c r="CF190">
        <v>9</v>
      </c>
      <c r="CG190">
        <v>0.19</v>
      </c>
      <c r="CH190">
        <v>-8.7999999999999995E-2</v>
      </c>
      <c r="CI190">
        <v>-5.0999999999999997E-2</v>
      </c>
      <c r="CJ190">
        <v>5.0999999999999997E-2</v>
      </c>
      <c r="CK190">
        <v>799</v>
      </c>
      <c r="CL190">
        <v>15</v>
      </c>
      <c r="CM190">
        <v>0.28000000000000003</v>
      </c>
      <c r="CN190">
        <v>0.03</v>
      </c>
      <c r="CO190">
        <v>-320.53960000000001</v>
      </c>
      <c r="CP190">
        <v>-2.5802701688540859</v>
      </c>
      <c r="CQ190">
        <v>0.25261173765286299</v>
      </c>
      <c r="CR190">
        <v>-1</v>
      </c>
      <c r="CS190">
        <v>20.289560000000002</v>
      </c>
      <c r="CT190">
        <v>7.2031519699774643E-2</v>
      </c>
      <c r="CU190">
        <v>7.3106360872364677E-3</v>
      </c>
      <c r="CV190">
        <v>-1</v>
      </c>
      <c r="CW190">
        <v>0</v>
      </c>
      <c r="CX190">
        <v>0</v>
      </c>
      <c r="CY190" t="s">
        <v>333</v>
      </c>
      <c r="CZ190">
        <v>2.3643900000000002</v>
      </c>
      <c r="DA190">
        <v>2.7138100000000001</v>
      </c>
      <c r="DB190">
        <v>0.10251200000000001</v>
      </c>
      <c r="DC190">
        <v>0.14618</v>
      </c>
      <c r="DD190">
        <v>0.101895</v>
      </c>
      <c r="DE190">
        <v>1.7405599999999999E-3</v>
      </c>
      <c r="DF190">
        <v>32789.800000000003</v>
      </c>
      <c r="DG190">
        <v>27547</v>
      </c>
      <c r="DH190">
        <v>31189.7</v>
      </c>
      <c r="DI190">
        <v>28113.1</v>
      </c>
      <c r="DJ190">
        <v>38034.6</v>
      </c>
      <c r="DK190">
        <v>39920.199999999997</v>
      </c>
      <c r="DL190">
        <v>44391</v>
      </c>
      <c r="DM190">
        <v>42616</v>
      </c>
      <c r="DN190">
        <v>1.43872</v>
      </c>
      <c r="DO190">
        <v>2.0290499999999998</v>
      </c>
      <c r="DP190">
        <v>0.17946200000000001</v>
      </c>
      <c r="DQ190">
        <v>0.151314</v>
      </c>
      <c r="DR190">
        <v>24.044899999999998</v>
      </c>
      <c r="DS190">
        <v>23.633700000000001</v>
      </c>
      <c r="DT190">
        <v>25.9</v>
      </c>
      <c r="DU190">
        <v>29.6</v>
      </c>
      <c r="DV190">
        <v>10.8698</v>
      </c>
      <c r="DW190">
        <v>61.453099999999999</v>
      </c>
      <c r="DX190">
        <v>37.431899999999999</v>
      </c>
      <c r="DY190">
        <v>1</v>
      </c>
      <c r="DZ190">
        <v>-0.100503</v>
      </c>
      <c r="EA190">
        <v>1.05047</v>
      </c>
      <c r="EB190">
        <v>20.1858</v>
      </c>
      <c r="EC190">
        <v>5.2409499999999998</v>
      </c>
      <c r="ED190">
        <v>12.039899999999999</v>
      </c>
      <c r="EE190">
        <v>5.0171999999999999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1.86894</v>
      </c>
      <c r="EL190">
        <v>1.86463</v>
      </c>
      <c r="EM190">
        <v>1.8692</v>
      </c>
      <c r="EN190">
        <v>1.8672500000000001</v>
      </c>
      <c r="EO190">
        <v>1.8633999999999999</v>
      </c>
      <c r="EP190">
        <v>1.8644799999999999</v>
      </c>
      <c r="EQ190">
        <v>1.8702000000000001</v>
      </c>
      <c r="ER190">
        <v>1.8694500000000001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0.17599999999999999</v>
      </c>
      <c r="FG190">
        <v>0.2079</v>
      </c>
      <c r="FH190">
        <v>0.49996858830924029</v>
      </c>
      <c r="FI190">
        <v>-6.1462078757559423E-4</v>
      </c>
      <c r="FJ190">
        <v>-1.8861989874597051E-7</v>
      </c>
      <c r="FK190">
        <v>1.1980462299894961E-10</v>
      </c>
      <c r="FL190">
        <v>-3.8593581000597899E-2</v>
      </c>
      <c r="FM190">
        <v>-1.6848085045870601E-2</v>
      </c>
      <c r="FN190">
        <v>1.9789084769509481E-3</v>
      </c>
      <c r="FO190">
        <v>-2.7142391389806329E-5</v>
      </c>
      <c r="FP190">
        <v>3</v>
      </c>
      <c r="FQ190">
        <v>2158</v>
      </c>
      <c r="FR190">
        <v>1</v>
      </c>
      <c r="FS190">
        <v>19</v>
      </c>
      <c r="FT190">
        <v>37.9</v>
      </c>
      <c r="FU190">
        <v>38</v>
      </c>
      <c r="FV190">
        <v>1.7626999999999999</v>
      </c>
      <c r="FW190">
        <v>2.5903299999999998</v>
      </c>
      <c r="FX190">
        <v>1.5490699999999999</v>
      </c>
      <c r="FY190">
        <v>2.3303199999999999</v>
      </c>
      <c r="FZ190">
        <v>1.50146</v>
      </c>
      <c r="GA190">
        <v>2.3767100000000001</v>
      </c>
      <c r="GB190">
        <v>34.054499999999997</v>
      </c>
      <c r="GC190">
        <v>23.991199999999999</v>
      </c>
      <c r="GD190">
        <v>19</v>
      </c>
      <c r="GE190">
        <v>266.83600000000001</v>
      </c>
      <c r="GF190">
        <v>576.19799999999998</v>
      </c>
      <c r="GG190">
        <v>21.648800000000001</v>
      </c>
      <c r="GH190">
        <v>26.0778</v>
      </c>
      <c r="GI190">
        <v>30.0002</v>
      </c>
      <c r="GJ190">
        <v>26.2562</v>
      </c>
      <c r="GK190">
        <v>26.254200000000001</v>
      </c>
      <c r="GL190">
        <v>35.241300000000003</v>
      </c>
      <c r="GM190">
        <v>100</v>
      </c>
      <c r="GN190">
        <v>18.321400000000001</v>
      </c>
      <c r="GO190">
        <v>21.666599999999999</v>
      </c>
      <c r="GP190">
        <v>800</v>
      </c>
      <c r="GQ190">
        <v>0</v>
      </c>
      <c r="GR190">
        <v>99.8005</v>
      </c>
      <c r="GS190">
        <v>99.687700000000007</v>
      </c>
    </row>
    <row r="191" spans="1:201" x14ac:dyDescent="0.25">
      <c r="A191">
        <v>175</v>
      </c>
      <c r="B191">
        <v>1690308540</v>
      </c>
      <c r="C191">
        <v>1921.400000095367</v>
      </c>
      <c r="D191" t="s">
        <v>683</v>
      </c>
      <c r="E191" t="s">
        <v>684</v>
      </c>
      <c r="F191" t="s">
        <v>330</v>
      </c>
      <c r="H191">
        <v>1690308540</v>
      </c>
      <c r="I191">
        <f t="shared" si="60"/>
        <v>1.9951809876142769E-3</v>
      </c>
      <c r="J191">
        <f t="shared" si="61"/>
        <v>1.995180987614277</v>
      </c>
      <c r="K191">
        <f t="shared" si="62"/>
        <v>29.967707752287318</v>
      </c>
      <c r="L191">
        <f t="shared" si="63"/>
        <v>478.53300000000002</v>
      </c>
      <c r="M191">
        <f t="shared" si="64"/>
        <v>148.73847559842389</v>
      </c>
      <c r="N191">
        <f t="shared" si="65"/>
        <v>14.769678270980084</v>
      </c>
      <c r="O191">
        <f t="shared" si="66"/>
        <v>47.518158456384</v>
      </c>
      <c r="P191">
        <f t="shared" si="67"/>
        <v>0.15334494650115502</v>
      </c>
      <c r="Q191">
        <f t="shared" si="68"/>
        <v>2.1946310481388611</v>
      </c>
      <c r="R191">
        <f t="shared" si="69"/>
        <v>0.14763142050641059</v>
      </c>
      <c r="S191">
        <f t="shared" si="70"/>
        <v>9.2765238807083331E-2</v>
      </c>
      <c r="T191">
        <f t="shared" si="71"/>
        <v>276.11525543400001</v>
      </c>
      <c r="U191">
        <f t="shared" si="72"/>
        <v>25.845529180372342</v>
      </c>
      <c r="V191">
        <f t="shared" si="73"/>
        <v>25.845529180372342</v>
      </c>
      <c r="W191">
        <f t="shared" si="74"/>
        <v>3.34353870793622</v>
      </c>
      <c r="X191">
        <f t="shared" si="75"/>
        <v>66.453025964698199</v>
      </c>
      <c r="Y191">
        <f t="shared" si="76"/>
        <v>2.0379068159744</v>
      </c>
      <c r="Z191">
        <f t="shared" si="77"/>
        <v>3.0666877638604388</v>
      </c>
      <c r="AA191">
        <f t="shared" si="78"/>
        <v>1.3056318919618199</v>
      </c>
      <c r="AB191">
        <f t="shared" si="79"/>
        <v>-87.987481553789607</v>
      </c>
      <c r="AC191">
        <f t="shared" si="80"/>
        <v>-171.68134562922563</v>
      </c>
      <c r="AD191">
        <f t="shared" si="81"/>
        <v>-16.567186872854567</v>
      </c>
      <c r="AE191">
        <f t="shared" si="82"/>
        <v>-0.12075862186981112</v>
      </c>
      <c r="AF191">
        <v>12</v>
      </c>
      <c r="AG191">
        <v>4</v>
      </c>
      <c r="AH191">
        <f t="shared" si="83"/>
        <v>1</v>
      </c>
      <c r="AI191">
        <f t="shared" si="84"/>
        <v>0</v>
      </c>
      <c r="AJ191">
        <f t="shared" si="85"/>
        <v>52869.08363894988</v>
      </c>
      <c r="AK191">
        <f t="shared" si="86"/>
        <v>1800</v>
      </c>
      <c r="AL191">
        <f t="shared" si="87"/>
        <v>1499.1137153999998</v>
      </c>
      <c r="AM191">
        <f t="shared" si="88"/>
        <v>0.83284095299999994</v>
      </c>
      <c r="AN191">
        <f t="shared" si="89"/>
        <v>0.15339736412999999</v>
      </c>
      <c r="AO191">
        <v>31.2</v>
      </c>
      <c r="AP191">
        <v>0.5</v>
      </c>
      <c r="AQ191" t="s">
        <v>331</v>
      </c>
      <c r="AR191">
        <v>2</v>
      </c>
      <c r="AS191">
        <v>1690308540</v>
      </c>
      <c r="AT191">
        <v>478.53300000000002</v>
      </c>
      <c r="AU191">
        <v>800.04200000000003</v>
      </c>
      <c r="AV191">
        <v>20.5228</v>
      </c>
      <c r="AW191">
        <v>0.20411399999999999</v>
      </c>
      <c r="AX191">
        <v>478.35700000000003</v>
      </c>
      <c r="AY191">
        <v>20.314599999999999</v>
      </c>
      <c r="AZ191">
        <v>300.07900000000001</v>
      </c>
      <c r="BA191">
        <v>99.199600000000004</v>
      </c>
      <c r="BB191">
        <v>0.100048</v>
      </c>
      <c r="BC191">
        <v>24.394500000000001</v>
      </c>
      <c r="BD191">
        <v>27.0138</v>
      </c>
      <c r="BE191">
        <v>26.1157</v>
      </c>
      <c r="BF191">
        <v>0</v>
      </c>
      <c r="BG191">
        <v>0</v>
      </c>
      <c r="BH191">
        <v>9991.25</v>
      </c>
      <c r="BI191">
        <v>1042.1300000000001</v>
      </c>
      <c r="BJ191">
        <v>1.62592</v>
      </c>
      <c r="BK191">
        <v>-321.50799999999998</v>
      </c>
      <c r="BL191">
        <v>488.56</v>
      </c>
      <c r="BM191">
        <v>800.20500000000004</v>
      </c>
      <c r="BN191">
        <v>20.3187</v>
      </c>
      <c r="BO191">
        <v>800.04200000000003</v>
      </c>
      <c r="BP191">
        <v>0.20411399999999999</v>
      </c>
      <c r="BQ191">
        <v>2.03586</v>
      </c>
      <c r="BR191">
        <v>2.0247999999999999E-2</v>
      </c>
      <c r="BS191">
        <v>17.725999999999999</v>
      </c>
      <c r="BT191">
        <v>-39.306800000000003</v>
      </c>
      <c r="BU191">
        <v>1800</v>
      </c>
      <c r="BV191">
        <v>0.91000599999999998</v>
      </c>
      <c r="BW191">
        <v>3.3992700000000001E-2</v>
      </c>
      <c r="BX191">
        <v>2.20004E-2</v>
      </c>
      <c r="BY191">
        <v>3.4000900000000001E-2</v>
      </c>
      <c r="BZ191">
        <v>26</v>
      </c>
      <c r="CA191">
        <v>33528.400000000001</v>
      </c>
      <c r="CB191">
        <v>1690306253.5999999</v>
      </c>
      <c r="CC191" t="s">
        <v>332</v>
      </c>
      <c r="CD191">
        <v>1690306253.5999999</v>
      </c>
      <c r="CE191">
        <v>1690306251.5999999</v>
      </c>
      <c r="CF191">
        <v>9</v>
      </c>
      <c r="CG191">
        <v>0.19</v>
      </c>
      <c r="CH191">
        <v>-8.7999999999999995E-2</v>
      </c>
      <c r="CI191">
        <v>-5.0999999999999997E-2</v>
      </c>
      <c r="CJ191">
        <v>5.0999999999999997E-2</v>
      </c>
      <c r="CK191">
        <v>799</v>
      </c>
      <c r="CL191">
        <v>15</v>
      </c>
      <c r="CM191">
        <v>0.28000000000000003</v>
      </c>
      <c r="CN191">
        <v>0.03</v>
      </c>
      <c r="CO191">
        <v>-320.99739024390237</v>
      </c>
      <c r="CP191">
        <v>-2.474299651567275</v>
      </c>
      <c r="CQ191">
        <v>0.24902432813358141</v>
      </c>
      <c r="CR191">
        <v>-1</v>
      </c>
      <c r="CS191">
        <v>20.30213902439024</v>
      </c>
      <c r="CT191">
        <v>6.7452961672502698E-2</v>
      </c>
      <c r="CU191">
        <v>6.8474626972076201E-3</v>
      </c>
      <c r="CV191">
        <v>-1</v>
      </c>
      <c r="CW191">
        <v>0</v>
      </c>
      <c r="CX191">
        <v>0</v>
      </c>
      <c r="CY191" t="s">
        <v>333</v>
      </c>
      <c r="CZ191">
        <v>2.3645100000000001</v>
      </c>
      <c r="DA191">
        <v>2.7138300000000002</v>
      </c>
      <c r="DB191">
        <v>0.102439</v>
      </c>
      <c r="DC191">
        <v>0.146179</v>
      </c>
      <c r="DD191">
        <v>0.101949</v>
      </c>
      <c r="DE191">
        <v>1.7159499999999999E-3</v>
      </c>
      <c r="DF191">
        <v>32792.800000000003</v>
      </c>
      <c r="DG191">
        <v>27547.200000000001</v>
      </c>
      <c r="DH191">
        <v>31190</v>
      </c>
      <c r="DI191">
        <v>28113.200000000001</v>
      </c>
      <c r="DJ191">
        <v>38032.400000000001</v>
      </c>
      <c r="DK191">
        <v>39921.4</v>
      </c>
      <c r="DL191">
        <v>44391.199999999997</v>
      </c>
      <c r="DM191">
        <v>42616.3</v>
      </c>
      <c r="DN191">
        <v>1.43872</v>
      </c>
      <c r="DO191">
        <v>2.0292500000000002</v>
      </c>
      <c r="DP191">
        <v>0.180982</v>
      </c>
      <c r="DQ191">
        <v>0.15123900000000001</v>
      </c>
      <c r="DR191">
        <v>24.046900000000001</v>
      </c>
      <c r="DS191">
        <v>23.633700000000001</v>
      </c>
      <c r="DT191">
        <v>25.7</v>
      </c>
      <c r="DU191">
        <v>29.6</v>
      </c>
      <c r="DV191">
        <v>10.784800000000001</v>
      </c>
      <c r="DW191">
        <v>61.5931</v>
      </c>
      <c r="DX191">
        <v>37.3157</v>
      </c>
      <c r="DY191">
        <v>1</v>
      </c>
      <c r="DZ191">
        <v>-0.101024</v>
      </c>
      <c r="EA191">
        <v>1.10025</v>
      </c>
      <c r="EB191">
        <v>20.185500000000001</v>
      </c>
      <c r="EC191">
        <v>5.2413999999999996</v>
      </c>
      <c r="ED191">
        <v>12.039899999999999</v>
      </c>
      <c r="EE191">
        <v>5.0172999999999996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1.8689199999999999</v>
      </c>
      <c r="EL191">
        <v>1.8646199999999999</v>
      </c>
      <c r="EM191">
        <v>1.8692</v>
      </c>
      <c r="EN191">
        <v>1.8672500000000001</v>
      </c>
      <c r="EO191">
        <v>1.8633999999999999</v>
      </c>
      <c r="EP191">
        <v>1.8644700000000001</v>
      </c>
      <c r="EQ191">
        <v>1.87022</v>
      </c>
      <c r="ER191">
        <v>1.8694500000000001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0.17599999999999999</v>
      </c>
      <c r="FG191">
        <v>0.2082</v>
      </c>
      <c r="FH191">
        <v>0.49996858830924029</v>
      </c>
      <c r="FI191">
        <v>-6.1462078757559423E-4</v>
      </c>
      <c r="FJ191">
        <v>-1.8861989874597051E-7</v>
      </c>
      <c r="FK191">
        <v>1.1980462299894961E-10</v>
      </c>
      <c r="FL191">
        <v>-3.8593581000597899E-2</v>
      </c>
      <c r="FM191">
        <v>-1.6848085045870601E-2</v>
      </c>
      <c r="FN191">
        <v>1.9789084769509481E-3</v>
      </c>
      <c r="FO191">
        <v>-2.7142391389806329E-5</v>
      </c>
      <c r="FP191">
        <v>3</v>
      </c>
      <c r="FQ191">
        <v>2158</v>
      </c>
      <c r="FR191">
        <v>1</v>
      </c>
      <c r="FS191">
        <v>19</v>
      </c>
      <c r="FT191">
        <v>38.1</v>
      </c>
      <c r="FU191">
        <v>38.1</v>
      </c>
      <c r="FV191">
        <v>1.7626999999999999</v>
      </c>
      <c r="FW191">
        <v>2.5866699999999998</v>
      </c>
      <c r="FX191">
        <v>1.5490699999999999</v>
      </c>
      <c r="FY191">
        <v>2.3303199999999999</v>
      </c>
      <c r="FZ191">
        <v>1.50146</v>
      </c>
      <c r="GA191">
        <v>2.3779300000000001</v>
      </c>
      <c r="GB191">
        <v>34.054499999999997</v>
      </c>
      <c r="GC191">
        <v>23.982399999999998</v>
      </c>
      <c r="GD191">
        <v>19</v>
      </c>
      <c r="GE191">
        <v>266.82499999999999</v>
      </c>
      <c r="GF191">
        <v>576.327</v>
      </c>
      <c r="GG191">
        <v>21.677499999999998</v>
      </c>
      <c r="GH191">
        <v>26.0762</v>
      </c>
      <c r="GI191">
        <v>30.0001</v>
      </c>
      <c r="GJ191">
        <v>26.253499999999999</v>
      </c>
      <c r="GK191">
        <v>26.251200000000001</v>
      </c>
      <c r="GL191">
        <v>35.240699999999997</v>
      </c>
      <c r="GM191">
        <v>100</v>
      </c>
      <c r="GN191">
        <v>17.558299999999999</v>
      </c>
      <c r="GO191">
        <v>21.658899999999999</v>
      </c>
      <c r="GP191">
        <v>800</v>
      </c>
      <c r="GQ191">
        <v>0</v>
      </c>
      <c r="GR191">
        <v>99.801100000000005</v>
      </c>
      <c r="GS191">
        <v>99.688400000000001</v>
      </c>
    </row>
    <row r="192" spans="1:201" x14ac:dyDescent="0.25">
      <c r="A192">
        <v>176</v>
      </c>
      <c r="B192">
        <v>1690308550</v>
      </c>
      <c r="C192">
        <v>1931.400000095367</v>
      </c>
      <c r="D192" t="s">
        <v>685</v>
      </c>
      <c r="E192" t="s">
        <v>686</v>
      </c>
      <c r="F192" t="s">
        <v>330</v>
      </c>
      <c r="H192">
        <v>1690308550</v>
      </c>
      <c r="I192">
        <f t="shared" si="60"/>
        <v>1.9961326172088017E-3</v>
      </c>
      <c r="J192">
        <f t="shared" si="61"/>
        <v>1.9961326172088016</v>
      </c>
      <c r="K192">
        <f t="shared" si="62"/>
        <v>29.995405013674095</v>
      </c>
      <c r="L192">
        <f t="shared" si="63"/>
        <v>478.161</v>
      </c>
      <c r="M192">
        <f t="shared" si="64"/>
        <v>148.38742894018986</v>
      </c>
      <c r="N192">
        <f t="shared" si="65"/>
        <v>14.734700039183055</v>
      </c>
      <c r="O192">
        <f t="shared" si="66"/>
        <v>47.480834163355198</v>
      </c>
      <c r="P192">
        <f t="shared" si="67"/>
        <v>0.15348615835795681</v>
      </c>
      <c r="Q192">
        <f t="shared" si="68"/>
        <v>2.1990006942451936</v>
      </c>
      <c r="R192">
        <f t="shared" si="69"/>
        <v>0.14777323434598852</v>
      </c>
      <c r="S192">
        <f t="shared" si="70"/>
        <v>9.2853838447092274E-2</v>
      </c>
      <c r="T192">
        <f t="shared" si="71"/>
        <v>276.11519486400005</v>
      </c>
      <c r="U192">
        <f t="shared" si="72"/>
        <v>25.847867116528022</v>
      </c>
      <c r="V192">
        <f t="shared" si="73"/>
        <v>25.847867116528022</v>
      </c>
      <c r="W192">
        <f t="shared" si="74"/>
        <v>3.3440018281367592</v>
      </c>
      <c r="X192">
        <f t="shared" si="75"/>
        <v>66.468298775279933</v>
      </c>
      <c r="Y192">
        <f t="shared" si="76"/>
        <v>2.0390223060374395</v>
      </c>
      <c r="Z192">
        <f t="shared" si="77"/>
        <v>3.0676613417338845</v>
      </c>
      <c r="AA192">
        <f t="shared" si="78"/>
        <v>1.3049795220993197</v>
      </c>
      <c r="AB192">
        <f t="shared" si="79"/>
        <v>-88.02944841890816</v>
      </c>
      <c r="AC192">
        <f t="shared" si="80"/>
        <v>-171.67201365385176</v>
      </c>
      <c r="AD192">
        <f t="shared" si="81"/>
        <v>-16.534002375968278</v>
      </c>
      <c r="AE192">
        <f t="shared" si="82"/>
        <v>-0.12026958472813476</v>
      </c>
      <c r="AF192">
        <v>12</v>
      </c>
      <c r="AG192">
        <v>4</v>
      </c>
      <c r="AH192">
        <f t="shared" si="83"/>
        <v>1</v>
      </c>
      <c r="AI192">
        <f t="shared" si="84"/>
        <v>0</v>
      </c>
      <c r="AJ192">
        <f t="shared" si="85"/>
        <v>53048.642504750926</v>
      </c>
      <c r="AK192">
        <f t="shared" si="86"/>
        <v>1800</v>
      </c>
      <c r="AL192">
        <f t="shared" si="87"/>
        <v>1499.1141293999999</v>
      </c>
      <c r="AM192">
        <f t="shared" si="88"/>
        <v>0.83284118299999998</v>
      </c>
      <c r="AN192">
        <f t="shared" si="89"/>
        <v>0.15339733048000001</v>
      </c>
      <c r="AO192">
        <v>31.2</v>
      </c>
      <c r="AP192">
        <v>0.5</v>
      </c>
      <c r="AQ192" t="s">
        <v>331</v>
      </c>
      <c r="AR192">
        <v>2</v>
      </c>
      <c r="AS192">
        <v>1690308550</v>
      </c>
      <c r="AT192">
        <v>478.161</v>
      </c>
      <c r="AU192">
        <v>800.029</v>
      </c>
      <c r="AV192">
        <v>20.534199999999998</v>
      </c>
      <c r="AW192">
        <v>0.20138400000000001</v>
      </c>
      <c r="AX192">
        <v>477.98500000000001</v>
      </c>
      <c r="AY192">
        <v>20.325600000000001</v>
      </c>
      <c r="AZ192">
        <v>300.01</v>
      </c>
      <c r="BA192">
        <v>99.198899999999995</v>
      </c>
      <c r="BB192">
        <v>9.9943199999999996E-2</v>
      </c>
      <c r="BC192">
        <v>24.399799999999999</v>
      </c>
      <c r="BD192">
        <v>26.944800000000001</v>
      </c>
      <c r="BE192">
        <v>26.128</v>
      </c>
      <c r="BF192">
        <v>0</v>
      </c>
      <c r="BG192">
        <v>0</v>
      </c>
      <c r="BH192">
        <v>10026.9</v>
      </c>
      <c r="BI192">
        <v>1042.1099999999999</v>
      </c>
      <c r="BJ192">
        <v>1.62592</v>
      </c>
      <c r="BK192">
        <v>-321.86799999999999</v>
      </c>
      <c r="BL192">
        <v>488.18599999999998</v>
      </c>
      <c r="BM192">
        <v>800.19100000000003</v>
      </c>
      <c r="BN192">
        <v>20.332799999999999</v>
      </c>
      <c r="BO192">
        <v>800.029</v>
      </c>
      <c r="BP192">
        <v>0.20138400000000001</v>
      </c>
      <c r="BQ192">
        <v>2.0369700000000002</v>
      </c>
      <c r="BR192">
        <v>1.9977000000000002E-2</v>
      </c>
      <c r="BS192">
        <v>17.7347</v>
      </c>
      <c r="BT192">
        <v>-39.436599999999999</v>
      </c>
      <c r="BU192">
        <v>1800</v>
      </c>
      <c r="BV192">
        <v>0.91000800000000004</v>
      </c>
      <c r="BW192">
        <v>3.3992000000000001E-2</v>
      </c>
      <c r="BX192">
        <v>2.1999899999999999E-2</v>
      </c>
      <c r="BY192">
        <v>3.4000200000000001E-2</v>
      </c>
      <c r="BZ192">
        <v>26</v>
      </c>
      <c r="CA192">
        <v>33528.400000000001</v>
      </c>
      <c r="CB192">
        <v>1690306253.5999999</v>
      </c>
      <c r="CC192" t="s">
        <v>332</v>
      </c>
      <c r="CD192">
        <v>1690306253.5999999</v>
      </c>
      <c r="CE192">
        <v>1690306251.5999999</v>
      </c>
      <c r="CF192">
        <v>9</v>
      </c>
      <c r="CG192">
        <v>0.19</v>
      </c>
      <c r="CH192">
        <v>-8.7999999999999995E-2</v>
      </c>
      <c r="CI192">
        <v>-5.0999999999999997E-2</v>
      </c>
      <c r="CJ192">
        <v>5.0999999999999997E-2</v>
      </c>
      <c r="CK192">
        <v>799</v>
      </c>
      <c r="CL192">
        <v>15</v>
      </c>
      <c r="CM192">
        <v>0.28000000000000003</v>
      </c>
      <c r="CN192">
        <v>0.03</v>
      </c>
      <c r="CO192">
        <v>-321.43621951219512</v>
      </c>
      <c r="CP192">
        <v>-2.6084738675954799</v>
      </c>
      <c r="CQ192">
        <v>0.26190842862559371</v>
      </c>
      <c r="CR192">
        <v>-1</v>
      </c>
      <c r="CS192">
        <v>20.31632926829268</v>
      </c>
      <c r="CT192">
        <v>0.10331707317070959</v>
      </c>
      <c r="CU192">
        <v>1.022997136353527E-2</v>
      </c>
      <c r="CV192">
        <v>-1</v>
      </c>
      <c r="CW192">
        <v>0</v>
      </c>
      <c r="CX192">
        <v>0</v>
      </c>
      <c r="CY192" t="s">
        <v>333</v>
      </c>
      <c r="CZ192">
        <v>2.36429</v>
      </c>
      <c r="DA192">
        <v>2.7137600000000002</v>
      </c>
      <c r="DB192">
        <v>0.10238</v>
      </c>
      <c r="DC192">
        <v>0.146178</v>
      </c>
      <c r="DD192">
        <v>0.101988</v>
      </c>
      <c r="DE192">
        <v>1.6932799999999999E-3</v>
      </c>
      <c r="DF192">
        <v>32795.4</v>
      </c>
      <c r="DG192">
        <v>27547.4</v>
      </c>
      <c r="DH192">
        <v>31190.400000000001</v>
      </c>
      <c r="DI192">
        <v>28113.4</v>
      </c>
      <c r="DJ192">
        <v>38031.300000000003</v>
      </c>
      <c r="DK192">
        <v>39922.6</v>
      </c>
      <c r="DL192">
        <v>44391.9</v>
      </c>
      <c r="DM192">
        <v>42616.6</v>
      </c>
      <c r="DN192">
        <v>1.4388300000000001</v>
      </c>
      <c r="DO192">
        <v>2.02922</v>
      </c>
      <c r="DP192">
        <v>0.176758</v>
      </c>
      <c r="DQ192">
        <v>0.15199199999999999</v>
      </c>
      <c r="DR192">
        <v>24.046900000000001</v>
      </c>
      <c r="DS192">
        <v>23.633700000000001</v>
      </c>
      <c r="DT192">
        <v>25.4</v>
      </c>
      <c r="DU192">
        <v>29.6</v>
      </c>
      <c r="DV192">
        <v>10.661799999999999</v>
      </c>
      <c r="DW192">
        <v>61.3431</v>
      </c>
      <c r="DX192">
        <v>37.435899999999997</v>
      </c>
      <c r="DY192">
        <v>1</v>
      </c>
      <c r="DZ192">
        <v>-0.10109</v>
      </c>
      <c r="EA192">
        <v>1.1222000000000001</v>
      </c>
      <c r="EB192">
        <v>20.185300000000002</v>
      </c>
      <c r="EC192">
        <v>5.2411000000000003</v>
      </c>
      <c r="ED192">
        <v>12.039899999999999</v>
      </c>
      <c r="EE192">
        <v>5.0173500000000004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1.86894</v>
      </c>
      <c r="EL192">
        <v>1.8646199999999999</v>
      </c>
      <c r="EM192">
        <v>1.86921</v>
      </c>
      <c r="EN192">
        <v>1.8672500000000001</v>
      </c>
      <c r="EO192">
        <v>1.8633999999999999</v>
      </c>
      <c r="EP192">
        <v>1.8644700000000001</v>
      </c>
      <c r="EQ192">
        <v>1.8701700000000001</v>
      </c>
      <c r="ER192">
        <v>1.8694299999999999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0.17599999999999999</v>
      </c>
      <c r="FG192">
        <v>0.20860000000000001</v>
      </c>
      <c r="FH192">
        <v>0.49996858830924029</v>
      </c>
      <c r="FI192">
        <v>-6.1462078757559423E-4</v>
      </c>
      <c r="FJ192">
        <v>-1.8861989874597051E-7</v>
      </c>
      <c r="FK192">
        <v>1.1980462299894961E-10</v>
      </c>
      <c r="FL192">
        <v>-3.8593581000597899E-2</v>
      </c>
      <c r="FM192">
        <v>-1.6848085045870601E-2</v>
      </c>
      <c r="FN192">
        <v>1.9789084769509481E-3</v>
      </c>
      <c r="FO192">
        <v>-2.7142391389806329E-5</v>
      </c>
      <c r="FP192">
        <v>3</v>
      </c>
      <c r="FQ192">
        <v>2158</v>
      </c>
      <c r="FR192">
        <v>1</v>
      </c>
      <c r="FS192">
        <v>19</v>
      </c>
      <c r="FT192">
        <v>38.299999999999997</v>
      </c>
      <c r="FU192">
        <v>38.299999999999997</v>
      </c>
      <c r="FV192">
        <v>1.7626999999999999</v>
      </c>
      <c r="FW192">
        <v>2.5927699999999998</v>
      </c>
      <c r="FX192">
        <v>1.5490699999999999</v>
      </c>
      <c r="FY192">
        <v>2.3303199999999999</v>
      </c>
      <c r="FZ192">
        <v>1.50146</v>
      </c>
      <c r="GA192">
        <v>2.4206500000000002</v>
      </c>
      <c r="GB192">
        <v>34.054499999999997</v>
      </c>
      <c r="GC192">
        <v>23.982399999999998</v>
      </c>
      <c r="GD192">
        <v>19</v>
      </c>
      <c r="GE192">
        <v>266.85700000000003</v>
      </c>
      <c r="GF192">
        <v>576.28200000000004</v>
      </c>
      <c r="GG192">
        <v>21.653600000000001</v>
      </c>
      <c r="GH192">
        <v>26.074000000000002</v>
      </c>
      <c r="GI192">
        <v>30</v>
      </c>
      <c r="GJ192">
        <v>26.251300000000001</v>
      </c>
      <c r="GK192">
        <v>26.248999999999999</v>
      </c>
      <c r="GL192">
        <v>35.2395</v>
      </c>
      <c r="GM192">
        <v>100</v>
      </c>
      <c r="GN192">
        <v>17.182700000000001</v>
      </c>
      <c r="GO192">
        <v>21.657699999999998</v>
      </c>
      <c r="GP192">
        <v>800</v>
      </c>
      <c r="GQ192">
        <v>0</v>
      </c>
      <c r="GR192">
        <v>99.802700000000002</v>
      </c>
      <c r="GS192">
        <v>99.689099999999996</v>
      </c>
    </row>
    <row r="193" spans="1:201" x14ac:dyDescent="0.25">
      <c r="A193">
        <v>177</v>
      </c>
      <c r="B193">
        <v>1690308560</v>
      </c>
      <c r="C193">
        <v>1941.400000095367</v>
      </c>
      <c r="D193" t="s">
        <v>687</v>
      </c>
      <c r="E193" t="s">
        <v>688</v>
      </c>
      <c r="F193" t="s">
        <v>330</v>
      </c>
      <c r="H193">
        <v>1690308560</v>
      </c>
      <c r="I193">
        <f t="shared" si="60"/>
        <v>1.9971389778655523E-3</v>
      </c>
      <c r="J193">
        <f t="shared" si="61"/>
        <v>1.9971389778655524</v>
      </c>
      <c r="K193">
        <f t="shared" si="62"/>
        <v>30.036353145660023</v>
      </c>
      <c r="L193">
        <f t="shared" si="63"/>
        <v>477.77600000000001</v>
      </c>
      <c r="M193">
        <f t="shared" si="64"/>
        <v>147.76681049541656</v>
      </c>
      <c r="N193">
        <f t="shared" si="65"/>
        <v>14.672925977708378</v>
      </c>
      <c r="O193">
        <f t="shared" si="66"/>
        <v>47.442127622718402</v>
      </c>
      <c r="P193">
        <f t="shared" si="67"/>
        <v>0.15359107044482756</v>
      </c>
      <c r="Q193">
        <f t="shared" si="68"/>
        <v>2.1947637347972715</v>
      </c>
      <c r="R193">
        <f t="shared" si="69"/>
        <v>0.14785989022084273</v>
      </c>
      <c r="S193">
        <f t="shared" si="70"/>
        <v>9.2909537326129998E-2</v>
      </c>
      <c r="T193">
        <f t="shared" si="71"/>
        <v>276.115112028</v>
      </c>
      <c r="U193">
        <f t="shared" si="72"/>
        <v>25.850275025012728</v>
      </c>
      <c r="V193">
        <f t="shared" si="73"/>
        <v>25.850275025012728</v>
      </c>
      <c r="W193">
        <f t="shared" si="74"/>
        <v>3.3444788676795381</v>
      </c>
      <c r="X193">
        <f t="shared" si="75"/>
        <v>66.487227447274634</v>
      </c>
      <c r="Y193">
        <f t="shared" si="76"/>
        <v>2.0396274037089501</v>
      </c>
      <c r="Z193">
        <f t="shared" si="77"/>
        <v>3.0676980858111511</v>
      </c>
      <c r="AA193">
        <f t="shared" si="78"/>
        <v>1.3048514639705879</v>
      </c>
      <c r="AB193">
        <f t="shared" si="79"/>
        <v>-88.073828923870849</v>
      </c>
      <c r="AC193">
        <f t="shared" si="80"/>
        <v>-171.60249066985432</v>
      </c>
      <c r="AD193">
        <f t="shared" si="81"/>
        <v>-16.559429813995717</v>
      </c>
      <c r="AE193">
        <f t="shared" si="82"/>
        <v>-0.12063737972090394</v>
      </c>
      <c r="AF193">
        <v>12</v>
      </c>
      <c r="AG193">
        <v>4</v>
      </c>
      <c r="AH193">
        <f t="shared" si="83"/>
        <v>1</v>
      </c>
      <c r="AI193">
        <f t="shared" si="84"/>
        <v>0</v>
      </c>
      <c r="AJ193">
        <f t="shared" si="85"/>
        <v>52873.545015197764</v>
      </c>
      <c r="AK193">
        <f t="shared" si="86"/>
        <v>1800</v>
      </c>
      <c r="AL193">
        <f t="shared" si="87"/>
        <v>1499.1139458</v>
      </c>
      <c r="AM193">
        <f t="shared" si="88"/>
        <v>0.83284108099999998</v>
      </c>
      <c r="AN193">
        <f t="shared" si="89"/>
        <v>0.15339728446000001</v>
      </c>
      <c r="AO193">
        <v>31.2</v>
      </c>
      <c r="AP193">
        <v>0.5</v>
      </c>
      <c r="AQ193" t="s">
        <v>331</v>
      </c>
      <c r="AR193">
        <v>2</v>
      </c>
      <c r="AS193">
        <v>1690308560</v>
      </c>
      <c r="AT193">
        <v>477.77600000000001</v>
      </c>
      <c r="AU193">
        <v>800.04</v>
      </c>
      <c r="AV193">
        <v>20.540500000000002</v>
      </c>
      <c r="AW193">
        <v>0.19925899999999999</v>
      </c>
      <c r="AX193">
        <v>477.6</v>
      </c>
      <c r="AY193">
        <v>20.331800000000001</v>
      </c>
      <c r="AZ193">
        <v>300.03500000000003</v>
      </c>
      <c r="BA193">
        <v>99.197900000000004</v>
      </c>
      <c r="BB193">
        <v>9.9945900000000004E-2</v>
      </c>
      <c r="BC193">
        <v>24.4</v>
      </c>
      <c r="BD193">
        <v>26.976099999999999</v>
      </c>
      <c r="BE193">
        <v>26.122299999999999</v>
      </c>
      <c r="BF193">
        <v>0</v>
      </c>
      <c r="BG193">
        <v>0</v>
      </c>
      <c r="BH193">
        <v>9992.5</v>
      </c>
      <c r="BI193">
        <v>1042.24</v>
      </c>
      <c r="BJ193">
        <v>1.62592</v>
      </c>
      <c r="BK193">
        <v>-322.26299999999998</v>
      </c>
      <c r="BL193">
        <v>487.79599999999999</v>
      </c>
      <c r="BM193">
        <v>800.19899999999996</v>
      </c>
      <c r="BN193">
        <v>20.3413</v>
      </c>
      <c r="BO193">
        <v>800.04</v>
      </c>
      <c r="BP193">
        <v>0.19925899999999999</v>
      </c>
      <c r="BQ193">
        <v>2.0375800000000002</v>
      </c>
      <c r="BR193">
        <v>1.9766100000000002E-2</v>
      </c>
      <c r="BS193">
        <v>17.7394</v>
      </c>
      <c r="BT193">
        <v>-39.538800000000002</v>
      </c>
      <c r="BU193">
        <v>1800</v>
      </c>
      <c r="BV193">
        <v>0.91000999999999999</v>
      </c>
      <c r="BW193">
        <v>3.3992599999999998E-2</v>
      </c>
      <c r="BX193">
        <v>2.20003E-2</v>
      </c>
      <c r="BY193">
        <v>3.3996800000000001E-2</v>
      </c>
      <c r="BZ193">
        <v>26</v>
      </c>
      <c r="CA193">
        <v>33528.5</v>
      </c>
      <c r="CB193">
        <v>1690306253.5999999</v>
      </c>
      <c r="CC193" t="s">
        <v>332</v>
      </c>
      <c r="CD193">
        <v>1690306253.5999999</v>
      </c>
      <c r="CE193">
        <v>1690306251.5999999</v>
      </c>
      <c r="CF193">
        <v>9</v>
      </c>
      <c r="CG193">
        <v>0.19</v>
      </c>
      <c r="CH193">
        <v>-8.7999999999999995E-2</v>
      </c>
      <c r="CI193">
        <v>-5.0999999999999997E-2</v>
      </c>
      <c r="CJ193">
        <v>5.0999999999999997E-2</v>
      </c>
      <c r="CK193">
        <v>799</v>
      </c>
      <c r="CL193">
        <v>15</v>
      </c>
      <c r="CM193">
        <v>0.28000000000000003</v>
      </c>
      <c r="CN193">
        <v>0.03</v>
      </c>
      <c r="CO193">
        <v>-321.80253658536577</v>
      </c>
      <c r="CP193">
        <v>-2.419275261324596</v>
      </c>
      <c r="CQ193">
        <v>0.24293450864539279</v>
      </c>
      <c r="CR193">
        <v>-1</v>
      </c>
      <c r="CS193">
        <v>20.328253658536589</v>
      </c>
      <c r="CT193">
        <v>6.0497560975620243E-2</v>
      </c>
      <c r="CU193">
        <v>6.2923529881360359E-3</v>
      </c>
      <c r="CV193">
        <v>-1</v>
      </c>
      <c r="CW193">
        <v>0</v>
      </c>
      <c r="CX193">
        <v>0</v>
      </c>
      <c r="CY193" t="s">
        <v>333</v>
      </c>
      <c r="CZ193">
        <v>2.3643700000000001</v>
      </c>
      <c r="DA193">
        <v>2.71373</v>
      </c>
      <c r="DB193">
        <v>0.10231899999999999</v>
      </c>
      <c r="DC193">
        <v>0.146178</v>
      </c>
      <c r="DD193">
        <v>0.10201</v>
      </c>
      <c r="DE193">
        <v>1.67563E-3</v>
      </c>
      <c r="DF193">
        <v>32797.5</v>
      </c>
      <c r="DG193">
        <v>27547.599999999999</v>
      </c>
      <c r="DH193">
        <v>31190.3</v>
      </c>
      <c r="DI193">
        <v>28113.599999999999</v>
      </c>
      <c r="DJ193">
        <v>38030.199999999997</v>
      </c>
      <c r="DK193">
        <v>39923.5</v>
      </c>
      <c r="DL193">
        <v>44391.7</v>
      </c>
      <c r="DM193">
        <v>42616.7</v>
      </c>
      <c r="DN193">
        <v>1.4388000000000001</v>
      </c>
      <c r="DO193">
        <v>2.0294300000000001</v>
      </c>
      <c r="DP193">
        <v>0.178672</v>
      </c>
      <c r="DQ193">
        <v>0.151612</v>
      </c>
      <c r="DR193">
        <v>24.046900000000001</v>
      </c>
      <c r="DS193">
        <v>23.6342</v>
      </c>
      <c r="DT193">
        <v>25.2</v>
      </c>
      <c r="DU193">
        <v>29.6</v>
      </c>
      <c r="DV193">
        <v>10.576599999999999</v>
      </c>
      <c r="DW193">
        <v>61.633099999999999</v>
      </c>
      <c r="DX193">
        <v>37.540100000000002</v>
      </c>
      <c r="DY193">
        <v>1</v>
      </c>
      <c r="DZ193">
        <v>-0.101593</v>
      </c>
      <c r="EA193">
        <v>0.95730099999999996</v>
      </c>
      <c r="EB193">
        <v>20.186499999999999</v>
      </c>
      <c r="EC193">
        <v>5.2413999999999996</v>
      </c>
      <c r="ED193">
        <v>12.039899999999999</v>
      </c>
      <c r="EE193">
        <v>5.0174500000000002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1.86893</v>
      </c>
      <c r="EL193">
        <v>1.8646400000000001</v>
      </c>
      <c r="EM193">
        <v>1.8692</v>
      </c>
      <c r="EN193">
        <v>1.8672500000000001</v>
      </c>
      <c r="EO193">
        <v>1.8633999999999999</v>
      </c>
      <c r="EP193">
        <v>1.8644700000000001</v>
      </c>
      <c r="EQ193">
        <v>1.87018</v>
      </c>
      <c r="ER193">
        <v>1.8694200000000001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0.17599999999999999</v>
      </c>
      <c r="FG193">
        <v>0.2087</v>
      </c>
      <c r="FH193">
        <v>0.49996858830924029</v>
      </c>
      <c r="FI193">
        <v>-6.1462078757559423E-4</v>
      </c>
      <c r="FJ193">
        <v>-1.8861989874597051E-7</v>
      </c>
      <c r="FK193">
        <v>1.1980462299894961E-10</v>
      </c>
      <c r="FL193">
        <v>-3.8593581000597899E-2</v>
      </c>
      <c r="FM193">
        <v>-1.6848085045870601E-2</v>
      </c>
      <c r="FN193">
        <v>1.9789084769509481E-3</v>
      </c>
      <c r="FO193">
        <v>-2.7142391389806329E-5</v>
      </c>
      <c r="FP193">
        <v>3</v>
      </c>
      <c r="FQ193">
        <v>2158</v>
      </c>
      <c r="FR193">
        <v>1</v>
      </c>
      <c r="FS193">
        <v>19</v>
      </c>
      <c r="FT193">
        <v>38.4</v>
      </c>
      <c r="FU193">
        <v>38.5</v>
      </c>
      <c r="FV193">
        <v>1.7626999999999999</v>
      </c>
      <c r="FW193">
        <v>2.5903299999999998</v>
      </c>
      <c r="FX193">
        <v>1.5490699999999999</v>
      </c>
      <c r="FY193">
        <v>2.3303199999999999</v>
      </c>
      <c r="FZ193">
        <v>1.50146</v>
      </c>
      <c r="GA193">
        <v>2.3571800000000001</v>
      </c>
      <c r="GB193">
        <v>34.054499999999997</v>
      </c>
      <c r="GC193">
        <v>23.991199999999999</v>
      </c>
      <c r="GD193">
        <v>19</v>
      </c>
      <c r="GE193">
        <v>266.83600000000001</v>
      </c>
      <c r="GF193">
        <v>576.42100000000005</v>
      </c>
      <c r="GG193">
        <v>21.690100000000001</v>
      </c>
      <c r="GH193">
        <v>26.0718</v>
      </c>
      <c r="GI193">
        <v>30</v>
      </c>
      <c r="GJ193">
        <v>26.248899999999999</v>
      </c>
      <c r="GK193">
        <v>26.2468</v>
      </c>
      <c r="GL193">
        <v>35.238500000000002</v>
      </c>
      <c r="GM193">
        <v>100</v>
      </c>
      <c r="GN193">
        <v>16.402999999999999</v>
      </c>
      <c r="GO193">
        <v>21.713000000000001</v>
      </c>
      <c r="GP193">
        <v>800</v>
      </c>
      <c r="GQ193">
        <v>0</v>
      </c>
      <c r="GR193">
        <v>99.802199999999999</v>
      </c>
      <c r="GS193">
        <v>99.689499999999995</v>
      </c>
    </row>
    <row r="194" spans="1:201" x14ac:dyDescent="0.25">
      <c r="A194">
        <v>178</v>
      </c>
      <c r="B194">
        <v>1690308570</v>
      </c>
      <c r="C194">
        <v>1951.400000095367</v>
      </c>
      <c r="D194" t="s">
        <v>689</v>
      </c>
      <c r="E194" t="s">
        <v>690</v>
      </c>
      <c r="F194" t="s">
        <v>330</v>
      </c>
      <c r="H194">
        <v>1690308570</v>
      </c>
      <c r="I194">
        <f t="shared" si="60"/>
        <v>1.9984765950124862E-3</v>
      </c>
      <c r="J194">
        <f t="shared" si="61"/>
        <v>1.9984765950124863</v>
      </c>
      <c r="K194">
        <f t="shared" si="62"/>
        <v>30.053311379756455</v>
      </c>
      <c r="L194">
        <f t="shared" si="63"/>
        <v>477.447</v>
      </c>
      <c r="M194">
        <f t="shared" si="64"/>
        <v>147.75546924002168</v>
      </c>
      <c r="N194">
        <f t="shared" si="65"/>
        <v>14.672290526166757</v>
      </c>
      <c r="O194">
        <f t="shared" si="66"/>
        <v>47.411044280649001</v>
      </c>
      <c r="P194">
        <f t="shared" si="67"/>
        <v>0.15381968410318414</v>
      </c>
      <c r="Q194">
        <f t="shared" si="68"/>
        <v>2.2001703711011511</v>
      </c>
      <c r="R194">
        <f t="shared" si="69"/>
        <v>0.14808533169078633</v>
      </c>
      <c r="S194">
        <f t="shared" si="70"/>
        <v>9.305073005666846E-2</v>
      </c>
      <c r="T194">
        <f t="shared" si="71"/>
        <v>276.11576017199997</v>
      </c>
      <c r="U194">
        <f t="shared" si="72"/>
        <v>25.853364417509063</v>
      </c>
      <c r="V194">
        <f t="shared" si="73"/>
        <v>25.853364417509063</v>
      </c>
      <c r="W194">
        <f t="shared" si="74"/>
        <v>3.3450910055644085</v>
      </c>
      <c r="X194">
        <f t="shared" si="75"/>
        <v>66.5154449364356</v>
      </c>
      <c r="Y194">
        <f t="shared" si="76"/>
        <v>2.0413241599022998</v>
      </c>
      <c r="Z194">
        <f t="shared" si="77"/>
        <v>3.0689476133746951</v>
      </c>
      <c r="AA194">
        <f t="shared" si="78"/>
        <v>1.3037668456621088</v>
      </c>
      <c r="AB194">
        <f t="shared" si="79"/>
        <v>-88.132817840050649</v>
      </c>
      <c r="AC194">
        <f t="shared" si="80"/>
        <v>-171.58508469072851</v>
      </c>
      <c r="AD194">
        <f t="shared" si="81"/>
        <v>-16.517882978202284</v>
      </c>
      <c r="AE194">
        <f t="shared" si="82"/>
        <v>-0.12002533698148454</v>
      </c>
      <c r="AF194">
        <v>12</v>
      </c>
      <c r="AG194">
        <v>4</v>
      </c>
      <c r="AH194">
        <f t="shared" si="83"/>
        <v>1</v>
      </c>
      <c r="AI194">
        <f t="shared" si="84"/>
        <v>0</v>
      </c>
      <c r="AJ194">
        <f t="shared" si="85"/>
        <v>53095.830971843679</v>
      </c>
      <c r="AK194">
        <f t="shared" si="86"/>
        <v>1800</v>
      </c>
      <c r="AL194">
        <f t="shared" si="87"/>
        <v>1499.1144012</v>
      </c>
      <c r="AM194">
        <f t="shared" si="88"/>
        <v>0.83284133400000004</v>
      </c>
      <c r="AN194">
        <f t="shared" si="89"/>
        <v>0.15339764453999999</v>
      </c>
      <c r="AO194">
        <v>31.2</v>
      </c>
      <c r="AP194">
        <v>0.5</v>
      </c>
      <c r="AQ194" t="s">
        <v>331</v>
      </c>
      <c r="AR194">
        <v>2</v>
      </c>
      <c r="AS194">
        <v>1690308570</v>
      </c>
      <c r="AT194">
        <v>477.447</v>
      </c>
      <c r="AU194">
        <v>799.971</v>
      </c>
      <c r="AV194">
        <v>20.556899999999999</v>
      </c>
      <c r="AW194">
        <v>0.19708300000000001</v>
      </c>
      <c r="AX194">
        <v>477.27100000000002</v>
      </c>
      <c r="AY194">
        <v>20.3476</v>
      </c>
      <c r="AZ194">
        <v>299.95699999999999</v>
      </c>
      <c r="BA194">
        <v>99.201300000000003</v>
      </c>
      <c r="BB194">
        <v>9.9866999999999997E-2</v>
      </c>
      <c r="BC194">
        <v>24.4068</v>
      </c>
      <c r="BD194">
        <v>26.997299999999999</v>
      </c>
      <c r="BE194">
        <v>26.119800000000001</v>
      </c>
      <c r="BF194">
        <v>0</v>
      </c>
      <c r="BG194">
        <v>0</v>
      </c>
      <c r="BH194">
        <v>10036.200000000001</v>
      </c>
      <c r="BI194">
        <v>1042.4100000000001</v>
      </c>
      <c r="BJ194">
        <v>1.62592</v>
      </c>
      <c r="BK194">
        <v>-322.524</v>
      </c>
      <c r="BL194">
        <v>487.46800000000002</v>
      </c>
      <c r="BM194">
        <v>800.12900000000002</v>
      </c>
      <c r="BN194">
        <v>20.3598</v>
      </c>
      <c r="BO194">
        <v>799.971</v>
      </c>
      <c r="BP194">
        <v>0.19708300000000001</v>
      </c>
      <c r="BQ194">
        <v>2.0392700000000001</v>
      </c>
      <c r="BR194">
        <v>1.95509E-2</v>
      </c>
      <c r="BS194">
        <v>17.752600000000001</v>
      </c>
      <c r="BT194">
        <v>-39.644100000000002</v>
      </c>
      <c r="BU194">
        <v>1800</v>
      </c>
      <c r="BV194">
        <v>0.91000599999999998</v>
      </c>
      <c r="BW194">
        <v>3.3992099999999997E-2</v>
      </c>
      <c r="BX194">
        <v>2.2005199999999999E-2</v>
      </c>
      <c r="BY194">
        <v>3.3996400000000003E-2</v>
      </c>
      <c r="BZ194">
        <v>26</v>
      </c>
      <c r="CA194">
        <v>33528.5</v>
      </c>
      <c r="CB194">
        <v>1690306253.5999999</v>
      </c>
      <c r="CC194" t="s">
        <v>332</v>
      </c>
      <c r="CD194">
        <v>1690306253.5999999</v>
      </c>
      <c r="CE194">
        <v>1690306251.5999999</v>
      </c>
      <c r="CF194">
        <v>9</v>
      </c>
      <c r="CG194">
        <v>0.19</v>
      </c>
      <c r="CH194">
        <v>-8.7999999999999995E-2</v>
      </c>
      <c r="CI194">
        <v>-5.0999999999999997E-2</v>
      </c>
      <c r="CJ194">
        <v>5.0999999999999997E-2</v>
      </c>
      <c r="CK194">
        <v>799</v>
      </c>
      <c r="CL194">
        <v>15</v>
      </c>
      <c r="CM194">
        <v>0.28000000000000003</v>
      </c>
      <c r="CN194">
        <v>0.03</v>
      </c>
      <c r="CO194">
        <v>-322.16760975609759</v>
      </c>
      <c r="CP194">
        <v>-1.9709268292689319</v>
      </c>
      <c r="CQ194">
        <v>0.1980167371650739</v>
      </c>
      <c r="CR194">
        <v>-1</v>
      </c>
      <c r="CS194">
        <v>20.34084146341463</v>
      </c>
      <c r="CT194">
        <v>8.7240418118471524E-2</v>
      </c>
      <c r="CU194">
        <v>8.9962316124182051E-3</v>
      </c>
      <c r="CV194">
        <v>-1</v>
      </c>
      <c r="CW194">
        <v>0</v>
      </c>
      <c r="CX194">
        <v>0</v>
      </c>
      <c r="CY194" t="s">
        <v>333</v>
      </c>
      <c r="CZ194">
        <v>2.3641299999999998</v>
      </c>
      <c r="DA194">
        <v>2.7136900000000002</v>
      </c>
      <c r="DB194">
        <v>0.102271</v>
      </c>
      <c r="DC194">
        <v>0.146175</v>
      </c>
      <c r="DD194">
        <v>0.102071</v>
      </c>
      <c r="DE194">
        <v>1.6576200000000001E-3</v>
      </c>
      <c r="DF194">
        <v>32799.1</v>
      </c>
      <c r="DG194">
        <v>27547.7</v>
      </c>
      <c r="DH194">
        <v>31190.1</v>
      </c>
      <c r="DI194">
        <v>28113.599999999999</v>
      </c>
      <c r="DJ194">
        <v>38027.5</v>
      </c>
      <c r="DK194">
        <v>39924.400000000001</v>
      </c>
      <c r="DL194">
        <v>44391.6</v>
      </c>
      <c r="DM194">
        <v>42616.9</v>
      </c>
      <c r="DN194">
        <v>1.43825</v>
      </c>
      <c r="DO194">
        <v>2.0295999999999998</v>
      </c>
      <c r="DP194">
        <v>0.17996899999999999</v>
      </c>
      <c r="DQ194">
        <v>0.15137300000000001</v>
      </c>
      <c r="DR194">
        <v>24.046900000000001</v>
      </c>
      <c r="DS194">
        <v>23.6357</v>
      </c>
      <c r="DT194">
        <v>24.9</v>
      </c>
      <c r="DU194">
        <v>29.6</v>
      </c>
      <c r="DV194">
        <v>10.4514</v>
      </c>
      <c r="DW194">
        <v>61.4131</v>
      </c>
      <c r="DX194">
        <v>37.4559</v>
      </c>
      <c r="DY194">
        <v>1</v>
      </c>
      <c r="DZ194">
        <v>-0.101657</v>
      </c>
      <c r="EA194">
        <v>1.09598</v>
      </c>
      <c r="EB194">
        <v>20.185700000000001</v>
      </c>
      <c r="EC194">
        <v>5.2411000000000003</v>
      </c>
      <c r="ED194">
        <v>12.039899999999999</v>
      </c>
      <c r="EE194">
        <v>5.0174500000000002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1.86893</v>
      </c>
      <c r="EL194">
        <v>1.8646199999999999</v>
      </c>
      <c r="EM194">
        <v>1.8692</v>
      </c>
      <c r="EN194">
        <v>1.8672599999999999</v>
      </c>
      <c r="EO194">
        <v>1.8633999999999999</v>
      </c>
      <c r="EP194">
        <v>1.8644700000000001</v>
      </c>
      <c r="EQ194">
        <v>1.87015</v>
      </c>
      <c r="ER194">
        <v>1.8694299999999999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0.17599999999999999</v>
      </c>
      <c r="FG194">
        <v>0.20930000000000001</v>
      </c>
      <c r="FH194">
        <v>0.49996858830924029</v>
      </c>
      <c r="FI194">
        <v>-6.1462078757559423E-4</v>
      </c>
      <c r="FJ194">
        <v>-1.8861989874597051E-7</v>
      </c>
      <c r="FK194">
        <v>1.1980462299894961E-10</v>
      </c>
      <c r="FL194">
        <v>-3.8593581000597899E-2</v>
      </c>
      <c r="FM194">
        <v>-1.6848085045870601E-2</v>
      </c>
      <c r="FN194">
        <v>1.9789084769509481E-3</v>
      </c>
      <c r="FO194">
        <v>-2.7142391389806329E-5</v>
      </c>
      <c r="FP194">
        <v>3</v>
      </c>
      <c r="FQ194">
        <v>2158</v>
      </c>
      <c r="FR194">
        <v>1</v>
      </c>
      <c r="FS194">
        <v>19</v>
      </c>
      <c r="FT194">
        <v>38.6</v>
      </c>
      <c r="FU194">
        <v>38.6</v>
      </c>
      <c r="FV194">
        <v>1.7626999999999999</v>
      </c>
      <c r="FW194">
        <v>2.5903299999999998</v>
      </c>
      <c r="FX194">
        <v>1.5490699999999999</v>
      </c>
      <c r="FY194">
        <v>2.3303199999999999</v>
      </c>
      <c r="FZ194">
        <v>1.50146</v>
      </c>
      <c r="GA194">
        <v>2.3718300000000001</v>
      </c>
      <c r="GB194">
        <v>34.054499999999997</v>
      </c>
      <c r="GC194">
        <v>23.982399999999998</v>
      </c>
      <c r="GD194">
        <v>19</v>
      </c>
      <c r="GE194">
        <v>266.60300000000001</v>
      </c>
      <c r="GF194">
        <v>576.53899999999999</v>
      </c>
      <c r="GG194">
        <v>21.7258</v>
      </c>
      <c r="GH194">
        <v>26.068999999999999</v>
      </c>
      <c r="GI194">
        <v>30</v>
      </c>
      <c r="GJ194">
        <v>26.246600000000001</v>
      </c>
      <c r="GK194">
        <v>26.244499999999999</v>
      </c>
      <c r="GL194">
        <v>35.240699999999997</v>
      </c>
      <c r="GM194">
        <v>100</v>
      </c>
      <c r="GN194">
        <v>16.032499999999999</v>
      </c>
      <c r="GO194">
        <v>21.691199999999998</v>
      </c>
      <c r="GP194">
        <v>800</v>
      </c>
      <c r="GQ194">
        <v>0</v>
      </c>
      <c r="GR194">
        <v>99.8018</v>
      </c>
      <c r="GS194">
        <v>99.689700000000002</v>
      </c>
    </row>
    <row r="195" spans="1:201" x14ac:dyDescent="0.25">
      <c r="A195">
        <v>179</v>
      </c>
      <c r="B195">
        <v>1690308580</v>
      </c>
      <c r="C195">
        <v>1961.400000095367</v>
      </c>
      <c r="D195" t="s">
        <v>691</v>
      </c>
      <c r="E195" t="s">
        <v>692</v>
      </c>
      <c r="F195" t="s">
        <v>330</v>
      </c>
      <c r="H195">
        <v>1690308580</v>
      </c>
      <c r="I195">
        <f t="shared" si="60"/>
        <v>2.0000252189580269E-3</v>
      </c>
      <c r="J195">
        <f t="shared" si="61"/>
        <v>2.0000252189580268</v>
      </c>
      <c r="K195">
        <f t="shared" si="62"/>
        <v>30.107194381241257</v>
      </c>
      <c r="L195">
        <f t="shared" si="63"/>
        <v>477.072</v>
      </c>
      <c r="M195">
        <f t="shared" si="64"/>
        <v>146.76182802140085</v>
      </c>
      <c r="N195">
        <f t="shared" si="65"/>
        <v>14.572795845343096</v>
      </c>
      <c r="O195">
        <f t="shared" si="66"/>
        <v>47.371124721312</v>
      </c>
      <c r="P195">
        <f t="shared" si="67"/>
        <v>0.15380867675947177</v>
      </c>
      <c r="Q195">
        <f t="shared" si="68"/>
        <v>2.1947340001150359</v>
      </c>
      <c r="R195">
        <f t="shared" si="69"/>
        <v>0.14806149737014387</v>
      </c>
      <c r="S195">
        <f t="shared" si="70"/>
        <v>9.3036904953303384E-2</v>
      </c>
      <c r="T195">
        <f t="shared" si="71"/>
        <v>276.11506106999997</v>
      </c>
      <c r="U195">
        <f t="shared" si="72"/>
        <v>25.860995920149232</v>
      </c>
      <c r="V195">
        <f t="shared" si="73"/>
        <v>25.860995920149232</v>
      </c>
      <c r="W195">
        <f t="shared" si="74"/>
        <v>3.3466035449376532</v>
      </c>
      <c r="X195">
        <f t="shared" si="75"/>
        <v>66.508338471518883</v>
      </c>
      <c r="Y195">
        <f t="shared" si="76"/>
        <v>2.0417050872974003</v>
      </c>
      <c r="Z195">
        <f t="shared" si="77"/>
        <v>3.0698482840188941</v>
      </c>
      <c r="AA195">
        <f t="shared" si="78"/>
        <v>1.3048984576402529</v>
      </c>
      <c r="AB195">
        <f t="shared" si="79"/>
        <v>-88.201112156048993</v>
      </c>
      <c r="AC195">
        <f t="shared" si="80"/>
        <v>-171.48431566286266</v>
      </c>
      <c r="AD195">
        <f t="shared" si="81"/>
        <v>-16.550116996921531</v>
      </c>
      <c r="AE195">
        <f t="shared" si="82"/>
        <v>-0.1204837458332122</v>
      </c>
      <c r="AF195">
        <v>12</v>
      </c>
      <c r="AG195">
        <v>4</v>
      </c>
      <c r="AH195">
        <f t="shared" si="83"/>
        <v>1</v>
      </c>
      <c r="AI195">
        <f t="shared" si="84"/>
        <v>0</v>
      </c>
      <c r="AJ195">
        <f t="shared" si="85"/>
        <v>52870.185825849258</v>
      </c>
      <c r="AK195">
        <f t="shared" si="86"/>
        <v>1800</v>
      </c>
      <c r="AL195">
        <f t="shared" si="87"/>
        <v>1499.1140790000002</v>
      </c>
      <c r="AM195">
        <f t="shared" si="88"/>
        <v>0.83284115500000011</v>
      </c>
      <c r="AN195">
        <f t="shared" si="89"/>
        <v>0.15339725614999997</v>
      </c>
      <c r="AO195">
        <v>31.2</v>
      </c>
      <c r="AP195">
        <v>0.5</v>
      </c>
      <c r="AQ195" t="s">
        <v>331</v>
      </c>
      <c r="AR195">
        <v>2</v>
      </c>
      <c r="AS195">
        <v>1690308580</v>
      </c>
      <c r="AT195">
        <v>477.072</v>
      </c>
      <c r="AU195">
        <v>800.02499999999998</v>
      </c>
      <c r="AV195">
        <v>20.561900000000001</v>
      </c>
      <c r="AW195">
        <v>0.19469400000000001</v>
      </c>
      <c r="AX195">
        <v>476.89499999999998</v>
      </c>
      <c r="AY195">
        <v>20.352499999999999</v>
      </c>
      <c r="AZ195">
        <v>300.07900000000001</v>
      </c>
      <c r="BA195">
        <v>99.195499999999996</v>
      </c>
      <c r="BB195">
        <v>0.100046</v>
      </c>
      <c r="BC195">
        <v>24.4117</v>
      </c>
      <c r="BD195">
        <v>27.007999999999999</v>
      </c>
      <c r="BE195">
        <v>26.134899999999998</v>
      </c>
      <c r="BF195">
        <v>0</v>
      </c>
      <c r="BG195">
        <v>0</v>
      </c>
      <c r="BH195">
        <v>9992.5</v>
      </c>
      <c r="BI195">
        <v>1042.3900000000001</v>
      </c>
      <c r="BJ195">
        <v>1.62592</v>
      </c>
      <c r="BK195">
        <v>-322.95299999999997</v>
      </c>
      <c r="BL195">
        <v>487.08699999999999</v>
      </c>
      <c r="BM195">
        <v>800.18100000000004</v>
      </c>
      <c r="BN195">
        <v>20.3672</v>
      </c>
      <c r="BO195">
        <v>800.02499999999998</v>
      </c>
      <c r="BP195">
        <v>0.19469400000000001</v>
      </c>
      <c r="BQ195">
        <v>2.0396399999999999</v>
      </c>
      <c r="BR195">
        <v>1.9312699999999999E-2</v>
      </c>
      <c r="BS195">
        <v>17.755500000000001</v>
      </c>
      <c r="BT195">
        <v>-39.761800000000001</v>
      </c>
      <c r="BU195">
        <v>1800</v>
      </c>
      <c r="BV195">
        <v>0.91001100000000001</v>
      </c>
      <c r="BW195">
        <v>3.39922E-2</v>
      </c>
      <c r="BX195">
        <v>2.1999999999999999E-2</v>
      </c>
      <c r="BY195">
        <v>3.3996499999999999E-2</v>
      </c>
      <c r="BZ195">
        <v>26</v>
      </c>
      <c r="CA195">
        <v>33528.5</v>
      </c>
      <c r="CB195">
        <v>1690306253.5999999</v>
      </c>
      <c r="CC195" t="s">
        <v>332</v>
      </c>
      <c r="CD195">
        <v>1690306253.5999999</v>
      </c>
      <c r="CE195">
        <v>1690306251.5999999</v>
      </c>
      <c r="CF195">
        <v>9</v>
      </c>
      <c r="CG195">
        <v>0.19</v>
      </c>
      <c r="CH195">
        <v>-8.7999999999999995E-2</v>
      </c>
      <c r="CI195">
        <v>-5.0999999999999997E-2</v>
      </c>
      <c r="CJ195">
        <v>5.0999999999999997E-2</v>
      </c>
      <c r="CK195">
        <v>799</v>
      </c>
      <c r="CL195">
        <v>15</v>
      </c>
      <c r="CM195">
        <v>0.28000000000000003</v>
      </c>
      <c r="CN195">
        <v>0.03</v>
      </c>
      <c r="CO195">
        <v>-322.51956097560969</v>
      </c>
      <c r="CP195">
        <v>-2.1991777003491131</v>
      </c>
      <c r="CQ195">
        <v>0.22362469089869511</v>
      </c>
      <c r="CR195">
        <v>-1</v>
      </c>
      <c r="CS195">
        <v>20.355695121951221</v>
      </c>
      <c r="CT195">
        <v>8.9489895470375266E-2</v>
      </c>
      <c r="CU195">
        <v>9.0040898896680682E-3</v>
      </c>
      <c r="CV195">
        <v>-1</v>
      </c>
      <c r="CW195">
        <v>0</v>
      </c>
      <c r="CX195">
        <v>0</v>
      </c>
      <c r="CY195" t="s">
        <v>333</v>
      </c>
      <c r="CZ195">
        <v>2.3645100000000001</v>
      </c>
      <c r="DA195">
        <v>2.7138300000000002</v>
      </c>
      <c r="DB195">
        <v>0.10220700000000001</v>
      </c>
      <c r="DC195">
        <v>0.146175</v>
      </c>
      <c r="DD195">
        <v>0.10208299999999999</v>
      </c>
      <c r="DE195">
        <v>1.63769E-3</v>
      </c>
      <c r="DF195">
        <v>32801.599999999999</v>
      </c>
      <c r="DG195">
        <v>27548</v>
      </c>
      <c r="DH195">
        <v>31190.2</v>
      </c>
      <c r="DI195">
        <v>28113.8</v>
      </c>
      <c r="DJ195">
        <v>38027</v>
      </c>
      <c r="DK195">
        <v>39925.4</v>
      </c>
      <c r="DL195">
        <v>44391.7</v>
      </c>
      <c r="DM195">
        <v>42617.1</v>
      </c>
      <c r="DN195">
        <v>1.4388700000000001</v>
      </c>
      <c r="DO195">
        <v>2.02962</v>
      </c>
      <c r="DP195">
        <v>0.18054200000000001</v>
      </c>
      <c r="DQ195">
        <v>0.152171</v>
      </c>
      <c r="DR195">
        <v>24.048200000000001</v>
      </c>
      <c r="DS195">
        <v>23.637699999999999</v>
      </c>
      <c r="DT195">
        <v>24.7</v>
      </c>
      <c r="DU195">
        <v>29.6</v>
      </c>
      <c r="DV195">
        <v>10.367000000000001</v>
      </c>
      <c r="DW195">
        <v>61.823099999999997</v>
      </c>
      <c r="DX195">
        <v>37.355800000000002</v>
      </c>
      <c r="DY195">
        <v>1</v>
      </c>
      <c r="DZ195">
        <v>-0.10155500000000001</v>
      </c>
      <c r="EA195">
        <v>1.1207100000000001</v>
      </c>
      <c r="EB195">
        <v>20.185300000000002</v>
      </c>
      <c r="EC195">
        <v>5.2411000000000003</v>
      </c>
      <c r="ED195">
        <v>12.039899999999999</v>
      </c>
      <c r="EE195">
        <v>5.0174500000000002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1.8689100000000001</v>
      </c>
      <c r="EL195">
        <v>1.8646199999999999</v>
      </c>
      <c r="EM195">
        <v>1.8692</v>
      </c>
      <c r="EN195">
        <v>1.8672299999999999</v>
      </c>
      <c r="EO195">
        <v>1.8633900000000001</v>
      </c>
      <c r="EP195">
        <v>1.8644799999999999</v>
      </c>
      <c r="EQ195">
        <v>1.87018</v>
      </c>
      <c r="ER195">
        <v>1.8694299999999999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0.17699999999999999</v>
      </c>
      <c r="FG195">
        <v>0.2094</v>
      </c>
      <c r="FH195">
        <v>0.49996858830924029</v>
      </c>
      <c r="FI195">
        <v>-6.1462078757559423E-4</v>
      </c>
      <c r="FJ195">
        <v>-1.8861989874597051E-7</v>
      </c>
      <c r="FK195">
        <v>1.1980462299894961E-10</v>
      </c>
      <c r="FL195">
        <v>-3.8593581000597899E-2</v>
      </c>
      <c r="FM195">
        <v>-1.6848085045870601E-2</v>
      </c>
      <c r="FN195">
        <v>1.9789084769509481E-3</v>
      </c>
      <c r="FO195">
        <v>-2.7142391389806329E-5</v>
      </c>
      <c r="FP195">
        <v>3</v>
      </c>
      <c r="FQ195">
        <v>2158</v>
      </c>
      <c r="FR195">
        <v>1</v>
      </c>
      <c r="FS195">
        <v>19</v>
      </c>
      <c r="FT195">
        <v>38.799999999999997</v>
      </c>
      <c r="FU195">
        <v>38.799999999999997</v>
      </c>
      <c r="FV195">
        <v>1.7626999999999999</v>
      </c>
      <c r="FW195">
        <v>2.5891099999999998</v>
      </c>
      <c r="FX195">
        <v>1.5490699999999999</v>
      </c>
      <c r="FY195">
        <v>2.3303199999999999</v>
      </c>
      <c r="FZ195">
        <v>1.50146</v>
      </c>
      <c r="GA195">
        <v>2.3779300000000001</v>
      </c>
      <c r="GB195">
        <v>34.054499999999997</v>
      </c>
      <c r="GC195">
        <v>23.982399999999998</v>
      </c>
      <c r="GD195">
        <v>19</v>
      </c>
      <c r="GE195">
        <v>266.84899999999999</v>
      </c>
      <c r="GF195">
        <v>576.53499999999997</v>
      </c>
      <c r="GG195">
        <v>21.690300000000001</v>
      </c>
      <c r="GH195">
        <v>26.067799999999998</v>
      </c>
      <c r="GI195">
        <v>30.0001</v>
      </c>
      <c r="GJ195">
        <v>26.244399999999999</v>
      </c>
      <c r="GK195">
        <v>26.2424</v>
      </c>
      <c r="GL195">
        <v>35.240200000000002</v>
      </c>
      <c r="GM195">
        <v>100</v>
      </c>
      <c r="GN195">
        <v>15.2522</v>
      </c>
      <c r="GO195">
        <v>21.689499999999999</v>
      </c>
      <c r="GP195">
        <v>800</v>
      </c>
      <c r="GQ195">
        <v>0</v>
      </c>
      <c r="GR195">
        <v>99.802000000000007</v>
      </c>
      <c r="GS195">
        <v>99.690399999999997</v>
      </c>
    </row>
    <row r="196" spans="1:201" x14ac:dyDescent="0.25">
      <c r="A196">
        <v>180</v>
      </c>
      <c r="B196">
        <v>1690308590</v>
      </c>
      <c r="C196">
        <v>1971.400000095367</v>
      </c>
      <c r="D196" t="s">
        <v>693</v>
      </c>
      <c r="E196" t="s">
        <v>694</v>
      </c>
      <c r="F196" t="s">
        <v>330</v>
      </c>
      <c r="H196">
        <v>1690308590</v>
      </c>
      <c r="I196">
        <f t="shared" si="60"/>
        <v>2.0004843446072666E-3</v>
      </c>
      <c r="J196">
        <f t="shared" si="61"/>
        <v>2.0004843446072664</v>
      </c>
      <c r="K196">
        <f t="shared" si="62"/>
        <v>30.141363290569107</v>
      </c>
      <c r="L196">
        <f t="shared" si="63"/>
        <v>476.63299999999998</v>
      </c>
      <c r="M196">
        <f t="shared" si="64"/>
        <v>146.3592591829487</v>
      </c>
      <c r="N196">
        <f t="shared" si="65"/>
        <v>14.534230089721968</v>
      </c>
      <c r="O196">
        <f t="shared" si="66"/>
        <v>47.332117756179002</v>
      </c>
      <c r="P196">
        <f t="shared" si="67"/>
        <v>0.15399992361472065</v>
      </c>
      <c r="Q196">
        <f t="shared" si="68"/>
        <v>2.1944691451733469</v>
      </c>
      <c r="R196">
        <f t="shared" si="69"/>
        <v>0.14823806375425513</v>
      </c>
      <c r="S196">
        <f t="shared" si="70"/>
        <v>9.3148508704069224E-2</v>
      </c>
      <c r="T196">
        <f t="shared" si="71"/>
        <v>276.11509681799998</v>
      </c>
      <c r="U196">
        <f t="shared" si="72"/>
        <v>25.859801176609274</v>
      </c>
      <c r="V196">
        <f t="shared" si="73"/>
        <v>25.859801176609274</v>
      </c>
      <c r="W196">
        <f t="shared" si="74"/>
        <v>3.3463667111626472</v>
      </c>
      <c r="X196">
        <f t="shared" si="75"/>
        <v>66.542205548754637</v>
      </c>
      <c r="Y196">
        <f t="shared" si="76"/>
        <v>2.0425979672307002</v>
      </c>
      <c r="Z196">
        <f t="shared" si="77"/>
        <v>3.0696276902545923</v>
      </c>
      <c r="AA196">
        <f t="shared" si="78"/>
        <v>1.303768743931947</v>
      </c>
      <c r="AB196">
        <f t="shared" si="79"/>
        <v>-88.221359597180452</v>
      </c>
      <c r="AC196">
        <f t="shared" si="80"/>
        <v>-171.46424325231033</v>
      </c>
      <c r="AD196">
        <f t="shared" si="81"/>
        <v>-16.54997761904373</v>
      </c>
      <c r="AE196">
        <f t="shared" si="82"/>
        <v>-0.12048365053450993</v>
      </c>
      <c r="AF196">
        <v>12</v>
      </c>
      <c r="AG196">
        <v>4</v>
      </c>
      <c r="AH196">
        <f t="shared" si="83"/>
        <v>1</v>
      </c>
      <c r="AI196">
        <f t="shared" si="84"/>
        <v>0</v>
      </c>
      <c r="AJ196">
        <f t="shared" si="85"/>
        <v>52859.677413009187</v>
      </c>
      <c r="AK196">
        <f t="shared" si="86"/>
        <v>1800</v>
      </c>
      <c r="AL196">
        <f t="shared" si="87"/>
        <v>1499.1137117999997</v>
      </c>
      <c r="AM196">
        <f t="shared" si="88"/>
        <v>0.83284095099999988</v>
      </c>
      <c r="AN196">
        <f t="shared" si="89"/>
        <v>0.15339727601</v>
      </c>
      <c r="AO196">
        <v>31.2</v>
      </c>
      <c r="AP196">
        <v>0.5</v>
      </c>
      <c r="AQ196" t="s">
        <v>331</v>
      </c>
      <c r="AR196">
        <v>2</v>
      </c>
      <c r="AS196">
        <v>1690308590</v>
      </c>
      <c r="AT196">
        <v>476.63299999999998</v>
      </c>
      <c r="AU196">
        <v>800.01199999999994</v>
      </c>
      <c r="AV196">
        <v>20.568899999999999</v>
      </c>
      <c r="AW196">
        <v>0.192275</v>
      </c>
      <c r="AX196">
        <v>476.45600000000002</v>
      </c>
      <c r="AY196">
        <v>20.359300000000001</v>
      </c>
      <c r="AZ196">
        <v>300.00700000000001</v>
      </c>
      <c r="BA196">
        <v>99.205100000000002</v>
      </c>
      <c r="BB196">
        <v>0.100063</v>
      </c>
      <c r="BC196">
        <v>24.410499999999999</v>
      </c>
      <c r="BD196">
        <v>27.021100000000001</v>
      </c>
      <c r="BE196">
        <v>26.125</v>
      </c>
      <c r="BF196">
        <v>0</v>
      </c>
      <c r="BG196">
        <v>0</v>
      </c>
      <c r="BH196">
        <v>9989.3799999999992</v>
      </c>
      <c r="BI196">
        <v>1042.33</v>
      </c>
      <c r="BJ196">
        <v>1.62592</v>
      </c>
      <c r="BK196">
        <v>-323.37799999999999</v>
      </c>
      <c r="BL196">
        <v>486.64299999999997</v>
      </c>
      <c r="BM196">
        <v>800.16600000000005</v>
      </c>
      <c r="BN196">
        <v>20.3766</v>
      </c>
      <c r="BO196">
        <v>800.01199999999994</v>
      </c>
      <c r="BP196">
        <v>0.192275</v>
      </c>
      <c r="BQ196">
        <v>2.04054</v>
      </c>
      <c r="BR196">
        <v>1.90747E-2</v>
      </c>
      <c r="BS196">
        <v>17.762499999999999</v>
      </c>
      <c r="BT196">
        <v>-39.880800000000001</v>
      </c>
      <c r="BU196">
        <v>1800</v>
      </c>
      <c r="BV196">
        <v>0.91000800000000004</v>
      </c>
      <c r="BW196">
        <v>3.3991899999999999E-2</v>
      </c>
      <c r="BX196">
        <v>2.19998E-2</v>
      </c>
      <c r="BY196">
        <v>3.4000099999999998E-2</v>
      </c>
      <c r="BZ196">
        <v>26</v>
      </c>
      <c r="CA196">
        <v>33528.400000000001</v>
      </c>
      <c r="CB196">
        <v>1690306253.5999999</v>
      </c>
      <c r="CC196" t="s">
        <v>332</v>
      </c>
      <c r="CD196">
        <v>1690306253.5999999</v>
      </c>
      <c r="CE196">
        <v>1690306251.5999999</v>
      </c>
      <c r="CF196">
        <v>9</v>
      </c>
      <c r="CG196">
        <v>0.19</v>
      </c>
      <c r="CH196">
        <v>-8.7999999999999995E-2</v>
      </c>
      <c r="CI196">
        <v>-5.0999999999999997E-2</v>
      </c>
      <c r="CJ196">
        <v>5.0999999999999997E-2</v>
      </c>
      <c r="CK196">
        <v>799</v>
      </c>
      <c r="CL196">
        <v>15</v>
      </c>
      <c r="CM196">
        <v>0.28000000000000003</v>
      </c>
      <c r="CN196">
        <v>0.03</v>
      </c>
      <c r="CO196">
        <v>-322.92765000000003</v>
      </c>
      <c r="CP196">
        <v>-2.5245253283298341</v>
      </c>
      <c r="CQ196">
        <v>0.24686317566619659</v>
      </c>
      <c r="CR196">
        <v>-1</v>
      </c>
      <c r="CS196">
        <v>20.3669525</v>
      </c>
      <c r="CT196">
        <v>4.0528705440853012E-2</v>
      </c>
      <c r="CU196">
        <v>3.9988740602824851E-3</v>
      </c>
      <c r="CV196">
        <v>-1</v>
      </c>
      <c r="CW196">
        <v>0</v>
      </c>
      <c r="CX196">
        <v>0</v>
      </c>
      <c r="CY196" t="s">
        <v>333</v>
      </c>
      <c r="CZ196">
        <v>2.36429</v>
      </c>
      <c r="DA196">
        <v>2.7138399999999998</v>
      </c>
      <c r="DB196">
        <v>0.102147</v>
      </c>
      <c r="DC196">
        <v>0.14618700000000001</v>
      </c>
      <c r="DD196">
        <v>0.102117</v>
      </c>
      <c r="DE196">
        <v>1.6177400000000001E-3</v>
      </c>
      <c r="DF196">
        <v>32803.800000000003</v>
      </c>
      <c r="DG196">
        <v>27547.4</v>
      </c>
      <c r="DH196">
        <v>31190.3</v>
      </c>
      <c r="DI196">
        <v>28113.599999999999</v>
      </c>
      <c r="DJ196">
        <v>38025.599999999999</v>
      </c>
      <c r="DK196">
        <v>39925.9</v>
      </c>
      <c r="DL196">
        <v>44391.7</v>
      </c>
      <c r="DM196">
        <v>42616.800000000003</v>
      </c>
      <c r="DN196">
        <v>1.4390499999999999</v>
      </c>
      <c r="DO196">
        <v>2.0297000000000001</v>
      </c>
      <c r="DP196">
        <v>0.18130199999999999</v>
      </c>
      <c r="DQ196">
        <v>0.151448</v>
      </c>
      <c r="DR196">
        <v>24.048999999999999</v>
      </c>
      <c r="DS196">
        <v>23.639600000000002</v>
      </c>
      <c r="DT196">
        <v>24.5</v>
      </c>
      <c r="DU196">
        <v>29.6</v>
      </c>
      <c r="DV196">
        <v>10.2837</v>
      </c>
      <c r="DW196">
        <v>61.573099999999997</v>
      </c>
      <c r="DX196">
        <v>37.355800000000002</v>
      </c>
      <c r="DY196">
        <v>1</v>
      </c>
      <c r="DZ196">
        <v>-0.101728</v>
      </c>
      <c r="EA196">
        <v>1.1594199999999999</v>
      </c>
      <c r="EB196">
        <v>20.184999999999999</v>
      </c>
      <c r="EC196">
        <v>5.2408000000000001</v>
      </c>
      <c r="ED196">
        <v>12.039899999999999</v>
      </c>
      <c r="EE196">
        <v>5.0172999999999996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1.86893</v>
      </c>
      <c r="EL196">
        <v>1.8646199999999999</v>
      </c>
      <c r="EM196">
        <v>1.8692</v>
      </c>
      <c r="EN196">
        <v>1.8672299999999999</v>
      </c>
      <c r="EO196">
        <v>1.8633999999999999</v>
      </c>
      <c r="EP196">
        <v>1.8644799999999999</v>
      </c>
      <c r="EQ196">
        <v>1.87018</v>
      </c>
      <c r="ER196">
        <v>1.8694299999999999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0.17699999999999999</v>
      </c>
      <c r="FG196">
        <v>0.20960000000000001</v>
      </c>
      <c r="FH196">
        <v>0.49996858830924029</v>
      </c>
      <c r="FI196">
        <v>-6.1462078757559423E-4</v>
      </c>
      <c r="FJ196">
        <v>-1.8861989874597051E-7</v>
      </c>
      <c r="FK196">
        <v>1.1980462299894961E-10</v>
      </c>
      <c r="FL196">
        <v>-3.8593581000597899E-2</v>
      </c>
      <c r="FM196">
        <v>-1.6848085045870601E-2</v>
      </c>
      <c r="FN196">
        <v>1.9789084769509481E-3</v>
      </c>
      <c r="FO196">
        <v>-2.7142391389806329E-5</v>
      </c>
      <c r="FP196">
        <v>3</v>
      </c>
      <c r="FQ196">
        <v>2158</v>
      </c>
      <c r="FR196">
        <v>1</v>
      </c>
      <c r="FS196">
        <v>19</v>
      </c>
      <c r="FT196">
        <v>38.9</v>
      </c>
      <c r="FU196">
        <v>39</v>
      </c>
      <c r="FV196">
        <v>1.7626999999999999</v>
      </c>
      <c r="FW196">
        <v>2.5903299999999998</v>
      </c>
      <c r="FX196">
        <v>1.5490699999999999</v>
      </c>
      <c r="FY196">
        <v>2.3303199999999999</v>
      </c>
      <c r="FZ196">
        <v>1.50146</v>
      </c>
      <c r="GA196">
        <v>2.3742700000000001</v>
      </c>
      <c r="GB196">
        <v>34.054499999999997</v>
      </c>
      <c r="GC196">
        <v>23.982399999999998</v>
      </c>
      <c r="GD196">
        <v>19</v>
      </c>
      <c r="GE196">
        <v>266.911</v>
      </c>
      <c r="GF196">
        <v>576.572</v>
      </c>
      <c r="GG196">
        <v>21.6768</v>
      </c>
      <c r="GH196">
        <v>26.0656</v>
      </c>
      <c r="GI196">
        <v>30</v>
      </c>
      <c r="GJ196">
        <v>26.2423</v>
      </c>
      <c r="GK196">
        <v>26.240200000000002</v>
      </c>
      <c r="GL196">
        <v>35.240299999999998</v>
      </c>
      <c r="GM196">
        <v>100</v>
      </c>
      <c r="GN196">
        <v>14.8642</v>
      </c>
      <c r="GO196">
        <v>21.666799999999999</v>
      </c>
      <c r="GP196">
        <v>800</v>
      </c>
      <c r="GQ196">
        <v>0</v>
      </c>
      <c r="GR196">
        <v>99.802199999999999</v>
      </c>
      <c r="GS196">
        <v>99.689700000000002</v>
      </c>
    </row>
    <row r="197" spans="1:201" x14ac:dyDescent="0.25">
      <c r="A197">
        <v>181</v>
      </c>
      <c r="B197">
        <v>1690308600</v>
      </c>
      <c r="C197">
        <v>1981.400000095367</v>
      </c>
      <c r="D197" t="s">
        <v>695</v>
      </c>
      <c r="E197" t="s">
        <v>696</v>
      </c>
      <c r="F197" t="s">
        <v>330</v>
      </c>
      <c r="H197">
        <v>1690308600</v>
      </c>
      <c r="I197">
        <f t="shared" si="60"/>
        <v>2.0015672956986861E-3</v>
      </c>
      <c r="J197">
        <f t="shared" si="61"/>
        <v>2.0015672956986861</v>
      </c>
      <c r="K197">
        <f t="shared" si="62"/>
        <v>30.184121280407531</v>
      </c>
      <c r="L197">
        <f t="shared" si="63"/>
        <v>476.255</v>
      </c>
      <c r="M197">
        <f t="shared" si="64"/>
        <v>145.72806903006176</v>
      </c>
      <c r="N197">
        <f t="shared" si="65"/>
        <v>14.470573052050929</v>
      </c>
      <c r="O197">
        <f t="shared" si="66"/>
        <v>47.2913887816825</v>
      </c>
      <c r="P197">
        <f t="shared" si="67"/>
        <v>0.15409016633044337</v>
      </c>
      <c r="Q197">
        <f t="shared" si="68"/>
        <v>2.1967745089767643</v>
      </c>
      <c r="R197">
        <f t="shared" si="69"/>
        <v>0.14832749782155441</v>
      </c>
      <c r="S197">
        <f t="shared" si="70"/>
        <v>9.3204483140691075E-2</v>
      </c>
      <c r="T197">
        <f t="shared" si="71"/>
        <v>276.115888998</v>
      </c>
      <c r="U197">
        <f t="shared" si="72"/>
        <v>25.863644035160341</v>
      </c>
      <c r="V197">
        <f t="shared" si="73"/>
        <v>25.863644035160341</v>
      </c>
      <c r="W197">
        <f t="shared" si="74"/>
        <v>3.3471285324397861</v>
      </c>
      <c r="X197">
        <f t="shared" si="75"/>
        <v>66.550653948220656</v>
      </c>
      <c r="Y197">
        <f t="shared" si="76"/>
        <v>2.0435424779777001</v>
      </c>
      <c r="Z197">
        <f t="shared" si="77"/>
        <v>3.0706572463850859</v>
      </c>
      <c r="AA197">
        <f t="shared" si="78"/>
        <v>1.3035860544620861</v>
      </c>
      <c r="AB197">
        <f t="shared" si="79"/>
        <v>-88.269117740312055</v>
      </c>
      <c r="AC197">
        <f t="shared" si="80"/>
        <v>-171.43626955166513</v>
      </c>
      <c r="AD197">
        <f t="shared" si="81"/>
        <v>-16.530697429348844</v>
      </c>
      <c r="AE197">
        <f t="shared" si="82"/>
        <v>-0.12019572332602024</v>
      </c>
      <c r="AF197">
        <v>12</v>
      </c>
      <c r="AG197">
        <v>4</v>
      </c>
      <c r="AH197">
        <f t="shared" si="83"/>
        <v>1</v>
      </c>
      <c r="AI197">
        <f t="shared" si="84"/>
        <v>0</v>
      </c>
      <c r="AJ197">
        <f t="shared" si="85"/>
        <v>52953.717879707336</v>
      </c>
      <c r="AK197">
        <f t="shared" si="86"/>
        <v>1800</v>
      </c>
      <c r="AL197">
        <f t="shared" si="87"/>
        <v>1499.1139277999998</v>
      </c>
      <c r="AM197">
        <f t="shared" si="88"/>
        <v>0.83284107099999993</v>
      </c>
      <c r="AN197">
        <f t="shared" si="89"/>
        <v>0.15339771611</v>
      </c>
      <c r="AO197">
        <v>31.2</v>
      </c>
      <c r="AP197">
        <v>0.5</v>
      </c>
      <c r="AQ197" t="s">
        <v>331</v>
      </c>
      <c r="AR197">
        <v>2</v>
      </c>
      <c r="AS197">
        <v>1690308600</v>
      </c>
      <c r="AT197">
        <v>476.255</v>
      </c>
      <c r="AU197">
        <v>800.101</v>
      </c>
      <c r="AV197">
        <v>20.579799999999999</v>
      </c>
      <c r="AW197">
        <v>0.19080800000000001</v>
      </c>
      <c r="AX197">
        <v>476.07799999999997</v>
      </c>
      <c r="AY197">
        <v>20.369900000000001</v>
      </c>
      <c r="AZ197">
        <v>299.98399999999998</v>
      </c>
      <c r="BA197">
        <v>99.198499999999996</v>
      </c>
      <c r="BB197">
        <v>9.9961499999999995E-2</v>
      </c>
      <c r="BC197">
        <v>24.4161</v>
      </c>
      <c r="BD197">
        <v>27.035</v>
      </c>
      <c r="BE197">
        <v>26.121400000000001</v>
      </c>
      <c r="BF197">
        <v>0</v>
      </c>
      <c r="BG197">
        <v>0</v>
      </c>
      <c r="BH197">
        <v>10008.799999999999</v>
      </c>
      <c r="BI197">
        <v>1042.3800000000001</v>
      </c>
      <c r="BJ197">
        <v>1.62592</v>
      </c>
      <c r="BK197">
        <v>-323.846</v>
      </c>
      <c r="BL197">
        <v>486.26299999999998</v>
      </c>
      <c r="BM197">
        <v>800.25400000000002</v>
      </c>
      <c r="BN197">
        <v>20.388999999999999</v>
      </c>
      <c r="BO197">
        <v>800.101</v>
      </c>
      <c r="BP197">
        <v>0.19080800000000001</v>
      </c>
      <c r="BQ197">
        <v>2.04148</v>
      </c>
      <c r="BR197">
        <v>1.8927900000000001E-2</v>
      </c>
      <c r="BS197">
        <v>17.7698</v>
      </c>
      <c r="BT197">
        <v>-39.954799999999999</v>
      </c>
      <c r="BU197">
        <v>1800</v>
      </c>
      <c r="BV197">
        <v>0.91</v>
      </c>
      <c r="BW197">
        <v>3.3991599999999997E-2</v>
      </c>
      <c r="BX197">
        <v>2.2004800000000001E-2</v>
      </c>
      <c r="BY197">
        <v>3.4003699999999998E-2</v>
      </c>
      <c r="BZ197">
        <v>26</v>
      </c>
      <c r="CA197">
        <v>33528.300000000003</v>
      </c>
      <c r="CB197">
        <v>1690306253.5999999</v>
      </c>
      <c r="CC197" t="s">
        <v>332</v>
      </c>
      <c r="CD197">
        <v>1690306253.5999999</v>
      </c>
      <c r="CE197">
        <v>1690306251.5999999</v>
      </c>
      <c r="CF197">
        <v>9</v>
      </c>
      <c r="CG197">
        <v>0.19</v>
      </c>
      <c r="CH197">
        <v>-8.7999999999999995E-2</v>
      </c>
      <c r="CI197">
        <v>-5.0999999999999997E-2</v>
      </c>
      <c r="CJ197">
        <v>5.0999999999999997E-2</v>
      </c>
      <c r="CK197">
        <v>799</v>
      </c>
      <c r="CL197">
        <v>15</v>
      </c>
      <c r="CM197">
        <v>0.28000000000000003</v>
      </c>
      <c r="CN197">
        <v>0.03</v>
      </c>
      <c r="CO197">
        <v>-323.32830000000001</v>
      </c>
      <c r="CP197">
        <v>-2.5335984990613669</v>
      </c>
      <c r="CQ197">
        <v>0.24700639667830879</v>
      </c>
      <c r="CR197">
        <v>-1</v>
      </c>
      <c r="CS197">
        <v>20.375374999999998</v>
      </c>
      <c r="CT197">
        <v>6.0956848029998602E-2</v>
      </c>
      <c r="CU197">
        <v>5.9546935269585528E-3</v>
      </c>
      <c r="CV197">
        <v>-1</v>
      </c>
      <c r="CW197">
        <v>0</v>
      </c>
      <c r="CX197">
        <v>0</v>
      </c>
      <c r="CY197" t="s">
        <v>333</v>
      </c>
      <c r="CZ197">
        <v>2.3641899999999998</v>
      </c>
      <c r="DA197">
        <v>2.7137600000000002</v>
      </c>
      <c r="DB197">
        <v>0.10208100000000001</v>
      </c>
      <c r="DC197">
        <v>0.14618900000000001</v>
      </c>
      <c r="DD197">
        <v>0.102149</v>
      </c>
      <c r="DE197">
        <v>1.60546E-3</v>
      </c>
      <c r="DF197">
        <v>32805.9</v>
      </c>
      <c r="DG197">
        <v>27547.9</v>
      </c>
      <c r="DH197">
        <v>31190</v>
      </c>
      <c r="DI197">
        <v>28114.3</v>
      </c>
      <c r="DJ197">
        <v>38023.800000000003</v>
      </c>
      <c r="DK197">
        <v>39927.4</v>
      </c>
      <c r="DL197">
        <v>44391.3</v>
      </c>
      <c r="DM197">
        <v>42617.9</v>
      </c>
      <c r="DN197">
        <v>1.4383300000000001</v>
      </c>
      <c r="DO197">
        <v>2.0295299999999998</v>
      </c>
      <c r="DP197">
        <v>0.18207000000000001</v>
      </c>
      <c r="DQ197">
        <v>0.151083</v>
      </c>
      <c r="DR197">
        <v>24.0502</v>
      </c>
      <c r="DS197">
        <v>23.641999999999999</v>
      </c>
      <c r="DT197">
        <v>24.3</v>
      </c>
      <c r="DU197">
        <v>29.6</v>
      </c>
      <c r="DV197">
        <v>10.198499999999999</v>
      </c>
      <c r="DW197">
        <v>61.623100000000001</v>
      </c>
      <c r="DX197">
        <v>37.479999999999997</v>
      </c>
      <c r="DY197">
        <v>1</v>
      </c>
      <c r="DZ197">
        <v>-0.10185</v>
      </c>
      <c r="EA197">
        <v>1.1575299999999999</v>
      </c>
      <c r="EB197">
        <v>20.184999999999999</v>
      </c>
      <c r="EC197">
        <v>5.2408000000000001</v>
      </c>
      <c r="ED197">
        <v>12.039899999999999</v>
      </c>
      <c r="EE197">
        <v>5.0173500000000004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1.8689199999999999</v>
      </c>
      <c r="EL197">
        <v>1.8646199999999999</v>
      </c>
      <c r="EM197">
        <v>1.8692</v>
      </c>
      <c r="EN197">
        <v>1.86724</v>
      </c>
      <c r="EO197">
        <v>1.8633900000000001</v>
      </c>
      <c r="EP197">
        <v>1.8644700000000001</v>
      </c>
      <c r="EQ197">
        <v>1.87018</v>
      </c>
      <c r="ER197">
        <v>1.8694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0.17699999999999999</v>
      </c>
      <c r="FG197">
        <v>0.2099</v>
      </c>
      <c r="FH197">
        <v>0.49996858830924029</v>
      </c>
      <c r="FI197">
        <v>-6.1462078757559423E-4</v>
      </c>
      <c r="FJ197">
        <v>-1.8861989874597051E-7</v>
      </c>
      <c r="FK197">
        <v>1.1980462299894961E-10</v>
      </c>
      <c r="FL197">
        <v>-3.8593581000597899E-2</v>
      </c>
      <c r="FM197">
        <v>-1.6848085045870601E-2</v>
      </c>
      <c r="FN197">
        <v>1.9789084769509481E-3</v>
      </c>
      <c r="FO197">
        <v>-2.7142391389806329E-5</v>
      </c>
      <c r="FP197">
        <v>3</v>
      </c>
      <c r="FQ197">
        <v>2158</v>
      </c>
      <c r="FR197">
        <v>1</v>
      </c>
      <c r="FS197">
        <v>19</v>
      </c>
      <c r="FT197">
        <v>39.1</v>
      </c>
      <c r="FU197">
        <v>39.1</v>
      </c>
      <c r="FV197">
        <v>1.7626999999999999</v>
      </c>
      <c r="FW197">
        <v>2.5939899999999998</v>
      </c>
      <c r="FX197">
        <v>1.5490699999999999</v>
      </c>
      <c r="FY197">
        <v>2.3303199999999999</v>
      </c>
      <c r="FZ197">
        <v>1.50146</v>
      </c>
      <c r="GA197">
        <v>2.3840300000000001</v>
      </c>
      <c r="GB197">
        <v>34.054499999999997</v>
      </c>
      <c r="GC197">
        <v>23.982399999999998</v>
      </c>
      <c r="GD197">
        <v>19</v>
      </c>
      <c r="GE197">
        <v>266.60599999999999</v>
      </c>
      <c r="GF197">
        <v>576.404</v>
      </c>
      <c r="GG197">
        <v>21.649899999999999</v>
      </c>
      <c r="GH197">
        <v>26.063400000000001</v>
      </c>
      <c r="GI197">
        <v>29.9999</v>
      </c>
      <c r="GJ197">
        <v>26.24</v>
      </c>
      <c r="GK197">
        <v>26.238</v>
      </c>
      <c r="GL197">
        <v>35.233199999999997</v>
      </c>
      <c r="GM197">
        <v>100</v>
      </c>
      <c r="GN197">
        <v>14.4818</v>
      </c>
      <c r="GO197">
        <v>21.651800000000001</v>
      </c>
      <c r="GP197">
        <v>800</v>
      </c>
      <c r="GQ197">
        <v>0</v>
      </c>
      <c r="GR197">
        <v>99.801199999999994</v>
      </c>
      <c r="GS197">
        <v>99.692099999999996</v>
      </c>
    </row>
    <row r="198" spans="1:201" x14ac:dyDescent="0.25">
      <c r="A198">
        <v>182</v>
      </c>
      <c r="B198">
        <v>1690308610</v>
      </c>
      <c r="C198">
        <v>1991.400000095367</v>
      </c>
      <c r="D198" t="s">
        <v>697</v>
      </c>
      <c r="E198" t="s">
        <v>698</v>
      </c>
      <c r="F198" t="s">
        <v>330</v>
      </c>
      <c r="H198">
        <v>1690308610</v>
      </c>
      <c r="I198">
        <f t="shared" si="60"/>
        <v>2.0027949164452951E-3</v>
      </c>
      <c r="J198">
        <f t="shared" si="61"/>
        <v>2.0027949164452949</v>
      </c>
      <c r="K198">
        <f t="shared" si="62"/>
        <v>30.216087031133345</v>
      </c>
      <c r="L198">
        <f t="shared" si="63"/>
        <v>475.94799999999998</v>
      </c>
      <c r="M198">
        <f t="shared" si="64"/>
        <v>145.22458569800332</v>
      </c>
      <c r="N198">
        <f t="shared" si="65"/>
        <v>14.42048709380828</v>
      </c>
      <c r="O198">
        <f t="shared" si="66"/>
        <v>47.260606448528002</v>
      </c>
      <c r="P198">
        <f t="shared" si="67"/>
        <v>0.15417486603938871</v>
      </c>
      <c r="Q198">
        <f t="shared" si="68"/>
        <v>2.1897577203319289</v>
      </c>
      <c r="R198">
        <f t="shared" si="69"/>
        <v>0.14838824887341306</v>
      </c>
      <c r="S198">
        <f t="shared" si="70"/>
        <v>9.3244464546466593E-2</v>
      </c>
      <c r="T198">
        <f t="shared" si="71"/>
        <v>276.11499182130109</v>
      </c>
      <c r="U198">
        <f t="shared" si="72"/>
        <v>25.866152419196865</v>
      </c>
      <c r="V198">
        <f t="shared" si="73"/>
        <v>25.866152419196865</v>
      </c>
      <c r="W198">
        <f t="shared" si="74"/>
        <v>3.3476258846844567</v>
      </c>
      <c r="X198">
        <f t="shared" si="75"/>
        <v>66.563824089052687</v>
      </c>
      <c r="Y198">
        <f t="shared" si="76"/>
        <v>2.0437877796863999</v>
      </c>
      <c r="Z198">
        <f t="shared" si="77"/>
        <v>3.0704182153839445</v>
      </c>
      <c r="AA198">
        <f t="shared" si="78"/>
        <v>1.3038381049980567</v>
      </c>
      <c r="AB198">
        <f t="shared" si="79"/>
        <v>-88.323255815237516</v>
      </c>
      <c r="AC198">
        <f t="shared" si="80"/>
        <v>-171.33827520786539</v>
      </c>
      <c r="AD198">
        <f t="shared" si="81"/>
        <v>-16.574289782126584</v>
      </c>
      <c r="AE198">
        <f t="shared" si="82"/>
        <v>-0.12082898392841912</v>
      </c>
      <c r="AF198">
        <v>12</v>
      </c>
      <c r="AG198">
        <v>4</v>
      </c>
      <c r="AH198">
        <f t="shared" si="83"/>
        <v>1</v>
      </c>
      <c r="AI198">
        <f t="shared" si="84"/>
        <v>0</v>
      </c>
      <c r="AJ198">
        <f t="shared" si="85"/>
        <v>52664.561307609802</v>
      </c>
      <c r="AK198">
        <f t="shared" si="86"/>
        <v>1799.99</v>
      </c>
      <c r="AL198">
        <f t="shared" si="87"/>
        <v>1499.1051367918599</v>
      </c>
      <c r="AM198">
        <f t="shared" si="88"/>
        <v>0.83284081399999998</v>
      </c>
      <c r="AN198">
        <f t="shared" si="89"/>
        <v>0.15339806988999999</v>
      </c>
      <c r="AO198">
        <v>31.2</v>
      </c>
      <c r="AP198">
        <v>0.5</v>
      </c>
      <c r="AQ198" t="s">
        <v>331</v>
      </c>
      <c r="AR198">
        <v>2</v>
      </c>
      <c r="AS198">
        <v>1690308610</v>
      </c>
      <c r="AT198">
        <v>475.94799999999998</v>
      </c>
      <c r="AU198">
        <v>800.00300000000004</v>
      </c>
      <c r="AV198">
        <v>20.5824</v>
      </c>
      <c r="AW198">
        <v>0.18870700000000001</v>
      </c>
      <c r="AX198">
        <v>475.77</v>
      </c>
      <c r="AY198">
        <v>20.372499999999999</v>
      </c>
      <c r="AZ198">
        <v>300.09800000000001</v>
      </c>
      <c r="BA198">
        <v>99.197800000000001</v>
      </c>
      <c r="BB198">
        <v>0.100036</v>
      </c>
      <c r="BC198">
        <v>24.4148</v>
      </c>
      <c r="BD198">
        <v>27.039200000000001</v>
      </c>
      <c r="BE198">
        <v>26.145099999999999</v>
      </c>
      <c r="BF198">
        <v>0</v>
      </c>
      <c r="BG198">
        <v>0</v>
      </c>
      <c r="BH198">
        <v>9951.8799999999992</v>
      </c>
      <c r="BI198">
        <v>1042.4000000000001</v>
      </c>
      <c r="BJ198">
        <v>1.62592</v>
      </c>
      <c r="BK198">
        <v>-324.05500000000001</v>
      </c>
      <c r="BL198">
        <v>485.95</v>
      </c>
      <c r="BM198">
        <v>800.154</v>
      </c>
      <c r="BN198">
        <v>20.393699999999999</v>
      </c>
      <c r="BO198">
        <v>800.00300000000004</v>
      </c>
      <c r="BP198">
        <v>0.18870700000000001</v>
      </c>
      <c r="BQ198">
        <v>2.0417299999999998</v>
      </c>
      <c r="BR198">
        <v>1.8719300000000001E-2</v>
      </c>
      <c r="BS198">
        <v>17.771699999999999</v>
      </c>
      <c r="BT198">
        <v>-40.060899999999997</v>
      </c>
      <c r="BU198">
        <v>1799.99</v>
      </c>
      <c r="BV198">
        <v>0.90999200000000002</v>
      </c>
      <c r="BW198">
        <v>3.3991100000000003E-2</v>
      </c>
      <c r="BX198">
        <v>2.20097E-2</v>
      </c>
      <c r="BY198">
        <v>3.4007099999999998E-2</v>
      </c>
      <c r="BZ198">
        <v>26</v>
      </c>
      <c r="CA198">
        <v>33528.1</v>
      </c>
      <c r="CB198">
        <v>1690306253.5999999</v>
      </c>
      <c r="CC198" t="s">
        <v>332</v>
      </c>
      <c r="CD198">
        <v>1690306253.5999999</v>
      </c>
      <c r="CE198">
        <v>1690306251.5999999</v>
      </c>
      <c r="CF198">
        <v>9</v>
      </c>
      <c r="CG198">
        <v>0.19</v>
      </c>
      <c r="CH198">
        <v>-8.7999999999999995E-2</v>
      </c>
      <c r="CI198">
        <v>-5.0999999999999997E-2</v>
      </c>
      <c r="CJ198">
        <v>5.0999999999999997E-2</v>
      </c>
      <c r="CK198">
        <v>799</v>
      </c>
      <c r="CL198">
        <v>15</v>
      </c>
      <c r="CM198">
        <v>0.28000000000000003</v>
      </c>
      <c r="CN198">
        <v>0.03</v>
      </c>
      <c r="CO198">
        <v>-323.66134146341471</v>
      </c>
      <c r="CP198">
        <v>-1.8334703832752239</v>
      </c>
      <c r="CQ198">
        <v>0.18998005155306319</v>
      </c>
      <c r="CR198">
        <v>-1</v>
      </c>
      <c r="CS198">
        <v>20.384202439024389</v>
      </c>
      <c r="CT198">
        <v>4.6831358885023322E-2</v>
      </c>
      <c r="CU198">
        <v>4.8800983499126989E-3</v>
      </c>
      <c r="CV198">
        <v>-1</v>
      </c>
      <c r="CW198">
        <v>0</v>
      </c>
      <c r="CX198">
        <v>0</v>
      </c>
      <c r="CY198" t="s">
        <v>333</v>
      </c>
      <c r="CZ198">
        <v>2.3645900000000002</v>
      </c>
      <c r="DA198">
        <v>2.7137799999999999</v>
      </c>
      <c r="DB198">
        <v>0.102032</v>
      </c>
      <c r="DC198">
        <v>0.146176</v>
      </c>
      <c r="DD198">
        <v>0.102158</v>
      </c>
      <c r="DE198">
        <v>1.58797E-3</v>
      </c>
      <c r="DF198">
        <v>32807.599999999999</v>
      </c>
      <c r="DG198">
        <v>27548.2</v>
      </c>
      <c r="DH198">
        <v>31189.8</v>
      </c>
      <c r="DI198">
        <v>28114.1</v>
      </c>
      <c r="DJ198">
        <v>38023.300000000003</v>
      </c>
      <c r="DK198">
        <v>39927.699999999997</v>
      </c>
      <c r="DL198">
        <v>44391.1</v>
      </c>
      <c r="DM198">
        <v>42617.4</v>
      </c>
      <c r="DN198">
        <v>1.4388000000000001</v>
      </c>
      <c r="DO198">
        <v>2.0294300000000001</v>
      </c>
      <c r="DP198">
        <v>0.18215899999999999</v>
      </c>
      <c r="DQ198">
        <v>0.15232000000000001</v>
      </c>
      <c r="DR198">
        <v>24.053000000000001</v>
      </c>
      <c r="DS198">
        <v>23.645399999999999</v>
      </c>
      <c r="DT198">
        <v>24.1</v>
      </c>
      <c r="DU198">
        <v>29.6</v>
      </c>
      <c r="DV198">
        <v>10.117100000000001</v>
      </c>
      <c r="DW198">
        <v>62.123100000000001</v>
      </c>
      <c r="DX198">
        <v>37.307699999999997</v>
      </c>
      <c r="DY198">
        <v>1</v>
      </c>
      <c r="DZ198">
        <v>-0.101926</v>
      </c>
      <c r="EA198">
        <v>1.3567800000000001</v>
      </c>
      <c r="EB198">
        <v>20.1831</v>
      </c>
      <c r="EC198">
        <v>5.2408000000000001</v>
      </c>
      <c r="ED198">
        <v>12.039899999999999</v>
      </c>
      <c r="EE198">
        <v>5.0173500000000004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1.8689199999999999</v>
      </c>
      <c r="EL198">
        <v>1.8646199999999999</v>
      </c>
      <c r="EM198">
        <v>1.8692</v>
      </c>
      <c r="EN198">
        <v>1.8672299999999999</v>
      </c>
      <c r="EO198">
        <v>1.8633999999999999</v>
      </c>
      <c r="EP198">
        <v>1.8644700000000001</v>
      </c>
      <c r="EQ198">
        <v>1.8701700000000001</v>
      </c>
      <c r="ER198">
        <v>1.8694299999999999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0.17799999999999999</v>
      </c>
      <c r="FG198">
        <v>0.2099</v>
      </c>
      <c r="FH198">
        <v>0.49996858830924029</v>
      </c>
      <c r="FI198">
        <v>-6.1462078757559423E-4</v>
      </c>
      <c r="FJ198">
        <v>-1.8861989874597051E-7</v>
      </c>
      <c r="FK198">
        <v>1.1980462299894961E-10</v>
      </c>
      <c r="FL198">
        <v>-3.8593581000597899E-2</v>
      </c>
      <c r="FM198">
        <v>-1.6848085045870601E-2</v>
      </c>
      <c r="FN198">
        <v>1.9789084769509481E-3</v>
      </c>
      <c r="FO198">
        <v>-2.7142391389806329E-5</v>
      </c>
      <c r="FP198">
        <v>3</v>
      </c>
      <c r="FQ198">
        <v>2158</v>
      </c>
      <c r="FR198">
        <v>1</v>
      </c>
      <c r="FS198">
        <v>19</v>
      </c>
      <c r="FT198">
        <v>39.299999999999997</v>
      </c>
      <c r="FU198">
        <v>39.299999999999997</v>
      </c>
      <c r="FV198">
        <v>1.7626999999999999</v>
      </c>
      <c r="FW198">
        <v>2.5903299999999998</v>
      </c>
      <c r="FX198">
        <v>1.5490699999999999</v>
      </c>
      <c r="FY198">
        <v>2.3303199999999999</v>
      </c>
      <c r="FZ198">
        <v>1.50146</v>
      </c>
      <c r="GA198">
        <v>2.3645</v>
      </c>
      <c r="GB198">
        <v>34.054499999999997</v>
      </c>
      <c r="GC198">
        <v>23.982399999999998</v>
      </c>
      <c r="GD198">
        <v>19</v>
      </c>
      <c r="GE198">
        <v>266.791</v>
      </c>
      <c r="GF198">
        <v>576.298</v>
      </c>
      <c r="GG198">
        <v>21.610900000000001</v>
      </c>
      <c r="GH198">
        <v>26.061199999999999</v>
      </c>
      <c r="GI198">
        <v>30.000299999999999</v>
      </c>
      <c r="GJ198">
        <v>26.2379</v>
      </c>
      <c r="GK198">
        <v>26.235800000000001</v>
      </c>
      <c r="GL198">
        <v>35.236199999999997</v>
      </c>
      <c r="GM198">
        <v>100</v>
      </c>
      <c r="GN198">
        <v>13.725099999999999</v>
      </c>
      <c r="GO198">
        <v>21.560600000000001</v>
      </c>
      <c r="GP198">
        <v>800</v>
      </c>
      <c r="GQ198">
        <v>0</v>
      </c>
      <c r="GR198">
        <v>99.800799999999995</v>
      </c>
      <c r="GS198">
        <v>99.691199999999995</v>
      </c>
    </row>
    <row r="199" spans="1:201" x14ac:dyDescent="0.25">
      <c r="A199">
        <v>183</v>
      </c>
      <c r="B199">
        <v>1690308620</v>
      </c>
      <c r="C199">
        <v>2001.400000095367</v>
      </c>
      <c r="D199" t="s">
        <v>699</v>
      </c>
      <c r="E199" t="s">
        <v>700</v>
      </c>
      <c r="F199" t="s">
        <v>330</v>
      </c>
      <c r="H199">
        <v>1690308620</v>
      </c>
      <c r="I199">
        <f t="shared" si="60"/>
        <v>2.0017492219518191E-3</v>
      </c>
      <c r="J199">
        <f t="shared" si="61"/>
        <v>2.0017492219518189</v>
      </c>
      <c r="K199">
        <f t="shared" si="62"/>
        <v>30.229246074137524</v>
      </c>
      <c r="L199">
        <f t="shared" si="63"/>
        <v>475.70100000000002</v>
      </c>
      <c r="M199">
        <f t="shared" si="64"/>
        <v>145.3929794491238</v>
      </c>
      <c r="N199">
        <f t="shared" si="65"/>
        <v>14.437293283783443</v>
      </c>
      <c r="O199">
        <f t="shared" si="66"/>
        <v>47.236358168121008</v>
      </c>
      <c r="P199">
        <f t="shared" si="67"/>
        <v>0.15442584173245266</v>
      </c>
      <c r="Q199">
        <f t="shared" si="68"/>
        <v>2.1963064882689696</v>
      </c>
      <c r="R199">
        <f t="shared" si="69"/>
        <v>0.14863736233641534</v>
      </c>
      <c r="S199">
        <f t="shared" si="70"/>
        <v>9.3400345585753913E-2</v>
      </c>
      <c r="T199">
        <f t="shared" si="71"/>
        <v>276.11665675200004</v>
      </c>
      <c r="U199">
        <f t="shared" si="72"/>
        <v>25.847890042088601</v>
      </c>
      <c r="V199">
        <f t="shared" si="73"/>
        <v>25.847890042088601</v>
      </c>
      <c r="W199">
        <f t="shared" si="74"/>
        <v>3.3440063697230316</v>
      </c>
      <c r="X199">
        <f t="shared" si="75"/>
        <v>66.59662100962845</v>
      </c>
      <c r="Y199">
        <f t="shared" si="76"/>
        <v>2.0429955031803</v>
      </c>
      <c r="Z199">
        <f t="shared" si="77"/>
        <v>3.0677164579940572</v>
      </c>
      <c r="AA199">
        <f t="shared" si="78"/>
        <v>1.3010108665427316</v>
      </c>
      <c r="AB199">
        <f t="shared" si="79"/>
        <v>-88.277140688075221</v>
      </c>
      <c r="AC199">
        <f t="shared" si="80"/>
        <v>-171.42887422852976</v>
      </c>
      <c r="AD199">
        <f t="shared" si="81"/>
        <v>-16.530865567094676</v>
      </c>
      <c r="AE199">
        <f t="shared" si="82"/>
        <v>-0.12022373169963885</v>
      </c>
      <c r="AF199">
        <v>12</v>
      </c>
      <c r="AG199">
        <v>4</v>
      </c>
      <c r="AH199">
        <f t="shared" si="83"/>
        <v>1</v>
      </c>
      <c r="AI199">
        <f t="shared" si="84"/>
        <v>0</v>
      </c>
      <c r="AJ199">
        <f t="shared" si="85"/>
        <v>52937.232567534462</v>
      </c>
      <c r="AK199">
        <f t="shared" si="86"/>
        <v>1800</v>
      </c>
      <c r="AL199">
        <f t="shared" si="87"/>
        <v>1499.1133032</v>
      </c>
      <c r="AM199">
        <f t="shared" si="88"/>
        <v>0.83284072399999998</v>
      </c>
      <c r="AN199">
        <f t="shared" si="89"/>
        <v>0.15339814264000001</v>
      </c>
      <c r="AO199">
        <v>31.2</v>
      </c>
      <c r="AP199">
        <v>0.5</v>
      </c>
      <c r="AQ199" t="s">
        <v>331</v>
      </c>
      <c r="AR199">
        <v>2</v>
      </c>
      <c r="AS199">
        <v>1690308620</v>
      </c>
      <c r="AT199">
        <v>475.70100000000002</v>
      </c>
      <c r="AU199">
        <v>799.94299999999998</v>
      </c>
      <c r="AV199">
        <v>20.574300000000001</v>
      </c>
      <c r="AW199">
        <v>0.187282</v>
      </c>
      <c r="AX199">
        <v>475.52300000000002</v>
      </c>
      <c r="AY199">
        <v>20.3645</v>
      </c>
      <c r="AZ199">
        <v>300.04199999999997</v>
      </c>
      <c r="BA199">
        <v>99.198400000000007</v>
      </c>
      <c r="BB199">
        <v>0.100021</v>
      </c>
      <c r="BC199">
        <v>24.400099999999998</v>
      </c>
      <c r="BD199">
        <v>26.9861</v>
      </c>
      <c r="BE199">
        <v>26.125699999999998</v>
      </c>
      <c r="BF199">
        <v>0</v>
      </c>
      <c r="BG199">
        <v>0</v>
      </c>
      <c r="BH199">
        <v>10005</v>
      </c>
      <c r="BI199">
        <v>1042.3699999999999</v>
      </c>
      <c r="BJ199">
        <v>1.62592</v>
      </c>
      <c r="BK199">
        <v>-324.24200000000002</v>
      </c>
      <c r="BL199">
        <v>485.69400000000002</v>
      </c>
      <c r="BM199">
        <v>800.09299999999996</v>
      </c>
      <c r="BN199">
        <v>20.387</v>
      </c>
      <c r="BO199">
        <v>799.94299999999998</v>
      </c>
      <c r="BP199">
        <v>0.187282</v>
      </c>
      <c r="BQ199">
        <v>2.0409299999999999</v>
      </c>
      <c r="BR199">
        <v>1.8578000000000001E-2</v>
      </c>
      <c r="BS199">
        <v>17.765499999999999</v>
      </c>
      <c r="BT199">
        <v>-40.133400000000002</v>
      </c>
      <c r="BU199">
        <v>1800</v>
      </c>
      <c r="BV199">
        <v>0.90998699999999999</v>
      </c>
      <c r="BW199">
        <v>3.3990199999999998E-2</v>
      </c>
      <c r="BX199">
        <v>2.20092E-2</v>
      </c>
      <c r="BY199">
        <v>3.4014000000000003E-2</v>
      </c>
      <c r="BZ199">
        <v>26</v>
      </c>
      <c r="CA199">
        <v>33528.199999999997</v>
      </c>
      <c r="CB199">
        <v>1690306253.5999999</v>
      </c>
      <c r="CC199" t="s">
        <v>332</v>
      </c>
      <c r="CD199">
        <v>1690306253.5999999</v>
      </c>
      <c r="CE199">
        <v>1690306251.5999999</v>
      </c>
      <c r="CF199">
        <v>9</v>
      </c>
      <c r="CG199">
        <v>0.19</v>
      </c>
      <c r="CH199">
        <v>-8.7999999999999995E-2</v>
      </c>
      <c r="CI199">
        <v>-5.0999999999999997E-2</v>
      </c>
      <c r="CJ199">
        <v>5.0999999999999997E-2</v>
      </c>
      <c r="CK199">
        <v>799</v>
      </c>
      <c r="CL199">
        <v>15</v>
      </c>
      <c r="CM199">
        <v>0.28000000000000003</v>
      </c>
      <c r="CN199">
        <v>0.03</v>
      </c>
      <c r="CO199">
        <v>-324.00377500000002</v>
      </c>
      <c r="CP199">
        <v>-1.8712682926827131</v>
      </c>
      <c r="CQ199">
        <v>0.18944068827735611</v>
      </c>
      <c r="CR199">
        <v>-1</v>
      </c>
      <c r="CS199">
        <v>20.390125000000001</v>
      </c>
      <c r="CT199">
        <v>5.3808630393483844E-3</v>
      </c>
      <c r="CU199">
        <v>2.2994292770163868E-3</v>
      </c>
      <c r="CV199">
        <v>-1</v>
      </c>
      <c r="CW199">
        <v>0</v>
      </c>
      <c r="CX199">
        <v>0</v>
      </c>
      <c r="CY199" t="s">
        <v>333</v>
      </c>
      <c r="CZ199">
        <v>2.3643999999999998</v>
      </c>
      <c r="DA199">
        <v>2.7138200000000001</v>
      </c>
      <c r="DB199">
        <v>0.101995</v>
      </c>
      <c r="DC199">
        <v>0.146171</v>
      </c>
      <c r="DD199">
        <v>0.102131</v>
      </c>
      <c r="DE199">
        <v>1.5761499999999999E-3</v>
      </c>
      <c r="DF199">
        <v>32809.199999999997</v>
      </c>
      <c r="DG199">
        <v>27548.3</v>
      </c>
      <c r="DH199">
        <v>31190.1</v>
      </c>
      <c r="DI199">
        <v>28114</v>
      </c>
      <c r="DJ199">
        <v>38024.699999999997</v>
      </c>
      <c r="DK199">
        <v>39928.199999999997</v>
      </c>
      <c r="DL199">
        <v>44391.4</v>
      </c>
      <c r="DM199">
        <v>42617.5</v>
      </c>
      <c r="DN199">
        <v>1.43845</v>
      </c>
      <c r="DO199">
        <v>2.0293999999999999</v>
      </c>
      <c r="DP199">
        <v>0.178672</v>
      </c>
      <c r="DQ199">
        <v>0.151001</v>
      </c>
      <c r="DR199">
        <v>24.056999999999999</v>
      </c>
      <c r="DS199">
        <v>23.647600000000001</v>
      </c>
      <c r="DT199">
        <v>23.9</v>
      </c>
      <c r="DU199">
        <v>29.6</v>
      </c>
      <c r="DV199">
        <v>10.0319</v>
      </c>
      <c r="DW199">
        <v>61.573099999999997</v>
      </c>
      <c r="DX199">
        <v>37.496000000000002</v>
      </c>
      <c r="DY199">
        <v>1</v>
      </c>
      <c r="DZ199">
        <v>-0.101878</v>
      </c>
      <c r="EA199">
        <v>1.33552</v>
      </c>
      <c r="EB199">
        <v>20.183199999999999</v>
      </c>
      <c r="EC199">
        <v>5.2409499999999998</v>
      </c>
      <c r="ED199">
        <v>12.039899999999999</v>
      </c>
      <c r="EE199">
        <v>5.0174000000000003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1.8689499999999999</v>
      </c>
      <c r="EL199">
        <v>1.86463</v>
      </c>
      <c r="EM199">
        <v>1.8692</v>
      </c>
      <c r="EN199">
        <v>1.86724</v>
      </c>
      <c r="EO199">
        <v>1.86338</v>
      </c>
      <c r="EP199">
        <v>1.86449</v>
      </c>
      <c r="EQ199">
        <v>1.87019</v>
      </c>
      <c r="ER199">
        <v>1.8694299999999999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0.17799999999999999</v>
      </c>
      <c r="FG199">
        <v>0.20979999999999999</v>
      </c>
      <c r="FH199">
        <v>0.49996858830924029</v>
      </c>
      <c r="FI199">
        <v>-6.1462078757559423E-4</v>
      </c>
      <c r="FJ199">
        <v>-1.8861989874597051E-7</v>
      </c>
      <c r="FK199">
        <v>1.1980462299894961E-10</v>
      </c>
      <c r="FL199">
        <v>-3.8593581000597899E-2</v>
      </c>
      <c r="FM199">
        <v>-1.6848085045870601E-2</v>
      </c>
      <c r="FN199">
        <v>1.9789084769509481E-3</v>
      </c>
      <c r="FO199">
        <v>-2.7142391389806329E-5</v>
      </c>
      <c r="FP199">
        <v>3</v>
      </c>
      <c r="FQ199">
        <v>2158</v>
      </c>
      <c r="FR199">
        <v>1</v>
      </c>
      <c r="FS199">
        <v>19</v>
      </c>
      <c r="FT199">
        <v>39.4</v>
      </c>
      <c r="FU199">
        <v>39.5</v>
      </c>
      <c r="FV199">
        <v>1.7626999999999999</v>
      </c>
      <c r="FW199">
        <v>2.5854499999999998</v>
      </c>
      <c r="FX199">
        <v>1.5490699999999999</v>
      </c>
      <c r="FY199">
        <v>2.3303199999999999</v>
      </c>
      <c r="FZ199">
        <v>1.50146</v>
      </c>
      <c r="GA199">
        <v>2.36206</v>
      </c>
      <c r="GB199">
        <v>34.054499999999997</v>
      </c>
      <c r="GC199">
        <v>23.982399999999998</v>
      </c>
      <c r="GD199">
        <v>19</v>
      </c>
      <c r="GE199">
        <v>266.64</v>
      </c>
      <c r="GF199">
        <v>576.25300000000004</v>
      </c>
      <c r="GG199">
        <v>21.514700000000001</v>
      </c>
      <c r="GH199">
        <v>26.059100000000001</v>
      </c>
      <c r="GI199">
        <v>29.9999</v>
      </c>
      <c r="GJ199">
        <v>26.235700000000001</v>
      </c>
      <c r="GK199">
        <v>26.233599999999999</v>
      </c>
      <c r="GL199">
        <v>35.234499999999997</v>
      </c>
      <c r="GM199">
        <v>100</v>
      </c>
      <c r="GN199">
        <v>13.347200000000001</v>
      </c>
      <c r="GO199">
        <v>21.521799999999999</v>
      </c>
      <c r="GP199">
        <v>800</v>
      </c>
      <c r="GQ199">
        <v>0</v>
      </c>
      <c r="GR199">
        <v>99.801599999999993</v>
      </c>
      <c r="GS199">
        <v>99.691199999999995</v>
      </c>
    </row>
    <row r="200" spans="1:201" x14ac:dyDescent="0.25">
      <c r="A200">
        <v>184</v>
      </c>
      <c r="B200">
        <v>1690308630</v>
      </c>
      <c r="C200">
        <v>2011.400000095367</v>
      </c>
      <c r="D200" t="s">
        <v>701</v>
      </c>
      <c r="E200" t="s">
        <v>702</v>
      </c>
      <c r="F200" t="s">
        <v>330</v>
      </c>
      <c r="H200">
        <v>1690308630</v>
      </c>
      <c r="I200">
        <f t="shared" si="60"/>
        <v>2.0021006924605001E-3</v>
      </c>
      <c r="J200">
        <f t="shared" si="61"/>
        <v>2.0021006924605</v>
      </c>
      <c r="K200">
        <f t="shared" si="62"/>
        <v>30.272574731028694</v>
      </c>
      <c r="L200">
        <f t="shared" si="63"/>
        <v>475.42399999999998</v>
      </c>
      <c r="M200">
        <f t="shared" si="64"/>
        <v>145.02272228841292</v>
      </c>
      <c r="N200">
        <f t="shared" si="65"/>
        <v>14.401051299456537</v>
      </c>
      <c r="O200">
        <f t="shared" si="66"/>
        <v>47.210570212415995</v>
      </c>
      <c r="P200">
        <f t="shared" si="67"/>
        <v>0.15460899730948688</v>
      </c>
      <c r="Q200">
        <f t="shared" si="68"/>
        <v>2.1933526236233716</v>
      </c>
      <c r="R200">
        <f t="shared" si="69"/>
        <v>0.14879955860969044</v>
      </c>
      <c r="S200">
        <f t="shared" si="70"/>
        <v>9.350349172729458E-2</v>
      </c>
      <c r="T200">
        <f t="shared" si="71"/>
        <v>276.11656154999997</v>
      </c>
      <c r="U200">
        <f t="shared" si="72"/>
        <v>25.840260824422298</v>
      </c>
      <c r="V200">
        <f t="shared" si="73"/>
        <v>25.840260824422298</v>
      </c>
      <c r="W200">
        <f t="shared" si="74"/>
        <v>3.3424953082074982</v>
      </c>
      <c r="X200">
        <f t="shared" si="75"/>
        <v>66.621250758476236</v>
      </c>
      <c r="Y200">
        <f t="shared" si="76"/>
        <v>2.0426130487698</v>
      </c>
      <c r="Z200">
        <f t="shared" si="77"/>
        <v>3.0660082563969544</v>
      </c>
      <c r="AA200">
        <f t="shared" si="78"/>
        <v>1.2998822594376982</v>
      </c>
      <c r="AB200">
        <f t="shared" si="79"/>
        <v>-88.292640537508049</v>
      </c>
      <c r="AC200">
        <f t="shared" si="80"/>
        <v>-171.39588218685753</v>
      </c>
      <c r="AD200">
        <f t="shared" si="81"/>
        <v>-16.548533126108612</v>
      </c>
      <c r="AE200">
        <f t="shared" si="82"/>
        <v>-0.12049430047423471</v>
      </c>
      <c r="AF200">
        <v>12</v>
      </c>
      <c r="AG200">
        <v>4</v>
      </c>
      <c r="AH200">
        <f t="shared" si="83"/>
        <v>1</v>
      </c>
      <c r="AI200">
        <f t="shared" si="84"/>
        <v>0</v>
      </c>
      <c r="AJ200">
        <f t="shared" si="85"/>
        <v>52817.048312775609</v>
      </c>
      <c r="AK200">
        <f t="shared" si="86"/>
        <v>1800</v>
      </c>
      <c r="AL200">
        <f t="shared" si="87"/>
        <v>1499.1130980000003</v>
      </c>
      <c r="AM200">
        <f t="shared" si="88"/>
        <v>0.83284061000000009</v>
      </c>
      <c r="AN200">
        <f t="shared" si="89"/>
        <v>0.15339808974999999</v>
      </c>
      <c r="AO200">
        <v>31.2</v>
      </c>
      <c r="AP200">
        <v>0.5</v>
      </c>
      <c r="AQ200" t="s">
        <v>331</v>
      </c>
      <c r="AR200">
        <v>2</v>
      </c>
      <c r="AS200">
        <v>1690308630</v>
      </c>
      <c r="AT200">
        <v>475.42399999999998</v>
      </c>
      <c r="AU200">
        <v>800.01300000000003</v>
      </c>
      <c r="AV200">
        <v>20.569700000000001</v>
      </c>
      <c r="AW200">
        <v>0.18525700000000001</v>
      </c>
      <c r="AX200">
        <v>475.24599999999998</v>
      </c>
      <c r="AY200">
        <v>20.360099999999999</v>
      </c>
      <c r="AZ200">
        <v>300.13400000000001</v>
      </c>
      <c r="BA200">
        <v>99.201999999999998</v>
      </c>
      <c r="BB200">
        <v>0.100034</v>
      </c>
      <c r="BC200">
        <v>24.390799999999999</v>
      </c>
      <c r="BD200">
        <v>26.977699999999999</v>
      </c>
      <c r="BE200">
        <v>26.097300000000001</v>
      </c>
      <c r="BF200">
        <v>0</v>
      </c>
      <c r="BG200">
        <v>0</v>
      </c>
      <c r="BH200">
        <v>9980.6200000000008</v>
      </c>
      <c r="BI200">
        <v>1042.42</v>
      </c>
      <c r="BJ200">
        <v>1.62592</v>
      </c>
      <c r="BK200">
        <v>-324.589</v>
      </c>
      <c r="BL200">
        <v>485.40899999999999</v>
      </c>
      <c r="BM200">
        <v>800.16099999999994</v>
      </c>
      <c r="BN200">
        <v>20.384499999999999</v>
      </c>
      <c r="BO200">
        <v>800.01300000000003</v>
      </c>
      <c r="BP200">
        <v>0.18525700000000001</v>
      </c>
      <c r="BQ200">
        <v>2.0405600000000002</v>
      </c>
      <c r="BR200">
        <v>1.8377899999999999E-2</v>
      </c>
      <c r="BS200">
        <v>17.762599999999999</v>
      </c>
      <c r="BT200">
        <v>-40.237000000000002</v>
      </c>
      <c r="BU200">
        <v>1800</v>
      </c>
      <c r="BV200">
        <v>0.90998900000000005</v>
      </c>
      <c r="BW200">
        <v>3.3990800000000002E-2</v>
      </c>
      <c r="BX200">
        <v>2.2009500000000001E-2</v>
      </c>
      <c r="BY200">
        <v>3.4010699999999998E-2</v>
      </c>
      <c r="BZ200">
        <v>26</v>
      </c>
      <c r="CA200">
        <v>33528.199999999997</v>
      </c>
      <c r="CB200">
        <v>1690306253.5999999</v>
      </c>
      <c r="CC200" t="s">
        <v>332</v>
      </c>
      <c r="CD200">
        <v>1690306253.5999999</v>
      </c>
      <c r="CE200">
        <v>1690306251.5999999</v>
      </c>
      <c r="CF200">
        <v>9</v>
      </c>
      <c r="CG200">
        <v>0.19</v>
      </c>
      <c r="CH200">
        <v>-8.7999999999999995E-2</v>
      </c>
      <c r="CI200">
        <v>-5.0999999999999997E-2</v>
      </c>
      <c r="CJ200">
        <v>5.0999999999999997E-2</v>
      </c>
      <c r="CK200">
        <v>799</v>
      </c>
      <c r="CL200">
        <v>15</v>
      </c>
      <c r="CM200">
        <v>0.28000000000000003</v>
      </c>
      <c r="CN200">
        <v>0.03</v>
      </c>
      <c r="CO200">
        <v>-324.29615000000001</v>
      </c>
      <c r="CP200">
        <v>-1.551219512194199</v>
      </c>
      <c r="CQ200">
        <v>0.15424583462771629</v>
      </c>
      <c r="CR200">
        <v>-1</v>
      </c>
      <c r="CS200">
        <v>20.3873</v>
      </c>
      <c r="CT200">
        <v>-4.631369606006646E-2</v>
      </c>
      <c r="CU200">
        <v>4.5968467453245416E-3</v>
      </c>
      <c r="CV200">
        <v>-1</v>
      </c>
      <c r="CW200">
        <v>0</v>
      </c>
      <c r="CX200">
        <v>0</v>
      </c>
      <c r="CY200" t="s">
        <v>333</v>
      </c>
      <c r="CZ200">
        <v>2.3647</v>
      </c>
      <c r="DA200">
        <v>2.7138100000000001</v>
      </c>
      <c r="DB200">
        <v>0.101955</v>
      </c>
      <c r="DC200">
        <v>0.14618600000000001</v>
      </c>
      <c r="DD200">
        <v>0.102119</v>
      </c>
      <c r="DE200">
        <v>1.55937E-3</v>
      </c>
      <c r="DF200">
        <v>32810.400000000001</v>
      </c>
      <c r="DG200">
        <v>27548.2</v>
      </c>
      <c r="DH200">
        <v>31189.8</v>
      </c>
      <c r="DI200">
        <v>28114.400000000001</v>
      </c>
      <c r="DJ200">
        <v>38024.9</v>
      </c>
      <c r="DK200">
        <v>39929.199999999997</v>
      </c>
      <c r="DL200">
        <v>44391.1</v>
      </c>
      <c r="DM200">
        <v>42617.8</v>
      </c>
      <c r="DN200">
        <v>1.43912</v>
      </c>
      <c r="DO200">
        <v>2.0295000000000001</v>
      </c>
      <c r="DP200">
        <v>0.17815800000000001</v>
      </c>
      <c r="DQ200">
        <v>0.149392</v>
      </c>
      <c r="DR200">
        <v>24.056999999999999</v>
      </c>
      <c r="DS200">
        <v>23.645600000000002</v>
      </c>
      <c r="DT200">
        <v>23.7</v>
      </c>
      <c r="DU200">
        <v>29.6</v>
      </c>
      <c r="DV200">
        <v>9.9469399999999997</v>
      </c>
      <c r="DW200">
        <v>61.803100000000001</v>
      </c>
      <c r="DX200">
        <v>37.291699999999999</v>
      </c>
      <c r="DY200">
        <v>1</v>
      </c>
      <c r="DZ200">
        <v>-0.102228</v>
      </c>
      <c r="EA200">
        <v>0.95613599999999999</v>
      </c>
      <c r="EB200">
        <v>20.186499999999999</v>
      </c>
      <c r="EC200">
        <v>5.2409499999999998</v>
      </c>
      <c r="ED200">
        <v>12.039899999999999</v>
      </c>
      <c r="EE200">
        <v>5.0174000000000003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1.86893</v>
      </c>
      <c r="EL200">
        <v>1.8646400000000001</v>
      </c>
      <c r="EM200">
        <v>1.8692</v>
      </c>
      <c r="EN200">
        <v>1.8672299999999999</v>
      </c>
      <c r="EO200">
        <v>1.8633900000000001</v>
      </c>
      <c r="EP200">
        <v>1.8644799999999999</v>
      </c>
      <c r="EQ200">
        <v>1.87018</v>
      </c>
      <c r="ER200">
        <v>1.8694500000000001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0.17799999999999999</v>
      </c>
      <c r="FG200">
        <v>0.20960000000000001</v>
      </c>
      <c r="FH200">
        <v>0.49996858830924029</v>
      </c>
      <c r="FI200">
        <v>-6.1462078757559423E-4</v>
      </c>
      <c r="FJ200">
        <v>-1.8861989874597051E-7</v>
      </c>
      <c r="FK200">
        <v>1.1980462299894961E-10</v>
      </c>
      <c r="FL200">
        <v>-3.8593581000597899E-2</v>
      </c>
      <c r="FM200">
        <v>-1.6848085045870601E-2</v>
      </c>
      <c r="FN200">
        <v>1.9789084769509481E-3</v>
      </c>
      <c r="FO200">
        <v>-2.7142391389806329E-5</v>
      </c>
      <c r="FP200">
        <v>3</v>
      </c>
      <c r="FQ200">
        <v>2158</v>
      </c>
      <c r="FR200">
        <v>1</v>
      </c>
      <c r="FS200">
        <v>19</v>
      </c>
      <c r="FT200">
        <v>39.6</v>
      </c>
      <c r="FU200">
        <v>39.6</v>
      </c>
      <c r="FV200">
        <v>1.7614700000000001</v>
      </c>
      <c r="FW200">
        <v>2.5891099999999998</v>
      </c>
      <c r="FX200">
        <v>1.5490699999999999</v>
      </c>
      <c r="FY200">
        <v>2.3303199999999999</v>
      </c>
      <c r="FZ200">
        <v>1.50146</v>
      </c>
      <c r="GA200">
        <v>2.3754900000000001</v>
      </c>
      <c r="GB200">
        <v>34.054499999999997</v>
      </c>
      <c r="GC200">
        <v>23.991199999999999</v>
      </c>
      <c r="GD200">
        <v>19</v>
      </c>
      <c r="GE200">
        <v>266.90600000000001</v>
      </c>
      <c r="GF200">
        <v>576.30899999999997</v>
      </c>
      <c r="GG200">
        <v>21.5838</v>
      </c>
      <c r="GH200">
        <v>26.056899999999999</v>
      </c>
      <c r="GI200">
        <v>30</v>
      </c>
      <c r="GJ200">
        <v>26.2334</v>
      </c>
      <c r="GK200">
        <v>26.231200000000001</v>
      </c>
      <c r="GL200">
        <v>35.230800000000002</v>
      </c>
      <c r="GM200">
        <v>100</v>
      </c>
      <c r="GN200">
        <v>12.581799999999999</v>
      </c>
      <c r="GO200">
        <v>21.614100000000001</v>
      </c>
      <c r="GP200">
        <v>800</v>
      </c>
      <c r="GQ200">
        <v>0</v>
      </c>
      <c r="GR200">
        <v>99.800799999999995</v>
      </c>
      <c r="GS200">
        <v>99.692300000000003</v>
      </c>
    </row>
    <row r="201" spans="1:201" x14ac:dyDescent="0.25">
      <c r="A201">
        <v>185</v>
      </c>
      <c r="B201">
        <v>1690308640</v>
      </c>
      <c r="C201">
        <v>2021.400000095367</v>
      </c>
      <c r="D201" t="s">
        <v>703</v>
      </c>
      <c r="E201" t="s">
        <v>704</v>
      </c>
      <c r="F201" t="s">
        <v>330</v>
      </c>
      <c r="H201">
        <v>1690308640</v>
      </c>
      <c r="I201">
        <f t="shared" si="60"/>
        <v>2.0044399479900634E-3</v>
      </c>
      <c r="J201">
        <f t="shared" si="61"/>
        <v>2.0044399479900634</v>
      </c>
      <c r="K201">
        <f t="shared" si="62"/>
        <v>30.29498162408721</v>
      </c>
      <c r="L201">
        <f t="shared" si="63"/>
        <v>475.048</v>
      </c>
      <c r="M201">
        <f t="shared" si="64"/>
        <v>145.21668289032701</v>
      </c>
      <c r="N201">
        <f t="shared" si="65"/>
        <v>14.419635823823597</v>
      </c>
      <c r="O201">
        <f t="shared" si="66"/>
        <v>47.171020729134405</v>
      </c>
      <c r="P201">
        <f t="shared" si="67"/>
        <v>0.15499723476537391</v>
      </c>
      <c r="Q201">
        <f t="shared" si="68"/>
        <v>2.1962203805618756</v>
      </c>
      <c r="R201">
        <f t="shared" si="69"/>
        <v>0.14916649057635301</v>
      </c>
      <c r="S201">
        <f t="shared" si="70"/>
        <v>9.3734650637081363E-2</v>
      </c>
      <c r="T201">
        <f t="shared" si="71"/>
        <v>276.11653996799993</v>
      </c>
      <c r="U201">
        <f t="shared" si="72"/>
        <v>25.845228618517964</v>
      </c>
      <c r="V201">
        <f t="shared" si="73"/>
        <v>25.845228618517964</v>
      </c>
      <c r="W201">
        <f t="shared" si="74"/>
        <v>3.3434791739049445</v>
      </c>
      <c r="X201">
        <f t="shared" si="75"/>
        <v>66.681117341064748</v>
      </c>
      <c r="Y201">
        <f t="shared" si="76"/>
        <v>2.0453671068755201</v>
      </c>
      <c r="Z201">
        <f t="shared" si="77"/>
        <v>3.067385773417306</v>
      </c>
      <c r="AA201">
        <f t="shared" si="78"/>
        <v>1.2981120670294244</v>
      </c>
      <c r="AB201">
        <f t="shared" si="79"/>
        <v>-88.395801706361794</v>
      </c>
      <c r="AC201">
        <f t="shared" si="80"/>
        <v>-171.3201584225331</v>
      </c>
      <c r="AD201">
        <f t="shared" si="81"/>
        <v>-16.520658866144611</v>
      </c>
      <c r="AE201">
        <f t="shared" si="82"/>
        <v>-0.12007902703959417</v>
      </c>
      <c r="AF201">
        <v>12</v>
      </c>
      <c r="AG201">
        <v>4</v>
      </c>
      <c r="AH201">
        <f t="shared" si="83"/>
        <v>1</v>
      </c>
      <c r="AI201">
        <f t="shared" si="84"/>
        <v>0</v>
      </c>
      <c r="AJ201">
        <f t="shared" si="85"/>
        <v>52933.974793758112</v>
      </c>
      <c r="AK201">
        <f t="shared" si="86"/>
        <v>1800</v>
      </c>
      <c r="AL201">
        <f t="shared" si="87"/>
        <v>1499.1124697999999</v>
      </c>
      <c r="AM201">
        <f t="shared" si="88"/>
        <v>0.83284026099999997</v>
      </c>
      <c r="AN201">
        <f t="shared" si="89"/>
        <v>0.15339807775999997</v>
      </c>
      <c r="AO201">
        <v>31.2</v>
      </c>
      <c r="AP201">
        <v>0.5</v>
      </c>
      <c r="AQ201" t="s">
        <v>331</v>
      </c>
      <c r="AR201">
        <v>2</v>
      </c>
      <c r="AS201">
        <v>1690308640</v>
      </c>
      <c r="AT201">
        <v>475.048</v>
      </c>
      <c r="AU201">
        <v>799.98299999999995</v>
      </c>
      <c r="AV201">
        <v>20.598400000000002</v>
      </c>
      <c r="AW201">
        <v>0.183868</v>
      </c>
      <c r="AX201">
        <v>474.87</v>
      </c>
      <c r="AY201">
        <v>20.387899999999998</v>
      </c>
      <c r="AZ201">
        <v>300.03300000000002</v>
      </c>
      <c r="BA201">
        <v>99.197400000000002</v>
      </c>
      <c r="BB201">
        <v>9.9977800000000006E-2</v>
      </c>
      <c r="BC201">
        <v>24.398299999999999</v>
      </c>
      <c r="BD201">
        <v>26.9937</v>
      </c>
      <c r="BE201">
        <v>26.094000000000001</v>
      </c>
      <c r="BF201">
        <v>0</v>
      </c>
      <c r="BG201">
        <v>0</v>
      </c>
      <c r="BH201">
        <v>10004.4</v>
      </c>
      <c r="BI201">
        <v>1042.58</v>
      </c>
      <c r="BJ201">
        <v>1.62592</v>
      </c>
      <c r="BK201">
        <v>-324.93400000000003</v>
      </c>
      <c r="BL201">
        <v>485.03899999999999</v>
      </c>
      <c r="BM201">
        <v>800.13</v>
      </c>
      <c r="BN201">
        <v>20.4145</v>
      </c>
      <c r="BO201">
        <v>799.98299999999995</v>
      </c>
      <c r="BP201">
        <v>0.183868</v>
      </c>
      <c r="BQ201">
        <v>2.0432999999999999</v>
      </c>
      <c r="BR201">
        <v>1.8239200000000001E-2</v>
      </c>
      <c r="BS201">
        <v>17.783999999999999</v>
      </c>
      <c r="BT201">
        <v>-40.3093</v>
      </c>
      <c r="BU201">
        <v>1800</v>
      </c>
      <c r="BV201">
        <v>0.90998599999999996</v>
      </c>
      <c r="BW201">
        <v>3.3990399999999997E-2</v>
      </c>
      <c r="BX201">
        <v>2.2009299999999999E-2</v>
      </c>
      <c r="BY201">
        <v>3.4014200000000001E-2</v>
      </c>
      <c r="BZ201">
        <v>26</v>
      </c>
      <c r="CA201">
        <v>33528.300000000003</v>
      </c>
      <c r="CB201">
        <v>1690306253.5999999</v>
      </c>
      <c r="CC201" t="s">
        <v>332</v>
      </c>
      <c r="CD201">
        <v>1690306253.5999999</v>
      </c>
      <c r="CE201">
        <v>1690306251.5999999</v>
      </c>
      <c r="CF201">
        <v>9</v>
      </c>
      <c r="CG201">
        <v>0.19</v>
      </c>
      <c r="CH201">
        <v>-8.7999999999999995E-2</v>
      </c>
      <c r="CI201">
        <v>-5.0999999999999997E-2</v>
      </c>
      <c r="CJ201">
        <v>5.0999999999999997E-2</v>
      </c>
      <c r="CK201">
        <v>799</v>
      </c>
      <c r="CL201">
        <v>15</v>
      </c>
      <c r="CM201">
        <v>0.28000000000000003</v>
      </c>
      <c r="CN201">
        <v>0.03</v>
      </c>
      <c r="CO201">
        <v>-324.56917073170729</v>
      </c>
      <c r="CP201">
        <v>-2.115930313589228</v>
      </c>
      <c r="CQ201">
        <v>0.2135573153704749</v>
      </c>
      <c r="CR201">
        <v>-1</v>
      </c>
      <c r="CS201">
        <v>20.39025365853659</v>
      </c>
      <c r="CT201">
        <v>7.6697560975599058E-2</v>
      </c>
      <c r="CU201">
        <v>9.7971398902814266E-3</v>
      </c>
      <c r="CV201">
        <v>-1</v>
      </c>
      <c r="CW201">
        <v>0</v>
      </c>
      <c r="CX201">
        <v>0</v>
      </c>
      <c r="CY201" t="s">
        <v>333</v>
      </c>
      <c r="CZ201">
        <v>2.3643900000000002</v>
      </c>
      <c r="DA201">
        <v>2.7137699999999998</v>
      </c>
      <c r="DB201">
        <v>0.101891</v>
      </c>
      <c r="DC201">
        <v>0.146176</v>
      </c>
      <c r="DD201">
        <v>0.102215</v>
      </c>
      <c r="DE201">
        <v>1.5477500000000001E-3</v>
      </c>
      <c r="DF201">
        <v>32812.6</v>
      </c>
      <c r="DG201">
        <v>27548.799999999999</v>
      </c>
      <c r="DH201">
        <v>31189.7</v>
      </c>
      <c r="DI201">
        <v>28114.7</v>
      </c>
      <c r="DJ201">
        <v>38020.6</v>
      </c>
      <c r="DK201">
        <v>39930.400000000001</v>
      </c>
      <c r="DL201">
        <v>44390.8</v>
      </c>
      <c r="DM201">
        <v>42618.6</v>
      </c>
      <c r="DN201">
        <v>1.43865</v>
      </c>
      <c r="DO201">
        <v>2.0293999999999999</v>
      </c>
      <c r="DP201">
        <v>0.17930599999999999</v>
      </c>
      <c r="DQ201">
        <v>0.14931</v>
      </c>
      <c r="DR201">
        <v>24.054200000000002</v>
      </c>
      <c r="DS201">
        <v>23.643599999999999</v>
      </c>
      <c r="DT201">
        <v>23.5</v>
      </c>
      <c r="DU201">
        <v>29.6</v>
      </c>
      <c r="DV201">
        <v>9.8636900000000001</v>
      </c>
      <c r="DW201">
        <v>61.463099999999997</v>
      </c>
      <c r="DX201">
        <v>37.355800000000002</v>
      </c>
      <c r="DY201">
        <v>1</v>
      </c>
      <c r="DZ201">
        <v>-0.102947</v>
      </c>
      <c r="EA201">
        <v>1.1049</v>
      </c>
      <c r="EB201">
        <v>20.185600000000001</v>
      </c>
      <c r="EC201">
        <v>5.2408000000000001</v>
      </c>
      <c r="ED201">
        <v>12.039899999999999</v>
      </c>
      <c r="EE201">
        <v>5.0174500000000002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1.8689499999999999</v>
      </c>
      <c r="EL201">
        <v>1.8646199999999999</v>
      </c>
      <c r="EM201">
        <v>1.8692</v>
      </c>
      <c r="EN201">
        <v>1.8672500000000001</v>
      </c>
      <c r="EO201">
        <v>1.8633999999999999</v>
      </c>
      <c r="EP201">
        <v>1.8644700000000001</v>
      </c>
      <c r="EQ201">
        <v>1.87019</v>
      </c>
      <c r="ER201">
        <v>1.8694500000000001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0.17799999999999999</v>
      </c>
      <c r="FG201">
        <v>0.21049999999999999</v>
      </c>
      <c r="FH201">
        <v>0.49996858830924029</v>
      </c>
      <c r="FI201">
        <v>-6.1462078757559423E-4</v>
      </c>
      <c r="FJ201">
        <v>-1.8861989874597051E-7</v>
      </c>
      <c r="FK201">
        <v>1.1980462299894961E-10</v>
      </c>
      <c r="FL201">
        <v>-3.8593581000597899E-2</v>
      </c>
      <c r="FM201">
        <v>-1.6848085045870601E-2</v>
      </c>
      <c r="FN201">
        <v>1.9789084769509481E-3</v>
      </c>
      <c r="FO201">
        <v>-2.7142391389806329E-5</v>
      </c>
      <c r="FP201">
        <v>3</v>
      </c>
      <c r="FQ201">
        <v>2158</v>
      </c>
      <c r="FR201">
        <v>1</v>
      </c>
      <c r="FS201">
        <v>19</v>
      </c>
      <c r="FT201">
        <v>39.799999999999997</v>
      </c>
      <c r="FU201">
        <v>39.799999999999997</v>
      </c>
      <c r="FV201">
        <v>1.7614700000000001</v>
      </c>
      <c r="FW201">
        <v>2.5903299999999998</v>
      </c>
      <c r="FX201">
        <v>1.5490699999999999</v>
      </c>
      <c r="FY201">
        <v>2.3303199999999999</v>
      </c>
      <c r="FZ201">
        <v>1.50024</v>
      </c>
      <c r="GA201">
        <v>2.3571800000000001</v>
      </c>
      <c r="GB201">
        <v>34.054499999999997</v>
      </c>
      <c r="GC201">
        <v>23.982399999999998</v>
      </c>
      <c r="GD201">
        <v>19</v>
      </c>
      <c r="GE201">
        <v>266.702</v>
      </c>
      <c r="GF201">
        <v>576.20299999999997</v>
      </c>
      <c r="GG201">
        <v>21.6264</v>
      </c>
      <c r="GH201">
        <v>26.054600000000001</v>
      </c>
      <c r="GI201">
        <v>29.9998</v>
      </c>
      <c r="GJ201">
        <v>26.231200000000001</v>
      </c>
      <c r="GK201">
        <v>26.228999999999999</v>
      </c>
      <c r="GL201">
        <v>35.232500000000002</v>
      </c>
      <c r="GM201">
        <v>100</v>
      </c>
      <c r="GN201">
        <v>12.186500000000001</v>
      </c>
      <c r="GO201">
        <v>21.612200000000001</v>
      </c>
      <c r="GP201">
        <v>800</v>
      </c>
      <c r="GQ201">
        <v>0</v>
      </c>
      <c r="GR201">
        <v>99.800200000000004</v>
      </c>
      <c r="GS201">
        <v>99.693799999999996</v>
      </c>
    </row>
    <row r="202" spans="1:201" x14ac:dyDescent="0.25">
      <c r="A202">
        <v>186</v>
      </c>
      <c r="B202">
        <v>1690308650</v>
      </c>
      <c r="C202">
        <v>2031.400000095367</v>
      </c>
      <c r="D202" t="s">
        <v>705</v>
      </c>
      <c r="E202" t="s">
        <v>706</v>
      </c>
      <c r="F202" t="s">
        <v>330</v>
      </c>
      <c r="H202">
        <v>1690308650</v>
      </c>
      <c r="I202">
        <f t="shared" si="60"/>
        <v>2.0053265828701701E-3</v>
      </c>
      <c r="J202">
        <f t="shared" si="61"/>
        <v>2.0053265828701701</v>
      </c>
      <c r="K202">
        <f t="shared" si="62"/>
        <v>30.318662914814478</v>
      </c>
      <c r="L202">
        <f t="shared" si="63"/>
        <v>474.88200000000001</v>
      </c>
      <c r="M202">
        <f t="shared" si="64"/>
        <v>144.73500675171522</v>
      </c>
      <c r="N202">
        <f t="shared" si="65"/>
        <v>14.372456535437934</v>
      </c>
      <c r="O202">
        <f t="shared" si="66"/>
        <v>47.156669679575998</v>
      </c>
      <c r="P202">
        <f t="shared" si="67"/>
        <v>0.15496658548876177</v>
      </c>
      <c r="Q202">
        <f t="shared" si="68"/>
        <v>2.1954268797558121</v>
      </c>
      <c r="R202">
        <f t="shared" si="69"/>
        <v>0.14913607903412504</v>
      </c>
      <c r="S202">
        <f t="shared" si="70"/>
        <v>9.3715619935890643E-2</v>
      </c>
      <c r="T202">
        <f t="shared" si="71"/>
        <v>276.11664762600003</v>
      </c>
      <c r="U202">
        <f t="shared" si="72"/>
        <v>25.85019910602108</v>
      </c>
      <c r="V202">
        <f t="shared" si="73"/>
        <v>25.85019910602108</v>
      </c>
      <c r="W202">
        <f t="shared" si="74"/>
        <v>3.3444638261834014</v>
      </c>
      <c r="X202">
        <f t="shared" si="75"/>
        <v>66.664966000365439</v>
      </c>
      <c r="Y202">
        <f t="shared" si="76"/>
        <v>2.0454595978112002</v>
      </c>
      <c r="Z202">
        <f t="shared" si="77"/>
        <v>3.0682676682081977</v>
      </c>
      <c r="AA202">
        <f t="shared" si="78"/>
        <v>1.2990042283722012</v>
      </c>
      <c r="AB202">
        <f t="shared" si="79"/>
        <v>-88.434902304574507</v>
      </c>
      <c r="AC202">
        <f t="shared" si="80"/>
        <v>-171.27843882737898</v>
      </c>
      <c r="AD202">
        <f t="shared" si="81"/>
        <v>-16.523417736568742</v>
      </c>
      <c r="AE202">
        <f t="shared" si="82"/>
        <v>-0.12011124252217087</v>
      </c>
      <c r="AF202">
        <v>12</v>
      </c>
      <c r="AG202">
        <v>4</v>
      </c>
      <c r="AH202">
        <f t="shared" si="83"/>
        <v>1</v>
      </c>
      <c r="AI202">
        <f t="shared" si="84"/>
        <v>0</v>
      </c>
      <c r="AJ202">
        <f t="shared" si="85"/>
        <v>52900.451526611716</v>
      </c>
      <c r="AK202">
        <f t="shared" si="86"/>
        <v>1800</v>
      </c>
      <c r="AL202">
        <f t="shared" si="87"/>
        <v>1499.1126066000002</v>
      </c>
      <c r="AM202">
        <f t="shared" si="88"/>
        <v>0.83284033700000004</v>
      </c>
      <c r="AN202">
        <f t="shared" si="89"/>
        <v>0.15339813757000001</v>
      </c>
      <c r="AO202">
        <v>31.2</v>
      </c>
      <c r="AP202">
        <v>0.5</v>
      </c>
      <c r="AQ202" t="s">
        <v>331</v>
      </c>
      <c r="AR202">
        <v>2</v>
      </c>
      <c r="AS202">
        <v>1690308650</v>
      </c>
      <c r="AT202">
        <v>474.88200000000001</v>
      </c>
      <c r="AU202">
        <v>799.94500000000005</v>
      </c>
      <c r="AV202">
        <v>20.598400000000002</v>
      </c>
      <c r="AW202">
        <v>0.18232300000000001</v>
      </c>
      <c r="AX202">
        <v>474.70299999999997</v>
      </c>
      <c r="AY202">
        <v>20.387899999999998</v>
      </c>
      <c r="AZ202">
        <v>300.14299999999997</v>
      </c>
      <c r="BA202">
        <v>99.201800000000006</v>
      </c>
      <c r="BB202">
        <v>0.100068</v>
      </c>
      <c r="BC202">
        <v>24.403099999999998</v>
      </c>
      <c r="BD202">
        <v>27.003599999999999</v>
      </c>
      <c r="BE202">
        <v>26.116199999999999</v>
      </c>
      <c r="BF202">
        <v>0</v>
      </c>
      <c r="BG202">
        <v>0</v>
      </c>
      <c r="BH202">
        <v>9997.5</v>
      </c>
      <c r="BI202">
        <v>1042.71</v>
      </c>
      <c r="BJ202">
        <v>1.62592</v>
      </c>
      <c r="BK202">
        <v>-325.06400000000002</v>
      </c>
      <c r="BL202">
        <v>484.86900000000003</v>
      </c>
      <c r="BM202">
        <v>800.09100000000001</v>
      </c>
      <c r="BN202">
        <v>20.416</v>
      </c>
      <c r="BO202">
        <v>799.94500000000005</v>
      </c>
      <c r="BP202">
        <v>0.18232300000000001</v>
      </c>
      <c r="BQ202">
        <v>2.0434000000000001</v>
      </c>
      <c r="BR202">
        <v>1.80868E-2</v>
      </c>
      <c r="BS202">
        <v>17.784700000000001</v>
      </c>
      <c r="BT202">
        <v>-40.389400000000002</v>
      </c>
      <c r="BU202">
        <v>1800</v>
      </c>
      <c r="BV202">
        <v>0.90998500000000004</v>
      </c>
      <c r="BW202">
        <v>3.3990800000000002E-2</v>
      </c>
      <c r="BX202">
        <v>2.2009600000000001E-2</v>
      </c>
      <c r="BY202">
        <v>3.4014700000000002E-2</v>
      </c>
      <c r="BZ202">
        <v>26</v>
      </c>
      <c r="CA202">
        <v>33528.300000000003</v>
      </c>
      <c r="CB202">
        <v>1690306253.5999999</v>
      </c>
      <c r="CC202" t="s">
        <v>332</v>
      </c>
      <c r="CD202">
        <v>1690306253.5999999</v>
      </c>
      <c r="CE202">
        <v>1690306251.5999999</v>
      </c>
      <c r="CF202">
        <v>9</v>
      </c>
      <c r="CG202">
        <v>0.19</v>
      </c>
      <c r="CH202">
        <v>-8.7999999999999995E-2</v>
      </c>
      <c r="CI202">
        <v>-5.0999999999999997E-2</v>
      </c>
      <c r="CJ202">
        <v>5.0999999999999997E-2</v>
      </c>
      <c r="CK202">
        <v>799</v>
      </c>
      <c r="CL202">
        <v>15</v>
      </c>
      <c r="CM202">
        <v>0.28000000000000003</v>
      </c>
      <c r="CN202">
        <v>0.03</v>
      </c>
      <c r="CO202">
        <v>-324.88502499999998</v>
      </c>
      <c r="CP202">
        <v>-1.499178236397084</v>
      </c>
      <c r="CQ202">
        <v>0.1562825146169593</v>
      </c>
      <c r="CR202">
        <v>-1</v>
      </c>
      <c r="CS202">
        <v>20.406982500000002</v>
      </c>
      <c r="CT202">
        <v>0.10292645403376691</v>
      </c>
      <c r="CU202">
        <v>1.0999315603709011E-2</v>
      </c>
      <c r="CV202">
        <v>-1</v>
      </c>
      <c r="CW202">
        <v>0</v>
      </c>
      <c r="CX202">
        <v>0</v>
      </c>
      <c r="CY202" t="s">
        <v>333</v>
      </c>
      <c r="CZ202">
        <v>2.3647499999999999</v>
      </c>
      <c r="DA202">
        <v>2.7138599999999999</v>
      </c>
      <c r="DB202">
        <v>0.10187</v>
      </c>
      <c r="DC202">
        <v>0.146179</v>
      </c>
      <c r="DD202">
        <v>0.10222000000000001</v>
      </c>
      <c r="DE202">
        <v>1.5349700000000001E-3</v>
      </c>
      <c r="DF202">
        <v>32813.699999999997</v>
      </c>
      <c r="DG202">
        <v>27548.7</v>
      </c>
      <c r="DH202">
        <v>31190</v>
      </c>
      <c r="DI202">
        <v>28114.7</v>
      </c>
      <c r="DJ202">
        <v>38020.699999999997</v>
      </c>
      <c r="DK202">
        <v>39930.800000000003</v>
      </c>
      <c r="DL202">
        <v>44391.3</v>
      </c>
      <c r="DM202">
        <v>42618.400000000001</v>
      </c>
      <c r="DN202">
        <v>1.4392199999999999</v>
      </c>
      <c r="DO202">
        <v>2.0295000000000001</v>
      </c>
      <c r="DP202">
        <v>0.18010999999999999</v>
      </c>
      <c r="DQ202">
        <v>0.150837</v>
      </c>
      <c r="DR202">
        <v>24.050899999999999</v>
      </c>
      <c r="DS202">
        <v>23.640899999999998</v>
      </c>
      <c r="DT202">
        <v>23.3</v>
      </c>
      <c r="DU202">
        <v>29.7</v>
      </c>
      <c r="DV202">
        <v>9.8349899999999995</v>
      </c>
      <c r="DW202">
        <v>61.693100000000001</v>
      </c>
      <c r="DX202">
        <v>37.363799999999998</v>
      </c>
      <c r="DY202">
        <v>1</v>
      </c>
      <c r="DZ202">
        <v>-0.102566</v>
      </c>
      <c r="EA202">
        <v>1.1252</v>
      </c>
      <c r="EB202">
        <v>20.185600000000001</v>
      </c>
      <c r="EC202">
        <v>5.2411000000000003</v>
      </c>
      <c r="ED202">
        <v>12.039899999999999</v>
      </c>
      <c r="EE202">
        <v>5.0167000000000002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1.86893</v>
      </c>
      <c r="EL202">
        <v>1.8646199999999999</v>
      </c>
      <c r="EM202">
        <v>1.8692</v>
      </c>
      <c r="EN202">
        <v>1.86724</v>
      </c>
      <c r="EO202">
        <v>1.8633999999999999</v>
      </c>
      <c r="EP202">
        <v>1.8644700000000001</v>
      </c>
      <c r="EQ202">
        <v>1.8702000000000001</v>
      </c>
      <c r="ER202">
        <v>1.86944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0.17899999999999999</v>
      </c>
      <c r="FG202">
        <v>0.21049999999999999</v>
      </c>
      <c r="FH202">
        <v>0.49996858830924029</v>
      </c>
      <c r="FI202">
        <v>-6.1462078757559423E-4</v>
      </c>
      <c r="FJ202">
        <v>-1.8861989874597051E-7</v>
      </c>
      <c r="FK202">
        <v>1.1980462299894961E-10</v>
      </c>
      <c r="FL202">
        <v>-3.8593581000597899E-2</v>
      </c>
      <c r="FM202">
        <v>-1.6848085045870601E-2</v>
      </c>
      <c r="FN202">
        <v>1.9789084769509481E-3</v>
      </c>
      <c r="FO202">
        <v>-2.7142391389806329E-5</v>
      </c>
      <c r="FP202">
        <v>3</v>
      </c>
      <c r="FQ202">
        <v>2158</v>
      </c>
      <c r="FR202">
        <v>1</v>
      </c>
      <c r="FS202">
        <v>19</v>
      </c>
      <c r="FT202">
        <v>39.9</v>
      </c>
      <c r="FU202">
        <v>40</v>
      </c>
      <c r="FV202">
        <v>1.7626999999999999</v>
      </c>
      <c r="FW202">
        <v>2.5915499999999998</v>
      </c>
      <c r="FX202">
        <v>1.5490699999999999</v>
      </c>
      <c r="FY202">
        <v>2.3303199999999999</v>
      </c>
      <c r="FZ202">
        <v>1.50146</v>
      </c>
      <c r="GA202">
        <v>2.34619</v>
      </c>
      <c r="GB202">
        <v>34.054499999999997</v>
      </c>
      <c r="GC202">
        <v>23.991199999999999</v>
      </c>
      <c r="GD202">
        <v>19</v>
      </c>
      <c r="GE202">
        <v>266.928</v>
      </c>
      <c r="GF202">
        <v>576.25400000000002</v>
      </c>
      <c r="GG202">
        <v>21.621300000000002</v>
      </c>
      <c r="GH202">
        <v>26.052600000000002</v>
      </c>
      <c r="GI202">
        <v>30.0002</v>
      </c>
      <c r="GJ202">
        <v>26.228999999999999</v>
      </c>
      <c r="GK202">
        <v>26.226299999999998</v>
      </c>
      <c r="GL202">
        <v>35.234999999999999</v>
      </c>
      <c r="GM202">
        <v>100</v>
      </c>
      <c r="GN202">
        <v>11.803100000000001</v>
      </c>
      <c r="GO202">
        <v>21.620999999999999</v>
      </c>
      <c r="GP202">
        <v>800</v>
      </c>
      <c r="GQ202">
        <v>0</v>
      </c>
      <c r="GR202">
        <v>99.801199999999994</v>
      </c>
      <c r="GS202">
        <v>99.693399999999997</v>
      </c>
    </row>
    <row r="203" spans="1:201" x14ac:dyDescent="0.25">
      <c r="A203">
        <v>187</v>
      </c>
      <c r="B203">
        <v>1690308660</v>
      </c>
      <c r="C203">
        <v>2041.400000095367</v>
      </c>
      <c r="D203" t="s">
        <v>707</v>
      </c>
      <c r="E203" t="s">
        <v>708</v>
      </c>
      <c r="F203" t="s">
        <v>330</v>
      </c>
      <c r="H203">
        <v>1690308660</v>
      </c>
      <c r="I203">
        <f t="shared" si="60"/>
        <v>2.0057402524478584E-3</v>
      </c>
      <c r="J203">
        <f t="shared" si="61"/>
        <v>2.0057402524478585</v>
      </c>
      <c r="K203">
        <f t="shared" si="62"/>
        <v>30.349381933430916</v>
      </c>
      <c r="L203">
        <f t="shared" si="63"/>
        <v>474.49599999999998</v>
      </c>
      <c r="M203">
        <f t="shared" si="64"/>
        <v>144.60854918571457</v>
      </c>
      <c r="N203">
        <f t="shared" si="65"/>
        <v>14.359985032693826</v>
      </c>
      <c r="O203">
        <f t="shared" si="66"/>
        <v>47.118621246399996</v>
      </c>
      <c r="P203">
        <f t="shared" si="67"/>
        <v>0.1552406251679844</v>
      </c>
      <c r="Q203">
        <f t="shared" si="68"/>
        <v>2.1992782786734528</v>
      </c>
      <c r="R203">
        <f t="shared" si="69"/>
        <v>0.14939972930184522</v>
      </c>
      <c r="S203">
        <f t="shared" si="70"/>
        <v>9.3881301984578142E-2</v>
      </c>
      <c r="T203">
        <f t="shared" si="71"/>
        <v>276.11648051400005</v>
      </c>
      <c r="U203">
        <f t="shared" si="72"/>
        <v>25.844548411079781</v>
      </c>
      <c r="V203">
        <f t="shared" si="73"/>
        <v>25.844548411079781</v>
      </c>
      <c r="W203">
        <f t="shared" si="74"/>
        <v>3.3433444446878839</v>
      </c>
      <c r="X203">
        <f t="shared" si="75"/>
        <v>66.706952043301754</v>
      </c>
      <c r="Y203">
        <f t="shared" si="76"/>
        <v>2.04635563547625</v>
      </c>
      <c r="Z203">
        <f t="shared" si="77"/>
        <v>3.0676797137244272</v>
      </c>
      <c r="AA203">
        <f t="shared" si="78"/>
        <v>1.296988809211634</v>
      </c>
      <c r="AB203">
        <f t="shared" si="79"/>
        <v>-88.453145132950553</v>
      </c>
      <c r="AC203">
        <f t="shared" si="80"/>
        <v>-171.28833684299457</v>
      </c>
      <c r="AD203">
        <f t="shared" si="81"/>
        <v>-16.494700073994409</v>
      </c>
      <c r="AE203">
        <f t="shared" si="82"/>
        <v>-0.11970153593949817</v>
      </c>
      <c r="AF203">
        <v>12</v>
      </c>
      <c r="AG203">
        <v>4</v>
      </c>
      <c r="AH203">
        <f t="shared" si="83"/>
        <v>1</v>
      </c>
      <c r="AI203">
        <f t="shared" si="84"/>
        <v>0</v>
      </c>
      <c r="AJ203">
        <f t="shared" si="85"/>
        <v>53060.184760362943</v>
      </c>
      <c r="AK203">
        <f t="shared" si="86"/>
        <v>1800</v>
      </c>
      <c r="AL203">
        <f t="shared" si="87"/>
        <v>1499.1118974000001</v>
      </c>
      <c r="AM203">
        <f t="shared" si="88"/>
        <v>0.83283994300000008</v>
      </c>
      <c r="AN203">
        <f t="shared" si="89"/>
        <v>0.15339804473000002</v>
      </c>
      <c r="AO203">
        <v>31.2</v>
      </c>
      <c r="AP203">
        <v>0.5</v>
      </c>
      <c r="AQ203" t="s">
        <v>331</v>
      </c>
      <c r="AR203">
        <v>2</v>
      </c>
      <c r="AS203">
        <v>1690308660</v>
      </c>
      <c r="AT203">
        <v>474.49599999999998</v>
      </c>
      <c r="AU203">
        <v>799.971</v>
      </c>
      <c r="AV203">
        <v>20.607299999999999</v>
      </c>
      <c r="AW203">
        <v>0.181004</v>
      </c>
      <c r="AX203">
        <v>474.31799999999998</v>
      </c>
      <c r="AY203">
        <v>20.396599999999999</v>
      </c>
      <c r="AZ203">
        <v>300.05200000000002</v>
      </c>
      <c r="BA203">
        <v>99.202500000000001</v>
      </c>
      <c r="BB203">
        <v>9.9962499999999996E-2</v>
      </c>
      <c r="BC203">
        <v>24.399899999999999</v>
      </c>
      <c r="BD203">
        <v>27.016300000000001</v>
      </c>
      <c r="BE203">
        <v>26.1069</v>
      </c>
      <c r="BF203">
        <v>0</v>
      </c>
      <c r="BG203">
        <v>0</v>
      </c>
      <c r="BH203">
        <v>10028.799999999999</v>
      </c>
      <c r="BI203">
        <v>1042.82</v>
      </c>
      <c r="BJ203">
        <v>1.62592</v>
      </c>
      <c r="BK203">
        <v>-325.47500000000002</v>
      </c>
      <c r="BL203">
        <v>484.48</v>
      </c>
      <c r="BM203">
        <v>800.11599999999999</v>
      </c>
      <c r="BN203">
        <v>20.426300000000001</v>
      </c>
      <c r="BO203">
        <v>799.971</v>
      </c>
      <c r="BP203">
        <v>0.181004</v>
      </c>
      <c r="BQ203">
        <v>2.0442999999999998</v>
      </c>
      <c r="BR203">
        <v>1.7956E-2</v>
      </c>
      <c r="BS203">
        <v>17.791699999999999</v>
      </c>
      <c r="BT203">
        <v>-40.458599999999997</v>
      </c>
      <c r="BU203">
        <v>1800</v>
      </c>
      <c r="BV203">
        <v>0.90998500000000004</v>
      </c>
      <c r="BW203">
        <v>3.3990699999999999E-2</v>
      </c>
      <c r="BX203">
        <v>2.2009399999999998E-2</v>
      </c>
      <c r="BY203">
        <v>3.4014500000000003E-2</v>
      </c>
      <c r="BZ203">
        <v>26</v>
      </c>
      <c r="CA203">
        <v>33528.199999999997</v>
      </c>
      <c r="CB203">
        <v>1690306253.5999999</v>
      </c>
      <c r="CC203" t="s">
        <v>332</v>
      </c>
      <c r="CD203">
        <v>1690306253.5999999</v>
      </c>
      <c r="CE203">
        <v>1690306251.5999999</v>
      </c>
      <c r="CF203">
        <v>9</v>
      </c>
      <c r="CG203">
        <v>0.19</v>
      </c>
      <c r="CH203">
        <v>-8.7999999999999995E-2</v>
      </c>
      <c r="CI203">
        <v>-5.0999999999999997E-2</v>
      </c>
      <c r="CJ203">
        <v>5.0999999999999997E-2</v>
      </c>
      <c r="CK203">
        <v>799</v>
      </c>
      <c r="CL203">
        <v>15</v>
      </c>
      <c r="CM203">
        <v>0.28000000000000003</v>
      </c>
      <c r="CN203">
        <v>0.03</v>
      </c>
      <c r="CO203">
        <v>-325.14492499999989</v>
      </c>
      <c r="CP203">
        <v>-1.6639362101306461</v>
      </c>
      <c r="CQ203">
        <v>0.17116824873497649</v>
      </c>
      <c r="CR203">
        <v>-1</v>
      </c>
      <c r="CS203">
        <v>20.417392499999998</v>
      </c>
      <c r="CT203">
        <v>2.6698311444625152E-2</v>
      </c>
      <c r="CU203">
        <v>2.8862941204946179E-3</v>
      </c>
      <c r="CV203">
        <v>-1</v>
      </c>
      <c r="CW203">
        <v>0</v>
      </c>
      <c r="CX203">
        <v>0</v>
      </c>
      <c r="CY203" t="s">
        <v>333</v>
      </c>
      <c r="CZ203">
        <v>2.36443</v>
      </c>
      <c r="DA203">
        <v>2.7137799999999999</v>
      </c>
      <c r="DB203">
        <v>0.101811</v>
      </c>
      <c r="DC203">
        <v>0.14618400000000001</v>
      </c>
      <c r="DD203">
        <v>0.102252</v>
      </c>
      <c r="DE203">
        <v>1.5240099999999999E-3</v>
      </c>
      <c r="DF203">
        <v>32816.699999999997</v>
      </c>
      <c r="DG203">
        <v>27548.6</v>
      </c>
      <c r="DH203">
        <v>31190.799999999999</v>
      </c>
      <c r="DI203">
        <v>28114.7</v>
      </c>
      <c r="DJ203">
        <v>38020.199999999997</v>
      </c>
      <c r="DK203">
        <v>39931.4</v>
      </c>
      <c r="DL203">
        <v>44392.3</v>
      </c>
      <c r="DM203">
        <v>42618.7</v>
      </c>
      <c r="DN203">
        <v>1.4388700000000001</v>
      </c>
      <c r="DO203">
        <v>2.0297999999999998</v>
      </c>
      <c r="DP203">
        <v>0.181057</v>
      </c>
      <c r="DQ203">
        <v>0.150479</v>
      </c>
      <c r="DR203">
        <v>24.048100000000002</v>
      </c>
      <c r="DS203">
        <v>23.6374</v>
      </c>
      <c r="DT203">
        <v>23.2</v>
      </c>
      <c r="DU203">
        <v>29.7</v>
      </c>
      <c r="DV203">
        <v>9.7938899999999993</v>
      </c>
      <c r="DW203">
        <v>61.323099999999997</v>
      </c>
      <c r="DX203">
        <v>37.4679</v>
      </c>
      <c r="DY203">
        <v>1</v>
      </c>
      <c r="DZ203">
        <v>-0.102739</v>
      </c>
      <c r="EA203">
        <v>1.1438200000000001</v>
      </c>
      <c r="EB203">
        <v>20.185500000000001</v>
      </c>
      <c r="EC203">
        <v>5.2409499999999998</v>
      </c>
      <c r="ED203">
        <v>12.039899999999999</v>
      </c>
      <c r="EE203">
        <v>5.0171000000000001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1.8689199999999999</v>
      </c>
      <c r="EL203">
        <v>1.86463</v>
      </c>
      <c r="EM203">
        <v>1.8692</v>
      </c>
      <c r="EN203">
        <v>1.8672200000000001</v>
      </c>
      <c r="EO203">
        <v>1.8633599999999999</v>
      </c>
      <c r="EP203">
        <v>1.8644700000000001</v>
      </c>
      <c r="EQ203">
        <v>1.8702000000000001</v>
      </c>
      <c r="ER203">
        <v>1.86944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0.17799999999999999</v>
      </c>
      <c r="FG203">
        <v>0.2107</v>
      </c>
      <c r="FH203">
        <v>0.49996858830924029</v>
      </c>
      <c r="FI203">
        <v>-6.1462078757559423E-4</v>
      </c>
      <c r="FJ203">
        <v>-1.8861989874597051E-7</v>
      </c>
      <c r="FK203">
        <v>1.1980462299894961E-10</v>
      </c>
      <c r="FL203">
        <v>-3.8593581000597899E-2</v>
      </c>
      <c r="FM203">
        <v>-1.6848085045870601E-2</v>
      </c>
      <c r="FN203">
        <v>1.9789084769509481E-3</v>
      </c>
      <c r="FO203">
        <v>-2.7142391389806329E-5</v>
      </c>
      <c r="FP203">
        <v>3</v>
      </c>
      <c r="FQ203">
        <v>2158</v>
      </c>
      <c r="FR203">
        <v>1</v>
      </c>
      <c r="FS203">
        <v>19</v>
      </c>
      <c r="FT203">
        <v>40.1</v>
      </c>
      <c r="FU203">
        <v>40.1</v>
      </c>
      <c r="FV203">
        <v>1.7626999999999999</v>
      </c>
      <c r="FW203">
        <v>2.5903299999999998</v>
      </c>
      <c r="FX203">
        <v>1.5490699999999999</v>
      </c>
      <c r="FY203">
        <v>2.3303199999999999</v>
      </c>
      <c r="FZ203">
        <v>1.50146</v>
      </c>
      <c r="GA203">
        <v>2.35107</v>
      </c>
      <c r="GB203">
        <v>34.054499999999997</v>
      </c>
      <c r="GC203">
        <v>23.991199999999999</v>
      </c>
      <c r="GD203">
        <v>19</v>
      </c>
      <c r="GE203">
        <v>266.77699999999999</v>
      </c>
      <c r="GF203">
        <v>576.48</v>
      </c>
      <c r="GG203">
        <v>21.620699999999999</v>
      </c>
      <c r="GH203">
        <v>26.0504</v>
      </c>
      <c r="GI203">
        <v>30.0001</v>
      </c>
      <c r="GJ203">
        <v>26.226800000000001</v>
      </c>
      <c r="GK203">
        <v>26.224599999999999</v>
      </c>
      <c r="GL203">
        <v>35.232700000000001</v>
      </c>
      <c r="GM203">
        <v>100</v>
      </c>
      <c r="GN203">
        <v>11.043699999999999</v>
      </c>
      <c r="GO203">
        <v>21.616099999999999</v>
      </c>
      <c r="GP203">
        <v>800</v>
      </c>
      <c r="GQ203">
        <v>0</v>
      </c>
      <c r="GR203">
        <v>99.803700000000006</v>
      </c>
      <c r="GS203">
        <v>99.693799999999996</v>
      </c>
    </row>
    <row r="204" spans="1:201" x14ac:dyDescent="0.25">
      <c r="A204">
        <v>188</v>
      </c>
      <c r="B204">
        <v>1690308670</v>
      </c>
      <c r="C204">
        <v>2051.400000095367</v>
      </c>
      <c r="D204" t="s">
        <v>709</v>
      </c>
      <c r="E204" t="s">
        <v>710</v>
      </c>
      <c r="F204" t="s">
        <v>330</v>
      </c>
      <c r="H204">
        <v>1690308670</v>
      </c>
      <c r="I204">
        <f t="shared" si="60"/>
        <v>2.0054543390008719E-3</v>
      </c>
      <c r="J204">
        <f t="shared" si="61"/>
        <v>2.0054543390008721</v>
      </c>
      <c r="K204">
        <f t="shared" si="62"/>
        <v>30.348752277817333</v>
      </c>
      <c r="L204">
        <f t="shared" si="63"/>
        <v>474.41899999999998</v>
      </c>
      <c r="M204">
        <f t="shared" si="64"/>
        <v>144.430126310768</v>
      </c>
      <c r="N204">
        <f t="shared" si="65"/>
        <v>14.341974774168563</v>
      </c>
      <c r="O204">
        <f t="shared" si="66"/>
        <v>47.110014400638207</v>
      </c>
      <c r="P204">
        <f t="shared" si="67"/>
        <v>0.15518922328141183</v>
      </c>
      <c r="Q204">
        <f t="shared" si="68"/>
        <v>2.1980269275838875</v>
      </c>
      <c r="R204">
        <f t="shared" si="69"/>
        <v>0.14934892794371418</v>
      </c>
      <c r="S204">
        <f t="shared" si="70"/>
        <v>9.3849494876473233E-2</v>
      </c>
      <c r="T204">
        <f t="shared" si="71"/>
        <v>276.11669534399999</v>
      </c>
      <c r="U204">
        <f t="shared" si="72"/>
        <v>25.844598843939803</v>
      </c>
      <c r="V204">
        <f t="shared" si="73"/>
        <v>25.844598843939803</v>
      </c>
      <c r="W204">
        <f t="shared" si="74"/>
        <v>3.3433544338009811</v>
      </c>
      <c r="X204">
        <f t="shared" si="75"/>
        <v>66.70296111522363</v>
      </c>
      <c r="Y204">
        <f t="shared" si="76"/>
        <v>2.0461351710878999</v>
      </c>
      <c r="Z204">
        <f t="shared" si="77"/>
        <v>3.0675327404931503</v>
      </c>
      <c r="AA204">
        <f t="shared" si="78"/>
        <v>1.2972192627130812</v>
      </c>
      <c r="AB204">
        <f t="shared" si="79"/>
        <v>-88.440536349938455</v>
      </c>
      <c r="AC204">
        <f t="shared" si="80"/>
        <v>-171.29165307595366</v>
      </c>
      <c r="AD204">
        <f t="shared" si="81"/>
        <v>-16.504348011446304</v>
      </c>
      <c r="AE204">
        <f t="shared" si="82"/>
        <v>-0.1198420933384341</v>
      </c>
      <c r="AF204">
        <v>12</v>
      </c>
      <c r="AG204">
        <v>4</v>
      </c>
      <c r="AH204">
        <f t="shared" si="83"/>
        <v>1</v>
      </c>
      <c r="AI204">
        <f t="shared" si="84"/>
        <v>0</v>
      </c>
      <c r="AJ204">
        <f t="shared" si="85"/>
        <v>53008.542540958581</v>
      </c>
      <c r="AK204">
        <f t="shared" si="86"/>
        <v>1800</v>
      </c>
      <c r="AL204">
        <f t="shared" si="87"/>
        <v>1499.1131484</v>
      </c>
      <c r="AM204">
        <f t="shared" si="88"/>
        <v>0.83284063799999997</v>
      </c>
      <c r="AN204">
        <f t="shared" si="89"/>
        <v>0.15339816407999998</v>
      </c>
      <c r="AO204">
        <v>31.2</v>
      </c>
      <c r="AP204">
        <v>0.5</v>
      </c>
      <c r="AQ204" t="s">
        <v>331</v>
      </c>
      <c r="AR204">
        <v>2</v>
      </c>
      <c r="AS204">
        <v>1690308670</v>
      </c>
      <c r="AT204">
        <v>474.41899999999998</v>
      </c>
      <c r="AU204">
        <v>799.93</v>
      </c>
      <c r="AV204">
        <v>20.605499999999999</v>
      </c>
      <c r="AW204">
        <v>0.17921899999999999</v>
      </c>
      <c r="AX204">
        <v>474.24</v>
      </c>
      <c r="AY204">
        <v>20.3948</v>
      </c>
      <c r="AZ204">
        <v>300.01</v>
      </c>
      <c r="BA204">
        <v>99.200500000000005</v>
      </c>
      <c r="BB204">
        <v>9.9937799999999993E-2</v>
      </c>
      <c r="BC204">
        <v>24.399100000000001</v>
      </c>
      <c r="BD204">
        <v>27.041799999999999</v>
      </c>
      <c r="BE204">
        <v>26.1233</v>
      </c>
      <c r="BF204">
        <v>0</v>
      </c>
      <c r="BG204">
        <v>0</v>
      </c>
      <c r="BH204">
        <v>10018.799999999999</v>
      </c>
      <c r="BI204">
        <v>1042.8</v>
      </c>
      <c r="BJ204">
        <v>1.62592</v>
      </c>
      <c r="BK204">
        <v>-325.51100000000002</v>
      </c>
      <c r="BL204">
        <v>484.4</v>
      </c>
      <c r="BM204">
        <v>800.07299999999998</v>
      </c>
      <c r="BN204">
        <v>20.426300000000001</v>
      </c>
      <c r="BO204">
        <v>799.93</v>
      </c>
      <c r="BP204">
        <v>0.17921899999999999</v>
      </c>
      <c r="BQ204">
        <v>2.0440700000000001</v>
      </c>
      <c r="BR204">
        <v>1.7778599999999999E-2</v>
      </c>
      <c r="BS204">
        <v>17.789899999999999</v>
      </c>
      <c r="BT204">
        <v>-40.553199999999997</v>
      </c>
      <c r="BU204">
        <v>1800</v>
      </c>
      <c r="BV204">
        <v>0.90998599999999996</v>
      </c>
      <c r="BW204">
        <v>3.3990600000000003E-2</v>
      </c>
      <c r="BX204">
        <v>2.2009399999999998E-2</v>
      </c>
      <c r="BY204">
        <v>3.40144E-2</v>
      </c>
      <c r="BZ204">
        <v>26</v>
      </c>
      <c r="CA204">
        <v>33528.300000000003</v>
      </c>
      <c r="CB204">
        <v>1690306253.5999999</v>
      </c>
      <c r="CC204" t="s">
        <v>332</v>
      </c>
      <c r="CD204">
        <v>1690306253.5999999</v>
      </c>
      <c r="CE204">
        <v>1690306251.5999999</v>
      </c>
      <c r="CF204">
        <v>9</v>
      </c>
      <c r="CG204">
        <v>0.19</v>
      </c>
      <c r="CH204">
        <v>-8.7999999999999995E-2</v>
      </c>
      <c r="CI204">
        <v>-5.0999999999999997E-2</v>
      </c>
      <c r="CJ204">
        <v>5.0999999999999997E-2</v>
      </c>
      <c r="CK204">
        <v>799</v>
      </c>
      <c r="CL204">
        <v>15</v>
      </c>
      <c r="CM204">
        <v>0.28000000000000003</v>
      </c>
      <c r="CN204">
        <v>0.03</v>
      </c>
      <c r="CO204">
        <v>-325.40922499999999</v>
      </c>
      <c r="CP204">
        <v>-1.376971857411289</v>
      </c>
      <c r="CQ204">
        <v>0.15229371088459079</v>
      </c>
      <c r="CR204">
        <v>-1</v>
      </c>
      <c r="CS204">
        <v>20.424212499999999</v>
      </c>
      <c r="CT204">
        <v>5.0047654784192368E-2</v>
      </c>
      <c r="CU204">
        <v>5.3525315272309297E-3</v>
      </c>
      <c r="CV204">
        <v>-1</v>
      </c>
      <c r="CW204">
        <v>0</v>
      </c>
      <c r="CX204">
        <v>0</v>
      </c>
      <c r="CY204" t="s">
        <v>333</v>
      </c>
      <c r="CZ204">
        <v>2.3643000000000001</v>
      </c>
      <c r="DA204">
        <v>2.71374</v>
      </c>
      <c r="DB204">
        <v>0.101796</v>
      </c>
      <c r="DC204">
        <v>0.146176</v>
      </c>
      <c r="DD204">
        <v>0.102244</v>
      </c>
      <c r="DE204">
        <v>1.50913E-3</v>
      </c>
      <c r="DF204">
        <v>32817.4</v>
      </c>
      <c r="DG204">
        <v>27549</v>
      </c>
      <c r="DH204">
        <v>31190.9</v>
      </c>
      <c r="DI204">
        <v>28114.9</v>
      </c>
      <c r="DJ204">
        <v>38020.800000000003</v>
      </c>
      <c r="DK204">
        <v>39932</v>
      </c>
      <c r="DL204">
        <v>44392.6</v>
      </c>
      <c r="DM204">
        <v>42618.7</v>
      </c>
      <c r="DN204">
        <v>1.43875</v>
      </c>
      <c r="DO204">
        <v>2.0297499999999999</v>
      </c>
      <c r="DP204">
        <v>0.18281500000000001</v>
      </c>
      <c r="DQ204">
        <v>0.151701</v>
      </c>
      <c r="DR204">
        <v>24.044899999999998</v>
      </c>
      <c r="DS204">
        <v>23.633700000000001</v>
      </c>
      <c r="DT204">
        <v>23</v>
      </c>
      <c r="DU204">
        <v>29.7</v>
      </c>
      <c r="DV204">
        <v>9.7095800000000008</v>
      </c>
      <c r="DW204">
        <v>61.553100000000001</v>
      </c>
      <c r="DX204">
        <v>37.375799999999998</v>
      </c>
      <c r="DY204">
        <v>1</v>
      </c>
      <c r="DZ204">
        <v>-0.102843</v>
      </c>
      <c r="EA204">
        <v>1.2255199999999999</v>
      </c>
      <c r="EB204">
        <v>20.1846</v>
      </c>
      <c r="EC204">
        <v>5.2411000000000003</v>
      </c>
      <c r="ED204">
        <v>12.039899999999999</v>
      </c>
      <c r="EE204">
        <v>5.0174500000000002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1.86893</v>
      </c>
      <c r="EL204">
        <v>1.8646199999999999</v>
      </c>
      <c r="EM204">
        <v>1.8692</v>
      </c>
      <c r="EN204">
        <v>1.8672599999999999</v>
      </c>
      <c r="EO204">
        <v>1.8633999999999999</v>
      </c>
      <c r="EP204">
        <v>1.8644700000000001</v>
      </c>
      <c r="EQ204">
        <v>1.87016</v>
      </c>
      <c r="ER204">
        <v>1.8694299999999999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0.17899999999999999</v>
      </c>
      <c r="FG204">
        <v>0.2107</v>
      </c>
      <c r="FH204">
        <v>0.49996858830924029</v>
      </c>
      <c r="FI204">
        <v>-6.1462078757559423E-4</v>
      </c>
      <c r="FJ204">
        <v>-1.8861989874597051E-7</v>
      </c>
      <c r="FK204">
        <v>1.1980462299894961E-10</v>
      </c>
      <c r="FL204">
        <v>-3.8593581000597899E-2</v>
      </c>
      <c r="FM204">
        <v>-1.6848085045870601E-2</v>
      </c>
      <c r="FN204">
        <v>1.9789084769509481E-3</v>
      </c>
      <c r="FO204">
        <v>-2.7142391389806329E-5</v>
      </c>
      <c r="FP204">
        <v>3</v>
      </c>
      <c r="FQ204">
        <v>2158</v>
      </c>
      <c r="FR204">
        <v>1</v>
      </c>
      <c r="FS204">
        <v>19</v>
      </c>
      <c r="FT204">
        <v>40.299999999999997</v>
      </c>
      <c r="FU204">
        <v>40.299999999999997</v>
      </c>
      <c r="FV204">
        <v>1.7626999999999999</v>
      </c>
      <c r="FW204">
        <v>2.5927699999999998</v>
      </c>
      <c r="FX204">
        <v>1.5490699999999999</v>
      </c>
      <c r="FY204">
        <v>2.3303199999999999</v>
      </c>
      <c r="FZ204">
        <v>1.50146</v>
      </c>
      <c r="GA204">
        <v>2.36694</v>
      </c>
      <c r="GB204">
        <v>34.054499999999997</v>
      </c>
      <c r="GC204">
        <v>23.991199999999999</v>
      </c>
      <c r="GD204">
        <v>19</v>
      </c>
      <c r="GE204">
        <v>266.71699999999998</v>
      </c>
      <c r="GF204">
        <v>576.40899999999999</v>
      </c>
      <c r="GG204">
        <v>21.602399999999999</v>
      </c>
      <c r="GH204">
        <v>26.0487</v>
      </c>
      <c r="GI204">
        <v>30.0001</v>
      </c>
      <c r="GJ204">
        <v>26.224599999999999</v>
      </c>
      <c r="GK204">
        <v>26.221900000000002</v>
      </c>
      <c r="GL204">
        <v>35.232799999999997</v>
      </c>
      <c r="GM204">
        <v>100</v>
      </c>
      <c r="GN204">
        <v>10.658099999999999</v>
      </c>
      <c r="GO204">
        <v>21.582000000000001</v>
      </c>
      <c r="GP204">
        <v>800</v>
      </c>
      <c r="GQ204">
        <v>0</v>
      </c>
      <c r="GR204">
        <v>99.804199999999994</v>
      </c>
      <c r="GS204">
        <v>99.694100000000006</v>
      </c>
    </row>
    <row r="205" spans="1:201" x14ac:dyDescent="0.25">
      <c r="A205">
        <v>189</v>
      </c>
      <c r="B205">
        <v>1690308680</v>
      </c>
      <c r="C205">
        <v>2061.400000095367</v>
      </c>
      <c r="D205" t="s">
        <v>711</v>
      </c>
      <c r="E205" t="s">
        <v>712</v>
      </c>
      <c r="F205" t="s">
        <v>330</v>
      </c>
      <c r="H205">
        <v>1690308680</v>
      </c>
      <c r="I205">
        <f t="shared" si="60"/>
        <v>2.006459550958432E-3</v>
      </c>
      <c r="J205">
        <f t="shared" si="61"/>
        <v>2.0064595509584322</v>
      </c>
      <c r="K205">
        <f t="shared" si="62"/>
        <v>30.405272276469745</v>
      </c>
      <c r="L205">
        <f t="shared" si="63"/>
        <v>473.98500000000001</v>
      </c>
      <c r="M205">
        <f t="shared" si="64"/>
        <v>143.72543501597076</v>
      </c>
      <c r="N205">
        <f t="shared" si="65"/>
        <v>14.271827328107896</v>
      </c>
      <c r="O205">
        <f t="shared" si="66"/>
        <v>47.066353115310008</v>
      </c>
      <c r="P205">
        <f t="shared" si="67"/>
        <v>0.15535762879357384</v>
      </c>
      <c r="Q205">
        <f t="shared" si="68"/>
        <v>2.1930876876350425</v>
      </c>
      <c r="R205">
        <f t="shared" si="69"/>
        <v>0.14949226223046436</v>
      </c>
      <c r="S205">
        <f t="shared" si="70"/>
        <v>9.3941193736515383E-2</v>
      </c>
      <c r="T205">
        <f t="shared" si="71"/>
        <v>276.11656154999997</v>
      </c>
      <c r="U205">
        <f t="shared" si="72"/>
        <v>25.844829476883746</v>
      </c>
      <c r="V205">
        <f t="shared" si="73"/>
        <v>25.844829476883746</v>
      </c>
      <c r="W205">
        <f t="shared" si="74"/>
        <v>3.3434001150356676</v>
      </c>
      <c r="X205">
        <f t="shared" si="75"/>
        <v>66.734087963200892</v>
      </c>
      <c r="Y205">
        <f t="shared" si="76"/>
        <v>2.0467957782504005</v>
      </c>
      <c r="Z205">
        <f t="shared" si="77"/>
        <v>3.0670918577310338</v>
      </c>
      <c r="AA205">
        <f t="shared" si="78"/>
        <v>1.2966043367852671</v>
      </c>
      <c r="AB205">
        <f t="shared" si="79"/>
        <v>-88.484866197266854</v>
      </c>
      <c r="AC205">
        <f t="shared" si="80"/>
        <v>-171.2177690027012</v>
      </c>
      <c r="AD205">
        <f t="shared" si="81"/>
        <v>-16.534203807054499</v>
      </c>
      <c r="AE205">
        <f t="shared" si="82"/>
        <v>-0.1202774570225813</v>
      </c>
      <c r="AF205">
        <v>12</v>
      </c>
      <c r="AG205">
        <v>4</v>
      </c>
      <c r="AH205">
        <f t="shared" si="83"/>
        <v>1</v>
      </c>
      <c r="AI205">
        <f t="shared" si="84"/>
        <v>0</v>
      </c>
      <c r="AJ205">
        <f t="shared" si="85"/>
        <v>52805.013823230118</v>
      </c>
      <c r="AK205">
        <f t="shared" si="86"/>
        <v>1800</v>
      </c>
      <c r="AL205">
        <f t="shared" si="87"/>
        <v>1499.1130980000003</v>
      </c>
      <c r="AM205">
        <f t="shared" si="88"/>
        <v>0.83284061000000009</v>
      </c>
      <c r="AN205">
        <f t="shared" si="89"/>
        <v>0.15339808974999999</v>
      </c>
      <c r="AO205">
        <v>31.2</v>
      </c>
      <c r="AP205">
        <v>0.5</v>
      </c>
      <c r="AQ205" t="s">
        <v>331</v>
      </c>
      <c r="AR205">
        <v>2</v>
      </c>
      <c r="AS205">
        <v>1690308680</v>
      </c>
      <c r="AT205">
        <v>473.98500000000001</v>
      </c>
      <c r="AU205">
        <v>800.04600000000005</v>
      </c>
      <c r="AV205">
        <v>20.612400000000001</v>
      </c>
      <c r="AW205">
        <v>0.17813599999999999</v>
      </c>
      <c r="AX205">
        <v>473.80599999999998</v>
      </c>
      <c r="AY205">
        <v>20.401499999999999</v>
      </c>
      <c r="AZ205">
        <v>300.041</v>
      </c>
      <c r="BA205">
        <v>99.199200000000005</v>
      </c>
      <c r="BB205">
        <v>0.100046</v>
      </c>
      <c r="BC205">
        <v>24.396699999999999</v>
      </c>
      <c r="BD205">
        <v>26.9621</v>
      </c>
      <c r="BE205">
        <v>26.105</v>
      </c>
      <c r="BF205">
        <v>0</v>
      </c>
      <c r="BG205">
        <v>0</v>
      </c>
      <c r="BH205">
        <v>9978.75</v>
      </c>
      <c r="BI205">
        <v>1042.8699999999999</v>
      </c>
      <c r="BJ205">
        <v>1.62592</v>
      </c>
      <c r="BK205">
        <v>-326.06099999999998</v>
      </c>
      <c r="BL205">
        <v>483.96</v>
      </c>
      <c r="BM205">
        <v>800.18799999999999</v>
      </c>
      <c r="BN205">
        <v>20.434200000000001</v>
      </c>
      <c r="BO205">
        <v>800.04600000000005</v>
      </c>
      <c r="BP205">
        <v>0.17813599999999999</v>
      </c>
      <c r="BQ205">
        <v>2.0447299999999999</v>
      </c>
      <c r="BR205">
        <v>1.7670999999999999E-2</v>
      </c>
      <c r="BS205">
        <v>17.795000000000002</v>
      </c>
      <c r="BT205">
        <v>-40.610999999999997</v>
      </c>
      <c r="BU205">
        <v>1800</v>
      </c>
      <c r="BV205">
        <v>0.90998900000000005</v>
      </c>
      <c r="BW205">
        <v>3.3990800000000002E-2</v>
      </c>
      <c r="BX205">
        <v>2.2009500000000001E-2</v>
      </c>
      <c r="BY205">
        <v>3.4010699999999998E-2</v>
      </c>
      <c r="BZ205">
        <v>26</v>
      </c>
      <c r="CA205">
        <v>33528.400000000001</v>
      </c>
      <c r="CB205">
        <v>1690306253.5999999</v>
      </c>
      <c r="CC205" t="s">
        <v>332</v>
      </c>
      <c r="CD205">
        <v>1690306253.5999999</v>
      </c>
      <c r="CE205">
        <v>1690306251.5999999</v>
      </c>
      <c r="CF205">
        <v>9</v>
      </c>
      <c r="CG205">
        <v>0.19</v>
      </c>
      <c r="CH205">
        <v>-8.7999999999999995E-2</v>
      </c>
      <c r="CI205">
        <v>-5.0999999999999997E-2</v>
      </c>
      <c r="CJ205">
        <v>5.0999999999999997E-2</v>
      </c>
      <c r="CK205">
        <v>799</v>
      </c>
      <c r="CL205">
        <v>15</v>
      </c>
      <c r="CM205">
        <v>0.28000000000000003</v>
      </c>
      <c r="CN205">
        <v>0.03</v>
      </c>
      <c r="CO205">
        <v>-325.67762499999998</v>
      </c>
      <c r="CP205">
        <v>-1.734022514071073</v>
      </c>
      <c r="CQ205">
        <v>0.18897998405916061</v>
      </c>
      <c r="CR205">
        <v>-1</v>
      </c>
      <c r="CS205">
        <v>20.4305375</v>
      </c>
      <c r="CT205">
        <v>2.11688555346351E-2</v>
      </c>
      <c r="CU205">
        <v>3.1790476168184578E-3</v>
      </c>
      <c r="CV205">
        <v>-1</v>
      </c>
      <c r="CW205">
        <v>0</v>
      </c>
      <c r="CX205">
        <v>0</v>
      </c>
      <c r="CY205" t="s">
        <v>333</v>
      </c>
      <c r="CZ205">
        <v>2.36443</v>
      </c>
      <c r="DA205">
        <v>2.7138200000000001</v>
      </c>
      <c r="DB205">
        <v>0.101727</v>
      </c>
      <c r="DC205">
        <v>0.14618900000000001</v>
      </c>
      <c r="DD205">
        <v>0.102267</v>
      </c>
      <c r="DE205">
        <v>1.5001000000000001E-3</v>
      </c>
      <c r="DF205">
        <v>32820.1</v>
      </c>
      <c r="DG205">
        <v>27549.200000000001</v>
      </c>
      <c r="DH205">
        <v>31191.1</v>
      </c>
      <c r="DI205">
        <v>28115.5</v>
      </c>
      <c r="DJ205">
        <v>38020.1</v>
      </c>
      <c r="DK205">
        <v>39933.1</v>
      </c>
      <c r="DL205">
        <v>44392.9</v>
      </c>
      <c r="DM205">
        <v>42619.4</v>
      </c>
      <c r="DN205">
        <v>1.4389000000000001</v>
      </c>
      <c r="DO205">
        <v>2.0296500000000002</v>
      </c>
      <c r="DP205">
        <v>0.17805399999999999</v>
      </c>
      <c r="DQ205">
        <v>0.150584</v>
      </c>
      <c r="DR205">
        <v>24.043099999999999</v>
      </c>
      <c r="DS205">
        <v>23.633700000000001</v>
      </c>
      <c r="DT205">
        <v>22.8</v>
      </c>
      <c r="DU205">
        <v>29.7</v>
      </c>
      <c r="DV205">
        <v>9.6256599999999999</v>
      </c>
      <c r="DW205">
        <v>61.603099999999998</v>
      </c>
      <c r="DX205">
        <v>37.3598</v>
      </c>
      <c r="DY205">
        <v>1</v>
      </c>
      <c r="DZ205">
        <v>-0.103341</v>
      </c>
      <c r="EA205">
        <v>1.1706000000000001</v>
      </c>
      <c r="EB205">
        <v>20.184699999999999</v>
      </c>
      <c r="EC205">
        <v>5.2411000000000003</v>
      </c>
      <c r="ED205">
        <v>12.039899999999999</v>
      </c>
      <c r="EE205">
        <v>5.0174000000000003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1.8689199999999999</v>
      </c>
      <c r="EL205">
        <v>1.8646199999999999</v>
      </c>
      <c r="EM205">
        <v>1.86921</v>
      </c>
      <c r="EN205">
        <v>1.8672500000000001</v>
      </c>
      <c r="EO205">
        <v>1.86338</v>
      </c>
      <c r="EP205">
        <v>1.8644700000000001</v>
      </c>
      <c r="EQ205">
        <v>1.87016</v>
      </c>
      <c r="ER205">
        <v>1.8694299999999999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0.17899999999999999</v>
      </c>
      <c r="FG205">
        <v>0.2109</v>
      </c>
      <c r="FH205">
        <v>0.49996858830924029</v>
      </c>
      <c r="FI205">
        <v>-6.1462078757559423E-4</v>
      </c>
      <c r="FJ205">
        <v>-1.8861989874597051E-7</v>
      </c>
      <c r="FK205">
        <v>1.1980462299894961E-10</v>
      </c>
      <c r="FL205">
        <v>-3.8593581000597899E-2</v>
      </c>
      <c r="FM205">
        <v>-1.6848085045870601E-2</v>
      </c>
      <c r="FN205">
        <v>1.9789084769509481E-3</v>
      </c>
      <c r="FO205">
        <v>-2.7142391389806329E-5</v>
      </c>
      <c r="FP205">
        <v>3</v>
      </c>
      <c r="FQ205">
        <v>2158</v>
      </c>
      <c r="FR205">
        <v>1</v>
      </c>
      <c r="FS205">
        <v>19</v>
      </c>
      <c r="FT205">
        <v>40.4</v>
      </c>
      <c r="FU205">
        <v>40.5</v>
      </c>
      <c r="FV205">
        <v>1.7614700000000001</v>
      </c>
      <c r="FW205">
        <v>2.5891099999999998</v>
      </c>
      <c r="FX205">
        <v>1.5490699999999999</v>
      </c>
      <c r="FY205">
        <v>2.3303199999999999</v>
      </c>
      <c r="FZ205">
        <v>1.50146</v>
      </c>
      <c r="GA205">
        <v>2.3718300000000001</v>
      </c>
      <c r="GB205">
        <v>34.054499999999997</v>
      </c>
      <c r="GC205">
        <v>23.991199999999999</v>
      </c>
      <c r="GD205">
        <v>19</v>
      </c>
      <c r="GE205">
        <v>266.76900000000001</v>
      </c>
      <c r="GF205">
        <v>576.29600000000005</v>
      </c>
      <c r="GG205">
        <v>21.549399999999999</v>
      </c>
      <c r="GH205">
        <v>26.047000000000001</v>
      </c>
      <c r="GI205">
        <v>29.9998</v>
      </c>
      <c r="GJ205">
        <v>26.2224</v>
      </c>
      <c r="GK205">
        <v>26.219200000000001</v>
      </c>
      <c r="GL205">
        <v>35.230400000000003</v>
      </c>
      <c r="GM205">
        <v>100</v>
      </c>
      <c r="GN205">
        <v>10.279</v>
      </c>
      <c r="GO205">
        <v>21.588699999999999</v>
      </c>
      <c r="GP205">
        <v>800</v>
      </c>
      <c r="GQ205">
        <v>0</v>
      </c>
      <c r="GR205">
        <v>99.8048</v>
      </c>
      <c r="GS205">
        <v>99.695899999999995</v>
      </c>
    </row>
    <row r="206" spans="1:201" x14ac:dyDescent="0.25">
      <c r="A206">
        <v>190</v>
      </c>
      <c r="B206">
        <v>1690308690</v>
      </c>
      <c r="C206">
        <v>2071.400000095367</v>
      </c>
      <c r="D206" t="s">
        <v>713</v>
      </c>
      <c r="E206" t="s">
        <v>714</v>
      </c>
      <c r="F206" t="s">
        <v>330</v>
      </c>
      <c r="H206">
        <v>1690308690</v>
      </c>
      <c r="I206">
        <f t="shared" si="60"/>
        <v>2.007895140768583E-3</v>
      </c>
      <c r="J206">
        <f t="shared" si="61"/>
        <v>2.007895140768583</v>
      </c>
      <c r="K206">
        <f t="shared" si="62"/>
        <v>30.437262109330344</v>
      </c>
      <c r="L206">
        <f t="shared" si="63"/>
        <v>473.71100000000001</v>
      </c>
      <c r="M206">
        <f t="shared" si="64"/>
        <v>143.79729843009554</v>
      </c>
      <c r="N206">
        <f t="shared" si="65"/>
        <v>14.27893052516143</v>
      </c>
      <c r="O206">
        <f t="shared" si="66"/>
        <v>47.039037115798003</v>
      </c>
      <c r="P206">
        <f t="shared" si="67"/>
        <v>0.15568856574521303</v>
      </c>
      <c r="Q206">
        <f t="shared" si="68"/>
        <v>2.1949310944416585</v>
      </c>
      <c r="R206">
        <f t="shared" si="69"/>
        <v>0.14980343917501485</v>
      </c>
      <c r="S206">
        <f t="shared" si="70"/>
        <v>9.4137369613461641E-2</v>
      </c>
      <c r="T206">
        <f t="shared" si="71"/>
        <v>276.116490054</v>
      </c>
      <c r="U206">
        <f t="shared" si="72"/>
        <v>25.83963537719163</v>
      </c>
      <c r="V206">
        <f t="shared" si="73"/>
        <v>25.83963537719163</v>
      </c>
      <c r="W206">
        <f t="shared" si="74"/>
        <v>3.3423714570543726</v>
      </c>
      <c r="X206">
        <f t="shared" si="75"/>
        <v>66.772611656473714</v>
      </c>
      <c r="Y206">
        <f t="shared" si="76"/>
        <v>2.0475358212582004</v>
      </c>
      <c r="Z206">
        <f t="shared" si="77"/>
        <v>3.066430637447874</v>
      </c>
      <c r="AA206">
        <f t="shared" si="78"/>
        <v>1.2948356357961721</v>
      </c>
      <c r="AB206">
        <f t="shared" si="79"/>
        <v>-88.548175707894515</v>
      </c>
      <c r="AC206">
        <f t="shared" si="80"/>
        <v>-171.17305184270379</v>
      </c>
      <c r="AD206">
        <f t="shared" si="81"/>
        <v>-16.515271974231041</v>
      </c>
      <c r="AE206">
        <f t="shared" si="82"/>
        <v>-0.12000947082935909</v>
      </c>
      <c r="AF206">
        <v>12</v>
      </c>
      <c r="AG206">
        <v>4</v>
      </c>
      <c r="AH206">
        <f t="shared" si="83"/>
        <v>1</v>
      </c>
      <c r="AI206">
        <f t="shared" si="84"/>
        <v>0</v>
      </c>
      <c r="AJ206">
        <f t="shared" si="85"/>
        <v>52881.703204254824</v>
      </c>
      <c r="AK206">
        <f t="shared" si="86"/>
        <v>1800</v>
      </c>
      <c r="AL206">
        <f t="shared" si="87"/>
        <v>1499.1138324000001</v>
      </c>
      <c r="AM206">
        <f t="shared" si="88"/>
        <v>0.83284101799999999</v>
      </c>
      <c r="AN206">
        <f t="shared" si="89"/>
        <v>0.15339805003000001</v>
      </c>
      <c r="AO206">
        <v>31.2</v>
      </c>
      <c r="AP206">
        <v>0.5</v>
      </c>
      <c r="AQ206" t="s">
        <v>331</v>
      </c>
      <c r="AR206">
        <v>2</v>
      </c>
      <c r="AS206">
        <v>1690308690</v>
      </c>
      <c r="AT206">
        <v>473.71100000000001</v>
      </c>
      <c r="AU206">
        <v>800.01900000000001</v>
      </c>
      <c r="AV206">
        <v>20.619900000000001</v>
      </c>
      <c r="AW206">
        <v>0.176623</v>
      </c>
      <c r="AX206">
        <v>473.53199999999998</v>
      </c>
      <c r="AY206">
        <v>20.408899999999999</v>
      </c>
      <c r="AZ206">
        <v>300.12099999999998</v>
      </c>
      <c r="BA206">
        <v>99.198999999999998</v>
      </c>
      <c r="BB206">
        <v>0.100018</v>
      </c>
      <c r="BC206">
        <v>24.3931</v>
      </c>
      <c r="BD206">
        <v>27.000900000000001</v>
      </c>
      <c r="BE206">
        <v>26.08</v>
      </c>
      <c r="BF206">
        <v>0</v>
      </c>
      <c r="BG206">
        <v>0</v>
      </c>
      <c r="BH206">
        <v>9993.75</v>
      </c>
      <c r="BI206">
        <v>1042.92</v>
      </c>
      <c r="BJ206">
        <v>1.62592</v>
      </c>
      <c r="BK206">
        <v>-326.30799999999999</v>
      </c>
      <c r="BL206">
        <v>483.685</v>
      </c>
      <c r="BM206">
        <v>800.16</v>
      </c>
      <c r="BN206">
        <v>20.443300000000001</v>
      </c>
      <c r="BO206">
        <v>800.01900000000001</v>
      </c>
      <c r="BP206">
        <v>0.176623</v>
      </c>
      <c r="BQ206">
        <v>2.04548</v>
      </c>
      <c r="BR206">
        <v>1.75208E-2</v>
      </c>
      <c r="BS206">
        <v>17.800799999999999</v>
      </c>
      <c r="BT206">
        <v>-40.6922</v>
      </c>
      <c r="BU206">
        <v>1800</v>
      </c>
      <c r="BV206">
        <v>0.909995</v>
      </c>
      <c r="BW206">
        <v>3.3991399999999998E-2</v>
      </c>
      <c r="BX206">
        <v>2.2009899999999999E-2</v>
      </c>
      <c r="BY206">
        <v>3.4003499999999999E-2</v>
      </c>
      <c r="BZ206">
        <v>26</v>
      </c>
      <c r="CA206">
        <v>33528.300000000003</v>
      </c>
      <c r="CB206">
        <v>1690306253.5999999</v>
      </c>
      <c r="CC206" t="s">
        <v>332</v>
      </c>
      <c r="CD206">
        <v>1690306253.5999999</v>
      </c>
      <c r="CE206">
        <v>1690306251.5999999</v>
      </c>
      <c r="CF206">
        <v>9</v>
      </c>
      <c r="CG206">
        <v>0.19</v>
      </c>
      <c r="CH206">
        <v>-8.7999999999999995E-2</v>
      </c>
      <c r="CI206">
        <v>-5.0999999999999997E-2</v>
      </c>
      <c r="CJ206">
        <v>5.0999999999999997E-2</v>
      </c>
      <c r="CK206">
        <v>799</v>
      </c>
      <c r="CL206">
        <v>15</v>
      </c>
      <c r="CM206">
        <v>0.28000000000000003</v>
      </c>
      <c r="CN206">
        <v>0.03</v>
      </c>
      <c r="CO206">
        <v>-325.95707499999997</v>
      </c>
      <c r="CP206">
        <v>-1.756063789868558</v>
      </c>
      <c r="CQ206">
        <v>0.18365176115408721</v>
      </c>
      <c r="CR206">
        <v>-1</v>
      </c>
      <c r="CS206">
        <v>20.433307500000002</v>
      </c>
      <c r="CT206">
        <v>2.276510318949241E-2</v>
      </c>
      <c r="CU206">
        <v>3.27424705084986E-3</v>
      </c>
      <c r="CV206">
        <v>-1</v>
      </c>
      <c r="CW206">
        <v>0</v>
      </c>
      <c r="CX206">
        <v>0</v>
      </c>
      <c r="CY206" t="s">
        <v>333</v>
      </c>
      <c r="CZ206">
        <v>2.3646600000000002</v>
      </c>
      <c r="DA206">
        <v>2.7138</v>
      </c>
      <c r="DB206">
        <v>0.101684</v>
      </c>
      <c r="DC206">
        <v>0.14618600000000001</v>
      </c>
      <c r="DD206">
        <v>0.102294</v>
      </c>
      <c r="DE206">
        <v>1.48751E-3</v>
      </c>
      <c r="DF206">
        <v>32821.9</v>
      </c>
      <c r="DG206">
        <v>27549.1</v>
      </c>
      <c r="DH206">
        <v>31191.3</v>
      </c>
      <c r="DI206">
        <v>28115.3</v>
      </c>
      <c r="DJ206">
        <v>38019.300000000003</v>
      </c>
      <c r="DK206">
        <v>39933.4</v>
      </c>
      <c r="DL206">
        <v>44393.4</v>
      </c>
      <c r="DM206">
        <v>42619.199999999997</v>
      </c>
      <c r="DN206">
        <v>1.43933</v>
      </c>
      <c r="DO206">
        <v>2.0297999999999998</v>
      </c>
      <c r="DP206">
        <v>0.180453</v>
      </c>
      <c r="DQ206">
        <v>0.14918300000000001</v>
      </c>
      <c r="DR206">
        <v>24.0426</v>
      </c>
      <c r="DS206">
        <v>23.631699999999999</v>
      </c>
      <c r="DT206">
        <v>22.7</v>
      </c>
      <c r="DU206">
        <v>29.7</v>
      </c>
      <c r="DV206">
        <v>9.5843799999999995</v>
      </c>
      <c r="DW206">
        <v>61.683100000000003</v>
      </c>
      <c r="DX206">
        <v>37.588099999999997</v>
      </c>
      <c r="DY206">
        <v>1</v>
      </c>
      <c r="DZ206">
        <v>-0.10366599999999999</v>
      </c>
      <c r="EA206">
        <v>1.1060399999999999</v>
      </c>
      <c r="EB206">
        <v>20.185500000000001</v>
      </c>
      <c r="EC206">
        <v>5.2411000000000003</v>
      </c>
      <c r="ED206">
        <v>12.039899999999999</v>
      </c>
      <c r="EE206">
        <v>5.0172999999999996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1.86896</v>
      </c>
      <c r="EL206">
        <v>1.86463</v>
      </c>
      <c r="EM206">
        <v>1.8692</v>
      </c>
      <c r="EN206">
        <v>1.8672599999999999</v>
      </c>
      <c r="EO206">
        <v>1.8633900000000001</v>
      </c>
      <c r="EP206">
        <v>1.8644700000000001</v>
      </c>
      <c r="EQ206">
        <v>1.8701700000000001</v>
      </c>
      <c r="ER206">
        <v>1.86941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0.17899999999999999</v>
      </c>
      <c r="FG206">
        <v>0.21099999999999999</v>
      </c>
      <c r="FH206">
        <v>0.49996858830924029</v>
      </c>
      <c r="FI206">
        <v>-6.1462078757559423E-4</v>
      </c>
      <c r="FJ206">
        <v>-1.8861989874597051E-7</v>
      </c>
      <c r="FK206">
        <v>1.1980462299894961E-10</v>
      </c>
      <c r="FL206">
        <v>-3.8593581000597899E-2</v>
      </c>
      <c r="FM206">
        <v>-1.6848085045870601E-2</v>
      </c>
      <c r="FN206">
        <v>1.9789084769509481E-3</v>
      </c>
      <c r="FO206">
        <v>-2.7142391389806329E-5</v>
      </c>
      <c r="FP206">
        <v>3</v>
      </c>
      <c r="FQ206">
        <v>2158</v>
      </c>
      <c r="FR206">
        <v>1</v>
      </c>
      <c r="FS206">
        <v>19</v>
      </c>
      <c r="FT206">
        <v>40.6</v>
      </c>
      <c r="FU206">
        <v>40.6</v>
      </c>
      <c r="FV206">
        <v>1.7626999999999999</v>
      </c>
      <c r="FW206">
        <v>2.5878899999999998</v>
      </c>
      <c r="FX206">
        <v>1.5490699999999999</v>
      </c>
      <c r="FY206">
        <v>2.3303199999999999</v>
      </c>
      <c r="FZ206">
        <v>1.50146</v>
      </c>
      <c r="GA206">
        <v>2.3828100000000001</v>
      </c>
      <c r="GB206">
        <v>34.054499999999997</v>
      </c>
      <c r="GC206">
        <v>23.991199999999999</v>
      </c>
      <c r="GD206">
        <v>19</v>
      </c>
      <c r="GE206">
        <v>266.93299999999999</v>
      </c>
      <c r="GF206">
        <v>576.39400000000001</v>
      </c>
      <c r="GG206">
        <v>21.6021</v>
      </c>
      <c r="GH206">
        <v>26.045400000000001</v>
      </c>
      <c r="GI206">
        <v>29.9999</v>
      </c>
      <c r="GJ206">
        <v>26.220199999999998</v>
      </c>
      <c r="GK206">
        <v>26.216999999999999</v>
      </c>
      <c r="GL206">
        <v>35.2318</v>
      </c>
      <c r="GM206">
        <v>100</v>
      </c>
      <c r="GN206">
        <v>9.52956</v>
      </c>
      <c r="GO206">
        <v>21.591899999999999</v>
      </c>
      <c r="GP206">
        <v>800</v>
      </c>
      <c r="GQ206">
        <v>0</v>
      </c>
      <c r="GR206">
        <v>99.805800000000005</v>
      </c>
      <c r="GS206">
        <v>99.695400000000006</v>
      </c>
    </row>
    <row r="207" spans="1:201" x14ac:dyDescent="0.25">
      <c r="A207">
        <v>191</v>
      </c>
      <c r="B207">
        <v>1690308700</v>
      </c>
      <c r="C207">
        <v>2081.400000095367</v>
      </c>
      <c r="D207" t="s">
        <v>715</v>
      </c>
      <c r="E207" t="s">
        <v>716</v>
      </c>
      <c r="F207" t="s">
        <v>330</v>
      </c>
      <c r="H207">
        <v>1690308700</v>
      </c>
      <c r="I207">
        <f t="shared" si="60"/>
        <v>2.0081956420382311E-3</v>
      </c>
      <c r="J207">
        <f t="shared" si="61"/>
        <v>2.0081956420382312</v>
      </c>
      <c r="K207">
        <f t="shared" si="62"/>
        <v>30.435612892014518</v>
      </c>
      <c r="L207">
        <f t="shared" si="63"/>
        <v>473.62099999999998</v>
      </c>
      <c r="M207">
        <f t="shared" si="64"/>
        <v>143.62183188486065</v>
      </c>
      <c r="N207">
        <f t="shared" si="65"/>
        <v>14.261100132499854</v>
      </c>
      <c r="O207">
        <f t="shared" si="66"/>
        <v>47.028758909506003</v>
      </c>
      <c r="P207">
        <f t="shared" si="67"/>
        <v>0.1556378965989505</v>
      </c>
      <c r="Q207">
        <f t="shared" si="68"/>
        <v>2.1947426727954795</v>
      </c>
      <c r="R207">
        <f t="shared" si="69"/>
        <v>0.14975603783095986</v>
      </c>
      <c r="S207">
        <f t="shared" si="70"/>
        <v>9.4107464730681684E-2</v>
      </c>
      <c r="T207">
        <f t="shared" si="71"/>
        <v>276.11823893769423</v>
      </c>
      <c r="U207">
        <f t="shared" si="72"/>
        <v>25.84485335462988</v>
      </c>
      <c r="V207">
        <f t="shared" si="73"/>
        <v>25.84485335462988</v>
      </c>
      <c r="W207">
        <f t="shared" si="74"/>
        <v>3.3434048445079148</v>
      </c>
      <c r="X207">
        <f t="shared" si="75"/>
        <v>66.767396616831604</v>
      </c>
      <c r="Y207">
        <f t="shared" si="76"/>
        <v>2.0480136251058001</v>
      </c>
      <c r="Z207">
        <f t="shared" si="77"/>
        <v>3.067385773417306</v>
      </c>
      <c r="AA207">
        <f t="shared" si="78"/>
        <v>1.2953912194021147</v>
      </c>
      <c r="AB207">
        <f t="shared" si="79"/>
        <v>-88.561427813885999</v>
      </c>
      <c r="AC207">
        <f t="shared" si="80"/>
        <v>-171.16048480853163</v>
      </c>
      <c r="AD207">
        <f t="shared" si="81"/>
        <v>-16.516342964033946</v>
      </c>
      <c r="AE207">
        <f t="shared" si="82"/>
        <v>-0.12001664875731421</v>
      </c>
      <c r="AF207">
        <v>12</v>
      </c>
      <c r="AG207">
        <v>4</v>
      </c>
      <c r="AH207">
        <f t="shared" si="83"/>
        <v>1</v>
      </c>
      <c r="AI207">
        <f t="shared" si="84"/>
        <v>0</v>
      </c>
      <c r="AJ207">
        <f t="shared" si="85"/>
        <v>52872.941129641084</v>
      </c>
      <c r="AK207">
        <f t="shared" si="86"/>
        <v>1800.01</v>
      </c>
      <c r="AL207">
        <f t="shared" si="87"/>
        <v>1499.1211960048201</v>
      </c>
      <c r="AM207">
        <f t="shared" si="88"/>
        <v>0.83284048200000005</v>
      </c>
      <c r="AN207">
        <f t="shared" si="89"/>
        <v>0.15339816942000001</v>
      </c>
      <c r="AO207">
        <v>31.2</v>
      </c>
      <c r="AP207">
        <v>0.5</v>
      </c>
      <c r="AQ207" t="s">
        <v>331</v>
      </c>
      <c r="AR207">
        <v>2</v>
      </c>
      <c r="AS207">
        <v>1690308700</v>
      </c>
      <c r="AT207">
        <v>473.62099999999998</v>
      </c>
      <c r="AU207">
        <v>799.96799999999996</v>
      </c>
      <c r="AV207">
        <v>20.625299999999999</v>
      </c>
      <c r="AW207">
        <v>0.17553299999999999</v>
      </c>
      <c r="AX207">
        <v>473.44200000000001</v>
      </c>
      <c r="AY207">
        <v>20.414000000000001</v>
      </c>
      <c r="AZ207">
        <v>300.06900000000002</v>
      </c>
      <c r="BA207">
        <v>99.196200000000005</v>
      </c>
      <c r="BB207">
        <v>9.9986000000000005E-2</v>
      </c>
      <c r="BC207">
        <v>24.398299999999999</v>
      </c>
      <c r="BD207">
        <v>26.9529</v>
      </c>
      <c r="BE207">
        <v>26.1111</v>
      </c>
      <c r="BF207">
        <v>0</v>
      </c>
      <c r="BG207">
        <v>0</v>
      </c>
      <c r="BH207">
        <v>9992.5</v>
      </c>
      <c r="BI207">
        <v>1042.93</v>
      </c>
      <c r="BJ207">
        <v>1.62592</v>
      </c>
      <c r="BK207">
        <v>-326.34699999999998</v>
      </c>
      <c r="BL207">
        <v>483.596</v>
      </c>
      <c r="BM207">
        <v>800.10799999999995</v>
      </c>
      <c r="BN207">
        <v>20.4497</v>
      </c>
      <c r="BO207">
        <v>799.96799999999996</v>
      </c>
      <c r="BP207">
        <v>0.17553299999999999</v>
      </c>
      <c r="BQ207">
        <v>2.0459499999999999</v>
      </c>
      <c r="BR207">
        <v>1.7412199999999999E-2</v>
      </c>
      <c r="BS207">
        <v>17.804500000000001</v>
      </c>
      <c r="BT207">
        <v>-40.751300000000001</v>
      </c>
      <c r="BU207">
        <v>1800.01</v>
      </c>
      <c r="BV207">
        <v>0.90998500000000004</v>
      </c>
      <c r="BW207">
        <v>3.3990899999999998E-2</v>
      </c>
      <c r="BX207">
        <v>2.2009600000000001E-2</v>
      </c>
      <c r="BY207">
        <v>3.4014799999999998E-2</v>
      </c>
      <c r="BZ207">
        <v>26</v>
      </c>
      <c r="CA207">
        <v>33528.5</v>
      </c>
      <c r="CB207">
        <v>1690306253.5999999</v>
      </c>
      <c r="CC207" t="s">
        <v>332</v>
      </c>
      <c r="CD207">
        <v>1690306253.5999999</v>
      </c>
      <c r="CE207">
        <v>1690306251.5999999</v>
      </c>
      <c r="CF207">
        <v>9</v>
      </c>
      <c r="CG207">
        <v>0.19</v>
      </c>
      <c r="CH207">
        <v>-8.7999999999999995E-2</v>
      </c>
      <c r="CI207">
        <v>-5.0999999999999997E-2</v>
      </c>
      <c r="CJ207">
        <v>5.0999999999999997E-2</v>
      </c>
      <c r="CK207">
        <v>799</v>
      </c>
      <c r="CL207">
        <v>15</v>
      </c>
      <c r="CM207">
        <v>0.28000000000000003</v>
      </c>
      <c r="CN207">
        <v>0.03</v>
      </c>
      <c r="CO207">
        <v>-326.22272500000003</v>
      </c>
      <c r="CP207">
        <v>-1.468446529080248</v>
      </c>
      <c r="CQ207">
        <v>0.15110145391425109</v>
      </c>
      <c r="CR207">
        <v>-1</v>
      </c>
      <c r="CS207">
        <v>20.4421225</v>
      </c>
      <c r="CT207">
        <v>7.9293433395850182E-2</v>
      </c>
      <c r="CU207">
        <v>8.1451668951593083E-3</v>
      </c>
      <c r="CV207">
        <v>-1</v>
      </c>
      <c r="CW207">
        <v>0</v>
      </c>
      <c r="CX207">
        <v>0</v>
      </c>
      <c r="CY207" t="s">
        <v>333</v>
      </c>
      <c r="CZ207">
        <v>2.3645100000000001</v>
      </c>
      <c r="DA207">
        <v>2.7137699999999998</v>
      </c>
      <c r="DB207">
        <v>0.10166699999999999</v>
      </c>
      <c r="DC207">
        <v>0.146176</v>
      </c>
      <c r="DD207">
        <v>0.10231</v>
      </c>
      <c r="DE207">
        <v>1.47839E-3</v>
      </c>
      <c r="DF207">
        <v>32822.5</v>
      </c>
      <c r="DG207">
        <v>27549.4</v>
      </c>
      <c r="DH207">
        <v>31191.3</v>
      </c>
      <c r="DI207">
        <v>28115.3</v>
      </c>
      <c r="DJ207">
        <v>38018.5</v>
      </c>
      <c r="DK207">
        <v>39933.9</v>
      </c>
      <c r="DL207">
        <v>44393.2</v>
      </c>
      <c r="DM207">
        <v>42619.3</v>
      </c>
      <c r="DN207">
        <v>1.4386300000000001</v>
      </c>
      <c r="DO207">
        <v>2.0298500000000002</v>
      </c>
      <c r="DP207">
        <v>0.177622</v>
      </c>
      <c r="DQ207">
        <v>0.151202</v>
      </c>
      <c r="DR207">
        <v>24.040900000000001</v>
      </c>
      <c r="DS207">
        <v>23.6297</v>
      </c>
      <c r="DT207">
        <v>22.5</v>
      </c>
      <c r="DU207">
        <v>29.7</v>
      </c>
      <c r="DV207">
        <v>9.4977900000000002</v>
      </c>
      <c r="DW207">
        <v>61.583100000000002</v>
      </c>
      <c r="DX207">
        <v>37.351799999999997</v>
      </c>
      <c r="DY207">
        <v>1</v>
      </c>
      <c r="DZ207">
        <v>-0.103509</v>
      </c>
      <c r="EA207">
        <v>1.21916</v>
      </c>
      <c r="EB207">
        <v>20.184200000000001</v>
      </c>
      <c r="EC207">
        <v>5.2411000000000003</v>
      </c>
      <c r="ED207">
        <v>12.039899999999999</v>
      </c>
      <c r="EE207">
        <v>5.01715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1.8689499999999999</v>
      </c>
      <c r="EL207">
        <v>1.8646199999999999</v>
      </c>
      <c r="EM207">
        <v>1.8692</v>
      </c>
      <c r="EN207">
        <v>1.8672299999999999</v>
      </c>
      <c r="EO207">
        <v>1.8633999999999999</v>
      </c>
      <c r="EP207">
        <v>1.8644700000000001</v>
      </c>
      <c r="EQ207">
        <v>1.87015</v>
      </c>
      <c r="ER207">
        <v>1.8694200000000001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0.17899999999999999</v>
      </c>
      <c r="FG207">
        <v>0.21129999999999999</v>
      </c>
      <c r="FH207">
        <v>0.49996858830924029</v>
      </c>
      <c r="FI207">
        <v>-6.1462078757559423E-4</v>
      </c>
      <c r="FJ207">
        <v>-1.8861989874597051E-7</v>
      </c>
      <c r="FK207">
        <v>1.1980462299894961E-10</v>
      </c>
      <c r="FL207">
        <v>-3.8593581000597899E-2</v>
      </c>
      <c r="FM207">
        <v>-1.6848085045870601E-2</v>
      </c>
      <c r="FN207">
        <v>1.9789084769509481E-3</v>
      </c>
      <c r="FO207">
        <v>-2.7142391389806329E-5</v>
      </c>
      <c r="FP207">
        <v>3</v>
      </c>
      <c r="FQ207">
        <v>2158</v>
      </c>
      <c r="FR207">
        <v>1</v>
      </c>
      <c r="FS207">
        <v>19</v>
      </c>
      <c r="FT207">
        <v>40.799999999999997</v>
      </c>
      <c r="FU207">
        <v>40.799999999999997</v>
      </c>
      <c r="FV207">
        <v>1.7626999999999999</v>
      </c>
      <c r="FW207">
        <v>2.5891099999999998</v>
      </c>
      <c r="FX207">
        <v>1.5490699999999999</v>
      </c>
      <c r="FY207">
        <v>2.3303199999999999</v>
      </c>
      <c r="FZ207">
        <v>1.50146</v>
      </c>
      <c r="GA207">
        <v>2.3986800000000001</v>
      </c>
      <c r="GB207">
        <v>34.054499999999997</v>
      </c>
      <c r="GC207">
        <v>23.991199999999999</v>
      </c>
      <c r="GD207">
        <v>19</v>
      </c>
      <c r="GE207">
        <v>266.63799999999998</v>
      </c>
      <c r="GF207">
        <v>576.423</v>
      </c>
      <c r="GG207">
        <v>21.585100000000001</v>
      </c>
      <c r="GH207">
        <v>26.043600000000001</v>
      </c>
      <c r="GI207">
        <v>30.000299999999999</v>
      </c>
      <c r="GJ207">
        <v>26.218</v>
      </c>
      <c r="GK207">
        <v>26.215900000000001</v>
      </c>
      <c r="GL207">
        <v>35.232799999999997</v>
      </c>
      <c r="GM207">
        <v>100</v>
      </c>
      <c r="GN207">
        <v>9.1566399999999994</v>
      </c>
      <c r="GO207">
        <v>21.5687</v>
      </c>
      <c r="GP207">
        <v>800</v>
      </c>
      <c r="GQ207">
        <v>0</v>
      </c>
      <c r="GR207">
        <v>99.805400000000006</v>
      </c>
      <c r="GS207">
        <v>99.695599999999999</v>
      </c>
    </row>
    <row r="208" spans="1:201" x14ac:dyDescent="0.25">
      <c r="A208">
        <v>192</v>
      </c>
      <c r="B208">
        <v>1690308710</v>
      </c>
      <c r="C208">
        <v>2091.400000095367</v>
      </c>
      <c r="D208" t="s">
        <v>717</v>
      </c>
      <c r="E208" t="s">
        <v>718</v>
      </c>
      <c r="F208" t="s">
        <v>330</v>
      </c>
      <c r="H208">
        <v>1690308710</v>
      </c>
      <c r="I208">
        <f t="shared" si="60"/>
        <v>2.0080114591359542E-3</v>
      </c>
      <c r="J208">
        <f t="shared" si="61"/>
        <v>2.0080114591359544</v>
      </c>
      <c r="K208">
        <f t="shared" si="62"/>
        <v>30.462180090164829</v>
      </c>
      <c r="L208">
        <f t="shared" si="63"/>
        <v>473.29399999999998</v>
      </c>
      <c r="M208">
        <f t="shared" si="64"/>
        <v>143.29491841221778</v>
      </c>
      <c r="N208">
        <f t="shared" si="65"/>
        <v>14.229171212136304</v>
      </c>
      <c r="O208">
        <f t="shared" si="66"/>
        <v>46.998047343894001</v>
      </c>
      <c r="P208">
        <f t="shared" si="67"/>
        <v>0.15577266561887079</v>
      </c>
      <c r="Q208">
        <f t="shared" si="68"/>
        <v>2.1944047258937442</v>
      </c>
      <c r="R208">
        <f t="shared" si="69"/>
        <v>0.14987995302150142</v>
      </c>
      <c r="S208">
        <f t="shared" si="70"/>
        <v>9.4185834540787883E-2</v>
      </c>
      <c r="T208">
        <f t="shared" si="71"/>
        <v>276.116247918</v>
      </c>
      <c r="U208">
        <f t="shared" si="72"/>
        <v>25.840210200340614</v>
      </c>
      <c r="V208">
        <f t="shared" si="73"/>
        <v>25.840210200340614</v>
      </c>
      <c r="W208">
        <f t="shared" si="74"/>
        <v>3.3424852834702583</v>
      </c>
      <c r="X208">
        <f t="shared" si="75"/>
        <v>66.794025649428562</v>
      </c>
      <c r="Y208">
        <f t="shared" si="76"/>
        <v>2.0482292679567</v>
      </c>
      <c r="Z208">
        <f t="shared" si="77"/>
        <v>3.0664857343782859</v>
      </c>
      <c r="AA208">
        <f t="shared" si="78"/>
        <v>1.2942560155135583</v>
      </c>
      <c r="AB208">
        <f t="shared" si="79"/>
        <v>-88.553305347895574</v>
      </c>
      <c r="AC208">
        <f t="shared" si="80"/>
        <v>-171.16451555091419</v>
      </c>
      <c r="AD208">
        <f t="shared" si="81"/>
        <v>-16.518482410593979</v>
      </c>
      <c r="AE208">
        <f t="shared" si="82"/>
        <v>-0.12005539140375276</v>
      </c>
      <c r="AF208">
        <v>12</v>
      </c>
      <c r="AG208">
        <v>4</v>
      </c>
      <c r="AH208">
        <f t="shared" si="83"/>
        <v>1</v>
      </c>
      <c r="AI208">
        <f t="shared" si="84"/>
        <v>0</v>
      </c>
      <c r="AJ208">
        <f t="shared" si="85"/>
        <v>52859.945935986369</v>
      </c>
      <c r="AK208">
        <f t="shared" si="86"/>
        <v>1800</v>
      </c>
      <c r="AL208">
        <f t="shared" si="87"/>
        <v>1499.1142967999999</v>
      </c>
      <c r="AM208">
        <f t="shared" si="88"/>
        <v>0.83284127599999991</v>
      </c>
      <c r="AN208">
        <f t="shared" si="89"/>
        <v>0.15339791551000001</v>
      </c>
      <c r="AO208">
        <v>31.2</v>
      </c>
      <c r="AP208">
        <v>0.5</v>
      </c>
      <c r="AQ208" t="s">
        <v>331</v>
      </c>
      <c r="AR208">
        <v>2</v>
      </c>
      <c r="AS208">
        <v>1690308710</v>
      </c>
      <c r="AT208">
        <v>473.29399999999998</v>
      </c>
      <c r="AU208">
        <v>799.97699999999998</v>
      </c>
      <c r="AV208">
        <v>20.6267</v>
      </c>
      <c r="AW208">
        <v>0.17461199999999999</v>
      </c>
      <c r="AX208">
        <v>473.11500000000001</v>
      </c>
      <c r="AY208">
        <v>20.415400000000002</v>
      </c>
      <c r="AZ208">
        <v>300.00700000000001</v>
      </c>
      <c r="BA208">
        <v>99.1999</v>
      </c>
      <c r="BB208">
        <v>0.10000100000000001</v>
      </c>
      <c r="BC208">
        <v>24.3934</v>
      </c>
      <c r="BD208">
        <v>27.000900000000001</v>
      </c>
      <c r="BE208">
        <v>26.0778</v>
      </c>
      <c r="BF208">
        <v>0</v>
      </c>
      <c r="BG208">
        <v>0</v>
      </c>
      <c r="BH208">
        <v>9989.3799999999992</v>
      </c>
      <c r="BI208">
        <v>1042.9100000000001</v>
      </c>
      <c r="BJ208">
        <v>1.62592</v>
      </c>
      <c r="BK208">
        <v>-326.68299999999999</v>
      </c>
      <c r="BL208">
        <v>483.262</v>
      </c>
      <c r="BM208">
        <v>800.11699999999996</v>
      </c>
      <c r="BN208">
        <v>20.452100000000002</v>
      </c>
      <c r="BO208">
        <v>799.97699999999998</v>
      </c>
      <c r="BP208">
        <v>0.17461199999999999</v>
      </c>
      <c r="BQ208">
        <v>2.04617</v>
      </c>
      <c r="BR208">
        <v>1.73215E-2</v>
      </c>
      <c r="BS208">
        <v>17.8062</v>
      </c>
      <c r="BT208">
        <v>-40.800899999999999</v>
      </c>
      <c r="BU208">
        <v>1800</v>
      </c>
      <c r="BV208">
        <v>0.90999799999999997</v>
      </c>
      <c r="BW208">
        <v>3.3991399999999998E-2</v>
      </c>
      <c r="BX208">
        <v>2.20073E-2</v>
      </c>
      <c r="BY208">
        <v>3.4003499999999999E-2</v>
      </c>
      <c r="BZ208">
        <v>26</v>
      </c>
      <c r="CA208">
        <v>33528.400000000001</v>
      </c>
      <c r="CB208">
        <v>1690306253.5999999</v>
      </c>
      <c r="CC208" t="s">
        <v>332</v>
      </c>
      <c r="CD208">
        <v>1690306253.5999999</v>
      </c>
      <c r="CE208">
        <v>1690306251.5999999</v>
      </c>
      <c r="CF208">
        <v>9</v>
      </c>
      <c r="CG208">
        <v>0.19</v>
      </c>
      <c r="CH208">
        <v>-8.7999999999999995E-2</v>
      </c>
      <c r="CI208">
        <v>-5.0999999999999997E-2</v>
      </c>
      <c r="CJ208">
        <v>5.0999999999999997E-2</v>
      </c>
      <c r="CK208">
        <v>799</v>
      </c>
      <c r="CL208">
        <v>15</v>
      </c>
      <c r="CM208">
        <v>0.28000000000000003</v>
      </c>
      <c r="CN208">
        <v>0.03</v>
      </c>
      <c r="CO208">
        <v>-326.45524390243912</v>
      </c>
      <c r="CP208">
        <v>-1.1129686411152819</v>
      </c>
      <c r="CQ208">
        <v>0.12765536311143441</v>
      </c>
      <c r="CR208">
        <v>-1</v>
      </c>
      <c r="CS208">
        <v>20.45019756097561</v>
      </c>
      <c r="CT208">
        <v>1.340905923345677E-2</v>
      </c>
      <c r="CU208">
        <v>2.619764260933753E-3</v>
      </c>
      <c r="CV208">
        <v>-1</v>
      </c>
      <c r="CW208">
        <v>0</v>
      </c>
      <c r="CX208">
        <v>0</v>
      </c>
      <c r="CY208" t="s">
        <v>333</v>
      </c>
      <c r="CZ208">
        <v>2.3643000000000001</v>
      </c>
      <c r="DA208">
        <v>2.7137799999999999</v>
      </c>
      <c r="DB208">
        <v>0.101621</v>
      </c>
      <c r="DC208">
        <v>0.14618500000000001</v>
      </c>
      <c r="DD208">
        <v>0.10231999999999999</v>
      </c>
      <c r="DE208">
        <v>1.4708E-3</v>
      </c>
      <c r="DF208">
        <v>32823.599999999999</v>
      </c>
      <c r="DG208">
        <v>27549.1</v>
      </c>
      <c r="DH208">
        <v>31190.799999999999</v>
      </c>
      <c r="DI208">
        <v>28115.200000000001</v>
      </c>
      <c r="DJ208">
        <v>38017.300000000003</v>
      </c>
      <c r="DK208">
        <v>39934</v>
      </c>
      <c r="DL208">
        <v>44392.3</v>
      </c>
      <c r="DM208">
        <v>42619.1</v>
      </c>
      <c r="DN208">
        <v>1.43865</v>
      </c>
      <c r="DO208">
        <v>2.0297800000000001</v>
      </c>
      <c r="DP208">
        <v>0.18068400000000001</v>
      </c>
      <c r="DQ208">
        <v>0.149168</v>
      </c>
      <c r="DR208">
        <v>24.038799999999998</v>
      </c>
      <c r="DS208">
        <v>23.6297</v>
      </c>
      <c r="DT208">
        <v>22.3</v>
      </c>
      <c r="DU208">
        <v>29.7</v>
      </c>
      <c r="DV208">
        <v>9.4147800000000004</v>
      </c>
      <c r="DW208">
        <v>61.873100000000001</v>
      </c>
      <c r="DX208">
        <v>37.383800000000001</v>
      </c>
      <c r="DY208">
        <v>1</v>
      </c>
      <c r="DZ208">
        <v>-0.103575</v>
      </c>
      <c r="EA208">
        <v>1.1213299999999999</v>
      </c>
      <c r="EB208">
        <v>20.185400000000001</v>
      </c>
      <c r="EC208">
        <v>5.2409499999999998</v>
      </c>
      <c r="ED208">
        <v>12.039899999999999</v>
      </c>
      <c r="EE208">
        <v>5.0170500000000002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1.86894</v>
      </c>
      <c r="EL208">
        <v>1.8646199999999999</v>
      </c>
      <c r="EM208">
        <v>1.8692</v>
      </c>
      <c r="EN208">
        <v>1.8672500000000001</v>
      </c>
      <c r="EO208">
        <v>1.8633900000000001</v>
      </c>
      <c r="EP208">
        <v>1.8644700000000001</v>
      </c>
      <c r="EQ208">
        <v>1.87019</v>
      </c>
      <c r="ER208">
        <v>1.86944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0.17899999999999999</v>
      </c>
      <c r="FG208">
        <v>0.21129999999999999</v>
      </c>
      <c r="FH208">
        <v>0.49996858830924029</v>
      </c>
      <c r="FI208">
        <v>-6.1462078757559423E-4</v>
      </c>
      <c r="FJ208">
        <v>-1.8861989874597051E-7</v>
      </c>
      <c r="FK208">
        <v>1.1980462299894961E-10</v>
      </c>
      <c r="FL208">
        <v>-3.8593581000597899E-2</v>
      </c>
      <c r="FM208">
        <v>-1.6848085045870601E-2</v>
      </c>
      <c r="FN208">
        <v>1.9789084769509481E-3</v>
      </c>
      <c r="FO208">
        <v>-2.7142391389806329E-5</v>
      </c>
      <c r="FP208">
        <v>3</v>
      </c>
      <c r="FQ208">
        <v>2158</v>
      </c>
      <c r="FR208">
        <v>1</v>
      </c>
      <c r="FS208">
        <v>19</v>
      </c>
      <c r="FT208">
        <v>40.9</v>
      </c>
      <c r="FU208">
        <v>41</v>
      </c>
      <c r="FV208">
        <v>1.7626999999999999</v>
      </c>
      <c r="FW208">
        <v>2.5903299999999998</v>
      </c>
      <c r="FX208">
        <v>1.5490699999999999</v>
      </c>
      <c r="FY208">
        <v>2.3303199999999999</v>
      </c>
      <c r="FZ208">
        <v>1.50146</v>
      </c>
      <c r="GA208">
        <v>2.4084500000000002</v>
      </c>
      <c r="GB208">
        <v>34.054499999999997</v>
      </c>
      <c r="GC208">
        <v>23.982399999999998</v>
      </c>
      <c r="GD208">
        <v>19</v>
      </c>
      <c r="GE208">
        <v>266.64</v>
      </c>
      <c r="GF208">
        <v>576.33699999999999</v>
      </c>
      <c r="GG208">
        <v>21.579799999999999</v>
      </c>
      <c r="GH208">
        <v>26.041499999999999</v>
      </c>
      <c r="GI208">
        <v>30</v>
      </c>
      <c r="GJ208">
        <v>26.215900000000001</v>
      </c>
      <c r="GK208">
        <v>26.213699999999999</v>
      </c>
      <c r="GL208">
        <v>35.231099999999998</v>
      </c>
      <c r="GM208">
        <v>100</v>
      </c>
      <c r="GN208">
        <v>8.7700899999999997</v>
      </c>
      <c r="GO208">
        <v>21.592600000000001</v>
      </c>
      <c r="GP208">
        <v>800</v>
      </c>
      <c r="GQ208">
        <v>0</v>
      </c>
      <c r="GR208">
        <v>99.803600000000003</v>
      </c>
      <c r="GS208">
        <v>99.6952</v>
      </c>
    </row>
    <row r="209" spans="1:201" x14ac:dyDescent="0.25">
      <c r="A209">
        <v>193</v>
      </c>
      <c r="B209">
        <v>1690308720</v>
      </c>
      <c r="C209">
        <v>2101.400000095367</v>
      </c>
      <c r="D209" t="s">
        <v>719</v>
      </c>
      <c r="E209" t="s">
        <v>720</v>
      </c>
      <c r="F209" t="s">
        <v>330</v>
      </c>
      <c r="H209">
        <v>1690308720</v>
      </c>
      <c r="I209">
        <f t="shared" ref="I209:I272" si="90">(J209)/1000</f>
        <v>2.0091996206427743E-3</v>
      </c>
      <c r="J209">
        <f t="shared" ref="J209:J234" si="91">1000*AZ209*AH209*(AV209-AW209)/(100*AO209*(1000-AH209*AV209))</f>
        <v>2.0091996206427742</v>
      </c>
      <c r="K209">
        <f t="shared" ref="K209:K234" si="92">AZ209*AH209*(AU209-AT209*(1000-AH209*AW209)/(1000-AH209*AV209))/(100*AO209)</f>
        <v>30.492213434975888</v>
      </c>
      <c r="L209">
        <f t="shared" ref="L209:L272" si="93">AT209 - IF(AH209&gt;1, K209*AO209*100/(AJ209*BH209), 0)</f>
        <v>473.11200000000002</v>
      </c>
      <c r="M209">
        <f t="shared" ref="M209:M272" si="94">((S209-I209/2)*L209-K209)/(S209+I209/2)</f>
        <v>142.95253160759879</v>
      </c>
      <c r="N209">
        <f t="shared" ref="N209:N272" si="95">M209*(BA209+BB209)/1000</f>
        <v>14.195131351909891</v>
      </c>
      <c r="O209">
        <f t="shared" ref="O209:O234" si="96">(AT209 - IF(AH209&gt;1, K209*AO209*100/(AJ209*BH209), 0))*(BA209+BB209)/1000</f>
        <v>46.979839451880004</v>
      </c>
      <c r="P209">
        <f t="shared" ref="P209:P272" si="97">2/((1/R209-1/Q209)+SIGN(R209)*SQRT((1/R209-1/Q209)*(1/R209-1/Q209) + 4*AP209/((AP209+1)*(AP209+1))*(2*1/R209*1/Q209-1/Q209*1/Q209)))</f>
        <v>0.15584730086749343</v>
      </c>
      <c r="Q209">
        <f t="shared" ref="Q209:Q234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2.1951684791936086</v>
      </c>
      <c r="R209">
        <f t="shared" ref="R209:R234" si="99">I209*(1000-(1000*0.61365*EXP(17.502*V209/(240.97+V209))/(BA209+BB209)+AV209)/2)/(1000*0.61365*EXP(17.502*V209/(240.97+V209))/(BA209+BB209)-AV209)</f>
        <v>0.1499510237989706</v>
      </c>
      <c r="S209">
        <f t="shared" ref="S209:S234" si="100">1/((AP209+1)/(P209/1.6)+1/(Q209/1.37)) + AP209/((AP209+1)/(P209/1.6) + AP209/(Q209/1.37))</f>
        <v>9.4230560456313867E-2</v>
      </c>
      <c r="T209">
        <f t="shared" ref="T209:T234" si="101">(AK209*AN209)</f>
        <v>276.11615483999998</v>
      </c>
      <c r="U209">
        <f t="shared" ref="U209:U272" si="102">(BC209+(T209+2*0.95*0.0000000567*(((BC209+$B$7)+273)^4-(BC209+273)^4)-44100*I209)/(1.84*29.3*Q209+8*0.95*0.0000000567*(BC209+273)^3))</f>
        <v>25.844139923161961</v>
      </c>
      <c r="V209">
        <f t="shared" ref="V209:V272" si="103">($C$7*BD209+$D$7*BE209+$E$7*U209)</f>
        <v>25.844139923161961</v>
      </c>
      <c r="W209">
        <f t="shared" ref="W209:W272" si="104">0.61365*EXP(17.502*V209/(240.97+V209))</f>
        <v>3.3432635374468824</v>
      </c>
      <c r="X209">
        <f t="shared" ref="X209:X272" si="105">(Y209/Z209*100)</f>
        <v>66.795676782543111</v>
      </c>
      <c r="Y209">
        <f t="shared" ref="Y209:Y234" si="106">AV209*(BA209+BB209)/1000</f>
        <v>2.048868816218</v>
      </c>
      <c r="Z209">
        <f t="shared" ref="Z209:Z234" si="107">0.61365*EXP(17.502*BC209/(240.97+BC209))</f>
        <v>3.0673674029656168</v>
      </c>
      <c r="AA209">
        <f t="shared" ref="AA209:AA234" si="108">(W209-AV209*(BA209+BB209)/1000)</f>
        <v>1.2943947212288824</v>
      </c>
      <c r="AB209">
        <f t="shared" ref="AB209:AB234" si="109">(-I209*44100)</f>
        <v>-88.605703270346353</v>
      </c>
      <c r="AC209">
        <f t="shared" ref="AC209:AC234" si="110">2*29.3*Q209*0.92*(BC209-V209)</f>
        <v>-171.12109488186178</v>
      </c>
      <c r="AD209">
        <f t="shared" ref="AD209:AD234" si="111">2*0.95*0.0000000567*(((BC209+$B$7)+273)^4-(V209+273)^4)</f>
        <v>-16.509271323334122</v>
      </c>
      <c r="AE209">
        <f t="shared" ref="AE209:AE272" si="112">T209+AD209+AB209+AC209</f>
        <v>-0.11991463554227266</v>
      </c>
      <c r="AF209">
        <v>12</v>
      </c>
      <c r="AG209">
        <v>4</v>
      </c>
      <c r="AH209">
        <f t="shared" ref="AH209:AH234" si="113">IF(AF209*$H$13&gt;=AJ209,1,(AJ209/(AJ209-AF209*$H$13)))</f>
        <v>1</v>
      </c>
      <c r="AI209">
        <f t="shared" ref="AI209:AI272" si="114">(AH209-1)*100</f>
        <v>0</v>
      </c>
      <c r="AJ209">
        <f t="shared" ref="AJ209:AJ234" si="115">MAX(0,($B$13+$C$13*BH209)/(1+$D$13*BH209)*BA209/(BC209+273)*$E$13)</f>
        <v>52890.607947189092</v>
      </c>
      <c r="AK209">
        <f t="shared" ref="AK209:AK234" si="116">$B$11*BI209+$C$11*BJ209+$D$11*BU209</f>
        <v>1800</v>
      </c>
      <c r="AL209">
        <f t="shared" ref="AL209:AL272" si="117">AK209*AM209</f>
        <v>1499.114403</v>
      </c>
      <c r="AM209">
        <f t="shared" ref="AM209:AM234" si="118">($B$11*$D$9+$C$11*$D$9+$D$11*(BV209*$E$9+BW209*$F$9+BX209*$G$9+BY209*$H$9))/($B$11+$C$11+$D$11)</f>
        <v>0.83284133500000002</v>
      </c>
      <c r="AN209">
        <f t="shared" ref="AN209:AN234" si="119">($B$11*$K$9+$C$11*$K$9+$D$11*(BV209*$L$9+BW209*$M$9+BX209*$N$9+BY209*$O$9))/($B$11+$C$11+$D$11)</f>
        <v>0.15339786379999998</v>
      </c>
      <c r="AO209">
        <v>31.2</v>
      </c>
      <c r="AP209">
        <v>0.5</v>
      </c>
      <c r="AQ209" t="s">
        <v>331</v>
      </c>
      <c r="AR209">
        <v>2</v>
      </c>
      <c r="AS209">
        <v>1690308720</v>
      </c>
      <c r="AT209">
        <v>473.11200000000002</v>
      </c>
      <c r="AU209">
        <v>800.04399999999998</v>
      </c>
      <c r="AV209">
        <v>20.633199999999999</v>
      </c>
      <c r="AW209">
        <v>0.173238</v>
      </c>
      <c r="AX209">
        <v>472.93200000000002</v>
      </c>
      <c r="AY209">
        <v>20.421700000000001</v>
      </c>
      <c r="AZ209">
        <v>300.06700000000001</v>
      </c>
      <c r="BA209">
        <v>99.199600000000004</v>
      </c>
      <c r="BB209">
        <v>0.10001500000000001</v>
      </c>
      <c r="BC209">
        <v>24.398199999999999</v>
      </c>
      <c r="BD209">
        <v>26.973800000000001</v>
      </c>
      <c r="BE209">
        <v>26.105899999999998</v>
      </c>
      <c r="BF209">
        <v>0</v>
      </c>
      <c r="BG209">
        <v>0</v>
      </c>
      <c r="BH209">
        <v>9995.6200000000008</v>
      </c>
      <c r="BI209">
        <v>1042.95</v>
      </c>
      <c r="BJ209">
        <v>1.62592</v>
      </c>
      <c r="BK209">
        <v>-326.93200000000002</v>
      </c>
      <c r="BL209">
        <v>483.07900000000001</v>
      </c>
      <c r="BM209">
        <v>800.18200000000002</v>
      </c>
      <c r="BN209">
        <v>20.46</v>
      </c>
      <c r="BO209">
        <v>800.04399999999998</v>
      </c>
      <c r="BP209">
        <v>0.173238</v>
      </c>
      <c r="BQ209">
        <v>2.0468099999999998</v>
      </c>
      <c r="BR209">
        <v>1.7185099999999998E-2</v>
      </c>
      <c r="BS209">
        <v>17.811199999999999</v>
      </c>
      <c r="BT209">
        <v>-40.875999999999998</v>
      </c>
      <c r="BU209">
        <v>1800</v>
      </c>
      <c r="BV209">
        <v>0.91000099999999995</v>
      </c>
      <c r="BW209">
        <v>3.3991599999999997E-2</v>
      </c>
      <c r="BX209">
        <v>2.2007499999999999E-2</v>
      </c>
      <c r="BY209">
        <v>3.3999799999999997E-2</v>
      </c>
      <c r="BZ209">
        <v>26</v>
      </c>
      <c r="CA209">
        <v>33528.300000000003</v>
      </c>
      <c r="CB209">
        <v>1690306253.5999999</v>
      </c>
      <c r="CC209" t="s">
        <v>332</v>
      </c>
      <c r="CD209">
        <v>1690306253.5999999</v>
      </c>
      <c r="CE209">
        <v>1690306251.5999999</v>
      </c>
      <c r="CF209">
        <v>9</v>
      </c>
      <c r="CG209">
        <v>0.19</v>
      </c>
      <c r="CH209">
        <v>-8.7999999999999995E-2</v>
      </c>
      <c r="CI209">
        <v>-5.0999999999999997E-2</v>
      </c>
      <c r="CJ209">
        <v>5.0999999999999997E-2</v>
      </c>
      <c r="CK209">
        <v>799</v>
      </c>
      <c r="CL209">
        <v>15</v>
      </c>
      <c r="CM209">
        <v>0.28000000000000003</v>
      </c>
      <c r="CN209">
        <v>0.03</v>
      </c>
      <c r="CO209">
        <v>-326.65597560975613</v>
      </c>
      <c r="CP209">
        <v>-1.341031358885078</v>
      </c>
      <c r="CQ209">
        <v>0.14549754633835851</v>
      </c>
      <c r="CR209">
        <v>-1</v>
      </c>
      <c r="CS209">
        <v>20.453090243902441</v>
      </c>
      <c r="CT209">
        <v>3.1377700348440403E-2</v>
      </c>
      <c r="CU209">
        <v>3.4552049727805392E-3</v>
      </c>
      <c r="CV209">
        <v>-1</v>
      </c>
      <c r="CW209">
        <v>0</v>
      </c>
      <c r="CX209">
        <v>0</v>
      </c>
      <c r="CY209" t="s">
        <v>333</v>
      </c>
      <c r="CZ209">
        <v>2.3645100000000001</v>
      </c>
      <c r="DA209">
        <v>2.7138</v>
      </c>
      <c r="DB209">
        <v>0.101591</v>
      </c>
      <c r="DC209">
        <v>0.14619199999999999</v>
      </c>
      <c r="DD209">
        <v>0.102342</v>
      </c>
      <c r="DE209">
        <v>1.45933E-3</v>
      </c>
      <c r="DF209">
        <v>32824.800000000003</v>
      </c>
      <c r="DG209">
        <v>27549</v>
      </c>
      <c r="DH209">
        <v>31190.799999999999</v>
      </c>
      <c r="DI209">
        <v>28115.3</v>
      </c>
      <c r="DJ209">
        <v>38016.6</v>
      </c>
      <c r="DK209">
        <v>39934.5</v>
      </c>
      <c r="DL209">
        <v>44392.6</v>
      </c>
      <c r="DM209">
        <v>42619.199999999997</v>
      </c>
      <c r="DN209">
        <v>1.43855</v>
      </c>
      <c r="DO209">
        <v>2.0297800000000001</v>
      </c>
      <c r="DP209">
        <v>0.17902299999999999</v>
      </c>
      <c r="DQ209">
        <v>0.15088199999999999</v>
      </c>
      <c r="DR209">
        <v>24.038799999999998</v>
      </c>
      <c r="DS209">
        <v>23.6297</v>
      </c>
      <c r="DT209">
        <v>22.2</v>
      </c>
      <c r="DU209">
        <v>29.7</v>
      </c>
      <c r="DV209">
        <v>9.3709100000000003</v>
      </c>
      <c r="DW209">
        <v>61.833100000000002</v>
      </c>
      <c r="DX209">
        <v>37.263599999999997</v>
      </c>
      <c r="DY209">
        <v>1</v>
      </c>
      <c r="DZ209">
        <v>-0.10392</v>
      </c>
      <c r="EA209">
        <v>1.1547799999999999</v>
      </c>
      <c r="EB209">
        <v>20.184999999999999</v>
      </c>
      <c r="EC209">
        <v>5.2409499999999998</v>
      </c>
      <c r="ED209">
        <v>12.039899999999999</v>
      </c>
      <c r="EE209">
        <v>5.01715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1.86893</v>
      </c>
      <c r="EL209">
        <v>1.8646199999999999</v>
      </c>
      <c r="EM209">
        <v>1.8692</v>
      </c>
      <c r="EN209">
        <v>1.8672299999999999</v>
      </c>
      <c r="EO209">
        <v>1.8633999999999999</v>
      </c>
      <c r="EP209">
        <v>1.8644700000000001</v>
      </c>
      <c r="EQ209">
        <v>1.87018</v>
      </c>
      <c r="ER209">
        <v>1.8694500000000001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0.18</v>
      </c>
      <c r="FG209">
        <v>0.21149999999999999</v>
      </c>
      <c r="FH209">
        <v>0.49996858830924029</v>
      </c>
      <c r="FI209">
        <v>-6.1462078757559423E-4</v>
      </c>
      <c r="FJ209">
        <v>-1.8861989874597051E-7</v>
      </c>
      <c r="FK209">
        <v>1.1980462299894961E-10</v>
      </c>
      <c r="FL209">
        <v>-3.8593581000597899E-2</v>
      </c>
      <c r="FM209">
        <v>-1.6848085045870601E-2</v>
      </c>
      <c r="FN209">
        <v>1.9789084769509481E-3</v>
      </c>
      <c r="FO209">
        <v>-2.7142391389806329E-5</v>
      </c>
      <c r="FP209">
        <v>3</v>
      </c>
      <c r="FQ209">
        <v>2158</v>
      </c>
      <c r="FR209">
        <v>1</v>
      </c>
      <c r="FS209">
        <v>19</v>
      </c>
      <c r="FT209">
        <v>41.1</v>
      </c>
      <c r="FU209">
        <v>41.1</v>
      </c>
      <c r="FV209">
        <v>1.7626999999999999</v>
      </c>
      <c r="FW209">
        <v>2.5891099999999998</v>
      </c>
      <c r="FX209">
        <v>1.5490699999999999</v>
      </c>
      <c r="FY209">
        <v>2.3303199999999999</v>
      </c>
      <c r="FZ209">
        <v>1.50146</v>
      </c>
      <c r="GA209">
        <v>2.3877000000000002</v>
      </c>
      <c r="GB209">
        <v>34.054499999999997</v>
      </c>
      <c r="GC209">
        <v>23.982399999999998</v>
      </c>
      <c r="GD209">
        <v>19</v>
      </c>
      <c r="GE209">
        <v>266.58999999999997</v>
      </c>
      <c r="GF209">
        <v>576.31399999999996</v>
      </c>
      <c r="GG209">
        <v>21.5871</v>
      </c>
      <c r="GH209">
        <v>26.039300000000001</v>
      </c>
      <c r="GI209">
        <v>30.0001</v>
      </c>
      <c r="GJ209">
        <v>26.213699999999999</v>
      </c>
      <c r="GK209">
        <v>26.2117</v>
      </c>
      <c r="GL209">
        <v>35.2288</v>
      </c>
      <c r="GM209">
        <v>100</v>
      </c>
      <c r="GN209">
        <v>7.9915399999999996</v>
      </c>
      <c r="GO209">
        <v>21.5869</v>
      </c>
      <c r="GP209">
        <v>800</v>
      </c>
      <c r="GQ209">
        <v>0</v>
      </c>
      <c r="GR209">
        <v>99.804000000000002</v>
      </c>
      <c r="GS209">
        <v>99.695400000000006</v>
      </c>
    </row>
    <row r="210" spans="1:201" x14ac:dyDescent="0.25">
      <c r="A210">
        <v>194</v>
      </c>
      <c r="B210">
        <v>1690308730</v>
      </c>
      <c r="C210">
        <v>2111.400000095367</v>
      </c>
      <c r="D210" t="s">
        <v>721</v>
      </c>
      <c r="E210" t="s">
        <v>722</v>
      </c>
      <c r="F210" t="s">
        <v>330</v>
      </c>
      <c r="H210">
        <v>1690308730</v>
      </c>
      <c r="I210">
        <f t="shared" si="90"/>
        <v>2.0096259030093571E-3</v>
      </c>
      <c r="J210">
        <f t="shared" si="91"/>
        <v>2.0096259030093573</v>
      </c>
      <c r="K210">
        <f t="shared" si="92"/>
        <v>30.511760574555154</v>
      </c>
      <c r="L210">
        <f t="shared" si="93"/>
        <v>472.74900000000002</v>
      </c>
      <c r="M210">
        <f t="shared" si="94"/>
        <v>142.88231171414435</v>
      </c>
      <c r="N210">
        <f t="shared" si="95"/>
        <v>14.189341066112732</v>
      </c>
      <c r="O210">
        <f t="shared" si="96"/>
        <v>46.947706256908802</v>
      </c>
      <c r="P210">
        <f t="shared" si="97"/>
        <v>0.15608847470850912</v>
      </c>
      <c r="Q210">
        <f t="shared" si="98"/>
        <v>2.1958097703194559</v>
      </c>
      <c r="R210">
        <f t="shared" si="99"/>
        <v>0.150175963853551</v>
      </c>
      <c r="S210">
        <f t="shared" si="100"/>
        <v>9.437253289104601E-2</v>
      </c>
      <c r="T210">
        <f t="shared" si="101"/>
        <v>276.115831668</v>
      </c>
      <c r="U210">
        <f t="shared" si="102"/>
        <v>25.840610938861793</v>
      </c>
      <c r="V210">
        <f t="shared" si="103"/>
        <v>25.840610938861793</v>
      </c>
      <c r="W210">
        <f t="shared" si="104"/>
        <v>3.342564639670619</v>
      </c>
      <c r="X210">
        <f t="shared" si="105"/>
        <v>66.835590457218927</v>
      </c>
      <c r="Y210">
        <f t="shared" si="106"/>
        <v>2.04972480515712</v>
      </c>
      <c r="Z210">
        <f t="shared" si="107"/>
        <v>3.0668163341343364</v>
      </c>
      <c r="AA210">
        <f t="shared" si="108"/>
        <v>1.292839834513499</v>
      </c>
      <c r="AB210">
        <f t="shared" si="109"/>
        <v>-88.624502322712644</v>
      </c>
      <c r="AC210">
        <f t="shared" si="110"/>
        <v>-171.10846435405691</v>
      </c>
      <c r="AD210">
        <f t="shared" si="111"/>
        <v>-16.502689347857974</v>
      </c>
      <c r="AE210">
        <f t="shared" si="112"/>
        <v>-0.11982435662756075</v>
      </c>
      <c r="AF210">
        <v>12</v>
      </c>
      <c r="AG210">
        <v>4</v>
      </c>
      <c r="AH210">
        <f t="shared" si="113"/>
        <v>1</v>
      </c>
      <c r="AI210">
        <f t="shared" si="114"/>
        <v>0</v>
      </c>
      <c r="AJ210">
        <f t="shared" si="115"/>
        <v>52917.798940835484</v>
      </c>
      <c r="AK210">
        <f t="shared" si="116"/>
        <v>1800</v>
      </c>
      <c r="AL210">
        <f t="shared" si="117"/>
        <v>1499.1136667999999</v>
      </c>
      <c r="AM210">
        <f t="shared" si="118"/>
        <v>0.83284092599999993</v>
      </c>
      <c r="AN210">
        <f t="shared" si="119"/>
        <v>0.15339768426</v>
      </c>
      <c r="AO210">
        <v>31.2</v>
      </c>
      <c r="AP210">
        <v>0.5</v>
      </c>
      <c r="AQ210" t="s">
        <v>331</v>
      </c>
      <c r="AR210">
        <v>2</v>
      </c>
      <c r="AS210">
        <v>1690308730</v>
      </c>
      <c r="AT210">
        <v>472.74900000000002</v>
      </c>
      <c r="AU210">
        <v>799.94200000000001</v>
      </c>
      <c r="AV210">
        <v>20.6401</v>
      </c>
      <c r="AW210">
        <v>0.171985</v>
      </c>
      <c r="AX210">
        <v>472.56900000000002</v>
      </c>
      <c r="AY210">
        <v>20.4284</v>
      </c>
      <c r="AZ210">
        <v>300.00900000000001</v>
      </c>
      <c r="BA210">
        <v>99.207899999999995</v>
      </c>
      <c r="BB210">
        <v>9.9991200000000002E-2</v>
      </c>
      <c r="BC210">
        <v>24.395199999999999</v>
      </c>
      <c r="BD210">
        <v>26.988199999999999</v>
      </c>
      <c r="BE210">
        <v>26.109500000000001</v>
      </c>
      <c r="BF210">
        <v>0</v>
      </c>
      <c r="BG210">
        <v>0</v>
      </c>
      <c r="BH210">
        <v>10000</v>
      </c>
      <c r="BI210">
        <v>1042.95</v>
      </c>
      <c r="BJ210">
        <v>1.62592</v>
      </c>
      <c r="BK210">
        <v>-327.19200000000001</v>
      </c>
      <c r="BL210">
        <v>482.71300000000002</v>
      </c>
      <c r="BM210">
        <v>800.07899999999995</v>
      </c>
      <c r="BN210">
        <v>20.4681</v>
      </c>
      <c r="BO210">
        <v>799.94200000000001</v>
      </c>
      <c r="BP210">
        <v>0.171985</v>
      </c>
      <c r="BQ210">
        <v>2.04766</v>
      </c>
      <c r="BR210">
        <v>1.7062299999999999E-2</v>
      </c>
      <c r="BS210">
        <v>17.817799999999998</v>
      </c>
      <c r="BT210">
        <v>-40.944099999999999</v>
      </c>
      <c r="BU210">
        <v>1800</v>
      </c>
      <c r="BV210">
        <v>0.91</v>
      </c>
      <c r="BW210">
        <v>3.3991500000000001E-2</v>
      </c>
      <c r="BX210">
        <v>2.2004800000000001E-2</v>
      </c>
      <c r="BY210">
        <v>3.4003600000000002E-2</v>
      </c>
      <c r="BZ210">
        <v>26</v>
      </c>
      <c r="CA210">
        <v>33528.5</v>
      </c>
      <c r="CB210">
        <v>1690306253.5999999</v>
      </c>
      <c r="CC210" t="s">
        <v>332</v>
      </c>
      <c r="CD210">
        <v>1690306253.5999999</v>
      </c>
      <c r="CE210">
        <v>1690306251.5999999</v>
      </c>
      <c r="CF210">
        <v>9</v>
      </c>
      <c r="CG210">
        <v>0.19</v>
      </c>
      <c r="CH210">
        <v>-8.7999999999999995E-2</v>
      </c>
      <c r="CI210">
        <v>-5.0999999999999997E-2</v>
      </c>
      <c r="CJ210">
        <v>5.0999999999999997E-2</v>
      </c>
      <c r="CK210">
        <v>799</v>
      </c>
      <c r="CL210">
        <v>15</v>
      </c>
      <c r="CM210">
        <v>0.28000000000000003</v>
      </c>
      <c r="CN210">
        <v>0.03</v>
      </c>
      <c r="CO210">
        <v>-326.88882926829268</v>
      </c>
      <c r="CP210">
        <v>-1.4683693379787111</v>
      </c>
      <c r="CQ210">
        <v>0.14907714526689961</v>
      </c>
      <c r="CR210">
        <v>-1</v>
      </c>
      <c r="CS210">
        <v>20.4593243902439</v>
      </c>
      <c r="CT210">
        <v>4.8932404181173249E-2</v>
      </c>
      <c r="CU210">
        <v>4.9326082986786103E-3</v>
      </c>
      <c r="CV210">
        <v>-1</v>
      </c>
      <c r="CW210">
        <v>0</v>
      </c>
      <c r="CX210">
        <v>0</v>
      </c>
      <c r="CY210" t="s">
        <v>333</v>
      </c>
      <c r="CZ210">
        <v>2.3643299999999998</v>
      </c>
      <c r="DA210">
        <v>2.7137799999999999</v>
      </c>
      <c r="DB210">
        <v>0.10154199999999999</v>
      </c>
      <c r="DC210">
        <v>0.14619199999999999</v>
      </c>
      <c r="DD210">
        <v>0.10237400000000001</v>
      </c>
      <c r="DE210">
        <v>1.4490200000000001E-3</v>
      </c>
      <c r="DF210">
        <v>32827.300000000003</v>
      </c>
      <c r="DG210">
        <v>27548.7</v>
      </c>
      <c r="DH210">
        <v>31191.5</v>
      </c>
      <c r="DI210">
        <v>28115</v>
      </c>
      <c r="DJ210">
        <v>38015.9</v>
      </c>
      <c r="DK210">
        <v>39934.5</v>
      </c>
      <c r="DL210">
        <v>44393.4</v>
      </c>
      <c r="DM210">
        <v>42618.7</v>
      </c>
      <c r="DN210">
        <v>1.43872</v>
      </c>
      <c r="DO210">
        <v>2.0301999999999998</v>
      </c>
      <c r="DP210">
        <v>0.17998400000000001</v>
      </c>
      <c r="DQ210">
        <v>0.151224</v>
      </c>
      <c r="DR210">
        <v>24.037500000000001</v>
      </c>
      <c r="DS210">
        <v>23.627700000000001</v>
      </c>
      <c r="DT210">
        <v>22</v>
      </c>
      <c r="DU210">
        <v>29.7</v>
      </c>
      <c r="DV210">
        <v>9.2850599999999996</v>
      </c>
      <c r="DW210">
        <v>61.7331</v>
      </c>
      <c r="DX210">
        <v>37.263599999999997</v>
      </c>
      <c r="DY210">
        <v>1</v>
      </c>
      <c r="DZ210">
        <v>-0.10399899999999999</v>
      </c>
      <c r="EA210">
        <v>1.10425</v>
      </c>
      <c r="EB210">
        <v>20.185199999999998</v>
      </c>
      <c r="EC210">
        <v>5.2411000000000003</v>
      </c>
      <c r="ED210">
        <v>12.039899999999999</v>
      </c>
      <c r="EE210">
        <v>5.01715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1.86893</v>
      </c>
      <c r="EL210">
        <v>1.8646199999999999</v>
      </c>
      <c r="EM210">
        <v>1.8692</v>
      </c>
      <c r="EN210">
        <v>1.8672299999999999</v>
      </c>
      <c r="EO210">
        <v>1.8633999999999999</v>
      </c>
      <c r="EP210">
        <v>1.8644700000000001</v>
      </c>
      <c r="EQ210">
        <v>1.87015</v>
      </c>
      <c r="ER210">
        <v>1.8694500000000001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0.18</v>
      </c>
      <c r="FG210">
        <v>0.2117</v>
      </c>
      <c r="FH210">
        <v>0.49996858830924029</v>
      </c>
      <c r="FI210">
        <v>-6.1462078757559423E-4</v>
      </c>
      <c r="FJ210">
        <v>-1.8861989874597051E-7</v>
      </c>
      <c r="FK210">
        <v>1.1980462299894961E-10</v>
      </c>
      <c r="FL210">
        <v>-3.8593581000597899E-2</v>
      </c>
      <c r="FM210">
        <v>-1.6848085045870601E-2</v>
      </c>
      <c r="FN210">
        <v>1.9789084769509481E-3</v>
      </c>
      <c r="FO210">
        <v>-2.7142391389806329E-5</v>
      </c>
      <c r="FP210">
        <v>3</v>
      </c>
      <c r="FQ210">
        <v>2158</v>
      </c>
      <c r="FR210">
        <v>1</v>
      </c>
      <c r="FS210">
        <v>19</v>
      </c>
      <c r="FT210">
        <v>41.3</v>
      </c>
      <c r="FU210">
        <v>41.3</v>
      </c>
      <c r="FV210">
        <v>1.7626999999999999</v>
      </c>
      <c r="FW210">
        <v>2.5891099999999998</v>
      </c>
      <c r="FX210">
        <v>1.5490699999999999</v>
      </c>
      <c r="FY210">
        <v>2.3303199999999999</v>
      </c>
      <c r="FZ210">
        <v>1.50146</v>
      </c>
      <c r="GA210">
        <v>2.4060100000000002</v>
      </c>
      <c r="GB210">
        <v>34.054499999999997</v>
      </c>
      <c r="GC210">
        <v>23.982399999999998</v>
      </c>
      <c r="GD210">
        <v>19</v>
      </c>
      <c r="GE210">
        <v>266.65300000000002</v>
      </c>
      <c r="GF210">
        <v>576.63800000000003</v>
      </c>
      <c r="GG210">
        <v>21.597000000000001</v>
      </c>
      <c r="GH210">
        <v>26.037199999999999</v>
      </c>
      <c r="GI210">
        <v>30.0001</v>
      </c>
      <c r="GJ210">
        <v>26.211400000000001</v>
      </c>
      <c r="GK210">
        <v>26.209499999999998</v>
      </c>
      <c r="GL210">
        <v>35.237200000000001</v>
      </c>
      <c r="GM210">
        <v>100</v>
      </c>
      <c r="GN210">
        <v>7.6070900000000004</v>
      </c>
      <c r="GO210">
        <v>21.603400000000001</v>
      </c>
      <c r="GP210">
        <v>800</v>
      </c>
      <c r="GQ210">
        <v>0</v>
      </c>
      <c r="GR210">
        <v>99.805999999999997</v>
      </c>
      <c r="GS210">
        <v>99.694299999999998</v>
      </c>
    </row>
    <row r="211" spans="1:201" x14ac:dyDescent="0.25">
      <c r="A211">
        <v>195</v>
      </c>
      <c r="B211">
        <v>1690308740</v>
      </c>
      <c r="C211">
        <v>2121.400000095367</v>
      </c>
      <c r="D211" t="s">
        <v>723</v>
      </c>
      <c r="E211" t="s">
        <v>724</v>
      </c>
      <c r="F211" t="s">
        <v>330</v>
      </c>
      <c r="H211">
        <v>1690308740</v>
      </c>
      <c r="I211">
        <f t="shared" si="90"/>
        <v>2.011448479129499E-3</v>
      </c>
      <c r="J211">
        <f t="shared" si="91"/>
        <v>2.0114484791294989</v>
      </c>
      <c r="K211">
        <f t="shared" si="92"/>
        <v>30.551753929993698</v>
      </c>
      <c r="L211">
        <f t="shared" si="93"/>
        <v>472.59800000000001</v>
      </c>
      <c r="M211">
        <f t="shared" si="94"/>
        <v>142.51777814931469</v>
      </c>
      <c r="N211">
        <f t="shared" si="95"/>
        <v>14.153096424581321</v>
      </c>
      <c r="O211">
        <f t="shared" si="96"/>
        <v>46.9325662448692</v>
      </c>
      <c r="P211">
        <f t="shared" si="97"/>
        <v>0.15618762265297884</v>
      </c>
      <c r="Q211">
        <f t="shared" si="98"/>
        <v>2.1974152893503276</v>
      </c>
      <c r="R211">
        <f t="shared" si="99"/>
        <v>0.15027190040768554</v>
      </c>
      <c r="S211">
        <f t="shared" si="100"/>
        <v>9.4432773352646965E-2</v>
      </c>
      <c r="T211">
        <f t="shared" si="101"/>
        <v>276.11499182130109</v>
      </c>
      <c r="U211">
        <f t="shared" si="102"/>
        <v>25.845413252150724</v>
      </c>
      <c r="V211">
        <f t="shared" si="103"/>
        <v>25.845413252150724</v>
      </c>
      <c r="W211">
        <f t="shared" si="104"/>
        <v>3.3435157452507007</v>
      </c>
      <c r="X211">
        <f t="shared" si="105"/>
        <v>66.83016436365736</v>
      </c>
      <c r="Y211">
        <f t="shared" si="106"/>
        <v>2.0503441312025599</v>
      </c>
      <c r="Z211">
        <f t="shared" si="107"/>
        <v>3.0679920522798372</v>
      </c>
      <c r="AA211">
        <f t="shared" si="108"/>
        <v>1.2931716140481408</v>
      </c>
      <c r="AB211">
        <f t="shared" si="109"/>
        <v>-88.704877929610902</v>
      </c>
      <c r="AC211">
        <f t="shared" si="110"/>
        <v>-171.04430117936039</v>
      </c>
      <c r="AD211">
        <f t="shared" si="111"/>
        <v>-16.485377029116364</v>
      </c>
      <c r="AE211">
        <f t="shared" si="112"/>
        <v>-0.11956431678657964</v>
      </c>
      <c r="AF211">
        <v>12</v>
      </c>
      <c r="AG211">
        <v>4</v>
      </c>
      <c r="AH211">
        <f t="shared" si="113"/>
        <v>1</v>
      </c>
      <c r="AI211">
        <f t="shared" si="114"/>
        <v>0</v>
      </c>
      <c r="AJ211">
        <f t="shared" si="115"/>
        <v>52982.974730080772</v>
      </c>
      <c r="AK211">
        <f t="shared" si="116"/>
        <v>1799.99</v>
      </c>
      <c r="AL211">
        <f t="shared" si="117"/>
        <v>1499.1051367918599</v>
      </c>
      <c r="AM211">
        <f t="shared" si="118"/>
        <v>0.83284081399999998</v>
      </c>
      <c r="AN211">
        <f t="shared" si="119"/>
        <v>0.15339806988999999</v>
      </c>
      <c r="AO211">
        <v>31.2</v>
      </c>
      <c r="AP211">
        <v>0.5</v>
      </c>
      <c r="AQ211" t="s">
        <v>331</v>
      </c>
      <c r="AR211">
        <v>2</v>
      </c>
      <c r="AS211">
        <v>1690308740</v>
      </c>
      <c r="AT211">
        <v>472.59800000000001</v>
      </c>
      <c r="AU211">
        <v>800.03700000000003</v>
      </c>
      <c r="AV211">
        <v>20.6464</v>
      </c>
      <c r="AW211">
        <v>0.17084199999999999</v>
      </c>
      <c r="AX211">
        <v>472.41800000000001</v>
      </c>
      <c r="AY211">
        <v>20.4346</v>
      </c>
      <c r="AZ211">
        <v>300.17</v>
      </c>
      <c r="BA211">
        <v>99.207599999999999</v>
      </c>
      <c r="BB211">
        <v>9.9985400000000002E-2</v>
      </c>
      <c r="BC211">
        <v>24.401599999999998</v>
      </c>
      <c r="BD211">
        <v>27.003799999999998</v>
      </c>
      <c r="BE211">
        <v>26.075299999999999</v>
      </c>
      <c r="BF211">
        <v>0</v>
      </c>
      <c r="BG211">
        <v>0</v>
      </c>
      <c r="BH211">
        <v>10013.1</v>
      </c>
      <c r="BI211">
        <v>1042.97</v>
      </c>
      <c r="BJ211">
        <v>1.62592</v>
      </c>
      <c r="BK211">
        <v>-327.43900000000002</v>
      </c>
      <c r="BL211">
        <v>482.56099999999998</v>
      </c>
      <c r="BM211">
        <v>800.17399999999998</v>
      </c>
      <c r="BN211">
        <v>20.4756</v>
      </c>
      <c r="BO211">
        <v>800.03700000000003</v>
      </c>
      <c r="BP211">
        <v>0.17084199999999999</v>
      </c>
      <c r="BQ211">
        <v>2.0482800000000001</v>
      </c>
      <c r="BR211">
        <v>1.69488E-2</v>
      </c>
      <c r="BS211">
        <v>17.822600000000001</v>
      </c>
      <c r="BT211">
        <v>-41.007399999999997</v>
      </c>
      <c r="BU211">
        <v>1799.99</v>
      </c>
      <c r="BV211">
        <v>0.90999200000000002</v>
      </c>
      <c r="BW211">
        <v>3.3991100000000003E-2</v>
      </c>
      <c r="BX211">
        <v>2.20097E-2</v>
      </c>
      <c r="BY211">
        <v>3.4007099999999998E-2</v>
      </c>
      <c r="BZ211">
        <v>26</v>
      </c>
      <c r="CA211">
        <v>33528.199999999997</v>
      </c>
      <c r="CB211">
        <v>1690306253.5999999</v>
      </c>
      <c r="CC211" t="s">
        <v>332</v>
      </c>
      <c r="CD211">
        <v>1690306253.5999999</v>
      </c>
      <c r="CE211">
        <v>1690306251.5999999</v>
      </c>
      <c r="CF211">
        <v>9</v>
      </c>
      <c r="CG211">
        <v>0.19</v>
      </c>
      <c r="CH211">
        <v>-8.7999999999999995E-2</v>
      </c>
      <c r="CI211">
        <v>-5.0999999999999997E-2</v>
      </c>
      <c r="CJ211">
        <v>5.0999999999999997E-2</v>
      </c>
      <c r="CK211">
        <v>799</v>
      </c>
      <c r="CL211">
        <v>15</v>
      </c>
      <c r="CM211">
        <v>0.28000000000000003</v>
      </c>
      <c r="CN211">
        <v>0.03</v>
      </c>
      <c r="CO211">
        <v>-327.14209756097563</v>
      </c>
      <c r="CP211">
        <v>-1.5307944250876659</v>
      </c>
      <c r="CQ211">
        <v>0.15946768231014069</v>
      </c>
      <c r="CR211">
        <v>-1</v>
      </c>
      <c r="CS211">
        <v>20.466629268292682</v>
      </c>
      <c r="CT211">
        <v>4.4987456446036467E-2</v>
      </c>
      <c r="CU211">
        <v>4.6149937981851642E-3</v>
      </c>
      <c r="CV211">
        <v>-1</v>
      </c>
      <c r="CW211">
        <v>0</v>
      </c>
      <c r="CX211">
        <v>0</v>
      </c>
      <c r="CY211" t="s">
        <v>333</v>
      </c>
      <c r="CZ211">
        <v>2.3648600000000002</v>
      </c>
      <c r="DA211">
        <v>2.7137899999999999</v>
      </c>
      <c r="DB211">
        <v>0.101519</v>
      </c>
      <c r="DC211">
        <v>0.146204</v>
      </c>
      <c r="DD211">
        <v>0.102397</v>
      </c>
      <c r="DE211">
        <v>1.4395E-3</v>
      </c>
      <c r="DF211">
        <v>32828.300000000003</v>
      </c>
      <c r="DG211">
        <v>27548.7</v>
      </c>
      <c r="DH211">
        <v>31191.7</v>
      </c>
      <c r="DI211">
        <v>28115.4</v>
      </c>
      <c r="DJ211">
        <v>38015.300000000003</v>
      </c>
      <c r="DK211">
        <v>39935.300000000003</v>
      </c>
      <c r="DL211">
        <v>44393.8</v>
      </c>
      <c r="DM211">
        <v>42619.199999999997</v>
      </c>
      <c r="DN211">
        <v>1.4389000000000001</v>
      </c>
      <c r="DO211">
        <v>2.03003</v>
      </c>
      <c r="DP211">
        <v>0.180982</v>
      </c>
      <c r="DQ211">
        <v>0.14905599999999999</v>
      </c>
      <c r="DR211">
        <v>24.036799999999999</v>
      </c>
      <c r="DS211">
        <v>23.629000000000001</v>
      </c>
      <c r="DT211">
        <v>21.9</v>
      </c>
      <c r="DU211">
        <v>29.7</v>
      </c>
      <c r="DV211">
        <v>9.2449100000000008</v>
      </c>
      <c r="DW211">
        <v>61.453099999999999</v>
      </c>
      <c r="DX211">
        <v>36.935099999999998</v>
      </c>
      <c r="DY211">
        <v>1</v>
      </c>
      <c r="DZ211">
        <v>-0.104131</v>
      </c>
      <c r="EA211">
        <v>1.0995299999999999</v>
      </c>
      <c r="EB211">
        <v>20.185199999999998</v>
      </c>
      <c r="EC211">
        <v>5.2406499999999996</v>
      </c>
      <c r="ED211">
        <v>12.039899999999999</v>
      </c>
      <c r="EE211">
        <v>5.0172499999999998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1.86894</v>
      </c>
      <c r="EL211">
        <v>1.8646199999999999</v>
      </c>
      <c r="EM211">
        <v>1.8692</v>
      </c>
      <c r="EN211">
        <v>1.8672299999999999</v>
      </c>
      <c r="EO211">
        <v>1.8633999999999999</v>
      </c>
      <c r="EP211">
        <v>1.8644700000000001</v>
      </c>
      <c r="EQ211">
        <v>1.8702000000000001</v>
      </c>
      <c r="ER211">
        <v>1.86944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0.18</v>
      </c>
      <c r="FG211">
        <v>0.21179999999999999</v>
      </c>
      <c r="FH211">
        <v>0.49996858830924029</v>
      </c>
      <c r="FI211">
        <v>-6.1462078757559423E-4</v>
      </c>
      <c r="FJ211">
        <v>-1.8861989874597051E-7</v>
      </c>
      <c r="FK211">
        <v>1.1980462299894961E-10</v>
      </c>
      <c r="FL211">
        <v>-3.8593581000597899E-2</v>
      </c>
      <c r="FM211">
        <v>-1.6848085045870601E-2</v>
      </c>
      <c r="FN211">
        <v>1.9789084769509481E-3</v>
      </c>
      <c r="FO211">
        <v>-2.7142391389806329E-5</v>
      </c>
      <c r="FP211">
        <v>3</v>
      </c>
      <c r="FQ211">
        <v>2158</v>
      </c>
      <c r="FR211">
        <v>1</v>
      </c>
      <c r="FS211">
        <v>19</v>
      </c>
      <c r="FT211">
        <v>41.4</v>
      </c>
      <c r="FU211">
        <v>41.5</v>
      </c>
      <c r="FV211">
        <v>1.7626999999999999</v>
      </c>
      <c r="FW211">
        <v>2.5939899999999998</v>
      </c>
      <c r="FX211">
        <v>1.5490699999999999</v>
      </c>
      <c r="FY211">
        <v>2.3315399999999999</v>
      </c>
      <c r="FZ211">
        <v>1.50146</v>
      </c>
      <c r="GA211">
        <v>2.3913600000000002</v>
      </c>
      <c r="GB211">
        <v>34.054499999999997</v>
      </c>
      <c r="GC211">
        <v>23.982399999999998</v>
      </c>
      <c r="GD211">
        <v>19</v>
      </c>
      <c r="GE211">
        <v>266.71600000000001</v>
      </c>
      <c r="GF211">
        <v>576.47</v>
      </c>
      <c r="GG211">
        <v>21.6142</v>
      </c>
      <c r="GH211">
        <v>26.037099999999999</v>
      </c>
      <c r="GI211">
        <v>30</v>
      </c>
      <c r="GJ211">
        <v>26.209399999999999</v>
      </c>
      <c r="GK211">
        <v>26.2073</v>
      </c>
      <c r="GL211">
        <v>35.2348</v>
      </c>
      <c r="GM211">
        <v>100</v>
      </c>
      <c r="GN211">
        <v>7.2257400000000001</v>
      </c>
      <c r="GO211">
        <v>21.617000000000001</v>
      </c>
      <c r="GP211">
        <v>800</v>
      </c>
      <c r="GQ211">
        <v>0</v>
      </c>
      <c r="GR211">
        <v>99.806799999999996</v>
      </c>
      <c r="GS211">
        <v>99.695599999999999</v>
      </c>
    </row>
    <row r="212" spans="1:201" x14ac:dyDescent="0.25">
      <c r="A212">
        <v>196</v>
      </c>
      <c r="B212">
        <v>1690308750</v>
      </c>
      <c r="C212">
        <v>2131.400000095367</v>
      </c>
      <c r="D212" t="s">
        <v>725</v>
      </c>
      <c r="E212" t="s">
        <v>726</v>
      </c>
      <c r="F212" t="s">
        <v>330</v>
      </c>
      <c r="H212">
        <v>1690308750</v>
      </c>
      <c r="I212">
        <f t="shared" si="90"/>
        <v>2.0127104934097814E-3</v>
      </c>
      <c r="J212">
        <f t="shared" si="91"/>
        <v>2.0127104934097813</v>
      </c>
      <c r="K212">
        <f t="shared" si="92"/>
        <v>30.57101967510728</v>
      </c>
      <c r="L212">
        <f t="shared" si="93"/>
        <v>472.37099999999998</v>
      </c>
      <c r="M212">
        <f t="shared" si="94"/>
        <v>142.65866794088487</v>
      </c>
      <c r="N212">
        <f t="shared" si="95"/>
        <v>14.166052247521485</v>
      </c>
      <c r="O212">
        <f t="shared" si="96"/>
        <v>46.906594340183105</v>
      </c>
      <c r="P212">
        <f t="shared" si="97"/>
        <v>0.15647496942554057</v>
      </c>
      <c r="Q212">
        <f t="shared" si="98"/>
        <v>2.1950259139325627</v>
      </c>
      <c r="R212">
        <f t="shared" si="99"/>
        <v>0.15053170650564651</v>
      </c>
      <c r="S212">
        <f t="shared" si="100"/>
        <v>9.4597486886619134E-2</v>
      </c>
      <c r="T212">
        <f t="shared" si="101"/>
        <v>276.11513522650438</v>
      </c>
      <c r="U212">
        <f t="shared" si="102"/>
        <v>25.844122362970875</v>
      </c>
      <c r="V212">
        <f t="shared" si="103"/>
        <v>25.844122362970875</v>
      </c>
      <c r="W212">
        <f t="shared" si="104"/>
        <v>3.3432600594224691</v>
      </c>
      <c r="X212">
        <f t="shared" si="105"/>
        <v>66.880775111183709</v>
      </c>
      <c r="Y212">
        <f t="shared" si="106"/>
        <v>2.0516142474542698</v>
      </c>
      <c r="Z212">
        <f t="shared" si="107"/>
        <v>3.0675694832238896</v>
      </c>
      <c r="AA212">
        <f t="shared" si="108"/>
        <v>1.2916458119681993</v>
      </c>
      <c r="AB212">
        <f t="shared" si="109"/>
        <v>-88.760532759371358</v>
      </c>
      <c r="AC212">
        <f t="shared" si="110"/>
        <v>-170.97773131607687</v>
      </c>
      <c r="AD212">
        <f t="shared" si="111"/>
        <v>-16.496601079873408</v>
      </c>
      <c r="AE212">
        <f t="shared" si="112"/>
        <v>-0.11972992881726441</v>
      </c>
      <c r="AF212">
        <v>12</v>
      </c>
      <c r="AG212">
        <v>4</v>
      </c>
      <c r="AH212">
        <f t="shared" si="113"/>
        <v>1</v>
      </c>
      <c r="AI212">
        <f t="shared" si="114"/>
        <v>0</v>
      </c>
      <c r="AJ212">
        <f t="shared" si="115"/>
        <v>52884.544892125959</v>
      </c>
      <c r="AK212">
        <f t="shared" si="116"/>
        <v>1799.99</v>
      </c>
      <c r="AL212">
        <f t="shared" si="117"/>
        <v>1499.1049063931398</v>
      </c>
      <c r="AM212">
        <f t="shared" si="118"/>
        <v>0.83284068599999983</v>
      </c>
      <c r="AN212">
        <f t="shared" si="119"/>
        <v>0.15339814955999997</v>
      </c>
      <c r="AO212">
        <v>31.2</v>
      </c>
      <c r="AP212">
        <v>0.5</v>
      </c>
      <c r="AQ212" t="s">
        <v>331</v>
      </c>
      <c r="AR212">
        <v>2</v>
      </c>
      <c r="AS212">
        <v>1690308750</v>
      </c>
      <c r="AT212">
        <v>472.37099999999998</v>
      </c>
      <c r="AU212">
        <v>800.05100000000004</v>
      </c>
      <c r="AV212">
        <v>20.660699999999999</v>
      </c>
      <c r="AW212">
        <v>0.17013700000000001</v>
      </c>
      <c r="AX212">
        <v>472.19099999999997</v>
      </c>
      <c r="AY212">
        <v>20.448399999999999</v>
      </c>
      <c r="AZ212">
        <v>300.13400000000001</v>
      </c>
      <c r="BA212">
        <v>99.200400000000002</v>
      </c>
      <c r="BB212">
        <v>9.9926100000000004E-2</v>
      </c>
      <c r="BC212">
        <v>24.3993</v>
      </c>
      <c r="BD212">
        <v>26.973099999999999</v>
      </c>
      <c r="BE212">
        <v>26.110700000000001</v>
      </c>
      <c r="BF212">
        <v>0</v>
      </c>
      <c r="BG212">
        <v>0</v>
      </c>
      <c r="BH212">
        <v>9994.3799999999992</v>
      </c>
      <c r="BI212">
        <v>1043</v>
      </c>
      <c r="BJ212">
        <v>1.62592</v>
      </c>
      <c r="BK212">
        <v>-327.68</v>
      </c>
      <c r="BL212">
        <v>482.33600000000001</v>
      </c>
      <c r="BM212">
        <v>800.18799999999999</v>
      </c>
      <c r="BN212">
        <v>20.490500000000001</v>
      </c>
      <c r="BO212">
        <v>800.05100000000004</v>
      </c>
      <c r="BP212">
        <v>0.17013700000000001</v>
      </c>
      <c r="BQ212">
        <v>2.04955</v>
      </c>
      <c r="BR212">
        <v>1.6877699999999999E-2</v>
      </c>
      <c r="BS212">
        <v>17.8324</v>
      </c>
      <c r="BT212">
        <v>-41.047199999999997</v>
      </c>
      <c r="BU212">
        <v>1799.99</v>
      </c>
      <c r="BV212">
        <v>0.90998800000000002</v>
      </c>
      <c r="BW212">
        <v>3.3991199999999999E-2</v>
      </c>
      <c r="BX212">
        <v>2.20098E-2</v>
      </c>
      <c r="BY212">
        <v>3.4011199999999998E-2</v>
      </c>
      <c r="BZ212">
        <v>26</v>
      </c>
      <c r="CA212">
        <v>33528.199999999997</v>
      </c>
      <c r="CB212">
        <v>1690306253.5999999</v>
      </c>
      <c r="CC212" t="s">
        <v>332</v>
      </c>
      <c r="CD212">
        <v>1690306253.5999999</v>
      </c>
      <c r="CE212">
        <v>1690306251.5999999</v>
      </c>
      <c r="CF212">
        <v>9</v>
      </c>
      <c r="CG212">
        <v>0.19</v>
      </c>
      <c r="CH212">
        <v>-8.7999999999999995E-2</v>
      </c>
      <c r="CI212">
        <v>-5.0999999999999997E-2</v>
      </c>
      <c r="CJ212">
        <v>5.0999999999999997E-2</v>
      </c>
      <c r="CK212">
        <v>799</v>
      </c>
      <c r="CL212">
        <v>15</v>
      </c>
      <c r="CM212">
        <v>0.28000000000000003</v>
      </c>
      <c r="CN212">
        <v>0.03</v>
      </c>
      <c r="CO212">
        <v>-327.399</v>
      </c>
      <c r="CP212">
        <v>-1.0667166979357661</v>
      </c>
      <c r="CQ212">
        <v>0.10901972298625889</v>
      </c>
      <c r="CR212">
        <v>-1</v>
      </c>
      <c r="CS212">
        <v>20.476342500000001</v>
      </c>
      <c r="CT212">
        <v>6.0181238273904168E-2</v>
      </c>
      <c r="CU212">
        <v>6.0684795253834684E-3</v>
      </c>
      <c r="CV212">
        <v>-1</v>
      </c>
      <c r="CW212">
        <v>0</v>
      </c>
      <c r="CX212">
        <v>0</v>
      </c>
      <c r="CY212" t="s">
        <v>333</v>
      </c>
      <c r="CZ212">
        <v>2.3647399999999998</v>
      </c>
      <c r="DA212">
        <v>2.7137099999999998</v>
      </c>
      <c r="DB212">
        <v>0.101476</v>
      </c>
      <c r="DC212">
        <v>0.14619599999999999</v>
      </c>
      <c r="DD212">
        <v>0.102439</v>
      </c>
      <c r="DE212">
        <v>1.4335299999999999E-3</v>
      </c>
      <c r="DF212">
        <v>32829.699999999997</v>
      </c>
      <c r="DG212">
        <v>27548.5</v>
      </c>
      <c r="DH212">
        <v>31191.5</v>
      </c>
      <c r="DI212">
        <v>28115</v>
      </c>
      <c r="DJ212">
        <v>38013.4</v>
      </c>
      <c r="DK212">
        <v>39935.4</v>
      </c>
      <c r="DL212">
        <v>44393.7</v>
      </c>
      <c r="DM212">
        <v>42619</v>
      </c>
      <c r="DN212">
        <v>1.4390000000000001</v>
      </c>
      <c r="DO212">
        <v>2.0301300000000002</v>
      </c>
      <c r="DP212">
        <v>0.17898500000000001</v>
      </c>
      <c r="DQ212">
        <v>0.151172</v>
      </c>
      <c r="DR212">
        <v>24.038799999999998</v>
      </c>
      <c r="DS212">
        <v>23.6297</v>
      </c>
      <c r="DT212">
        <v>21.8</v>
      </c>
      <c r="DU212">
        <v>29.7</v>
      </c>
      <c r="DV212">
        <v>9.2016500000000008</v>
      </c>
      <c r="DW212">
        <v>61.773099999999999</v>
      </c>
      <c r="DX212">
        <v>36.758800000000001</v>
      </c>
      <c r="DY212">
        <v>1</v>
      </c>
      <c r="DZ212">
        <v>-0.104223</v>
      </c>
      <c r="EA212">
        <v>1.0763400000000001</v>
      </c>
      <c r="EB212">
        <v>20.185500000000001</v>
      </c>
      <c r="EC212">
        <v>5.2411000000000003</v>
      </c>
      <c r="ED212">
        <v>12.039899999999999</v>
      </c>
      <c r="EE212">
        <v>5.0169499999999996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1.86893</v>
      </c>
      <c r="EL212">
        <v>1.8646199999999999</v>
      </c>
      <c r="EM212">
        <v>1.8692</v>
      </c>
      <c r="EN212">
        <v>1.8672200000000001</v>
      </c>
      <c r="EO212">
        <v>1.8633999999999999</v>
      </c>
      <c r="EP212">
        <v>1.8644700000000001</v>
      </c>
      <c r="EQ212">
        <v>1.8701700000000001</v>
      </c>
      <c r="ER212">
        <v>1.8694299999999999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0.18</v>
      </c>
      <c r="FG212">
        <v>0.21229999999999999</v>
      </c>
      <c r="FH212">
        <v>0.49996858830924029</v>
      </c>
      <c r="FI212">
        <v>-6.1462078757559423E-4</v>
      </c>
      <c r="FJ212">
        <v>-1.8861989874597051E-7</v>
      </c>
      <c r="FK212">
        <v>1.1980462299894961E-10</v>
      </c>
      <c r="FL212">
        <v>-3.8593581000597899E-2</v>
      </c>
      <c r="FM212">
        <v>-1.6848085045870601E-2</v>
      </c>
      <c r="FN212">
        <v>1.9789084769509481E-3</v>
      </c>
      <c r="FO212">
        <v>-2.7142391389806329E-5</v>
      </c>
      <c r="FP212">
        <v>3</v>
      </c>
      <c r="FQ212">
        <v>2158</v>
      </c>
      <c r="FR212">
        <v>1</v>
      </c>
      <c r="FS212">
        <v>19</v>
      </c>
      <c r="FT212">
        <v>41.6</v>
      </c>
      <c r="FU212">
        <v>41.6</v>
      </c>
      <c r="FV212">
        <v>1.7626999999999999</v>
      </c>
      <c r="FW212">
        <v>2.5939899999999998</v>
      </c>
      <c r="FX212">
        <v>1.5490699999999999</v>
      </c>
      <c r="FY212">
        <v>2.3315399999999999</v>
      </c>
      <c r="FZ212">
        <v>1.50146</v>
      </c>
      <c r="GA212">
        <v>2.3596200000000001</v>
      </c>
      <c r="GB212">
        <v>34.054499999999997</v>
      </c>
      <c r="GC212">
        <v>23.982399999999998</v>
      </c>
      <c r="GD212">
        <v>19</v>
      </c>
      <c r="GE212">
        <v>266.75</v>
      </c>
      <c r="GF212">
        <v>576.52800000000002</v>
      </c>
      <c r="GG212">
        <v>21.6233</v>
      </c>
      <c r="GH212">
        <v>26.0349</v>
      </c>
      <c r="GI212">
        <v>30</v>
      </c>
      <c r="GJ212">
        <v>26.207799999999999</v>
      </c>
      <c r="GK212">
        <v>26.205200000000001</v>
      </c>
      <c r="GL212">
        <v>35.233600000000003</v>
      </c>
      <c r="GM212">
        <v>100</v>
      </c>
      <c r="GN212">
        <v>6.8321699999999996</v>
      </c>
      <c r="GO212">
        <v>21.638100000000001</v>
      </c>
      <c r="GP212">
        <v>800</v>
      </c>
      <c r="GQ212">
        <v>0</v>
      </c>
      <c r="GR212">
        <v>99.806399999999996</v>
      </c>
      <c r="GS212">
        <v>99.694699999999997</v>
      </c>
    </row>
    <row r="213" spans="1:201" x14ac:dyDescent="0.25">
      <c r="A213">
        <v>197</v>
      </c>
      <c r="B213">
        <v>1690308760</v>
      </c>
      <c r="C213">
        <v>2141.400000095367</v>
      </c>
      <c r="D213" t="s">
        <v>727</v>
      </c>
      <c r="E213" t="s">
        <v>728</v>
      </c>
      <c r="F213" t="s">
        <v>330</v>
      </c>
      <c r="H213">
        <v>1690308760</v>
      </c>
      <c r="I213">
        <f t="shared" si="90"/>
        <v>2.0139574497113053E-3</v>
      </c>
      <c r="J213">
        <f t="shared" si="91"/>
        <v>2.0139574497113055</v>
      </c>
      <c r="K213">
        <f t="shared" si="92"/>
        <v>30.591918013914999</v>
      </c>
      <c r="L213">
        <f t="shared" si="93"/>
        <v>472.166</v>
      </c>
      <c r="M213">
        <f t="shared" si="94"/>
        <v>142.6068942820776</v>
      </c>
      <c r="N213">
        <f t="shared" si="95"/>
        <v>14.161250211252444</v>
      </c>
      <c r="O213">
        <f t="shared" si="96"/>
        <v>46.887360536864001</v>
      </c>
      <c r="P213">
        <f t="shared" si="97"/>
        <v>0.15665474739082169</v>
      </c>
      <c r="Q213">
        <f t="shared" si="98"/>
        <v>2.1969002422179043</v>
      </c>
      <c r="R213">
        <f t="shared" si="99"/>
        <v>0.15070297384747977</v>
      </c>
      <c r="S213">
        <f t="shared" si="100"/>
        <v>9.4705261355421982E-2</v>
      </c>
      <c r="T213">
        <f t="shared" si="101"/>
        <v>276.11669534399999</v>
      </c>
      <c r="U213">
        <f t="shared" si="102"/>
        <v>25.844982578212271</v>
      </c>
      <c r="V213">
        <f t="shared" si="103"/>
        <v>25.844982578212271</v>
      </c>
      <c r="W213">
        <f t="shared" si="104"/>
        <v>3.3434304399625314</v>
      </c>
      <c r="X213">
        <f t="shared" si="105"/>
        <v>66.897686851356482</v>
      </c>
      <c r="Y213">
        <f t="shared" si="106"/>
        <v>2.0524280073535999</v>
      </c>
      <c r="Z213">
        <f t="shared" si="107"/>
        <v>3.0680104260017216</v>
      </c>
      <c r="AA213">
        <f t="shared" si="108"/>
        <v>1.2910024326089315</v>
      </c>
      <c r="AB213">
        <f t="shared" si="109"/>
        <v>-88.815523532268571</v>
      </c>
      <c r="AC213">
        <f t="shared" si="110"/>
        <v>-170.94135785540607</v>
      </c>
      <c r="AD213">
        <f t="shared" si="111"/>
        <v>-16.47929033567836</v>
      </c>
      <c r="AE213">
        <f t="shared" si="112"/>
        <v>-0.11947637935298872</v>
      </c>
      <c r="AF213">
        <v>12</v>
      </c>
      <c r="AG213">
        <v>4</v>
      </c>
      <c r="AH213">
        <f t="shared" si="113"/>
        <v>1</v>
      </c>
      <c r="AI213">
        <f t="shared" si="114"/>
        <v>0</v>
      </c>
      <c r="AJ213">
        <f t="shared" si="115"/>
        <v>52961.568258760708</v>
      </c>
      <c r="AK213">
        <f t="shared" si="116"/>
        <v>1800</v>
      </c>
      <c r="AL213">
        <f t="shared" si="117"/>
        <v>1499.1131484</v>
      </c>
      <c r="AM213">
        <f t="shared" si="118"/>
        <v>0.83284063799999997</v>
      </c>
      <c r="AN213">
        <f t="shared" si="119"/>
        <v>0.15339816407999998</v>
      </c>
      <c r="AO213">
        <v>31.2</v>
      </c>
      <c r="AP213">
        <v>0.5</v>
      </c>
      <c r="AQ213" t="s">
        <v>331</v>
      </c>
      <c r="AR213">
        <v>2</v>
      </c>
      <c r="AS213">
        <v>1690308760</v>
      </c>
      <c r="AT213">
        <v>472.166</v>
      </c>
      <c r="AU213">
        <v>800.005</v>
      </c>
      <c r="AV213">
        <v>20.668399999999998</v>
      </c>
      <c r="AW213">
        <v>0.16905999999999999</v>
      </c>
      <c r="AX213">
        <v>471.98599999999999</v>
      </c>
      <c r="AY213">
        <v>20.4559</v>
      </c>
      <c r="AZ213">
        <v>300.18900000000002</v>
      </c>
      <c r="BA213">
        <v>99.202699999999993</v>
      </c>
      <c r="BB213">
        <v>0.100004</v>
      </c>
      <c r="BC213">
        <v>24.401700000000002</v>
      </c>
      <c r="BD213">
        <v>26.990400000000001</v>
      </c>
      <c r="BE213">
        <v>26.105</v>
      </c>
      <c r="BF213">
        <v>0</v>
      </c>
      <c r="BG213">
        <v>0</v>
      </c>
      <c r="BH213">
        <v>10009.4</v>
      </c>
      <c r="BI213">
        <v>1042.99</v>
      </c>
      <c r="BJ213">
        <v>1.62592</v>
      </c>
      <c r="BK213">
        <v>-327.83800000000002</v>
      </c>
      <c r="BL213">
        <v>482.13099999999997</v>
      </c>
      <c r="BM213">
        <v>800.14</v>
      </c>
      <c r="BN213">
        <v>20.499400000000001</v>
      </c>
      <c r="BO213">
        <v>800.005</v>
      </c>
      <c r="BP213">
        <v>0.16905999999999999</v>
      </c>
      <c r="BQ213">
        <v>2.05036</v>
      </c>
      <c r="BR213">
        <v>1.67712E-2</v>
      </c>
      <c r="BS213">
        <v>17.838699999999999</v>
      </c>
      <c r="BT213">
        <v>-41.107199999999999</v>
      </c>
      <c r="BU213">
        <v>1800</v>
      </c>
      <c r="BV213">
        <v>0.90998599999999996</v>
      </c>
      <c r="BW213">
        <v>3.3990600000000003E-2</v>
      </c>
      <c r="BX213">
        <v>2.2009399999999998E-2</v>
      </c>
      <c r="BY213">
        <v>3.40144E-2</v>
      </c>
      <c r="BZ213">
        <v>26</v>
      </c>
      <c r="CA213">
        <v>33528.300000000003</v>
      </c>
      <c r="CB213">
        <v>1690306253.5999999</v>
      </c>
      <c r="CC213" t="s">
        <v>332</v>
      </c>
      <c r="CD213">
        <v>1690306253.5999999</v>
      </c>
      <c r="CE213">
        <v>1690306251.5999999</v>
      </c>
      <c r="CF213">
        <v>9</v>
      </c>
      <c r="CG213">
        <v>0.19</v>
      </c>
      <c r="CH213">
        <v>-8.7999999999999995E-2</v>
      </c>
      <c r="CI213">
        <v>-5.0999999999999997E-2</v>
      </c>
      <c r="CJ213">
        <v>5.0999999999999997E-2</v>
      </c>
      <c r="CK213">
        <v>799</v>
      </c>
      <c r="CL213">
        <v>15</v>
      </c>
      <c r="CM213">
        <v>0.28000000000000003</v>
      </c>
      <c r="CN213">
        <v>0.03</v>
      </c>
      <c r="CO213">
        <v>-327.60336585365849</v>
      </c>
      <c r="CP213">
        <v>-1.4123832752613641</v>
      </c>
      <c r="CQ213">
        <v>0.1443285135017936</v>
      </c>
      <c r="CR213">
        <v>-1</v>
      </c>
      <c r="CS213">
        <v>20.48712926829268</v>
      </c>
      <c r="CT213">
        <v>7.8133797909378536E-2</v>
      </c>
      <c r="CU213">
        <v>7.7945961237834913E-3</v>
      </c>
      <c r="CV213">
        <v>-1</v>
      </c>
      <c r="CW213">
        <v>0</v>
      </c>
      <c r="CX213">
        <v>0</v>
      </c>
      <c r="CY213" t="s">
        <v>333</v>
      </c>
      <c r="CZ213">
        <v>2.3649399999999998</v>
      </c>
      <c r="DA213">
        <v>2.7138</v>
      </c>
      <c r="DB213">
        <v>0.101447</v>
      </c>
      <c r="DC213">
        <v>0.14619599999999999</v>
      </c>
      <c r="DD213">
        <v>0.10247000000000001</v>
      </c>
      <c r="DE213">
        <v>1.42461E-3</v>
      </c>
      <c r="DF213">
        <v>32831.1</v>
      </c>
      <c r="DG213">
        <v>27549.200000000001</v>
      </c>
      <c r="DH213">
        <v>31191.8</v>
      </c>
      <c r="DI213">
        <v>28115.7</v>
      </c>
      <c r="DJ213">
        <v>38012.300000000003</v>
      </c>
      <c r="DK213">
        <v>39936.5</v>
      </c>
      <c r="DL213">
        <v>44393.9</v>
      </c>
      <c r="DM213">
        <v>42619.8</v>
      </c>
      <c r="DN213">
        <v>1.4392199999999999</v>
      </c>
      <c r="DO213">
        <v>2.03023</v>
      </c>
      <c r="DP213">
        <v>0.17996100000000001</v>
      </c>
      <c r="DQ213">
        <v>0.15082999999999999</v>
      </c>
      <c r="DR213">
        <v>24.040099999999999</v>
      </c>
      <c r="DS213">
        <v>23.6297</v>
      </c>
      <c r="DT213">
        <v>21.6</v>
      </c>
      <c r="DU213">
        <v>29.7</v>
      </c>
      <c r="DV213">
        <v>9.1177100000000006</v>
      </c>
      <c r="DW213">
        <v>61.553100000000001</v>
      </c>
      <c r="DX213">
        <v>36.486400000000003</v>
      </c>
      <c r="DY213">
        <v>1</v>
      </c>
      <c r="DZ213">
        <v>-0.10414900000000001</v>
      </c>
      <c r="EA213">
        <v>1.14838</v>
      </c>
      <c r="EB213">
        <v>20.185099999999998</v>
      </c>
      <c r="EC213">
        <v>5.2415500000000002</v>
      </c>
      <c r="ED213">
        <v>12.039899999999999</v>
      </c>
      <c r="EE213">
        <v>5.0170500000000002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1.8689499999999999</v>
      </c>
      <c r="EL213">
        <v>1.8646199999999999</v>
      </c>
      <c r="EM213">
        <v>1.8691899999999999</v>
      </c>
      <c r="EN213">
        <v>1.8672299999999999</v>
      </c>
      <c r="EO213">
        <v>1.8633900000000001</v>
      </c>
      <c r="EP213">
        <v>1.8644700000000001</v>
      </c>
      <c r="EQ213">
        <v>1.87018</v>
      </c>
      <c r="ER213">
        <v>1.8694299999999999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0.18</v>
      </c>
      <c r="FG213">
        <v>0.21249999999999999</v>
      </c>
      <c r="FH213">
        <v>0.49996858830924029</v>
      </c>
      <c r="FI213">
        <v>-6.1462078757559423E-4</v>
      </c>
      <c r="FJ213">
        <v>-1.8861989874597051E-7</v>
      </c>
      <c r="FK213">
        <v>1.1980462299894961E-10</v>
      </c>
      <c r="FL213">
        <v>-3.8593581000597899E-2</v>
      </c>
      <c r="FM213">
        <v>-1.6848085045870601E-2</v>
      </c>
      <c r="FN213">
        <v>1.9789084769509481E-3</v>
      </c>
      <c r="FO213">
        <v>-2.7142391389806329E-5</v>
      </c>
      <c r="FP213">
        <v>3</v>
      </c>
      <c r="FQ213">
        <v>2158</v>
      </c>
      <c r="FR213">
        <v>1</v>
      </c>
      <c r="FS213">
        <v>19</v>
      </c>
      <c r="FT213">
        <v>41.8</v>
      </c>
      <c r="FU213">
        <v>41.8</v>
      </c>
      <c r="FV213">
        <v>1.7626999999999999</v>
      </c>
      <c r="FW213">
        <v>2.5976599999999999</v>
      </c>
      <c r="FX213">
        <v>1.5490699999999999</v>
      </c>
      <c r="FY213">
        <v>2.3315399999999999</v>
      </c>
      <c r="FZ213">
        <v>1.50146</v>
      </c>
      <c r="GA213">
        <v>2.3083499999999999</v>
      </c>
      <c r="GB213">
        <v>34.031799999999997</v>
      </c>
      <c r="GC213">
        <v>23.973700000000001</v>
      </c>
      <c r="GD213">
        <v>19</v>
      </c>
      <c r="GE213">
        <v>266.83800000000002</v>
      </c>
      <c r="GF213">
        <v>576.58500000000004</v>
      </c>
      <c r="GG213">
        <v>21.654199999999999</v>
      </c>
      <c r="GH213">
        <v>26.032800000000002</v>
      </c>
      <c r="GI213">
        <v>30.0001</v>
      </c>
      <c r="GJ213">
        <v>26.206700000000001</v>
      </c>
      <c r="GK213">
        <v>26.202999999999999</v>
      </c>
      <c r="GL213">
        <v>35.233899999999998</v>
      </c>
      <c r="GM213">
        <v>100</v>
      </c>
      <c r="GN213">
        <v>6.4567100000000002</v>
      </c>
      <c r="GO213">
        <v>21.6188</v>
      </c>
      <c r="GP213">
        <v>800</v>
      </c>
      <c r="GQ213">
        <v>0</v>
      </c>
      <c r="GR213">
        <v>99.807199999999995</v>
      </c>
      <c r="GS213">
        <v>99.696799999999996</v>
      </c>
    </row>
    <row r="214" spans="1:201" x14ac:dyDescent="0.25">
      <c r="A214">
        <v>198</v>
      </c>
      <c r="B214">
        <v>1690308770</v>
      </c>
      <c r="C214">
        <v>2151.400000095367</v>
      </c>
      <c r="D214" t="s">
        <v>729</v>
      </c>
      <c r="E214" t="s">
        <v>730</v>
      </c>
      <c r="F214" t="s">
        <v>330</v>
      </c>
      <c r="H214">
        <v>1690308770</v>
      </c>
      <c r="I214">
        <f t="shared" si="90"/>
        <v>2.0153867058515219E-3</v>
      </c>
      <c r="J214">
        <f t="shared" si="91"/>
        <v>2.015386705851522</v>
      </c>
      <c r="K214">
        <f t="shared" si="92"/>
        <v>30.619458414868063</v>
      </c>
      <c r="L214">
        <f t="shared" si="93"/>
        <v>471.863</v>
      </c>
      <c r="M214">
        <f t="shared" si="94"/>
        <v>142.07406111277743</v>
      </c>
      <c r="N214">
        <f t="shared" si="95"/>
        <v>14.108116829639522</v>
      </c>
      <c r="O214">
        <f t="shared" si="96"/>
        <v>46.856535805644597</v>
      </c>
      <c r="P214">
        <f t="shared" si="97"/>
        <v>0.15668506681988276</v>
      </c>
      <c r="Q214">
        <f t="shared" si="98"/>
        <v>2.195874245142206</v>
      </c>
      <c r="R214">
        <f t="shared" si="99"/>
        <v>0.15072836810491824</v>
      </c>
      <c r="S214">
        <f t="shared" si="100"/>
        <v>9.4721547714335691E-2</v>
      </c>
      <c r="T214">
        <f t="shared" si="101"/>
        <v>276.11664258600001</v>
      </c>
      <c r="U214">
        <f t="shared" si="102"/>
        <v>25.854599617228644</v>
      </c>
      <c r="V214">
        <f t="shared" si="103"/>
        <v>25.854599617228644</v>
      </c>
      <c r="W214">
        <f t="shared" si="104"/>
        <v>3.3453357776823482</v>
      </c>
      <c r="X214">
        <f t="shared" si="105"/>
        <v>66.900317392394086</v>
      </c>
      <c r="Y214">
        <f t="shared" si="106"/>
        <v>2.0536767535434599</v>
      </c>
      <c r="Z214">
        <f t="shared" si="107"/>
        <v>3.0697563682664128</v>
      </c>
      <c r="AA214">
        <f t="shared" si="108"/>
        <v>1.2916590241388883</v>
      </c>
      <c r="AB214">
        <f t="shared" si="109"/>
        <v>-88.878553728052111</v>
      </c>
      <c r="AC214">
        <f t="shared" si="110"/>
        <v>-170.87538030975372</v>
      </c>
      <c r="AD214">
        <f t="shared" si="111"/>
        <v>-16.482211958839066</v>
      </c>
      <c r="AE214">
        <f t="shared" si="112"/>
        <v>-0.11950341064488157</v>
      </c>
      <c r="AF214">
        <v>13</v>
      </c>
      <c r="AG214">
        <v>4</v>
      </c>
      <c r="AH214">
        <f t="shared" si="113"/>
        <v>1</v>
      </c>
      <c r="AI214">
        <f t="shared" si="114"/>
        <v>0</v>
      </c>
      <c r="AJ214">
        <f t="shared" si="115"/>
        <v>52917.468226406272</v>
      </c>
      <c r="AK214">
        <f t="shared" si="116"/>
        <v>1800</v>
      </c>
      <c r="AL214">
        <f t="shared" si="117"/>
        <v>1499.1142986000002</v>
      </c>
      <c r="AM214">
        <f t="shared" si="118"/>
        <v>0.8328412770000001</v>
      </c>
      <c r="AN214">
        <f t="shared" si="119"/>
        <v>0.15339813477</v>
      </c>
      <c r="AO214">
        <v>31.2</v>
      </c>
      <c r="AP214">
        <v>0.5</v>
      </c>
      <c r="AQ214" t="s">
        <v>331</v>
      </c>
      <c r="AR214">
        <v>2</v>
      </c>
      <c r="AS214">
        <v>1690308770</v>
      </c>
      <c r="AT214">
        <v>471.863</v>
      </c>
      <c r="AU214">
        <v>799.99</v>
      </c>
      <c r="AV214">
        <v>20.6813</v>
      </c>
      <c r="AW214">
        <v>0.16761400000000001</v>
      </c>
      <c r="AX214">
        <v>471.68200000000002</v>
      </c>
      <c r="AY214">
        <v>20.468399999999999</v>
      </c>
      <c r="AZ214">
        <v>300.18799999999999</v>
      </c>
      <c r="BA214">
        <v>99.2012</v>
      </c>
      <c r="BB214">
        <v>9.9944199999999997E-2</v>
      </c>
      <c r="BC214">
        <v>24.411200000000001</v>
      </c>
      <c r="BD214">
        <v>27.034099999999999</v>
      </c>
      <c r="BE214">
        <v>26.109500000000001</v>
      </c>
      <c r="BF214">
        <v>0</v>
      </c>
      <c r="BG214">
        <v>0</v>
      </c>
      <c r="BH214">
        <v>10001.200000000001</v>
      </c>
      <c r="BI214">
        <v>1043.02</v>
      </c>
      <c r="BJ214">
        <v>1.62592</v>
      </c>
      <c r="BK214">
        <v>-328.12799999999999</v>
      </c>
      <c r="BL214">
        <v>481.827</v>
      </c>
      <c r="BM214">
        <v>800.12400000000002</v>
      </c>
      <c r="BN214">
        <v>20.5137</v>
      </c>
      <c r="BO214">
        <v>799.99</v>
      </c>
      <c r="BP214">
        <v>0.16761400000000001</v>
      </c>
      <c r="BQ214">
        <v>2.0516100000000002</v>
      </c>
      <c r="BR214">
        <v>1.66275E-2</v>
      </c>
      <c r="BS214">
        <v>17.848400000000002</v>
      </c>
      <c r="BT214">
        <v>-41.188699999999997</v>
      </c>
      <c r="BU214">
        <v>1800</v>
      </c>
      <c r="BV214">
        <v>0.90999300000000005</v>
      </c>
      <c r="BW214">
        <v>3.3990899999999998E-2</v>
      </c>
      <c r="BX214">
        <v>2.2009600000000001E-2</v>
      </c>
      <c r="BY214">
        <v>3.40069E-2</v>
      </c>
      <c r="BZ214">
        <v>26</v>
      </c>
      <c r="CA214">
        <v>33528.400000000001</v>
      </c>
      <c r="CB214">
        <v>1690306253.5999999</v>
      </c>
      <c r="CC214" t="s">
        <v>332</v>
      </c>
      <c r="CD214">
        <v>1690306253.5999999</v>
      </c>
      <c r="CE214">
        <v>1690306251.5999999</v>
      </c>
      <c r="CF214">
        <v>9</v>
      </c>
      <c r="CG214">
        <v>0.19</v>
      </c>
      <c r="CH214">
        <v>-8.7999999999999995E-2</v>
      </c>
      <c r="CI214">
        <v>-5.0999999999999997E-2</v>
      </c>
      <c r="CJ214">
        <v>5.0999999999999997E-2</v>
      </c>
      <c r="CK214">
        <v>799</v>
      </c>
      <c r="CL214">
        <v>15</v>
      </c>
      <c r="CM214">
        <v>0.28000000000000003</v>
      </c>
      <c r="CN214">
        <v>0.03</v>
      </c>
      <c r="CO214">
        <v>-327.87132500000001</v>
      </c>
      <c r="CP214">
        <v>-1.561001876171344</v>
      </c>
      <c r="CQ214">
        <v>0.16532458793234309</v>
      </c>
      <c r="CR214">
        <v>-1</v>
      </c>
      <c r="CS214">
        <v>20.5007625</v>
      </c>
      <c r="CT214">
        <v>7.5342213883678621E-2</v>
      </c>
      <c r="CU214">
        <v>7.4765863701291031E-3</v>
      </c>
      <c r="CV214">
        <v>-1</v>
      </c>
      <c r="CW214">
        <v>0</v>
      </c>
      <c r="CX214">
        <v>0</v>
      </c>
      <c r="CY214" t="s">
        <v>333</v>
      </c>
      <c r="CZ214">
        <v>2.3649300000000002</v>
      </c>
      <c r="DA214">
        <v>2.71374</v>
      </c>
      <c r="DB214">
        <v>0.101397</v>
      </c>
      <c r="DC214">
        <v>0.14619099999999999</v>
      </c>
      <c r="DD214">
        <v>0.10251200000000001</v>
      </c>
      <c r="DE214">
        <v>1.41252E-3</v>
      </c>
      <c r="DF214">
        <v>32833.199999999997</v>
      </c>
      <c r="DG214">
        <v>27549.9</v>
      </c>
      <c r="DH214">
        <v>31192</v>
      </c>
      <c r="DI214">
        <v>28116.2</v>
      </c>
      <c r="DJ214">
        <v>38010.699999999997</v>
      </c>
      <c r="DK214">
        <v>39937.699999999997</v>
      </c>
      <c r="DL214">
        <v>44394.3</v>
      </c>
      <c r="DM214">
        <v>42620.6</v>
      </c>
      <c r="DN214">
        <v>1.43835</v>
      </c>
      <c r="DO214">
        <v>2.0299999999999998</v>
      </c>
      <c r="DP214">
        <v>0.18256900000000001</v>
      </c>
      <c r="DQ214">
        <v>0.15098600000000001</v>
      </c>
      <c r="DR214">
        <v>24.0412</v>
      </c>
      <c r="DS214">
        <v>23.631699999999999</v>
      </c>
      <c r="DT214">
        <v>21.5</v>
      </c>
      <c r="DU214">
        <v>29.7</v>
      </c>
      <c r="DV214">
        <v>9.0759600000000002</v>
      </c>
      <c r="DW214">
        <v>61.393099999999997</v>
      </c>
      <c r="DX214">
        <v>36.450299999999999</v>
      </c>
      <c r="DY214">
        <v>1</v>
      </c>
      <c r="DZ214">
        <v>-0.104952</v>
      </c>
      <c r="EA214">
        <v>1.14093</v>
      </c>
      <c r="EB214">
        <v>20.185099999999998</v>
      </c>
      <c r="EC214">
        <v>5.24125</v>
      </c>
      <c r="ED214">
        <v>12.039899999999999</v>
      </c>
      <c r="EE214">
        <v>5.0172999999999996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1.86893</v>
      </c>
      <c r="EL214">
        <v>1.8646199999999999</v>
      </c>
      <c r="EM214">
        <v>1.8691899999999999</v>
      </c>
      <c r="EN214">
        <v>1.8672299999999999</v>
      </c>
      <c r="EO214">
        <v>1.8633999999999999</v>
      </c>
      <c r="EP214">
        <v>1.8644700000000001</v>
      </c>
      <c r="EQ214">
        <v>1.87015</v>
      </c>
      <c r="ER214">
        <v>1.8694200000000001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0.18099999999999999</v>
      </c>
      <c r="FG214">
        <v>0.21290000000000001</v>
      </c>
      <c r="FH214">
        <v>0.49996858830924029</v>
      </c>
      <c r="FI214">
        <v>-6.1462078757559423E-4</v>
      </c>
      <c r="FJ214">
        <v>-1.8861989874597051E-7</v>
      </c>
      <c r="FK214">
        <v>1.1980462299894961E-10</v>
      </c>
      <c r="FL214">
        <v>-3.8593581000597899E-2</v>
      </c>
      <c r="FM214">
        <v>-1.6848085045870601E-2</v>
      </c>
      <c r="FN214">
        <v>1.9789084769509481E-3</v>
      </c>
      <c r="FO214">
        <v>-2.7142391389806329E-5</v>
      </c>
      <c r="FP214">
        <v>3</v>
      </c>
      <c r="FQ214">
        <v>2158</v>
      </c>
      <c r="FR214">
        <v>1</v>
      </c>
      <c r="FS214">
        <v>19</v>
      </c>
      <c r="FT214">
        <v>41.9</v>
      </c>
      <c r="FU214">
        <v>42</v>
      </c>
      <c r="FV214">
        <v>1.7626999999999999</v>
      </c>
      <c r="FW214">
        <v>2.5964399999999999</v>
      </c>
      <c r="FX214">
        <v>1.5490699999999999</v>
      </c>
      <c r="FY214">
        <v>2.3315399999999999</v>
      </c>
      <c r="FZ214">
        <v>1.50146</v>
      </c>
      <c r="GA214">
        <v>2.3071299999999999</v>
      </c>
      <c r="GB214">
        <v>34.054499999999997</v>
      </c>
      <c r="GC214">
        <v>23.973700000000001</v>
      </c>
      <c r="GD214">
        <v>19</v>
      </c>
      <c r="GE214">
        <v>266.47199999999998</v>
      </c>
      <c r="GF214">
        <v>576.37599999999998</v>
      </c>
      <c r="GG214">
        <v>21.6267</v>
      </c>
      <c r="GH214">
        <v>26.031700000000001</v>
      </c>
      <c r="GI214">
        <v>29.9998</v>
      </c>
      <c r="GJ214">
        <v>26.204899999999999</v>
      </c>
      <c r="GK214">
        <v>26.200800000000001</v>
      </c>
      <c r="GL214">
        <v>35.2316</v>
      </c>
      <c r="GM214">
        <v>100</v>
      </c>
      <c r="GN214">
        <v>5.6908799999999999</v>
      </c>
      <c r="GO214">
        <v>21.627099999999999</v>
      </c>
      <c r="GP214">
        <v>800</v>
      </c>
      <c r="GQ214">
        <v>0</v>
      </c>
      <c r="GR214">
        <v>99.8078</v>
      </c>
      <c r="GS214">
        <v>99.698700000000002</v>
      </c>
    </row>
    <row r="215" spans="1:201" x14ac:dyDescent="0.25">
      <c r="A215">
        <v>199</v>
      </c>
      <c r="B215">
        <v>1690308780</v>
      </c>
      <c r="C215">
        <v>2161.400000095367</v>
      </c>
      <c r="D215" t="s">
        <v>731</v>
      </c>
      <c r="E215" t="s">
        <v>732</v>
      </c>
      <c r="F215" t="s">
        <v>330</v>
      </c>
      <c r="H215">
        <v>1690308780</v>
      </c>
      <c r="I215">
        <f t="shared" si="90"/>
        <v>2.0156621473549768E-3</v>
      </c>
      <c r="J215">
        <f t="shared" si="91"/>
        <v>2.015662147354977</v>
      </c>
      <c r="K215">
        <f t="shared" si="92"/>
        <v>30.640885469681763</v>
      </c>
      <c r="L215">
        <f t="shared" si="93"/>
        <v>471.68</v>
      </c>
      <c r="M215">
        <f t="shared" si="94"/>
        <v>141.83444006272936</v>
      </c>
      <c r="N215">
        <f t="shared" si="95"/>
        <v>14.084795217236399</v>
      </c>
      <c r="O215">
        <f t="shared" si="96"/>
        <v>46.839936796224002</v>
      </c>
      <c r="P215">
        <f t="shared" si="97"/>
        <v>0.15677482522651917</v>
      </c>
      <c r="Q215">
        <f t="shared" si="98"/>
        <v>2.1924598869486749</v>
      </c>
      <c r="R215">
        <f t="shared" si="99"/>
        <v>0.15080253319962975</v>
      </c>
      <c r="S215">
        <f t="shared" si="100"/>
        <v>9.4769213787421119E-2</v>
      </c>
      <c r="T215">
        <f t="shared" si="101"/>
        <v>276.11652580199996</v>
      </c>
      <c r="U215">
        <f t="shared" si="102"/>
        <v>25.853460014002824</v>
      </c>
      <c r="V215">
        <f t="shared" si="103"/>
        <v>25.853460014002824</v>
      </c>
      <c r="W215">
        <f t="shared" si="104"/>
        <v>3.3451099487895393</v>
      </c>
      <c r="X215">
        <f t="shared" si="105"/>
        <v>66.91886802839386</v>
      </c>
      <c r="Y215">
        <f t="shared" si="106"/>
        <v>2.0538648931222503</v>
      </c>
      <c r="Z215">
        <f t="shared" si="107"/>
        <v>3.0691865442953841</v>
      </c>
      <c r="AA215">
        <f t="shared" si="108"/>
        <v>1.291245055667289</v>
      </c>
      <c r="AB215">
        <f t="shared" si="109"/>
        <v>-88.890700698354479</v>
      </c>
      <c r="AC215">
        <f t="shared" si="110"/>
        <v>-170.84140539758599</v>
      </c>
      <c r="AD215">
        <f t="shared" si="111"/>
        <v>-16.504245983659757</v>
      </c>
      <c r="AE215">
        <f t="shared" si="112"/>
        <v>-0.11982627760025366</v>
      </c>
      <c r="AF215">
        <v>12</v>
      </c>
      <c r="AG215">
        <v>4</v>
      </c>
      <c r="AH215">
        <f t="shared" si="113"/>
        <v>1</v>
      </c>
      <c r="AI215">
        <f t="shared" si="114"/>
        <v>0</v>
      </c>
      <c r="AJ215">
        <f t="shared" si="115"/>
        <v>52777.218020326502</v>
      </c>
      <c r="AK215">
        <f t="shared" si="116"/>
        <v>1800</v>
      </c>
      <c r="AL215">
        <f t="shared" si="117"/>
        <v>1499.1134652000001</v>
      </c>
      <c r="AM215">
        <f t="shared" si="118"/>
        <v>0.83284081399999998</v>
      </c>
      <c r="AN215">
        <f t="shared" si="119"/>
        <v>0.15339806988999999</v>
      </c>
      <c r="AO215">
        <v>31.2</v>
      </c>
      <c r="AP215">
        <v>0.5</v>
      </c>
      <c r="AQ215" t="s">
        <v>331</v>
      </c>
      <c r="AR215">
        <v>2</v>
      </c>
      <c r="AS215">
        <v>1690308780</v>
      </c>
      <c r="AT215">
        <v>471.68</v>
      </c>
      <c r="AU215">
        <v>800.01300000000003</v>
      </c>
      <c r="AV215">
        <v>20.682500000000001</v>
      </c>
      <c r="AW215">
        <v>0.16692399999999999</v>
      </c>
      <c r="AX215">
        <v>471.49900000000002</v>
      </c>
      <c r="AY215">
        <v>20.4696</v>
      </c>
      <c r="AZ215">
        <v>300.20100000000002</v>
      </c>
      <c r="BA215">
        <v>99.204499999999996</v>
      </c>
      <c r="BB215">
        <v>9.9979299999999993E-2</v>
      </c>
      <c r="BC215">
        <v>24.408100000000001</v>
      </c>
      <c r="BD215">
        <v>26.974699999999999</v>
      </c>
      <c r="BE215">
        <v>26.107399999999998</v>
      </c>
      <c r="BF215">
        <v>0</v>
      </c>
      <c r="BG215">
        <v>0</v>
      </c>
      <c r="BH215">
        <v>9973.1200000000008</v>
      </c>
      <c r="BI215">
        <v>1043.04</v>
      </c>
      <c r="BJ215">
        <v>1.62592</v>
      </c>
      <c r="BK215">
        <v>-328.33300000000003</v>
      </c>
      <c r="BL215">
        <v>481.642</v>
      </c>
      <c r="BM215">
        <v>800.14599999999996</v>
      </c>
      <c r="BN215">
        <v>20.515599999999999</v>
      </c>
      <c r="BO215">
        <v>800.01300000000003</v>
      </c>
      <c r="BP215">
        <v>0.16692399999999999</v>
      </c>
      <c r="BQ215">
        <v>2.0518000000000001</v>
      </c>
      <c r="BR215">
        <v>1.6559600000000001E-2</v>
      </c>
      <c r="BS215">
        <v>17.849799999999998</v>
      </c>
      <c r="BT215">
        <v>-41.227400000000003</v>
      </c>
      <c r="BU215">
        <v>1800</v>
      </c>
      <c r="BV215">
        <v>0.90999200000000002</v>
      </c>
      <c r="BW215">
        <v>3.3991100000000003E-2</v>
      </c>
      <c r="BX215">
        <v>2.20097E-2</v>
      </c>
      <c r="BY215">
        <v>3.4007099999999998E-2</v>
      </c>
      <c r="BZ215">
        <v>26</v>
      </c>
      <c r="CA215">
        <v>33528.300000000003</v>
      </c>
      <c r="CB215">
        <v>1690306253.5999999</v>
      </c>
      <c r="CC215" t="s">
        <v>332</v>
      </c>
      <c r="CD215">
        <v>1690306253.5999999</v>
      </c>
      <c r="CE215">
        <v>1690306251.5999999</v>
      </c>
      <c r="CF215">
        <v>9</v>
      </c>
      <c r="CG215">
        <v>0.19</v>
      </c>
      <c r="CH215">
        <v>-8.7999999999999995E-2</v>
      </c>
      <c r="CI215">
        <v>-5.0999999999999997E-2</v>
      </c>
      <c r="CJ215">
        <v>5.0999999999999997E-2</v>
      </c>
      <c r="CK215">
        <v>799</v>
      </c>
      <c r="CL215">
        <v>15</v>
      </c>
      <c r="CM215">
        <v>0.28000000000000003</v>
      </c>
      <c r="CN215">
        <v>0.03</v>
      </c>
      <c r="CO215">
        <v>-328.09395000000001</v>
      </c>
      <c r="CP215">
        <v>-1.525733583489455</v>
      </c>
      <c r="CQ215">
        <v>0.16825099553940301</v>
      </c>
      <c r="CR215">
        <v>-1</v>
      </c>
      <c r="CS215">
        <v>20.5094025</v>
      </c>
      <c r="CT215">
        <v>3.9873545966167018E-2</v>
      </c>
      <c r="CU215">
        <v>5.1300335037890244E-3</v>
      </c>
      <c r="CV215">
        <v>-1</v>
      </c>
      <c r="CW215">
        <v>0</v>
      </c>
      <c r="CX215">
        <v>0</v>
      </c>
      <c r="CY215" t="s">
        <v>333</v>
      </c>
      <c r="CZ215">
        <v>2.36497</v>
      </c>
      <c r="DA215">
        <v>2.7137500000000001</v>
      </c>
      <c r="DB215">
        <v>0.10137</v>
      </c>
      <c r="DC215">
        <v>0.14619699999999999</v>
      </c>
      <c r="DD215">
        <v>0.102519</v>
      </c>
      <c r="DE215">
        <v>1.4067999999999999E-3</v>
      </c>
      <c r="DF215">
        <v>32833.9</v>
      </c>
      <c r="DG215">
        <v>27549.1</v>
      </c>
      <c r="DH215">
        <v>31191.7</v>
      </c>
      <c r="DI215">
        <v>28115.599999999999</v>
      </c>
      <c r="DJ215">
        <v>38010.199999999997</v>
      </c>
      <c r="DK215">
        <v>39937</v>
      </c>
      <c r="DL215">
        <v>44394</v>
      </c>
      <c r="DM215">
        <v>42619.6</v>
      </c>
      <c r="DN215">
        <v>1.4392199999999999</v>
      </c>
      <c r="DO215">
        <v>2.0302500000000001</v>
      </c>
      <c r="DP215">
        <v>0.17883599999999999</v>
      </c>
      <c r="DQ215">
        <v>0.15077699999999999</v>
      </c>
      <c r="DR215">
        <v>24.042899999999999</v>
      </c>
      <c r="DS215">
        <v>23.632999999999999</v>
      </c>
      <c r="DT215">
        <v>21.4</v>
      </c>
      <c r="DU215">
        <v>29.7</v>
      </c>
      <c r="DV215">
        <v>9.0340199999999999</v>
      </c>
      <c r="DW215">
        <v>61.803100000000001</v>
      </c>
      <c r="DX215">
        <v>36.410299999999999</v>
      </c>
      <c r="DY215">
        <v>1</v>
      </c>
      <c r="DZ215">
        <v>-0.104604</v>
      </c>
      <c r="EA215">
        <v>1.1549400000000001</v>
      </c>
      <c r="EB215">
        <v>20.184899999999999</v>
      </c>
      <c r="EC215">
        <v>5.2408000000000001</v>
      </c>
      <c r="ED215">
        <v>12.039899999999999</v>
      </c>
      <c r="EE215">
        <v>5.0169499999999996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1.86894</v>
      </c>
      <c r="EL215">
        <v>1.86463</v>
      </c>
      <c r="EM215">
        <v>1.8692</v>
      </c>
      <c r="EN215">
        <v>1.8672500000000001</v>
      </c>
      <c r="EO215">
        <v>1.8633999999999999</v>
      </c>
      <c r="EP215">
        <v>1.8644700000000001</v>
      </c>
      <c r="EQ215">
        <v>1.8701700000000001</v>
      </c>
      <c r="ER215">
        <v>1.8694299999999999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0.18099999999999999</v>
      </c>
      <c r="FG215">
        <v>0.21290000000000001</v>
      </c>
      <c r="FH215">
        <v>0.49996858830924029</v>
      </c>
      <c r="FI215">
        <v>-6.1462078757559423E-4</v>
      </c>
      <c r="FJ215">
        <v>-1.8861989874597051E-7</v>
      </c>
      <c r="FK215">
        <v>1.1980462299894961E-10</v>
      </c>
      <c r="FL215">
        <v>-3.8593581000597899E-2</v>
      </c>
      <c r="FM215">
        <v>-1.6848085045870601E-2</v>
      </c>
      <c r="FN215">
        <v>1.9789084769509481E-3</v>
      </c>
      <c r="FO215">
        <v>-2.7142391389806329E-5</v>
      </c>
      <c r="FP215">
        <v>3</v>
      </c>
      <c r="FQ215">
        <v>2158</v>
      </c>
      <c r="FR215">
        <v>1</v>
      </c>
      <c r="FS215">
        <v>19</v>
      </c>
      <c r="FT215">
        <v>42.1</v>
      </c>
      <c r="FU215">
        <v>42.1</v>
      </c>
      <c r="FV215">
        <v>1.7626999999999999</v>
      </c>
      <c r="FW215">
        <v>2.5952099999999998</v>
      </c>
      <c r="FX215">
        <v>1.5490699999999999</v>
      </c>
      <c r="FY215">
        <v>2.3315399999999999</v>
      </c>
      <c r="FZ215">
        <v>1.50146</v>
      </c>
      <c r="GA215">
        <v>2.3010299999999999</v>
      </c>
      <c r="GB215">
        <v>34.031799999999997</v>
      </c>
      <c r="GC215">
        <v>23.973700000000001</v>
      </c>
      <c r="GD215">
        <v>19</v>
      </c>
      <c r="GE215">
        <v>266.82</v>
      </c>
      <c r="GF215">
        <v>576.55600000000004</v>
      </c>
      <c r="GG215">
        <v>21.600999999999999</v>
      </c>
      <c r="GH215">
        <v>26.0305</v>
      </c>
      <c r="GI215">
        <v>30.0002</v>
      </c>
      <c r="GJ215">
        <v>26.2026</v>
      </c>
      <c r="GK215">
        <v>26.198599999999999</v>
      </c>
      <c r="GL215">
        <v>35.232999999999997</v>
      </c>
      <c r="GM215">
        <v>100</v>
      </c>
      <c r="GN215">
        <v>5.3184800000000001</v>
      </c>
      <c r="GO215">
        <v>21.617599999999999</v>
      </c>
      <c r="GP215">
        <v>800</v>
      </c>
      <c r="GQ215">
        <v>0</v>
      </c>
      <c r="GR215">
        <v>99.807199999999995</v>
      </c>
      <c r="GS215">
        <v>99.696399999999997</v>
      </c>
    </row>
    <row r="216" spans="1:201" x14ac:dyDescent="0.25">
      <c r="A216">
        <v>200</v>
      </c>
      <c r="B216">
        <v>1690308790</v>
      </c>
      <c r="C216">
        <v>2171.400000095367</v>
      </c>
      <c r="D216" t="s">
        <v>733</v>
      </c>
      <c r="E216" t="s">
        <v>734</v>
      </c>
      <c r="F216" t="s">
        <v>330</v>
      </c>
      <c r="H216">
        <v>1690308790</v>
      </c>
      <c r="I216">
        <f t="shared" si="90"/>
        <v>2.016668127132686E-3</v>
      </c>
      <c r="J216">
        <f t="shared" si="91"/>
        <v>2.0166681271326858</v>
      </c>
      <c r="K216">
        <f t="shared" si="92"/>
        <v>30.671382840619742</v>
      </c>
      <c r="L216">
        <f t="shared" si="93"/>
        <v>471.45699999999999</v>
      </c>
      <c r="M216">
        <f t="shared" si="94"/>
        <v>142.04306358676283</v>
      </c>
      <c r="N216">
        <f t="shared" si="95"/>
        <v>14.105850203452565</v>
      </c>
      <c r="O216">
        <f t="shared" si="96"/>
        <v>46.818912880649002</v>
      </c>
      <c r="P216">
        <f t="shared" si="97"/>
        <v>0.15713120580566597</v>
      </c>
      <c r="Q216">
        <f t="shared" si="98"/>
        <v>2.1990127683971892</v>
      </c>
      <c r="R216">
        <f t="shared" si="99"/>
        <v>0.15114943355958774</v>
      </c>
      <c r="S216">
        <f t="shared" si="100"/>
        <v>9.4986861191817623E-2</v>
      </c>
      <c r="T216">
        <f t="shared" si="101"/>
        <v>276.11653996799993</v>
      </c>
      <c r="U216">
        <f t="shared" si="102"/>
        <v>25.84559197459912</v>
      </c>
      <c r="V216">
        <f t="shared" si="103"/>
        <v>25.84559197459912</v>
      </c>
      <c r="W216">
        <f t="shared" si="104"/>
        <v>3.343551146070173</v>
      </c>
      <c r="X216">
        <f t="shared" si="105"/>
        <v>66.956906132078984</v>
      </c>
      <c r="Y216">
        <f t="shared" si="106"/>
        <v>2.0545893565301001</v>
      </c>
      <c r="Z216">
        <f t="shared" si="107"/>
        <v>3.0685249292690191</v>
      </c>
      <c r="AA216">
        <f t="shared" si="108"/>
        <v>1.2889617895400729</v>
      </c>
      <c r="AB216">
        <f t="shared" si="109"/>
        <v>-88.935064406551447</v>
      </c>
      <c r="AC216">
        <f t="shared" si="110"/>
        <v>-170.84603102979517</v>
      </c>
      <c r="AD216">
        <f t="shared" si="111"/>
        <v>-16.454560160342265</v>
      </c>
      <c r="AE216">
        <f t="shared" si="112"/>
        <v>-0.11911562868897363</v>
      </c>
      <c r="AF216">
        <v>12</v>
      </c>
      <c r="AG216">
        <v>4</v>
      </c>
      <c r="AH216">
        <f t="shared" si="113"/>
        <v>1</v>
      </c>
      <c r="AI216">
        <f t="shared" si="114"/>
        <v>0</v>
      </c>
      <c r="AJ216">
        <f t="shared" si="115"/>
        <v>53048.47883519825</v>
      </c>
      <c r="AK216">
        <f t="shared" si="116"/>
        <v>1800</v>
      </c>
      <c r="AL216">
        <f t="shared" si="117"/>
        <v>1499.1124697999999</v>
      </c>
      <c r="AM216">
        <f t="shared" si="118"/>
        <v>0.83284026099999997</v>
      </c>
      <c r="AN216">
        <f t="shared" si="119"/>
        <v>0.15339807775999997</v>
      </c>
      <c r="AO216">
        <v>31.2</v>
      </c>
      <c r="AP216">
        <v>0.5</v>
      </c>
      <c r="AQ216" t="s">
        <v>331</v>
      </c>
      <c r="AR216">
        <v>2</v>
      </c>
      <c r="AS216">
        <v>1690308790</v>
      </c>
      <c r="AT216">
        <v>471.45699999999999</v>
      </c>
      <c r="AU216">
        <v>800.07</v>
      </c>
      <c r="AV216">
        <v>20.689299999999999</v>
      </c>
      <c r="AW216">
        <v>0.16595199999999999</v>
      </c>
      <c r="AX216">
        <v>471.27600000000001</v>
      </c>
      <c r="AY216">
        <v>20.476199999999999</v>
      </c>
      <c r="AZ216">
        <v>300.23500000000001</v>
      </c>
      <c r="BA216">
        <v>99.206800000000001</v>
      </c>
      <c r="BB216">
        <v>0.10005699999999999</v>
      </c>
      <c r="BC216">
        <v>24.404499999999999</v>
      </c>
      <c r="BD216">
        <v>27.009799999999998</v>
      </c>
      <c r="BE216">
        <v>26.101199999999999</v>
      </c>
      <c r="BF216">
        <v>0</v>
      </c>
      <c r="BG216">
        <v>0</v>
      </c>
      <c r="BH216">
        <v>10026.200000000001</v>
      </c>
      <c r="BI216">
        <v>1043</v>
      </c>
      <c r="BJ216">
        <v>1.62592</v>
      </c>
      <c r="BK216">
        <v>-328.613</v>
      </c>
      <c r="BL216">
        <v>481.41699999999997</v>
      </c>
      <c r="BM216">
        <v>800.20299999999997</v>
      </c>
      <c r="BN216">
        <v>20.523399999999999</v>
      </c>
      <c r="BO216">
        <v>800.07</v>
      </c>
      <c r="BP216">
        <v>0.16595199999999999</v>
      </c>
      <c r="BQ216">
        <v>2.0525199999999999</v>
      </c>
      <c r="BR216">
        <v>1.6463599999999998E-2</v>
      </c>
      <c r="BS216">
        <v>17.855399999999999</v>
      </c>
      <c r="BT216">
        <v>-41.282400000000003</v>
      </c>
      <c r="BU216">
        <v>1800</v>
      </c>
      <c r="BV216">
        <v>0.90998599999999996</v>
      </c>
      <c r="BW216">
        <v>3.3990399999999997E-2</v>
      </c>
      <c r="BX216">
        <v>2.2009299999999999E-2</v>
      </c>
      <c r="BY216">
        <v>3.4014200000000001E-2</v>
      </c>
      <c r="BZ216">
        <v>26</v>
      </c>
      <c r="CA216">
        <v>33528.300000000003</v>
      </c>
      <c r="CB216">
        <v>1690306253.5999999</v>
      </c>
      <c r="CC216" t="s">
        <v>332</v>
      </c>
      <c r="CD216">
        <v>1690306253.5999999</v>
      </c>
      <c r="CE216">
        <v>1690306251.5999999</v>
      </c>
      <c r="CF216">
        <v>9</v>
      </c>
      <c r="CG216">
        <v>0.19</v>
      </c>
      <c r="CH216">
        <v>-8.7999999999999995E-2</v>
      </c>
      <c r="CI216">
        <v>-5.0999999999999997E-2</v>
      </c>
      <c r="CJ216">
        <v>5.0999999999999997E-2</v>
      </c>
      <c r="CK216">
        <v>799</v>
      </c>
      <c r="CL216">
        <v>15</v>
      </c>
      <c r="CM216">
        <v>0.28000000000000003</v>
      </c>
      <c r="CN216">
        <v>0.03</v>
      </c>
      <c r="CO216">
        <v>-328.30062500000003</v>
      </c>
      <c r="CP216">
        <v>-1.249294559098203</v>
      </c>
      <c r="CQ216">
        <v>0.1380245788799965</v>
      </c>
      <c r="CR216">
        <v>-1</v>
      </c>
      <c r="CS216">
        <v>20.514787500000001</v>
      </c>
      <c r="CT216">
        <v>3.3893808630349208E-2</v>
      </c>
      <c r="CU216">
        <v>3.8977677906719081E-3</v>
      </c>
      <c r="CV216">
        <v>-1</v>
      </c>
      <c r="CW216">
        <v>0</v>
      </c>
      <c r="CX216">
        <v>0</v>
      </c>
      <c r="CY216" t="s">
        <v>333</v>
      </c>
      <c r="CZ216">
        <v>2.3650699999999998</v>
      </c>
      <c r="DA216">
        <v>2.71387</v>
      </c>
      <c r="DB216">
        <v>0.101338</v>
      </c>
      <c r="DC216">
        <v>0.146208</v>
      </c>
      <c r="DD216">
        <v>0.102546</v>
      </c>
      <c r="DE216">
        <v>1.3987400000000001E-3</v>
      </c>
      <c r="DF216">
        <v>32835.1</v>
      </c>
      <c r="DG216">
        <v>27548.7</v>
      </c>
      <c r="DH216">
        <v>31191.8</v>
      </c>
      <c r="DI216">
        <v>28115.599999999999</v>
      </c>
      <c r="DJ216">
        <v>38009</v>
      </c>
      <c r="DK216">
        <v>39937.5</v>
      </c>
      <c r="DL216">
        <v>44393.9</v>
      </c>
      <c r="DM216">
        <v>42619.8</v>
      </c>
      <c r="DN216">
        <v>1.4392799999999999</v>
      </c>
      <c r="DO216">
        <v>2.0299499999999999</v>
      </c>
      <c r="DP216">
        <v>0.18084</v>
      </c>
      <c r="DQ216">
        <v>0.15024799999999999</v>
      </c>
      <c r="DR216">
        <v>24.045200000000001</v>
      </c>
      <c r="DS216">
        <v>23.6355</v>
      </c>
      <c r="DT216">
        <v>21.3</v>
      </c>
      <c r="DU216">
        <v>29.7</v>
      </c>
      <c r="DV216">
        <v>8.9912600000000005</v>
      </c>
      <c r="DW216">
        <v>61.373100000000001</v>
      </c>
      <c r="DX216">
        <v>36.730800000000002</v>
      </c>
      <c r="DY216">
        <v>1</v>
      </c>
      <c r="DZ216">
        <v>-0.10484499999999999</v>
      </c>
      <c r="EA216">
        <v>1.03041</v>
      </c>
      <c r="EB216">
        <v>20.1859</v>
      </c>
      <c r="EC216">
        <v>5.2409499999999998</v>
      </c>
      <c r="ED216">
        <v>12.039899999999999</v>
      </c>
      <c r="EE216">
        <v>5.0173500000000004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1.86893</v>
      </c>
      <c r="EL216">
        <v>1.86463</v>
      </c>
      <c r="EM216">
        <v>1.8692</v>
      </c>
      <c r="EN216">
        <v>1.86727</v>
      </c>
      <c r="EO216">
        <v>1.8633999999999999</v>
      </c>
      <c r="EP216">
        <v>1.8644700000000001</v>
      </c>
      <c r="EQ216">
        <v>1.8702000000000001</v>
      </c>
      <c r="ER216">
        <v>1.8694299999999999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0.18099999999999999</v>
      </c>
      <c r="FG216">
        <v>0.21310000000000001</v>
      </c>
      <c r="FH216">
        <v>0.49996858830924029</v>
      </c>
      <c r="FI216">
        <v>-6.1462078757559423E-4</v>
      </c>
      <c r="FJ216">
        <v>-1.8861989874597051E-7</v>
      </c>
      <c r="FK216">
        <v>1.1980462299894961E-10</v>
      </c>
      <c r="FL216">
        <v>-3.8593581000597899E-2</v>
      </c>
      <c r="FM216">
        <v>-1.6848085045870601E-2</v>
      </c>
      <c r="FN216">
        <v>1.9789084769509481E-3</v>
      </c>
      <c r="FO216">
        <v>-2.7142391389806329E-5</v>
      </c>
      <c r="FP216">
        <v>3</v>
      </c>
      <c r="FQ216">
        <v>2158</v>
      </c>
      <c r="FR216">
        <v>1</v>
      </c>
      <c r="FS216">
        <v>19</v>
      </c>
      <c r="FT216">
        <v>42.3</v>
      </c>
      <c r="FU216">
        <v>42.3</v>
      </c>
      <c r="FV216">
        <v>1.7626999999999999</v>
      </c>
      <c r="FW216">
        <v>2.5927699999999998</v>
      </c>
      <c r="FX216">
        <v>1.5490699999999999</v>
      </c>
      <c r="FY216">
        <v>2.3315399999999999</v>
      </c>
      <c r="FZ216">
        <v>1.50146</v>
      </c>
      <c r="GA216">
        <v>2.2888199999999999</v>
      </c>
      <c r="GB216">
        <v>34.031799999999997</v>
      </c>
      <c r="GC216">
        <v>23.982399999999998</v>
      </c>
      <c r="GD216">
        <v>19</v>
      </c>
      <c r="GE216">
        <v>266.83199999999999</v>
      </c>
      <c r="GF216">
        <v>576.29600000000005</v>
      </c>
      <c r="GG216">
        <v>21.633900000000001</v>
      </c>
      <c r="GH216">
        <v>26.028300000000002</v>
      </c>
      <c r="GI216">
        <v>29.9999</v>
      </c>
      <c r="GJ216">
        <v>26.200399999999998</v>
      </c>
      <c r="GK216">
        <v>26.197299999999998</v>
      </c>
      <c r="GL216">
        <v>35.2318</v>
      </c>
      <c r="GM216">
        <v>100</v>
      </c>
      <c r="GN216">
        <v>4.92659</v>
      </c>
      <c r="GO216">
        <v>21.654699999999998</v>
      </c>
      <c r="GP216">
        <v>800</v>
      </c>
      <c r="GQ216">
        <v>0</v>
      </c>
      <c r="GR216">
        <v>99.807100000000005</v>
      </c>
      <c r="GS216">
        <v>99.696600000000004</v>
      </c>
    </row>
    <row r="217" spans="1:201" x14ac:dyDescent="0.25">
      <c r="A217">
        <v>201</v>
      </c>
      <c r="B217">
        <v>1690308800</v>
      </c>
      <c r="C217">
        <v>2181.400000095367</v>
      </c>
      <c r="D217" t="s">
        <v>735</v>
      </c>
      <c r="E217" t="s">
        <v>736</v>
      </c>
      <c r="F217" t="s">
        <v>330</v>
      </c>
      <c r="H217">
        <v>1690308800</v>
      </c>
      <c r="I217">
        <f t="shared" si="90"/>
        <v>2.0169376575825721E-3</v>
      </c>
      <c r="J217">
        <f t="shared" si="91"/>
        <v>2.0169376575825719</v>
      </c>
      <c r="K217">
        <f t="shared" si="92"/>
        <v>30.667733855017012</v>
      </c>
      <c r="L217">
        <f t="shared" si="93"/>
        <v>471.33800000000002</v>
      </c>
      <c r="M217">
        <f t="shared" si="94"/>
        <v>141.70546605234753</v>
      </c>
      <c r="N217">
        <f t="shared" si="95"/>
        <v>14.072044145796431</v>
      </c>
      <c r="O217">
        <f t="shared" si="96"/>
        <v>46.806163010968199</v>
      </c>
      <c r="P217">
        <f t="shared" si="97"/>
        <v>0.15701470187849836</v>
      </c>
      <c r="Q217">
        <f t="shared" si="98"/>
        <v>2.1940040128158831</v>
      </c>
      <c r="R217">
        <f t="shared" si="99"/>
        <v>0.15102853834641919</v>
      </c>
      <c r="S217">
        <f t="shared" si="100"/>
        <v>9.4911654218552827E-2</v>
      </c>
      <c r="T217">
        <f t="shared" si="101"/>
        <v>276.11648051400005</v>
      </c>
      <c r="U217">
        <f t="shared" si="102"/>
        <v>25.855892587379245</v>
      </c>
      <c r="V217">
        <f t="shared" si="103"/>
        <v>25.855892587379245</v>
      </c>
      <c r="W217">
        <f t="shared" si="104"/>
        <v>3.3455920145790459</v>
      </c>
      <c r="X217">
        <f t="shared" si="105"/>
        <v>66.955991258836406</v>
      </c>
      <c r="Y217">
        <f t="shared" si="106"/>
        <v>2.0554719663995398</v>
      </c>
      <c r="Z217">
        <f t="shared" si="107"/>
        <v>3.0698850509935092</v>
      </c>
      <c r="AA217">
        <f t="shared" si="108"/>
        <v>1.2901200481795061</v>
      </c>
      <c r="AB217">
        <f t="shared" si="109"/>
        <v>-88.946950699391422</v>
      </c>
      <c r="AC217">
        <f t="shared" si="110"/>
        <v>-170.79998363732412</v>
      </c>
      <c r="AD217">
        <f t="shared" si="111"/>
        <v>-16.48914851660868</v>
      </c>
      <c r="AE217">
        <f t="shared" si="112"/>
        <v>-0.11960233932418873</v>
      </c>
      <c r="AF217">
        <v>12</v>
      </c>
      <c r="AG217">
        <v>4</v>
      </c>
      <c r="AH217">
        <f t="shared" si="113"/>
        <v>1</v>
      </c>
      <c r="AI217">
        <f t="shared" si="114"/>
        <v>0</v>
      </c>
      <c r="AJ217">
        <f t="shared" si="115"/>
        <v>52840.232861611956</v>
      </c>
      <c r="AK217">
        <f t="shared" si="116"/>
        <v>1800</v>
      </c>
      <c r="AL217">
        <f t="shared" si="117"/>
        <v>1499.1118974000001</v>
      </c>
      <c r="AM217">
        <f t="shared" si="118"/>
        <v>0.83283994300000008</v>
      </c>
      <c r="AN217">
        <f t="shared" si="119"/>
        <v>0.15339804473000002</v>
      </c>
      <c r="AO217">
        <v>31.2</v>
      </c>
      <c r="AP217">
        <v>0.5</v>
      </c>
      <c r="AQ217" t="s">
        <v>331</v>
      </c>
      <c r="AR217">
        <v>2</v>
      </c>
      <c r="AS217">
        <v>1690308800</v>
      </c>
      <c r="AT217">
        <v>471.33800000000002</v>
      </c>
      <c r="AU217">
        <v>800.04</v>
      </c>
      <c r="AV217">
        <v>20.698599999999999</v>
      </c>
      <c r="AW217">
        <v>0.16470199999999999</v>
      </c>
      <c r="AX217">
        <v>471.15699999999998</v>
      </c>
      <c r="AY217">
        <v>20.485199999999999</v>
      </c>
      <c r="AZ217">
        <v>300.11799999999999</v>
      </c>
      <c r="BA217">
        <v>99.204899999999995</v>
      </c>
      <c r="BB217">
        <v>9.9978899999999996E-2</v>
      </c>
      <c r="BC217">
        <v>24.411899999999999</v>
      </c>
      <c r="BD217">
        <v>27.029599999999999</v>
      </c>
      <c r="BE217">
        <v>26.098199999999999</v>
      </c>
      <c r="BF217">
        <v>0</v>
      </c>
      <c r="BG217">
        <v>0</v>
      </c>
      <c r="BH217">
        <v>9985.6200000000008</v>
      </c>
      <c r="BI217">
        <v>1043</v>
      </c>
      <c r="BJ217">
        <v>1.62592</v>
      </c>
      <c r="BK217">
        <v>-328.702</v>
      </c>
      <c r="BL217">
        <v>481.3</v>
      </c>
      <c r="BM217">
        <v>800.17200000000003</v>
      </c>
      <c r="BN217">
        <v>20.533799999999999</v>
      </c>
      <c r="BO217">
        <v>800.04</v>
      </c>
      <c r="BP217">
        <v>0.16470199999999999</v>
      </c>
      <c r="BQ217">
        <v>2.0533999999999999</v>
      </c>
      <c r="BR217">
        <v>1.6339300000000001E-2</v>
      </c>
      <c r="BS217">
        <v>17.862200000000001</v>
      </c>
      <c r="BT217">
        <v>-41.353999999999999</v>
      </c>
      <c r="BU217">
        <v>1800</v>
      </c>
      <c r="BV217">
        <v>0.90998500000000004</v>
      </c>
      <c r="BW217">
        <v>3.3990699999999999E-2</v>
      </c>
      <c r="BX217">
        <v>2.2009399999999998E-2</v>
      </c>
      <c r="BY217">
        <v>3.4014500000000003E-2</v>
      </c>
      <c r="BZ217">
        <v>26</v>
      </c>
      <c r="CA217">
        <v>33528.300000000003</v>
      </c>
      <c r="CB217">
        <v>1690306253.5999999</v>
      </c>
      <c r="CC217" t="s">
        <v>332</v>
      </c>
      <c r="CD217">
        <v>1690306253.5999999</v>
      </c>
      <c r="CE217">
        <v>1690306251.5999999</v>
      </c>
      <c r="CF217">
        <v>9</v>
      </c>
      <c r="CG217">
        <v>0.19</v>
      </c>
      <c r="CH217">
        <v>-8.7999999999999995E-2</v>
      </c>
      <c r="CI217">
        <v>-5.0999999999999997E-2</v>
      </c>
      <c r="CJ217">
        <v>5.0999999999999997E-2</v>
      </c>
      <c r="CK217">
        <v>799</v>
      </c>
      <c r="CL217">
        <v>15</v>
      </c>
      <c r="CM217">
        <v>0.28000000000000003</v>
      </c>
      <c r="CN217">
        <v>0.03</v>
      </c>
      <c r="CO217">
        <v>-328.54117500000001</v>
      </c>
      <c r="CP217">
        <v>-1.385302063789102</v>
      </c>
      <c r="CQ217">
        <v>0.1457386166223594</v>
      </c>
      <c r="CR217">
        <v>-1</v>
      </c>
      <c r="CS217">
        <v>20.523879999999998</v>
      </c>
      <c r="CT217">
        <v>7.1011632270159594E-2</v>
      </c>
      <c r="CU217">
        <v>7.0161670447618603E-3</v>
      </c>
      <c r="CV217">
        <v>-1</v>
      </c>
      <c r="CW217">
        <v>0</v>
      </c>
      <c r="CX217">
        <v>0</v>
      </c>
      <c r="CY217" t="s">
        <v>333</v>
      </c>
      <c r="CZ217">
        <v>2.3647</v>
      </c>
      <c r="DA217">
        <v>2.7137600000000002</v>
      </c>
      <c r="DB217">
        <v>0.10131900000000001</v>
      </c>
      <c r="DC217">
        <v>0.146204</v>
      </c>
      <c r="DD217">
        <v>0.102577</v>
      </c>
      <c r="DE217">
        <v>1.38831E-3</v>
      </c>
      <c r="DF217">
        <v>32836.199999999997</v>
      </c>
      <c r="DG217">
        <v>27549.4</v>
      </c>
      <c r="DH217">
        <v>31192.2</v>
      </c>
      <c r="DI217">
        <v>28116.2</v>
      </c>
      <c r="DJ217">
        <v>38008.199999999997</v>
      </c>
      <c r="DK217">
        <v>39938.400000000001</v>
      </c>
      <c r="DL217">
        <v>44394.6</v>
      </c>
      <c r="DM217">
        <v>42620.2</v>
      </c>
      <c r="DN217">
        <v>1.4392199999999999</v>
      </c>
      <c r="DO217">
        <v>2.0302500000000001</v>
      </c>
      <c r="DP217">
        <v>0.18194299999999999</v>
      </c>
      <c r="DQ217">
        <v>0.14992800000000001</v>
      </c>
      <c r="DR217">
        <v>24.046900000000001</v>
      </c>
      <c r="DS217">
        <v>23.637699999999999</v>
      </c>
      <c r="DT217">
        <v>21.2</v>
      </c>
      <c r="DU217">
        <v>29.7</v>
      </c>
      <c r="DV217">
        <v>8.94909</v>
      </c>
      <c r="DW217">
        <v>61.813099999999999</v>
      </c>
      <c r="DX217">
        <v>37.087299999999999</v>
      </c>
      <c r="DY217">
        <v>1</v>
      </c>
      <c r="DZ217">
        <v>-0.10517799999999999</v>
      </c>
      <c r="EA217">
        <v>1.2444500000000001</v>
      </c>
      <c r="EB217">
        <v>20.184100000000001</v>
      </c>
      <c r="EC217">
        <v>5.2409499999999998</v>
      </c>
      <c r="ED217">
        <v>12.039899999999999</v>
      </c>
      <c r="EE217">
        <v>5.01715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1.86894</v>
      </c>
      <c r="EL217">
        <v>1.8646199999999999</v>
      </c>
      <c r="EM217">
        <v>1.8692</v>
      </c>
      <c r="EN217">
        <v>1.8672599999999999</v>
      </c>
      <c r="EO217">
        <v>1.8633999999999999</v>
      </c>
      <c r="EP217">
        <v>1.8644700000000001</v>
      </c>
      <c r="EQ217">
        <v>1.87022</v>
      </c>
      <c r="ER217">
        <v>1.8694599999999999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0.18099999999999999</v>
      </c>
      <c r="FG217">
        <v>0.21340000000000001</v>
      </c>
      <c r="FH217">
        <v>0.49996858830924029</v>
      </c>
      <c r="FI217">
        <v>-6.1462078757559423E-4</v>
      </c>
      <c r="FJ217">
        <v>-1.8861989874597051E-7</v>
      </c>
      <c r="FK217">
        <v>1.1980462299894961E-10</v>
      </c>
      <c r="FL217">
        <v>-3.8593581000597899E-2</v>
      </c>
      <c r="FM217">
        <v>-1.6848085045870601E-2</v>
      </c>
      <c r="FN217">
        <v>1.9789084769509481E-3</v>
      </c>
      <c r="FO217">
        <v>-2.7142391389806329E-5</v>
      </c>
      <c r="FP217">
        <v>3</v>
      </c>
      <c r="FQ217">
        <v>2158</v>
      </c>
      <c r="FR217">
        <v>1</v>
      </c>
      <c r="FS217">
        <v>19</v>
      </c>
      <c r="FT217">
        <v>42.4</v>
      </c>
      <c r="FU217">
        <v>42.5</v>
      </c>
      <c r="FV217">
        <v>1.7614700000000001</v>
      </c>
      <c r="FW217">
        <v>2.5915499999999998</v>
      </c>
      <c r="FX217">
        <v>1.5490699999999999</v>
      </c>
      <c r="FY217">
        <v>2.3315399999999999</v>
      </c>
      <c r="FZ217">
        <v>1.50146</v>
      </c>
      <c r="GA217">
        <v>2.32666</v>
      </c>
      <c r="GB217">
        <v>34.054499999999997</v>
      </c>
      <c r="GC217">
        <v>23.982399999999998</v>
      </c>
      <c r="GD217">
        <v>19</v>
      </c>
      <c r="GE217">
        <v>266.803</v>
      </c>
      <c r="GF217">
        <v>576.529</v>
      </c>
      <c r="GG217">
        <v>21.637699999999999</v>
      </c>
      <c r="GH217">
        <v>26.027899999999999</v>
      </c>
      <c r="GI217">
        <v>29.9999</v>
      </c>
      <c r="GJ217">
        <v>26.198399999999999</v>
      </c>
      <c r="GK217">
        <v>26.196200000000001</v>
      </c>
      <c r="GL217">
        <v>35.231099999999998</v>
      </c>
      <c r="GM217">
        <v>100</v>
      </c>
      <c r="GN217">
        <v>4.54068</v>
      </c>
      <c r="GO217">
        <v>21.595600000000001</v>
      </c>
      <c r="GP217">
        <v>800</v>
      </c>
      <c r="GQ217">
        <v>0</v>
      </c>
      <c r="GR217">
        <v>99.808499999999995</v>
      </c>
      <c r="GS217">
        <v>99.698099999999997</v>
      </c>
    </row>
    <row r="218" spans="1:201" x14ac:dyDescent="0.25">
      <c r="A218">
        <v>202</v>
      </c>
      <c r="B218">
        <v>1690308810</v>
      </c>
      <c r="C218">
        <v>2191.400000095367</v>
      </c>
      <c r="D218" t="s">
        <v>737</v>
      </c>
      <c r="E218" t="s">
        <v>738</v>
      </c>
      <c r="F218" t="s">
        <v>330</v>
      </c>
      <c r="H218">
        <v>1690308810</v>
      </c>
      <c r="I218">
        <f t="shared" si="90"/>
        <v>2.0170364669117261E-3</v>
      </c>
      <c r="J218">
        <f t="shared" si="91"/>
        <v>2.0170364669117262</v>
      </c>
      <c r="K218">
        <f t="shared" si="92"/>
        <v>30.7039961482709</v>
      </c>
      <c r="L218">
        <f t="shared" si="93"/>
        <v>470.99700000000001</v>
      </c>
      <c r="M218">
        <f t="shared" si="94"/>
        <v>141.29390358772633</v>
      </c>
      <c r="N218">
        <f t="shared" si="95"/>
        <v>14.031336487205957</v>
      </c>
      <c r="O218">
        <f t="shared" si="96"/>
        <v>46.772841740913002</v>
      </c>
      <c r="P218">
        <f t="shared" si="97"/>
        <v>0.1571596151712169</v>
      </c>
      <c r="Q218">
        <f t="shared" si="98"/>
        <v>2.1959337174891358</v>
      </c>
      <c r="R218">
        <f t="shared" si="99"/>
        <v>0.15116767772670187</v>
      </c>
      <c r="S218">
        <f t="shared" si="100"/>
        <v>9.4999115960842095E-2</v>
      </c>
      <c r="T218">
        <f t="shared" si="101"/>
        <v>276.11656154999997</v>
      </c>
      <c r="U218">
        <f t="shared" si="102"/>
        <v>25.849907688525096</v>
      </c>
      <c r="V218">
        <f t="shared" si="103"/>
        <v>25.849907688525096</v>
      </c>
      <c r="W218">
        <f t="shared" si="104"/>
        <v>3.3444060894644698</v>
      </c>
      <c r="X218">
        <f t="shared" si="105"/>
        <v>66.972456617614881</v>
      </c>
      <c r="Y218">
        <f t="shared" si="106"/>
        <v>2.0553865352275</v>
      </c>
      <c r="Z218">
        <f t="shared" si="107"/>
        <v>3.0690027498362644</v>
      </c>
      <c r="AA218">
        <f t="shared" si="108"/>
        <v>1.2890195542369698</v>
      </c>
      <c r="AB218">
        <f t="shared" si="109"/>
        <v>-88.951308190807126</v>
      </c>
      <c r="AC218">
        <f t="shared" si="110"/>
        <v>-170.80993147408498</v>
      </c>
      <c r="AD218">
        <f t="shared" si="111"/>
        <v>-16.474723855607756</v>
      </c>
      <c r="AE218">
        <f t="shared" si="112"/>
        <v>-0.11940197049989365</v>
      </c>
      <c r="AF218">
        <v>12</v>
      </c>
      <c r="AG218">
        <v>4</v>
      </c>
      <c r="AH218">
        <f t="shared" si="113"/>
        <v>1</v>
      </c>
      <c r="AI218">
        <f t="shared" si="114"/>
        <v>0</v>
      </c>
      <c r="AJ218">
        <f t="shared" si="115"/>
        <v>52920.758263946023</v>
      </c>
      <c r="AK218">
        <f t="shared" si="116"/>
        <v>1800</v>
      </c>
      <c r="AL218">
        <f t="shared" si="117"/>
        <v>1499.1130980000003</v>
      </c>
      <c r="AM218">
        <f t="shared" si="118"/>
        <v>0.83284061000000009</v>
      </c>
      <c r="AN218">
        <f t="shared" si="119"/>
        <v>0.15339808974999999</v>
      </c>
      <c r="AO218">
        <v>31.2</v>
      </c>
      <c r="AP218">
        <v>0.5</v>
      </c>
      <c r="AQ218" t="s">
        <v>331</v>
      </c>
      <c r="AR218">
        <v>2</v>
      </c>
      <c r="AS218">
        <v>1690308810</v>
      </c>
      <c r="AT218">
        <v>470.99700000000001</v>
      </c>
      <c r="AU218">
        <v>800.04300000000001</v>
      </c>
      <c r="AV218">
        <v>20.697500000000002</v>
      </c>
      <c r="AW218">
        <v>0.164215</v>
      </c>
      <c r="AX218">
        <v>470.81599999999997</v>
      </c>
      <c r="AY218">
        <v>20.484200000000001</v>
      </c>
      <c r="AZ218">
        <v>300.142</v>
      </c>
      <c r="BA218">
        <v>99.206000000000003</v>
      </c>
      <c r="BB218">
        <v>0.10002900000000001</v>
      </c>
      <c r="BC218">
        <v>24.4071</v>
      </c>
      <c r="BD218">
        <v>27.011900000000001</v>
      </c>
      <c r="BE218">
        <v>26.103300000000001</v>
      </c>
      <c r="BF218">
        <v>0</v>
      </c>
      <c r="BG218">
        <v>0</v>
      </c>
      <c r="BH218">
        <v>10001.200000000001</v>
      </c>
      <c r="BI218">
        <v>1043.03</v>
      </c>
      <c r="BJ218">
        <v>1.62592</v>
      </c>
      <c r="BK218">
        <v>-329.04599999999999</v>
      </c>
      <c r="BL218">
        <v>480.95100000000002</v>
      </c>
      <c r="BM218">
        <v>800.17399999999998</v>
      </c>
      <c r="BN218">
        <v>20.533300000000001</v>
      </c>
      <c r="BO218">
        <v>800.04300000000001</v>
      </c>
      <c r="BP218">
        <v>0.164215</v>
      </c>
      <c r="BQ218">
        <v>2.0533199999999998</v>
      </c>
      <c r="BR218">
        <v>1.6291099999999999E-2</v>
      </c>
      <c r="BS218">
        <v>17.861599999999999</v>
      </c>
      <c r="BT218">
        <v>-41.381900000000002</v>
      </c>
      <c r="BU218">
        <v>1800</v>
      </c>
      <c r="BV218">
        <v>0.90998900000000005</v>
      </c>
      <c r="BW218">
        <v>3.3990800000000002E-2</v>
      </c>
      <c r="BX218">
        <v>2.2009500000000001E-2</v>
      </c>
      <c r="BY218">
        <v>3.4010699999999998E-2</v>
      </c>
      <c r="BZ218">
        <v>26</v>
      </c>
      <c r="CA218">
        <v>33528.300000000003</v>
      </c>
      <c r="CB218">
        <v>1690306253.5999999</v>
      </c>
      <c r="CC218" t="s">
        <v>332</v>
      </c>
      <c r="CD218">
        <v>1690306253.5999999</v>
      </c>
      <c r="CE218">
        <v>1690306251.5999999</v>
      </c>
      <c r="CF218">
        <v>9</v>
      </c>
      <c r="CG218">
        <v>0.19</v>
      </c>
      <c r="CH218">
        <v>-8.7999999999999995E-2</v>
      </c>
      <c r="CI218">
        <v>-5.0999999999999997E-2</v>
      </c>
      <c r="CJ218">
        <v>5.0999999999999997E-2</v>
      </c>
      <c r="CK218">
        <v>799</v>
      </c>
      <c r="CL218">
        <v>15</v>
      </c>
      <c r="CM218">
        <v>0.28000000000000003</v>
      </c>
      <c r="CN218">
        <v>0.03</v>
      </c>
      <c r="CO218">
        <v>-328.72719512195118</v>
      </c>
      <c r="CP218">
        <v>-0.8165435540072955</v>
      </c>
      <c r="CQ218">
        <v>0.1079264020936818</v>
      </c>
      <c r="CR218">
        <v>-1</v>
      </c>
      <c r="CS218">
        <v>20.53125609756097</v>
      </c>
      <c r="CT218">
        <v>2.1319860627151001E-2</v>
      </c>
      <c r="CU218">
        <v>3.408887149824672E-3</v>
      </c>
      <c r="CV218">
        <v>-1</v>
      </c>
      <c r="CW218">
        <v>0</v>
      </c>
      <c r="CX218">
        <v>0</v>
      </c>
      <c r="CY218" t="s">
        <v>333</v>
      </c>
      <c r="CZ218">
        <v>2.3647900000000002</v>
      </c>
      <c r="DA218">
        <v>2.7138200000000001</v>
      </c>
      <c r="DB218">
        <v>0.10126300000000001</v>
      </c>
      <c r="DC218">
        <v>0.146202</v>
      </c>
      <c r="DD218">
        <v>0.102572</v>
      </c>
      <c r="DE218">
        <v>1.38422E-3</v>
      </c>
      <c r="DF218">
        <v>32837.9</v>
      </c>
      <c r="DG218">
        <v>27548.799999999999</v>
      </c>
      <c r="DH218">
        <v>31191.8</v>
      </c>
      <c r="DI218">
        <v>28115.4</v>
      </c>
      <c r="DJ218">
        <v>38008.1</v>
      </c>
      <c r="DK218">
        <v>39937.9</v>
      </c>
      <c r="DL218">
        <v>44394.3</v>
      </c>
      <c r="DM218">
        <v>42619.5</v>
      </c>
      <c r="DN218">
        <v>1.4390000000000001</v>
      </c>
      <c r="DO218">
        <v>2.03003</v>
      </c>
      <c r="DP218">
        <v>0.180751</v>
      </c>
      <c r="DQ218">
        <v>0.15012200000000001</v>
      </c>
      <c r="DR218">
        <v>24.0487</v>
      </c>
      <c r="DS218">
        <v>23.639600000000002</v>
      </c>
      <c r="DT218">
        <v>21.1</v>
      </c>
      <c r="DU218">
        <v>29.7</v>
      </c>
      <c r="DV218">
        <v>8.9077800000000007</v>
      </c>
      <c r="DW218">
        <v>61.5931</v>
      </c>
      <c r="DX218">
        <v>37.0032</v>
      </c>
      <c r="DY218">
        <v>1</v>
      </c>
      <c r="DZ218">
        <v>-0.10473300000000001</v>
      </c>
      <c r="EA218">
        <v>1.1748400000000001</v>
      </c>
      <c r="EB218">
        <v>20.1843</v>
      </c>
      <c r="EC218">
        <v>5.2408000000000001</v>
      </c>
      <c r="ED218">
        <v>12.039899999999999</v>
      </c>
      <c r="EE218">
        <v>5.0162500000000003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1.86893</v>
      </c>
      <c r="EL218">
        <v>1.86463</v>
      </c>
      <c r="EM218">
        <v>1.8692</v>
      </c>
      <c r="EN218">
        <v>1.8672500000000001</v>
      </c>
      <c r="EO218">
        <v>1.8633900000000001</v>
      </c>
      <c r="EP218">
        <v>1.8644700000000001</v>
      </c>
      <c r="EQ218">
        <v>1.87022</v>
      </c>
      <c r="ER218">
        <v>1.8694200000000001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0.18099999999999999</v>
      </c>
      <c r="FG218">
        <v>0.21329999999999999</v>
      </c>
      <c r="FH218">
        <v>0.49996858830924029</v>
      </c>
      <c r="FI218">
        <v>-6.1462078757559423E-4</v>
      </c>
      <c r="FJ218">
        <v>-1.8861989874597051E-7</v>
      </c>
      <c r="FK218">
        <v>1.1980462299894961E-10</v>
      </c>
      <c r="FL218">
        <v>-3.8593581000597899E-2</v>
      </c>
      <c r="FM218">
        <v>-1.6848085045870601E-2</v>
      </c>
      <c r="FN218">
        <v>1.9789084769509481E-3</v>
      </c>
      <c r="FO218">
        <v>-2.7142391389806329E-5</v>
      </c>
      <c r="FP218">
        <v>3</v>
      </c>
      <c r="FQ218">
        <v>2158</v>
      </c>
      <c r="FR218">
        <v>1</v>
      </c>
      <c r="FS218">
        <v>19</v>
      </c>
      <c r="FT218">
        <v>42.6</v>
      </c>
      <c r="FU218">
        <v>42.6</v>
      </c>
      <c r="FV218">
        <v>1.7614700000000001</v>
      </c>
      <c r="FW218">
        <v>2.5927699999999998</v>
      </c>
      <c r="FX218">
        <v>1.5490699999999999</v>
      </c>
      <c r="FY218">
        <v>2.3315399999999999</v>
      </c>
      <c r="FZ218">
        <v>1.50146</v>
      </c>
      <c r="GA218">
        <v>2.34131</v>
      </c>
      <c r="GB218">
        <v>34.031799999999997</v>
      </c>
      <c r="GC218">
        <v>23.991199999999999</v>
      </c>
      <c r="GD218">
        <v>19</v>
      </c>
      <c r="GE218">
        <v>266.70699999999999</v>
      </c>
      <c r="GF218">
        <v>576.32299999999998</v>
      </c>
      <c r="GG218">
        <v>21.570399999999999</v>
      </c>
      <c r="GH218">
        <v>26.0261</v>
      </c>
      <c r="GI218">
        <v>30.0001</v>
      </c>
      <c r="GJ218">
        <v>26.197299999999998</v>
      </c>
      <c r="GK218">
        <v>26.194199999999999</v>
      </c>
      <c r="GL218">
        <v>35.229999999999997</v>
      </c>
      <c r="GM218">
        <v>100</v>
      </c>
      <c r="GN218">
        <v>4.1565799999999999</v>
      </c>
      <c r="GO218">
        <v>21.605499999999999</v>
      </c>
      <c r="GP218">
        <v>800</v>
      </c>
      <c r="GQ218">
        <v>0</v>
      </c>
      <c r="GR218">
        <v>99.807599999999994</v>
      </c>
      <c r="GS218">
        <v>99.695999999999998</v>
      </c>
    </row>
    <row r="219" spans="1:201" x14ac:dyDescent="0.25">
      <c r="A219">
        <v>203</v>
      </c>
      <c r="B219">
        <v>1690308820</v>
      </c>
      <c r="C219">
        <v>2201.400000095367</v>
      </c>
      <c r="D219" t="s">
        <v>739</v>
      </c>
      <c r="E219" t="s">
        <v>740</v>
      </c>
      <c r="F219" t="s">
        <v>330</v>
      </c>
      <c r="H219">
        <v>1690308820</v>
      </c>
      <c r="I219">
        <f t="shared" si="90"/>
        <v>2.0177057577106744E-3</v>
      </c>
      <c r="J219">
        <f t="shared" si="91"/>
        <v>2.0177057577106745</v>
      </c>
      <c r="K219">
        <f t="shared" si="92"/>
        <v>30.711322427408543</v>
      </c>
      <c r="L219">
        <f t="shared" si="93"/>
        <v>470.82400000000001</v>
      </c>
      <c r="M219">
        <f t="shared" si="94"/>
        <v>141.56544614757556</v>
      </c>
      <c r="N219">
        <f t="shared" si="95"/>
        <v>14.058320647410895</v>
      </c>
      <c r="O219">
        <f t="shared" si="96"/>
        <v>46.755722816686394</v>
      </c>
      <c r="P219">
        <f t="shared" si="97"/>
        <v>0.15741469285876331</v>
      </c>
      <c r="Q219">
        <f t="shared" si="98"/>
        <v>2.1975575355778476</v>
      </c>
      <c r="R219">
        <f t="shared" si="99"/>
        <v>0.1514079486551651</v>
      </c>
      <c r="S219">
        <f t="shared" si="100"/>
        <v>9.5150552405016769E-2</v>
      </c>
      <c r="T219">
        <f t="shared" si="101"/>
        <v>276.11644192199998</v>
      </c>
      <c r="U219">
        <f t="shared" si="102"/>
        <v>25.846908657795097</v>
      </c>
      <c r="V219">
        <f t="shared" si="103"/>
        <v>25.846908657795097</v>
      </c>
      <c r="W219">
        <f t="shared" si="104"/>
        <v>3.3438119609147208</v>
      </c>
      <c r="X219">
        <f t="shared" si="105"/>
        <v>67.013095845611772</v>
      </c>
      <c r="Y219">
        <f t="shared" si="106"/>
        <v>2.0564120710570797</v>
      </c>
      <c r="Z219">
        <f t="shared" si="107"/>
        <v>3.068671944055156</v>
      </c>
      <c r="AA219">
        <f t="shared" si="108"/>
        <v>1.2873998898576411</v>
      </c>
      <c r="AB219">
        <f t="shared" si="109"/>
        <v>-88.980823915040745</v>
      </c>
      <c r="AC219">
        <f t="shared" si="110"/>
        <v>-170.79418476046399</v>
      </c>
      <c r="AD219">
        <f t="shared" si="111"/>
        <v>-16.460635083153186</v>
      </c>
      <c r="AE219">
        <f t="shared" si="112"/>
        <v>-0.11920183665793616</v>
      </c>
      <c r="AF219">
        <v>12</v>
      </c>
      <c r="AG219">
        <v>4</v>
      </c>
      <c r="AH219">
        <f t="shared" si="113"/>
        <v>1</v>
      </c>
      <c r="AI219">
        <f t="shared" si="114"/>
        <v>0</v>
      </c>
      <c r="AJ219">
        <f t="shared" si="115"/>
        <v>52988.163048371032</v>
      </c>
      <c r="AK219">
        <f t="shared" si="116"/>
        <v>1800</v>
      </c>
      <c r="AL219">
        <f t="shared" si="117"/>
        <v>1499.1120521999999</v>
      </c>
      <c r="AM219">
        <f t="shared" si="118"/>
        <v>0.83284002899999998</v>
      </c>
      <c r="AN219">
        <f t="shared" si="119"/>
        <v>0.15339802328999999</v>
      </c>
      <c r="AO219">
        <v>31.2</v>
      </c>
      <c r="AP219">
        <v>0.5</v>
      </c>
      <c r="AQ219" t="s">
        <v>331</v>
      </c>
      <c r="AR219">
        <v>2</v>
      </c>
      <c r="AS219">
        <v>1690308820</v>
      </c>
      <c r="AT219">
        <v>470.82400000000001</v>
      </c>
      <c r="AU219">
        <v>800.01599999999996</v>
      </c>
      <c r="AV219">
        <v>20.707799999999999</v>
      </c>
      <c r="AW219">
        <v>0.16353699999999999</v>
      </c>
      <c r="AX219">
        <v>470.64299999999997</v>
      </c>
      <c r="AY219">
        <v>20.494199999999999</v>
      </c>
      <c r="AZ219">
        <v>300.07799999999997</v>
      </c>
      <c r="BA219">
        <v>99.206199999999995</v>
      </c>
      <c r="BB219">
        <v>9.9958599999999995E-2</v>
      </c>
      <c r="BC219">
        <v>24.4053</v>
      </c>
      <c r="BD219">
        <v>27.018999999999998</v>
      </c>
      <c r="BE219">
        <v>26.108899999999998</v>
      </c>
      <c r="BF219">
        <v>0</v>
      </c>
      <c r="BG219">
        <v>0</v>
      </c>
      <c r="BH219">
        <v>10014.4</v>
      </c>
      <c r="BI219">
        <v>1043.06</v>
      </c>
      <c r="BJ219">
        <v>1.62592</v>
      </c>
      <c r="BK219">
        <v>-329.19200000000001</v>
      </c>
      <c r="BL219">
        <v>480.78</v>
      </c>
      <c r="BM219">
        <v>800.14700000000005</v>
      </c>
      <c r="BN219">
        <v>20.5443</v>
      </c>
      <c r="BO219">
        <v>800.01599999999996</v>
      </c>
      <c r="BP219">
        <v>0.16353699999999999</v>
      </c>
      <c r="BQ219">
        <v>2.0543399999999998</v>
      </c>
      <c r="BR219">
        <v>1.6223899999999999E-2</v>
      </c>
      <c r="BS219">
        <v>17.869499999999999</v>
      </c>
      <c r="BT219">
        <v>-41.420999999999999</v>
      </c>
      <c r="BU219">
        <v>1800</v>
      </c>
      <c r="BV219">
        <v>0.90998599999999996</v>
      </c>
      <c r="BW219">
        <v>3.3990300000000001E-2</v>
      </c>
      <c r="BX219">
        <v>2.20092E-2</v>
      </c>
      <c r="BY219">
        <v>3.4014099999999999E-2</v>
      </c>
      <c r="BZ219">
        <v>26</v>
      </c>
      <c r="CA219">
        <v>33528.300000000003</v>
      </c>
      <c r="CB219">
        <v>1690306253.5999999</v>
      </c>
      <c r="CC219" t="s">
        <v>332</v>
      </c>
      <c r="CD219">
        <v>1690306253.5999999</v>
      </c>
      <c r="CE219">
        <v>1690306251.5999999</v>
      </c>
      <c r="CF219">
        <v>9</v>
      </c>
      <c r="CG219">
        <v>0.19</v>
      </c>
      <c r="CH219">
        <v>-8.7999999999999995E-2</v>
      </c>
      <c r="CI219">
        <v>-5.0999999999999997E-2</v>
      </c>
      <c r="CJ219">
        <v>5.0999999999999997E-2</v>
      </c>
      <c r="CK219">
        <v>799</v>
      </c>
      <c r="CL219">
        <v>15</v>
      </c>
      <c r="CM219">
        <v>0.28000000000000003</v>
      </c>
      <c r="CN219">
        <v>0.03</v>
      </c>
      <c r="CO219">
        <v>-328.89263414634149</v>
      </c>
      <c r="CP219">
        <v>-1.6678954703840829</v>
      </c>
      <c r="CQ219">
        <v>0.1774693042640855</v>
      </c>
      <c r="CR219">
        <v>-1</v>
      </c>
      <c r="CS219">
        <v>20.533336585365859</v>
      </c>
      <c r="CT219">
        <v>8.4355400696676814E-3</v>
      </c>
      <c r="CU219">
        <v>2.3096569376299361E-3</v>
      </c>
      <c r="CV219">
        <v>-1</v>
      </c>
      <c r="CW219">
        <v>0</v>
      </c>
      <c r="CX219">
        <v>0</v>
      </c>
      <c r="CY219" t="s">
        <v>333</v>
      </c>
      <c r="CZ219">
        <v>2.3645700000000001</v>
      </c>
      <c r="DA219">
        <v>2.7137600000000002</v>
      </c>
      <c r="DB219">
        <v>0.10123799999999999</v>
      </c>
      <c r="DC219">
        <v>0.146203</v>
      </c>
      <c r="DD219">
        <v>0.10261099999999999</v>
      </c>
      <c r="DE219">
        <v>1.3786099999999999E-3</v>
      </c>
      <c r="DF219">
        <v>32839</v>
      </c>
      <c r="DG219">
        <v>27549.599999999999</v>
      </c>
      <c r="DH219">
        <v>31192</v>
      </c>
      <c r="DI219">
        <v>28116.3</v>
      </c>
      <c r="DJ219">
        <v>38006.6</v>
      </c>
      <c r="DK219">
        <v>39939.1</v>
      </c>
      <c r="DL219">
        <v>44394.400000000001</v>
      </c>
      <c r="DM219">
        <v>42620.6</v>
      </c>
      <c r="DN219">
        <v>1.4390000000000001</v>
      </c>
      <c r="DO219">
        <v>2.0304799999999998</v>
      </c>
      <c r="DP219">
        <v>0.18115300000000001</v>
      </c>
      <c r="DQ219">
        <v>0.15032300000000001</v>
      </c>
      <c r="DR219">
        <v>24.049199999999999</v>
      </c>
      <c r="DS219">
        <v>23.641999999999999</v>
      </c>
      <c r="DT219">
        <v>21.1</v>
      </c>
      <c r="DU219">
        <v>29.7</v>
      </c>
      <c r="DV219">
        <v>8.9067500000000006</v>
      </c>
      <c r="DW219">
        <v>61.493099999999998</v>
      </c>
      <c r="DX219">
        <v>37.191499999999998</v>
      </c>
      <c r="DY219">
        <v>1</v>
      </c>
      <c r="DZ219">
        <v>-0.104647</v>
      </c>
      <c r="EA219">
        <v>1.1907300000000001</v>
      </c>
      <c r="EB219">
        <v>20.184699999999999</v>
      </c>
      <c r="EC219">
        <v>5.2409499999999998</v>
      </c>
      <c r="ED219">
        <v>12.039899999999999</v>
      </c>
      <c r="EE219">
        <v>5.01715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1.86894</v>
      </c>
      <c r="EL219">
        <v>1.86463</v>
      </c>
      <c r="EM219">
        <v>1.8692</v>
      </c>
      <c r="EN219">
        <v>1.8672599999999999</v>
      </c>
      <c r="EO219">
        <v>1.8633999999999999</v>
      </c>
      <c r="EP219">
        <v>1.8644700000000001</v>
      </c>
      <c r="EQ219">
        <v>1.8702000000000001</v>
      </c>
      <c r="ER219">
        <v>1.8694599999999999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0.18099999999999999</v>
      </c>
      <c r="FG219">
        <v>0.21360000000000001</v>
      </c>
      <c r="FH219">
        <v>0.49996858830924029</v>
      </c>
      <c r="FI219">
        <v>-6.1462078757559423E-4</v>
      </c>
      <c r="FJ219">
        <v>-1.8861989874597051E-7</v>
      </c>
      <c r="FK219">
        <v>1.1980462299894961E-10</v>
      </c>
      <c r="FL219">
        <v>-3.8593581000597899E-2</v>
      </c>
      <c r="FM219">
        <v>-1.6848085045870601E-2</v>
      </c>
      <c r="FN219">
        <v>1.9789084769509481E-3</v>
      </c>
      <c r="FO219">
        <v>-2.7142391389806329E-5</v>
      </c>
      <c r="FP219">
        <v>3</v>
      </c>
      <c r="FQ219">
        <v>2158</v>
      </c>
      <c r="FR219">
        <v>1</v>
      </c>
      <c r="FS219">
        <v>19</v>
      </c>
      <c r="FT219">
        <v>42.8</v>
      </c>
      <c r="FU219">
        <v>42.8</v>
      </c>
      <c r="FV219">
        <v>1.7614700000000001</v>
      </c>
      <c r="FW219">
        <v>2.5903299999999998</v>
      </c>
      <c r="FX219">
        <v>1.5490699999999999</v>
      </c>
      <c r="FY219">
        <v>2.3315399999999999</v>
      </c>
      <c r="FZ219">
        <v>1.50146</v>
      </c>
      <c r="GA219">
        <v>2.3718300000000001</v>
      </c>
      <c r="GB219">
        <v>34.054499999999997</v>
      </c>
      <c r="GC219">
        <v>23.991199999999999</v>
      </c>
      <c r="GD219">
        <v>19</v>
      </c>
      <c r="GE219">
        <v>266.70100000000002</v>
      </c>
      <c r="GF219">
        <v>576.66600000000005</v>
      </c>
      <c r="GG219">
        <v>21.5929</v>
      </c>
      <c r="GH219">
        <v>26.023900000000001</v>
      </c>
      <c r="GI219">
        <v>30.0002</v>
      </c>
      <c r="GJ219">
        <v>26.196000000000002</v>
      </c>
      <c r="GK219">
        <v>26.192</v>
      </c>
      <c r="GL219">
        <v>35.2333</v>
      </c>
      <c r="GM219">
        <v>100</v>
      </c>
      <c r="GN219">
        <v>3.3863099999999999</v>
      </c>
      <c r="GO219">
        <v>21.579599999999999</v>
      </c>
      <c r="GP219">
        <v>800</v>
      </c>
      <c r="GQ219">
        <v>0</v>
      </c>
      <c r="GR219">
        <v>99.808000000000007</v>
      </c>
      <c r="GS219">
        <v>99.698800000000006</v>
      </c>
    </row>
    <row r="220" spans="1:201" x14ac:dyDescent="0.25">
      <c r="A220">
        <v>204</v>
      </c>
      <c r="B220">
        <v>1690308830</v>
      </c>
      <c r="C220">
        <v>2211.400000095367</v>
      </c>
      <c r="D220" t="s">
        <v>741</v>
      </c>
      <c r="E220" t="s">
        <v>742</v>
      </c>
      <c r="F220" t="s">
        <v>330</v>
      </c>
      <c r="H220">
        <v>1690308830</v>
      </c>
      <c r="I220">
        <f t="shared" si="90"/>
        <v>2.0175171525178034E-3</v>
      </c>
      <c r="J220">
        <f t="shared" si="91"/>
        <v>2.0175171525178035</v>
      </c>
      <c r="K220">
        <f t="shared" si="92"/>
        <v>30.713962967255252</v>
      </c>
      <c r="L220">
        <f t="shared" si="93"/>
        <v>470.75700000000001</v>
      </c>
      <c r="M220">
        <f t="shared" si="94"/>
        <v>141.51724718988467</v>
      </c>
      <c r="N220">
        <f t="shared" si="95"/>
        <v>14.054182979893834</v>
      </c>
      <c r="O220">
        <f t="shared" si="96"/>
        <v>46.751227489526705</v>
      </c>
      <c r="P220">
        <f t="shared" si="97"/>
        <v>0.15744470346862879</v>
      </c>
      <c r="Q220">
        <f t="shared" si="98"/>
        <v>2.1943084450581924</v>
      </c>
      <c r="R220">
        <f t="shared" si="99"/>
        <v>0.15142718405341354</v>
      </c>
      <c r="S220">
        <f t="shared" si="100"/>
        <v>9.5163477671545316E-2</v>
      </c>
      <c r="T220">
        <f t="shared" si="101"/>
        <v>276.11655870599998</v>
      </c>
      <c r="U220">
        <f t="shared" si="102"/>
        <v>25.845126482024916</v>
      </c>
      <c r="V220">
        <f t="shared" si="103"/>
        <v>25.845126482024916</v>
      </c>
      <c r="W220">
        <f t="shared" si="104"/>
        <v>3.3434589433476414</v>
      </c>
      <c r="X220">
        <f t="shared" si="105"/>
        <v>67.023997160206974</v>
      </c>
      <c r="Y220">
        <f t="shared" si="106"/>
        <v>2.0562785912570503</v>
      </c>
      <c r="Z220">
        <f t="shared" si="107"/>
        <v>3.0679736786541434</v>
      </c>
      <c r="AA220">
        <f t="shared" si="108"/>
        <v>1.2871803520905911</v>
      </c>
      <c r="AB220">
        <f t="shared" si="109"/>
        <v>-88.972506426035125</v>
      </c>
      <c r="AC220">
        <f t="shared" si="110"/>
        <v>-170.78037313818456</v>
      </c>
      <c r="AD220">
        <f t="shared" si="111"/>
        <v>-16.483212396885662</v>
      </c>
      <c r="AE220">
        <f t="shared" si="112"/>
        <v>-0.11953325510538093</v>
      </c>
      <c r="AF220">
        <v>12</v>
      </c>
      <c r="AG220">
        <v>4</v>
      </c>
      <c r="AH220">
        <f t="shared" si="113"/>
        <v>1</v>
      </c>
      <c r="AI220">
        <f t="shared" si="114"/>
        <v>0</v>
      </c>
      <c r="AJ220">
        <f t="shared" si="115"/>
        <v>52854.769075081858</v>
      </c>
      <c r="AK220">
        <f t="shared" si="116"/>
        <v>1800</v>
      </c>
      <c r="AL220">
        <f t="shared" si="117"/>
        <v>1499.1128855999998</v>
      </c>
      <c r="AM220">
        <f t="shared" si="118"/>
        <v>0.83284049199999988</v>
      </c>
      <c r="AN220">
        <f t="shared" si="119"/>
        <v>0.15339808817</v>
      </c>
      <c r="AO220">
        <v>31.2</v>
      </c>
      <c r="AP220">
        <v>0.5</v>
      </c>
      <c r="AQ220" t="s">
        <v>331</v>
      </c>
      <c r="AR220">
        <v>2</v>
      </c>
      <c r="AS220">
        <v>1690308830</v>
      </c>
      <c r="AT220">
        <v>470.75700000000001</v>
      </c>
      <c r="AU220">
        <v>799.98400000000004</v>
      </c>
      <c r="AV220">
        <v>20.705500000000001</v>
      </c>
      <c r="AW220">
        <v>0.162493</v>
      </c>
      <c r="AX220">
        <v>470.57499999999999</v>
      </c>
      <c r="AY220">
        <v>20.491900000000001</v>
      </c>
      <c r="AZ220">
        <v>300.06900000000002</v>
      </c>
      <c r="BA220">
        <v>99.210800000000006</v>
      </c>
      <c r="BB220">
        <v>9.9943100000000007E-2</v>
      </c>
      <c r="BC220">
        <v>24.401499999999999</v>
      </c>
      <c r="BD220">
        <v>27.007400000000001</v>
      </c>
      <c r="BE220">
        <v>26.105599999999999</v>
      </c>
      <c r="BF220">
        <v>0</v>
      </c>
      <c r="BG220">
        <v>0</v>
      </c>
      <c r="BH220">
        <v>9987.5</v>
      </c>
      <c r="BI220">
        <v>1043.07</v>
      </c>
      <c r="BJ220">
        <v>1.62592</v>
      </c>
      <c r="BK220">
        <v>-329.22699999999998</v>
      </c>
      <c r="BL220">
        <v>480.71</v>
      </c>
      <c r="BM220">
        <v>800.11400000000003</v>
      </c>
      <c r="BN220">
        <v>20.542999999999999</v>
      </c>
      <c r="BO220">
        <v>799.98400000000004</v>
      </c>
      <c r="BP220">
        <v>0.162493</v>
      </c>
      <c r="BQ220">
        <v>2.0542099999999999</v>
      </c>
      <c r="BR220">
        <v>1.6121E-2</v>
      </c>
      <c r="BS220">
        <v>17.868500000000001</v>
      </c>
      <c r="BT220">
        <v>-41.481000000000002</v>
      </c>
      <c r="BU220">
        <v>1800</v>
      </c>
      <c r="BV220">
        <v>0.90998699999999999</v>
      </c>
      <c r="BW220">
        <v>3.3990100000000002E-2</v>
      </c>
      <c r="BX220">
        <v>2.20091E-2</v>
      </c>
      <c r="BY220">
        <v>3.40139E-2</v>
      </c>
      <c r="BZ220">
        <v>26</v>
      </c>
      <c r="CA220">
        <v>33528.300000000003</v>
      </c>
      <c r="CB220">
        <v>1690306253.5999999</v>
      </c>
      <c r="CC220" t="s">
        <v>332</v>
      </c>
      <c r="CD220">
        <v>1690306253.5999999</v>
      </c>
      <c r="CE220">
        <v>1690306251.5999999</v>
      </c>
      <c r="CF220">
        <v>9</v>
      </c>
      <c r="CG220">
        <v>0.19</v>
      </c>
      <c r="CH220">
        <v>-8.7999999999999995E-2</v>
      </c>
      <c r="CI220">
        <v>-5.0999999999999997E-2</v>
      </c>
      <c r="CJ220">
        <v>5.0999999999999997E-2</v>
      </c>
      <c r="CK220">
        <v>799</v>
      </c>
      <c r="CL220">
        <v>15</v>
      </c>
      <c r="CM220">
        <v>0.28000000000000003</v>
      </c>
      <c r="CN220">
        <v>0.03</v>
      </c>
      <c r="CO220">
        <v>-329.12585365853658</v>
      </c>
      <c r="CP220">
        <v>-1.108494773519235</v>
      </c>
      <c r="CQ220">
        <v>0.128510331932667</v>
      </c>
      <c r="CR220">
        <v>-1</v>
      </c>
      <c r="CS220">
        <v>20.538480487804879</v>
      </c>
      <c r="CT220">
        <v>4.4947735191646077E-2</v>
      </c>
      <c r="CU220">
        <v>5.0627872161676246E-3</v>
      </c>
      <c r="CV220">
        <v>-1</v>
      </c>
      <c r="CW220">
        <v>0</v>
      </c>
      <c r="CX220">
        <v>0</v>
      </c>
      <c r="CY220" t="s">
        <v>333</v>
      </c>
      <c r="CZ220">
        <v>2.3645399999999999</v>
      </c>
      <c r="DA220">
        <v>2.7137199999999999</v>
      </c>
      <c r="DB220">
        <v>0.101233</v>
      </c>
      <c r="DC220">
        <v>0.146207</v>
      </c>
      <c r="DD220">
        <v>0.102608</v>
      </c>
      <c r="DE220">
        <v>1.3699700000000001E-3</v>
      </c>
      <c r="DF220">
        <v>32839.5</v>
      </c>
      <c r="DG220">
        <v>27549.3</v>
      </c>
      <c r="DH220">
        <v>31192.3</v>
      </c>
      <c r="DI220">
        <v>28116.1</v>
      </c>
      <c r="DJ220">
        <v>38006.9</v>
      </c>
      <c r="DK220">
        <v>39939</v>
      </c>
      <c r="DL220">
        <v>44394.6</v>
      </c>
      <c r="DM220">
        <v>42620.1</v>
      </c>
      <c r="DN220">
        <v>1.4392799999999999</v>
      </c>
      <c r="DO220">
        <v>2.0304799999999998</v>
      </c>
      <c r="DP220">
        <v>0.180341</v>
      </c>
      <c r="DQ220">
        <v>0.15001700000000001</v>
      </c>
      <c r="DR220">
        <v>24.050899999999999</v>
      </c>
      <c r="DS220">
        <v>23.643599999999999</v>
      </c>
      <c r="DT220">
        <v>21</v>
      </c>
      <c r="DU220">
        <v>29.7</v>
      </c>
      <c r="DV220">
        <v>8.8650000000000002</v>
      </c>
      <c r="DW220">
        <v>61.4831</v>
      </c>
      <c r="DX220">
        <v>37.3718</v>
      </c>
      <c r="DY220">
        <v>1</v>
      </c>
      <c r="DZ220">
        <v>-0.105307</v>
      </c>
      <c r="EA220">
        <v>1.3008500000000001</v>
      </c>
      <c r="EB220">
        <v>20.183900000000001</v>
      </c>
      <c r="EC220">
        <v>5.2409499999999998</v>
      </c>
      <c r="ED220">
        <v>12.039899999999999</v>
      </c>
      <c r="EE220">
        <v>5.0166500000000003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1.86893</v>
      </c>
      <c r="EL220">
        <v>1.8646199999999999</v>
      </c>
      <c r="EM220">
        <v>1.8691899999999999</v>
      </c>
      <c r="EN220">
        <v>1.8672299999999999</v>
      </c>
      <c r="EO220">
        <v>1.8633900000000001</v>
      </c>
      <c r="EP220">
        <v>1.8644700000000001</v>
      </c>
      <c r="EQ220">
        <v>1.8702000000000001</v>
      </c>
      <c r="ER220">
        <v>1.8694200000000001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0.182</v>
      </c>
      <c r="FG220">
        <v>0.21360000000000001</v>
      </c>
      <c r="FH220">
        <v>0.49996858830924029</v>
      </c>
      <c r="FI220">
        <v>-6.1462078757559423E-4</v>
      </c>
      <c r="FJ220">
        <v>-1.8861989874597051E-7</v>
      </c>
      <c r="FK220">
        <v>1.1980462299894961E-10</v>
      </c>
      <c r="FL220">
        <v>-3.8593581000597899E-2</v>
      </c>
      <c r="FM220">
        <v>-1.6848085045870601E-2</v>
      </c>
      <c r="FN220">
        <v>1.9789084769509481E-3</v>
      </c>
      <c r="FO220">
        <v>-2.7142391389806329E-5</v>
      </c>
      <c r="FP220">
        <v>3</v>
      </c>
      <c r="FQ220">
        <v>2158</v>
      </c>
      <c r="FR220">
        <v>1</v>
      </c>
      <c r="FS220">
        <v>19</v>
      </c>
      <c r="FT220">
        <v>42.9</v>
      </c>
      <c r="FU220">
        <v>43</v>
      </c>
      <c r="FV220">
        <v>1.7626999999999999</v>
      </c>
      <c r="FW220">
        <v>2.5915499999999998</v>
      </c>
      <c r="FX220">
        <v>1.5490699999999999</v>
      </c>
      <c r="FY220">
        <v>2.3315399999999999</v>
      </c>
      <c r="FZ220">
        <v>1.50146</v>
      </c>
      <c r="GA220">
        <v>2.36938</v>
      </c>
      <c r="GB220">
        <v>34.031799999999997</v>
      </c>
      <c r="GC220">
        <v>23.982399999999998</v>
      </c>
      <c r="GD220">
        <v>19</v>
      </c>
      <c r="GE220">
        <v>266.80399999999997</v>
      </c>
      <c r="GF220">
        <v>576.64200000000005</v>
      </c>
      <c r="GG220">
        <v>21.555</v>
      </c>
      <c r="GH220">
        <v>26.0229</v>
      </c>
      <c r="GI220">
        <v>30.0001</v>
      </c>
      <c r="GJ220">
        <v>26.1938</v>
      </c>
      <c r="GK220">
        <v>26.189800000000002</v>
      </c>
      <c r="GL220">
        <v>35.233600000000003</v>
      </c>
      <c r="GM220">
        <v>100</v>
      </c>
      <c r="GN220">
        <v>3.0089199999999998</v>
      </c>
      <c r="GO220">
        <v>21.530899999999999</v>
      </c>
      <c r="GP220">
        <v>800</v>
      </c>
      <c r="GQ220">
        <v>0</v>
      </c>
      <c r="GR220">
        <v>99.808700000000002</v>
      </c>
      <c r="GS220">
        <v>99.697900000000004</v>
      </c>
    </row>
    <row r="221" spans="1:201" x14ac:dyDescent="0.25">
      <c r="A221">
        <v>205</v>
      </c>
      <c r="B221">
        <v>1690308840.0999999</v>
      </c>
      <c r="C221">
        <v>2221.5</v>
      </c>
      <c r="D221" t="s">
        <v>743</v>
      </c>
      <c r="E221" t="s">
        <v>744</v>
      </c>
      <c r="F221" t="s">
        <v>330</v>
      </c>
      <c r="H221">
        <v>1690308840.0999999</v>
      </c>
      <c r="I221">
        <f t="shared" si="90"/>
        <v>2.0181383187900348E-3</v>
      </c>
      <c r="J221">
        <f t="shared" si="91"/>
        <v>2.0181383187900348</v>
      </c>
      <c r="K221">
        <f t="shared" si="92"/>
        <v>30.744950543472253</v>
      </c>
      <c r="L221">
        <f t="shared" si="93"/>
        <v>470.51</v>
      </c>
      <c r="M221">
        <f t="shared" si="94"/>
        <v>140.89499275830951</v>
      </c>
      <c r="N221">
        <f t="shared" si="95"/>
        <v>13.992116320106218</v>
      </c>
      <c r="O221">
        <f t="shared" si="96"/>
        <v>46.725795721259992</v>
      </c>
      <c r="P221">
        <f t="shared" si="97"/>
        <v>0.15742608098035027</v>
      </c>
      <c r="Q221">
        <f t="shared" si="98"/>
        <v>2.1904332076489856</v>
      </c>
      <c r="R221">
        <f t="shared" si="99"/>
        <v>0.15139975044813148</v>
      </c>
      <c r="S221">
        <f t="shared" si="100"/>
        <v>9.514706483788421E-2</v>
      </c>
      <c r="T221">
        <f t="shared" si="101"/>
        <v>276.11809418088995</v>
      </c>
      <c r="U221">
        <f t="shared" si="102"/>
        <v>25.848155875089081</v>
      </c>
      <c r="V221">
        <f t="shared" si="103"/>
        <v>25.848155875089081</v>
      </c>
      <c r="W221">
        <f t="shared" si="104"/>
        <v>3.3440590320132806</v>
      </c>
      <c r="X221">
        <f t="shared" si="105"/>
        <v>67.020385656678428</v>
      </c>
      <c r="Y221">
        <f t="shared" si="106"/>
        <v>2.0562786202734</v>
      </c>
      <c r="Z221">
        <f t="shared" si="107"/>
        <v>3.0681390447482402</v>
      </c>
      <c r="AA221">
        <f t="shared" si="108"/>
        <v>1.2877804117398806</v>
      </c>
      <c r="AB221">
        <f t="shared" si="109"/>
        <v>-88.999899858640532</v>
      </c>
      <c r="AC221">
        <f t="shared" si="110"/>
        <v>-170.73022947548449</v>
      </c>
      <c r="AD221">
        <f t="shared" si="111"/>
        <v>-16.507852288555036</v>
      </c>
      <c r="AE221">
        <f t="shared" si="112"/>
        <v>-0.11988744179012656</v>
      </c>
      <c r="AF221">
        <v>12</v>
      </c>
      <c r="AG221">
        <v>4</v>
      </c>
      <c r="AH221">
        <f t="shared" si="113"/>
        <v>1</v>
      </c>
      <c r="AI221">
        <f t="shared" si="114"/>
        <v>0</v>
      </c>
      <c r="AJ221">
        <f t="shared" si="115"/>
        <v>52694.806643685151</v>
      </c>
      <c r="AK221">
        <f t="shared" si="116"/>
        <v>1800.01</v>
      </c>
      <c r="AL221">
        <f t="shared" si="117"/>
        <v>1499.1199143976999</v>
      </c>
      <c r="AM221">
        <f t="shared" si="118"/>
        <v>0.83283976999999998</v>
      </c>
      <c r="AN221">
        <f t="shared" si="119"/>
        <v>0.15339808899999999</v>
      </c>
      <c r="AO221">
        <v>31.2</v>
      </c>
      <c r="AP221">
        <v>0.5</v>
      </c>
      <c r="AQ221" t="s">
        <v>331</v>
      </c>
      <c r="AR221">
        <v>2</v>
      </c>
      <c r="AS221">
        <v>1690308840.0999999</v>
      </c>
      <c r="AT221">
        <v>470.51</v>
      </c>
      <c r="AU221">
        <v>799.97799999999995</v>
      </c>
      <c r="AV221">
        <v>20.7059</v>
      </c>
      <c r="AW221">
        <v>0.16150600000000001</v>
      </c>
      <c r="AX221">
        <v>470.32900000000001</v>
      </c>
      <c r="AY221">
        <v>20.4923</v>
      </c>
      <c r="AZ221">
        <v>300.14100000000002</v>
      </c>
      <c r="BA221">
        <v>99.208799999999997</v>
      </c>
      <c r="BB221">
        <v>0.100026</v>
      </c>
      <c r="BC221">
        <v>24.4024</v>
      </c>
      <c r="BD221">
        <v>27.003</v>
      </c>
      <c r="BE221">
        <v>26.106000000000002</v>
      </c>
      <c r="BF221">
        <v>0</v>
      </c>
      <c r="BG221">
        <v>0</v>
      </c>
      <c r="BH221">
        <v>9956.25</v>
      </c>
      <c r="BI221">
        <v>1043.1099999999999</v>
      </c>
      <c r="BJ221">
        <v>1.62592</v>
      </c>
      <c r="BK221">
        <v>-329.46800000000002</v>
      </c>
      <c r="BL221">
        <v>480.45800000000003</v>
      </c>
      <c r="BM221">
        <v>800.10699999999997</v>
      </c>
      <c r="BN221">
        <v>20.5444</v>
      </c>
      <c r="BO221">
        <v>799.97799999999995</v>
      </c>
      <c r="BP221">
        <v>0.16150600000000001</v>
      </c>
      <c r="BQ221">
        <v>2.0542099999999999</v>
      </c>
      <c r="BR221">
        <v>1.60228E-2</v>
      </c>
      <c r="BS221">
        <v>17.868500000000001</v>
      </c>
      <c r="BT221">
        <v>-41.538600000000002</v>
      </c>
      <c r="BU221">
        <v>1800.01</v>
      </c>
      <c r="BV221">
        <v>0.90998299999999999</v>
      </c>
      <c r="BW221">
        <v>3.3994099999999999E-2</v>
      </c>
      <c r="BX221">
        <v>2.2009000000000001E-2</v>
      </c>
      <c r="BY221">
        <v>3.4013799999999997E-2</v>
      </c>
      <c r="BZ221">
        <v>26</v>
      </c>
      <c r="CA221">
        <v>33528.400000000001</v>
      </c>
      <c r="CB221">
        <v>1690306253.5999999</v>
      </c>
      <c r="CC221" t="s">
        <v>332</v>
      </c>
      <c r="CD221">
        <v>1690306253.5999999</v>
      </c>
      <c r="CE221">
        <v>1690306251.5999999</v>
      </c>
      <c r="CF221">
        <v>9</v>
      </c>
      <c r="CG221">
        <v>0.19</v>
      </c>
      <c r="CH221">
        <v>-8.7999999999999995E-2</v>
      </c>
      <c r="CI221">
        <v>-5.0999999999999997E-2</v>
      </c>
      <c r="CJ221">
        <v>5.0999999999999997E-2</v>
      </c>
      <c r="CK221">
        <v>799</v>
      </c>
      <c r="CL221">
        <v>15</v>
      </c>
      <c r="CM221">
        <v>0.28000000000000003</v>
      </c>
      <c r="CN221">
        <v>0.03</v>
      </c>
      <c r="CO221">
        <v>-329.30192682926833</v>
      </c>
      <c r="CP221">
        <v>-1.2830213648599691</v>
      </c>
      <c r="CQ221">
        <v>0.15044622898821611</v>
      </c>
      <c r="CR221">
        <v>-1</v>
      </c>
      <c r="CS221">
        <v>20.5432512195122</v>
      </c>
      <c r="CT221">
        <v>3.7062767449603132E-3</v>
      </c>
      <c r="CU221">
        <v>1.7834088968260099E-3</v>
      </c>
      <c r="CV221">
        <v>-1</v>
      </c>
      <c r="CW221">
        <v>0</v>
      </c>
      <c r="CX221">
        <v>0</v>
      </c>
      <c r="CY221" t="s">
        <v>333</v>
      </c>
      <c r="CZ221">
        <v>2.3647900000000002</v>
      </c>
      <c r="DA221">
        <v>2.7137799999999999</v>
      </c>
      <c r="DB221">
        <v>0.101192</v>
      </c>
      <c r="DC221">
        <v>0.146204</v>
      </c>
      <c r="DD221">
        <v>0.102608</v>
      </c>
      <c r="DE221">
        <v>1.3617200000000001E-3</v>
      </c>
      <c r="DF221">
        <v>32840.699999999997</v>
      </c>
      <c r="DG221">
        <v>27549.5</v>
      </c>
      <c r="DH221">
        <v>31192</v>
      </c>
      <c r="DI221">
        <v>28116.2</v>
      </c>
      <c r="DJ221">
        <v>38006.6</v>
      </c>
      <c r="DK221">
        <v>39939.699999999997</v>
      </c>
      <c r="DL221">
        <v>44394.3</v>
      </c>
      <c r="DM221">
        <v>42620.4</v>
      </c>
      <c r="DN221">
        <v>1.4386000000000001</v>
      </c>
      <c r="DO221">
        <v>2.0303800000000001</v>
      </c>
      <c r="DP221">
        <v>0.18007300000000001</v>
      </c>
      <c r="DQ221">
        <v>0.14999499999999999</v>
      </c>
      <c r="DR221">
        <v>24.050899999999999</v>
      </c>
      <c r="DS221">
        <v>23.644400000000001</v>
      </c>
      <c r="DT221">
        <v>20.9</v>
      </c>
      <c r="DU221">
        <v>29.7</v>
      </c>
      <c r="DV221">
        <v>8.8212299999999999</v>
      </c>
      <c r="DW221">
        <v>61.857599999999998</v>
      </c>
      <c r="DX221">
        <v>36.5184</v>
      </c>
      <c r="DY221">
        <v>1</v>
      </c>
      <c r="DZ221">
        <v>-0.105071</v>
      </c>
      <c r="EA221">
        <v>1.3498000000000001</v>
      </c>
      <c r="EB221">
        <v>20.183499999999999</v>
      </c>
      <c r="EC221">
        <v>5.2409499999999998</v>
      </c>
      <c r="ED221">
        <v>12.039899999999999</v>
      </c>
      <c r="EE221">
        <v>5.01675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1.86893</v>
      </c>
      <c r="EL221">
        <v>1.8646400000000001</v>
      </c>
      <c r="EM221">
        <v>1.8692</v>
      </c>
      <c r="EN221">
        <v>1.8672500000000001</v>
      </c>
      <c r="EO221">
        <v>1.8633900000000001</v>
      </c>
      <c r="EP221">
        <v>1.8644700000000001</v>
      </c>
      <c r="EQ221">
        <v>1.87018</v>
      </c>
      <c r="ER221">
        <v>1.8694200000000001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0.18099999999999999</v>
      </c>
      <c r="FG221">
        <v>0.21360000000000001</v>
      </c>
      <c r="FH221">
        <v>0.49996858830924029</v>
      </c>
      <c r="FI221">
        <v>-6.1462078757559423E-4</v>
      </c>
      <c r="FJ221">
        <v>-1.8861989874597051E-7</v>
      </c>
      <c r="FK221">
        <v>1.1980462299894961E-10</v>
      </c>
      <c r="FL221">
        <v>-3.8593581000597899E-2</v>
      </c>
      <c r="FM221">
        <v>-1.6848085045870601E-2</v>
      </c>
      <c r="FN221">
        <v>1.9789084769509481E-3</v>
      </c>
      <c r="FO221">
        <v>-2.7142391389806329E-5</v>
      </c>
      <c r="FP221">
        <v>3</v>
      </c>
      <c r="FQ221">
        <v>2158</v>
      </c>
      <c r="FR221">
        <v>1</v>
      </c>
      <c r="FS221">
        <v>19</v>
      </c>
      <c r="FT221">
        <v>43.1</v>
      </c>
      <c r="FU221">
        <v>43.1</v>
      </c>
      <c r="FV221">
        <v>1.7626999999999999</v>
      </c>
      <c r="FW221">
        <v>2.5939899999999998</v>
      </c>
      <c r="FX221">
        <v>1.5490699999999999</v>
      </c>
      <c r="FY221">
        <v>2.3315399999999999</v>
      </c>
      <c r="FZ221">
        <v>1.50146</v>
      </c>
      <c r="GA221">
        <v>2.36572</v>
      </c>
      <c r="GB221">
        <v>34.031799999999997</v>
      </c>
      <c r="GC221">
        <v>23.982399999999998</v>
      </c>
      <c r="GD221">
        <v>19</v>
      </c>
      <c r="GE221">
        <v>266.52</v>
      </c>
      <c r="GF221">
        <v>576.53899999999999</v>
      </c>
      <c r="GG221">
        <v>21.5076</v>
      </c>
      <c r="GH221">
        <v>26.021799999999999</v>
      </c>
      <c r="GI221">
        <v>30.0002</v>
      </c>
      <c r="GJ221">
        <v>26.191700000000001</v>
      </c>
      <c r="GK221">
        <v>26.187999999999999</v>
      </c>
      <c r="GL221">
        <v>35.2333</v>
      </c>
      <c r="GM221">
        <v>100</v>
      </c>
      <c r="GN221">
        <v>2.6316799999999998</v>
      </c>
      <c r="GO221">
        <v>21.480499999999999</v>
      </c>
      <c r="GP221">
        <v>800</v>
      </c>
      <c r="GQ221">
        <v>0</v>
      </c>
      <c r="GR221">
        <v>99.807900000000004</v>
      </c>
      <c r="GS221">
        <v>99.698400000000007</v>
      </c>
    </row>
    <row r="222" spans="1:201" x14ac:dyDescent="0.25">
      <c r="A222">
        <v>206</v>
      </c>
      <c r="B222">
        <v>1690308850.0999999</v>
      </c>
      <c r="C222">
        <v>2231.5</v>
      </c>
      <c r="D222" t="s">
        <v>745</v>
      </c>
      <c r="E222" t="s">
        <v>746</v>
      </c>
      <c r="F222" t="s">
        <v>330</v>
      </c>
      <c r="H222">
        <v>1690308850.0999999</v>
      </c>
      <c r="I222">
        <f t="shared" si="90"/>
        <v>2.0185567213831779E-3</v>
      </c>
      <c r="J222">
        <f t="shared" si="91"/>
        <v>2.0185567213831779</v>
      </c>
      <c r="K222">
        <f t="shared" si="92"/>
        <v>30.775804108350755</v>
      </c>
      <c r="L222">
        <f t="shared" si="93"/>
        <v>470.29399999999998</v>
      </c>
      <c r="M222">
        <f t="shared" si="94"/>
        <v>140.97188714049625</v>
      </c>
      <c r="N222">
        <f t="shared" si="95"/>
        <v>13.999207472639608</v>
      </c>
      <c r="O222">
        <f t="shared" si="96"/>
        <v>46.702526387945994</v>
      </c>
      <c r="P222">
        <f t="shared" si="97"/>
        <v>0.15773026385380479</v>
      </c>
      <c r="Q222">
        <f t="shared" si="98"/>
        <v>2.1907710487983358</v>
      </c>
      <c r="R222">
        <f t="shared" si="99"/>
        <v>0.15168199797702525</v>
      </c>
      <c r="S222">
        <f t="shared" si="100"/>
        <v>9.5325337458476295E-2</v>
      </c>
      <c r="T222">
        <f t="shared" si="101"/>
        <v>276.11658705600001</v>
      </c>
      <c r="U222">
        <f t="shared" si="102"/>
        <v>25.837211792786523</v>
      </c>
      <c r="V222">
        <f t="shared" si="103"/>
        <v>25.837211792786523</v>
      </c>
      <c r="W222">
        <f t="shared" si="104"/>
        <v>3.341891576371824</v>
      </c>
      <c r="X222">
        <f t="shared" si="105"/>
        <v>67.062925790578731</v>
      </c>
      <c r="Y222">
        <f t="shared" si="106"/>
        <v>2.0562779945253</v>
      </c>
      <c r="Z222">
        <f t="shared" si="107"/>
        <v>3.066191894082519</v>
      </c>
      <c r="AA222">
        <f t="shared" si="108"/>
        <v>1.285613581846524</v>
      </c>
      <c r="AB222">
        <f t="shared" si="109"/>
        <v>-89.018351412998143</v>
      </c>
      <c r="AC222">
        <f t="shared" si="110"/>
        <v>-170.71592286312222</v>
      </c>
      <c r="AD222">
        <f t="shared" si="111"/>
        <v>-16.502134542957101</v>
      </c>
      <c r="AE222">
        <f t="shared" si="112"/>
        <v>-0.1198217630774252</v>
      </c>
      <c r="AF222">
        <v>12</v>
      </c>
      <c r="AG222">
        <v>4</v>
      </c>
      <c r="AH222">
        <f t="shared" si="113"/>
        <v>1</v>
      </c>
      <c r="AI222">
        <f t="shared" si="114"/>
        <v>0</v>
      </c>
      <c r="AJ222">
        <f t="shared" si="115"/>
        <v>52710.518862104575</v>
      </c>
      <c r="AK222">
        <f t="shared" si="116"/>
        <v>1800</v>
      </c>
      <c r="AL222">
        <f t="shared" si="117"/>
        <v>1499.1130205999998</v>
      </c>
      <c r="AM222">
        <f t="shared" si="118"/>
        <v>0.83284056699999987</v>
      </c>
      <c r="AN222">
        <f t="shared" si="119"/>
        <v>0.15339810392</v>
      </c>
      <c r="AO222">
        <v>31.2</v>
      </c>
      <c r="AP222">
        <v>0.5</v>
      </c>
      <c r="AQ222" t="s">
        <v>331</v>
      </c>
      <c r="AR222">
        <v>2</v>
      </c>
      <c r="AS222">
        <v>1690308850.0999999</v>
      </c>
      <c r="AT222">
        <v>470.29399999999998</v>
      </c>
      <c r="AU222">
        <v>800.03300000000002</v>
      </c>
      <c r="AV222">
        <v>20.706700000000001</v>
      </c>
      <c r="AW222">
        <v>0.16100700000000001</v>
      </c>
      <c r="AX222">
        <v>470.11200000000002</v>
      </c>
      <c r="AY222">
        <v>20.493099999999998</v>
      </c>
      <c r="AZ222">
        <v>300.18400000000003</v>
      </c>
      <c r="BA222">
        <v>99.204899999999995</v>
      </c>
      <c r="BB222">
        <v>0.100059</v>
      </c>
      <c r="BC222">
        <v>24.3918</v>
      </c>
      <c r="BD222">
        <v>26.9572</v>
      </c>
      <c r="BE222">
        <v>26.094999999999999</v>
      </c>
      <c r="BF222">
        <v>0</v>
      </c>
      <c r="BG222">
        <v>0</v>
      </c>
      <c r="BH222">
        <v>9959.3799999999992</v>
      </c>
      <c r="BI222">
        <v>1043.07</v>
      </c>
      <c r="BJ222">
        <v>1.62592</v>
      </c>
      <c r="BK222">
        <v>-329.73899999999998</v>
      </c>
      <c r="BL222">
        <v>480.238</v>
      </c>
      <c r="BM222">
        <v>800.16200000000003</v>
      </c>
      <c r="BN222">
        <v>20.5457</v>
      </c>
      <c r="BO222">
        <v>800.03300000000002</v>
      </c>
      <c r="BP222">
        <v>0.16100700000000001</v>
      </c>
      <c r="BQ222">
        <v>2.0541999999999998</v>
      </c>
      <c r="BR222">
        <v>1.5972699999999999E-2</v>
      </c>
      <c r="BS222">
        <v>17.868400000000001</v>
      </c>
      <c r="BT222">
        <v>-41.568199999999997</v>
      </c>
      <c r="BU222">
        <v>1800</v>
      </c>
      <c r="BV222">
        <v>0.90998699999999999</v>
      </c>
      <c r="BW222">
        <v>3.3990100000000002E-2</v>
      </c>
      <c r="BX222">
        <v>2.20091E-2</v>
      </c>
      <c r="BY222">
        <v>3.4014000000000003E-2</v>
      </c>
      <c r="BZ222">
        <v>26</v>
      </c>
      <c r="CA222">
        <v>33528.400000000001</v>
      </c>
      <c r="CB222">
        <v>1690306253.5999999</v>
      </c>
      <c r="CC222" t="s">
        <v>332</v>
      </c>
      <c r="CD222">
        <v>1690306253.5999999</v>
      </c>
      <c r="CE222">
        <v>1690306251.5999999</v>
      </c>
      <c r="CF222">
        <v>9</v>
      </c>
      <c r="CG222">
        <v>0.19</v>
      </c>
      <c r="CH222">
        <v>-8.7999999999999995E-2</v>
      </c>
      <c r="CI222">
        <v>-5.0999999999999997E-2</v>
      </c>
      <c r="CJ222">
        <v>5.0999999999999997E-2</v>
      </c>
      <c r="CK222">
        <v>799</v>
      </c>
      <c r="CL222">
        <v>15</v>
      </c>
      <c r="CM222">
        <v>0.28000000000000003</v>
      </c>
      <c r="CN222">
        <v>0.03</v>
      </c>
      <c r="CO222">
        <v>-329.48875609756101</v>
      </c>
      <c r="CP222">
        <v>-1.457901239105128</v>
      </c>
      <c r="CQ222">
        <v>0.1567453707236949</v>
      </c>
      <c r="CR222">
        <v>-1</v>
      </c>
      <c r="CS222">
        <v>20.543804878048778</v>
      </c>
      <c r="CT222">
        <v>9.447901284079319E-3</v>
      </c>
      <c r="CU222">
        <v>1.8093188611260299E-3</v>
      </c>
      <c r="CV222">
        <v>-1</v>
      </c>
      <c r="CW222">
        <v>0</v>
      </c>
      <c r="CX222">
        <v>0</v>
      </c>
      <c r="CY222" t="s">
        <v>333</v>
      </c>
      <c r="CZ222">
        <v>2.3649300000000002</v>
      </c>
      <c r="DA222">
        <v>2.7138100000000001</v>
      </c>
      <c r="DB222">
        <v>0.10115399999999999</v>
      </c>
      <c r="DC222">
        <v>0.146205</v>
      </c>
      <c r="DD222">
        <v>0.102607</v>
      </c>
      <c r="DE222">
        <v>1.35749E-3</v>
      </c>
      <c r="DF222">
        <v>32842.199999999997</v>
      </c>
      <c r="DG222">
        <v>27549.5</v>
      </c>
      <c r="DH222">
        <v>31192.1</v>
      </c>
      <c r="DI222">
        <v>28116.2</v>
      </c>
      <c r="DJ222">
        <v>38007</v>
      </c>
      <c r="DK222">
        <v>39939.800000000003</v>
      </c>
      <c r="DL222">
        <v>44394.7</v>
      </c>
      <c r="DM222">
        <v>42620.5</v>
      </c>
      <c r="DN222">
        <v>1.4391</v>
      </c>
      <c r="DO222">
        <v>2.0304799999999998</v>
      </c>
      <c r="DP222">
        <v>0.177145</v>
      </c>
      <c r="DQ222">
        <v>0.14924999999999999</v>
      </c>
      <c r="DR222">
        <v>24.053000000000001</v>
      </c>
      <c r="DS222">
        <v>23.645600000000002</v>
      </c>
      <c r="DT222">
        <v>20.8</v>
      </c>
      <c r="DU222">
        <v>29.8</v>
      </c>
      <c r="DV222">
        <v>8.8295999999999992</v>
      </c>
      <c r="DW222">
        <v>61.907600000000002</v>
      </c>
      <c r="DX222">
        <v>36.650599999999997</v>
      </c>
      <c r="DY222">
        <v>1</v>
      </c>
      <c r="DZ222">
        <v>-0.105409</v>
      </c>
      <c r="EA222">
        <v>1.12791</v>
      </c>
      <c r="EB222">
        <v>20.185099999999998</v>
      </c>
      <c r="EC222">
        <v>5.2409499999999998</v>
      </c>
      <c r="ED222">
        <v>12.039899999999999</v>
      </c>
      <c r="EE222">
        <v>5.0164499999999999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1.86893</v>
      </c>
      <c r="EL222">
        <v>1.8646199999999999</v>
      </c>
      <c r="EM222">
        <v>1.8692</v>
      </c>
      <c r="EN222">
        <v>1.86724</v>
      </c>
      <c r="EO222">
        <v>1.8633900000000001</v>
      </c>
      <c r="EP222">
        <v>1.8644700000000001</v>
      </c>
      <c r="EQ222">
        <v>1.87015</v>
      </c>
      <c r="ER222">
        <v>1.8694500000000001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0.182</v>
      </c>
      <c r="FG222">
        <v>0.21360000000000001</v>
      </c>
      <c r="FH222">
        <v>0.49996858830924029</v>
      </c>
      <c r="FI222">
        <v>-6.1462078757559423E-4</v>
      </c>
      <c r="FJ222">
        <v>-1.8861989874597051E-7</v>
      </c>
      <c r="FK222">
        <v>1.1980462299894961E-10</v>
      </c>
      <c r="FL222">
        <v>-3.8593581000597899E-2</v>
      </c>
      <c r="FM222">
        <v>-1.6848085045870601E-2</v>
      </c>
      <c r="FN222">
        <v>1.9789084769509481E-3</v>
      </c>
      <c r="FO222">
        <v>-2.7142391389806329E-5</v>
      </c>
      <c r="FP222">
        <v>3</v>
      </c>
      <c r="FQ222">
        <v>2158</v>
      </c>
      <c r="FR222">
        <v>1</v>
      </c>
      <c r="FS222">
        <v>19</v>
      </c>
      <c r="FT222">
        <v>43.3</v>
      </c>
      <c r="FU222">
        <v>43.3</v>
      </c>
      <c r="FV222">
        <v>1.7626999999999999</v>
      </c>
      <c r="FW222">
        <v>2.5927699999999998</v>
      </c>
      <c r="FX222">
        <v>1.5490699999999999</v>
      </c>
      <c r="FY222">
        <v>2.3315399999999999</v>
      </c>
      <c r="FZ222">
        <v>1.50146</v>
      </c>
      <c r="GA222">
        <v>2.3706100000000001</v>
      </c>
      <c r="GB222">
        <v>34.054499999999997</v>
      </c>
      <c r="GC222">
        <v>23.982399999999998</v>
      </c>
      <c r="GD222">
        <v>19</v>
      </c>
      <c r="GE222">
        <v>266.71899999999999</v>
      </c>
      <c r="GF222">
        <v>576.61699999999996</v>
      </c>
      <c r="GG222">
        <v>21.473800000000001</v>
      </c>
      <c r="GH222">
        <v>26.019600000000001</v>
      </c>
      <c r="GI222">
        <v>30</v>
      </c>
      <c r="GJ222">
        <v>26.190200000000001</v>
      </c>
      <c r="GK222">
        <v>26.1876</v>
      </c>
      <c r="GL222">
        <v>35.231900000000003</v>
      </c>
      <c r="GM222">
        <v>100</v>
      </c>
      <c r="GN222">
        <v>2.2392099999999999</v>
      </c>
      <c r="GO222">
        <v>21.533000000000001</v>
      </c>
      <c r="GP222">
        <v>800</v>
      </c>
      <c r="GQ222">
        <v>0</v>
      </c>
      <c r="GR222">
        <v>99.808400000000006</v>
      </c>
      <c r="GS222">
        <v>99.698499999999996</v>
      </c>
    </row>
    <row r="223" spans="1:201" x14ac:dyDescent="0.25">
      <c r="A223">
        <v>207</v>
      </c>
      <c r="B223">
        <v>1690308860.0999999</v>
      </c>
      <c r="C223">
        <v>2241.5</v>
      </c>
      <c r="D223" t="s">
        <v>747</v>
      </c>
      <c r="E223" t="s">
        <v>748</v>
      </c>
      <c r="F223" t="s">
        <v>330</v>
      </c>
      <c r="H223">
        <v>1690308860.0999999</v>
      </c>
      <c r="I223">
        <f t="shared" si="90"/>
        <v>2.0196837924719387E-3</v>
      </c>
      <c r="J223">
        <f t="shared" si="91"/>
        <v>2.0196837924719389</v>
      </c>
      <c r="K223">
        <f t="shared" si="92"/>
        <v>30.782992513989605</v>
      </c>
      <c r="L223">
        <f t="shared" si="93"/>
        <v>470.18400000000003</v>
      </c>
      <c r="M223">
        <f t="shared" si="94"/>
        <v>141.36408427023883</v>
      </c>
      <c r="N223">
        <f t="shared" si="95"/>
        <v>14.038420357007041</v>
      </c>
      <c r="O223">
        <f t="shared" si="96"/>
        <v>46.692486788376002</v>
      </c>
      <c r="P223">
        <f t="shared" si="97"/>
        <v>0.1580131907182967</v>
      </c>
      <c r="Q223">
        <f t="shared" si="98"/>
        <v>2.1935672033066567</v>
      </c>
      <c r="R223">
        <f t="shared" si="99"/>
        <v>0.1519510740122357</v>
      </c>
      <c r="S223">
        <f t="shared" si="100"/>
        <v>9.5494700560822807E-2</v>
      </c>
      <c r="T223">
        <f t="shared" si="101"/>
        <v>276.11665675200004</v>
      </c>
      <c r="U223">
        <f t="shared" si="102"/>
        <v>25.83524733062994</v>
      </c>
      <c r="V223">
        <f t="shared" si="103"/>
        <v>25.83524733062994</v>
      </c>
      <c r="W223">
        <f t="shared" si="104"/>
        <v>3.3415026481339742</v>
      </c>
      <c r="X223">
        <f t="shared" si="105"/>
        <v>67.100067716986942</v>
      </c>
      <c r="Y223">
        <f t="shared" si="106"/>
        <v>2.0574291597181</v>
      </c>
      <c r="Z223">
        <f t="shared" si="107"/>
        <v>3.0662102583798805</v>
      </c>
      <c r="AA223">
        <f t="shared" si="108"/>
        <v>1.2840734884158742</v>
      </c>
      <c r="AB223">
        <f t="shared" si="109"/>
        <v>-89.068055248012499</v>
      </c>
      <c r="AC223">
        <f t="shared" si="110"/>
        <v>-170.68967085796692</v>
      </c>
      <c r="AD223">
        <f t="shared" si="111"/>
        <v>-16.478409901647375</v>
      </c>
      <c r="AE223">
        <f t="shared" si="112"/>
        <v>-0.119479255626743</v>
      </c>
      <c r="AF223">
        <v>12</v>
      </c>
      <c r="AG223">
        <v>4</v>
      </c>
      <c r="AH223">
        <f t="shared" si="113"/>
        <v>1</v>
      </c>
      <c r="AI223">
        <f t="shared" si="114"/>
        <v>0</v>
      </c>
      <c r="AJ223">
        <f t="shared" si="115"/>
        <v>52825.807174264344</v>
      </c>
      <c r="AK223">
        <f t="shared" si="116"/>
        <v>1800</v>
      </c>
      <c r="AL223">
        <f t="shared" si="117"/>
        <v>1499.1133032</v>
      </c>
      <c r="AM223">
        <f t="shared" si="118"/>
        <v>0.83284072399999998</v>
      </c>
      <c r="AN223">
        <f t="shared" si="119"/>
        <v>0.15339814264000001</v>
      </c>
      <c r="AO223">
        <v>31.2</v>
      </c>
      <c r="AP223">
        <v>0.5</v>
      </c>
      <c r="AQ223" t="s">
        <v>331</v>
      </c>
      <c r="AR223">
        <v>2</v>
      </c>
      <c r="AS223">
        <v>1690308860.0999999</v>
      </c>
      <c r="AT223">
        <v>470.18400000000003</v>
      </c>
      <c r="AU223">
        <v>800.01300000000003</v>
      </c>
      <c r="AV223">
        <v>20.7179</v>
      </c>
      <c r="AW223">
        <v>0.160217</v>
      </c>
      <c r="AX223">
        <v>470.00200000000001</v>
      </c>
      <c r="AY223">
        <v>20.504000000000001</v>
      </c>
      <c r="AZ223">
        <v>300.173</v>
      </c>
      <c r="BA223">
        <v>99.206800000000001</v>
      </c>
      <c r="BB223">
        <v>0.100039</v>
      </c>
      <c r="BC223">
        <v>24.3919</v>
      </c>
      <c r="BD223">
        <v>26.956199999999999</v>
      </c>
      <c r="BE223">
        <v>26.081900000000001</v>
      </c>
      <c r="BF223">
        <v>0</v>
      </c>
      <c r="BG223">
        <v>0</v>
      </c>
      <c r="BH223">
        <v>9981.8799999999992</v>
      </c>
      <c r="BI223">
        <v>1042.98</v>
      </c>
      <c r="BJ223">
        <v>1.62592</v>
      </c>
      <c r="BK223">
        <v>-329.82900000000001</v>
      </c>
      <c r="BL223">
        <v>480.13099999999997</v>
      </c>
      <c r="BM223">
        <v>800.14099999999996</v>
      </c>
      <c r="BN223">
        <v>20.557700000000001</v>
      </c>
      <c r="BO223">
        <v>800.01300000000003</v>
      </c>
      <c r="BP223">
        <v>0.160217</v>
      </c>
      <c r="BQ223">
        <v>2.0553599999999999</v>
      </c>
      <c r="BR223">
        <v>1.5894599999999998E-2</v>
      </c>
      <c r="BS223">
        <v>17.877400000000002</v>
      </c>
      <c r="BT223">
        <v>-41.614400000000003</v>
      </c>
      <c r="BU223">
        <v>1800</v>
      </c>
      <c r="BV223">
        <v>0.90998699999999999</v>
      </c>
      <c r="BW223">
        <v>3.3990199999999998E-2</v>
      </c>
      <c r="BX223">
        <v>2.20092E-2</v>
      </c>
      <c r="BY223">
        <v>3.4014000000000003E-2</v>
      </c>
      <c r="BZ223">
        <v>26</v>
      </c>
      <c r="CA223">
        <v>33528.199999999997</v>
      </c>
      <c r="CB223">
        <v>1690306253.5999999</v>
      </c>
      <c r="CC223" t="s">
        <v>332</v>
      </c>
      <c r="CD223">
        <v>1690306253.5999999</v>
      </c>
      <c r="CE223">
        <v>1690306251.5999999</v>
      </c>
      <c r="CF223">
        <v>9</v>
      </c>
      <c r="CG223">
        <v>0.19</v>
      </c>
      <c r="CH223">
        <v>-8.7999999999999995E-2</v>
      </c>
      <c r="CI223">
        <v>-5.0999999999999997E-2</v>
      </c>
      <c r="CJ223">
        <v>5.0999999999999997E-2</v>
      </c>
      <c r="CK223">
        <v>799</v>
      </c>
      <c r="CL223">
        <v>15</v>
      </c>
      <c r="CM223">
        <v>0.28000000000000003</v>
      </c>
      <c r="CN223">
        <v>0.03</v>
      </c>
      <c r="CO223">
        <v>-329.68953658536577</v>
      </c>
      <c r="CP223">
        <v>-1.091393728223361</v>
      </c>
      <c r="CQ223">
        <v>0.11877219383072379</v>
      </c>
      <c r="CR223">
        <v>-1</v>
      </c>
      <c r="CS223">
        <v>20.54741951219512</v>
      </c>
      <c r="CT223">
        <v>3.7360975609774541E-2</v>
      </c>
      <c r="CU223">
        <v>4.0832327886059757E-3</v>
      </c>
      <c r="CV223">
        <v>-1</v>
      </c>
      <c r="CW223">
        <v>0</v>
      </c>
      <c r="CX223">
        <v>0</v>
      </c>
      <c r="CY223" t="s">
        <v>333</v>
      </c>
      <c r="CZ223">
        <v>2.3648799999999999</v>
      </c>
      <c r="DA223">
        <v>2.7138100000000001</v>
      </c>
      <c r="DB223">
        <v>0.10113900000000001</v>
      </c>
      <c r="DC223">
        <v>0.146207</v>
      </c>
      <c r="DD223">
        <v>0.102649</v>
      </c>
      <c r="DE223">
        <v>1.3509500000000001E-3</v>
      </c>
      <c r="DF223">
        <v>32842.699999999997</v>
      </c>
      <c r="DG223">
        <v>27550.3</v>
      </c>
      <c r="DH223">
        <v>31192.1</v>
      </c>
      <c r="DI223">
        <v>28117.1</v>
      </c>
      <c r="DJ223">
        <v>38005.1</v>
      </c>
      <c r="DK223">
        <v>39941.4</v>
      </c>
      <c r="DL223">
        <v>44394.6</v>
      </c>
      <c r="DM223">
        <v>42621.9</v>
      </c>
      <c r="DN223">
        <v>1.4392499999999999</v>
      </c>
      <c r="DO223">
        <v>2.0303499999999999</v>
      </c>
      <c r="DP223">
        <v>0.17708499999999999</v>
      </c>
      <c r="DQ223">
        <v>0.148453</v>
      </c>
      <c r="DR223">
        <v>24.053000000000001</v>
      </c>
      <c r="DS223">
        <v>23.645600000000002</v>
      </c>
      <c r="DT223">
        <v>20.8</v>
      </c>
      <c r="DU223">
        <v>29.8</v>
      </c>
      <c r="DV223">
        <v>8.8306900000000006</v>
      </c>
      <c r="DW223">
        <v>61.567599999999999</v>
      </c>
      <c r="DX223">
        <v>36.814900000000002</v>
      </c>
      <c r="DY223">
        <v>1</v>
      </c>
      <c r="DZ223">
        <v>-0.105993</v>
      </c>
      <c r="EA223">
        <v>0.90147100000000002</v>
      </c>
      <c r="EB223">
        <v>20.187000000000001</v>
      </c>
      <c r="EC223">
        <v>5.2406499999999996</v>
      </c>
      <c r="ED223">
        <v>12.039899999999999</v>
      </c>
      <c r="EE223">
        <v>5.0159500000000001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1.8689100000000001</v>
      </c>
      <c r="EL223">
        <v>1.86463</v>
      </c>
      <c r="EM223">
        <v>1.8692</v>
      </c>
      <c r="EN223">
        <v>1.8672500000000001</v>
      </c>
      <c r="EO223">
        <v>1.8633999999999999</v>
      </c>
      <c r="EP223">
        <v>1.8644700000000001</v>
      </c>
      <c r="EQ223">
        <v>1.8701399999999999</v>
      </c>
      <c r="ER223">
        <v>1.8694500000000001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0.182</v>
      </c>
      <c r="FG223">
        <v>0.21390000000000001</v>
      </c>
      <c r="FH223">
        <v>0.49996858830924029</v>
      </c>
      <c r="FI223">
        <v>-6.1462078757559423E-4</v>
      </c>
      <c r="FJ223">
        <v>-1.8861989874597051E-7</v>
      </c>
      <c r="FK223">
        <v>1.1980462299894961E-10</v>
      </c>
      <c r="FL223">
        <v>-3.8593581000597899E-2</v>
      </c>
      <c r="FM223">
        <v>-1.6848085045870601E-2</v>
      </c>
      <c r="FN223">
        <v>1.9789084769509481E-3</v>
      </c>
      <c r="FO223">
        <v>-2.7142391389806329E-5</v>
      </c>
      <c r="FP223">
        <v>3</v>
      </c>
      <c r="FQ223">
        <v>2158</v>
      </c>
      <c r="FR223">
        <v>1</v>
      </c>
      <c r="FS223">
        <v>19</v>
      </c>
      <c r="FT223">
        <v>43.4</v>
      </c>
      <c r="FU223">
        <v>43.5</v>
      </c>
      <c r="FV223">
        <v>1.7626999999999999</v>
      </c>
      <c r="FW223">
        <v>2.5903299999999998</v>
      </c>
      <c r="FX223">
        <v>1.5490699999999999</v>
      </c>
      <c r="FY223">
        <v>2.3315399999999999</v>
      </c>
      <c r="FZ223">
        <v>1.50146</v>
      </c>
      <c r="GA223">
        <v>2.3303199999999999</v>
      </c>
      <c r="GB223">
        <v>34.054499999999997</v>
      </c>
      <c r="GC223">
        <v>23.973700000000001</v>
      </c>
      <c r="GD223">
        <v>19</v>
      </c>
      <c r="GE223">
        <v>266.77600000000001</v>
      </c>
      <c r="GF223">
        <v>576.49</v>
      </c>
      <c r="GG223">
        <v>21.5745</v>
      </c>
      <c r="GH223">
        <v>26.019500000000001</v>
      </c>
      <c r="GI223">
        <v>30</v>
      </c>
      <c r="GJ223">
        <v>26.189399999999999</v>
      </c>
      <c r="GK223">
        <v>26.185500000000001</v>
      </c>
      <c r="GL223">
        <v>35.234499999999997</v>
      </c>
      <c r="GM223">
        <v>100</v>
      </c>
      <c r="GN223">
        <v>1.86876</v>
      </c>
      <c r="GO223">
        <v>21.626000000000001</v>
      </c>
      <c r="GP223">
        <v>800</v>
      </c>
      <c r="GQ223">
        <v>0</v>
      </c>
      <c r="GR223">
        <v>99.808400000000006</v>
      </c>
      <c r="GS223">
        <v>99.701800000000006</v>
      </c>
    </row>
    <row r="224" spans="1:201" x14ac:dyDescent="0.25">
      <c r="A224">
        <v>208</v>
      </c>
      <c r="B224">
        <v>1690308870.0999999</v>
      </c>
      <c r="C224">
        <v>2251.5</v>
      </c>
      <c r="D224" t="s">
        <v>749</v>
      </c>
      <c r="E224" t="s">
        <v>750</v>
      </c>
      <c r="F224" t="s">
        <v>330</v>
      </c>
      <c r="H224">
        <v>1690308870.0999999</v>
      </c>
      <c r="I224">
        <f t="shared" si="90"/>
        <v>2.0224776775844867E-3</v>
      </c>
      <c r="J224">
        <f t="shared" si="91"/>
        <v>2.0224776775844866</v>
      </c>
      <c r="K224">
        <f t="shared" si="92"/>
        <v>30.809807278208652</v>
      </c>
      <c r="L224">
        <f t="shared" si="93"/>
        <v>469.82799999999997</v>
      </c>
      <c r="M224">
        <f t="shared" si="94"/>
        <v>141.52824092242642</v>
      </c>
      <c r="N224">
        <f t="shared" si="95"/>
        <v>14.054548863141482</v>
      </c>
      <c r="O224">
        <f t="shared" si="96"/>
        <v>46.656558014392004</v>
      </c>
      <c r="P224">
        <f t="shared" si="97"/>
        <v>0.15841402056477707</v>
      </c>
      <c r="Q224">
        <f t="shared" si="98"/>
        <v>2.1940902139442411</v>
      </c>
      <c r="R224">
        <f t="shared" si="99"/>
        <v>0.15232313935347852</v>
      </c>
      <c r="S224">
        <f t="shared" si="100"/>
        <v>9.5729690882719598E-2</v>
      </c>
      <c r="T224">
        <f t="shared" si="101"/>
        <v>276.11658460799998</v>
      </c>
      <c r="U224">
        <f t="shared" si="102"/>
        <v>25.845168019788179</v>
      </c>
      <c r="V224">
        <f t="shared" si="103"/>
        <v>25.845168019788179</v>
      </c>
      <c r="W224">
        <f t="shared" si="104"/>
        <v>3.3434671708749173</v>
      </c>
      <c r="X224">
        <f t="shared" si="105"/>
        <v>67.165260195642205</v>
      </c>
      <c r="Y224">
        <f t="shared" si="106"/>
        <v>2.0608099628507999</v>
      </c>
      <c r="Z224">
        <f t="shared" si="107"/>
        <v>3.0682676682081977</v>
      </c>
      <c r="AA224">
        <f t="shared" si="108"/>
        <v>1.2826572080241174</v>
      </c>
      <c r="AB224">
        <f t="shared" si="109"/>
        <v>-89.191265581475861</v>
      </c>
      <c r="AC224">
        <f t="shared" si="110"/>
        <v>-170.57904141815146</v>
      </c>
      <c r="AD224">
        <f t="shared" si="111"/>
        <v>-16.465553784278043</v>
      </c>
      <c r="AE224">
        <f t="shared" si="112"/>
        <v>-0.11927617590538375</v>
      </c>
      <c r="AF224">
        <v>12</v>
      </c>
      <c r="AG224">
        <v>4</v>
      </c>
      <c r="AH224">
        <f t="shared" si="113"/>
        <v>1</v>
      </c>
      <c r="AI224">
        <f t="shared" si="114"/>
        <v>0</v>
      </c>
      <c r="AJ224">
        <f t="shared" si="115"/>
        <v>52845.367946340986</v>
      </c>
      <c r="AK224">
        <f t="shared" si="116"/>
        <v>1800</v>
      </c>
      <c r="AL224">
        <f t="shared" si="117"/>
        <v>1499.1113808</v>
      </c>
      <c r="AM224">
        <f t="shared" si="118"/>
        <v>0.83283965599999998</v>
      </c>
      <c r="AN224">
        <f t="shared" si="119"/>
        <v>0.15339810256</v>
      </c>
      <c r="AO224">
        <v>31.2</v>
      </c>
      <c r="AP224">
        <v>0.5</v>
      </c>
      <c r="AQ224" t="s">
        <v>331</v>
      </c>
      <c r="AR224">
        <v>2</v>
      </c>
      <c r="AS224">
        <v>1690308870.0999999</v>
      </c>
      <c r="AT224">
        <v>469.82799999999997</v>
      </c>
      <c r="AU224">
        <v>800.06399999999996</v>
      </c>
      <c r="AV224">
        <v>20.752199999999998</v>
      </c>
      <c r="AW224">
        <v>0.15918499999999999</v>
      </c>
      <c r="AX224">
        <v>469.64499999999998</v>
      </c>
      <c r="AY224">
        <v>20.537199999999999</v>
      </c>
      <c r="AZ224">
        <v>300.06200000000001</v>
      </c>
      <c r="BA224">
        <v>99.205600000000004</v>
      </c>
      <c r="BB224">
        <v>0.10001400000000001</v>
      </c>
      <c r="BC224">
        <v>24.403099999999998</v>
      </c>
      <c r="BD224">
        <v>26.965199999999999</v>
      </c>
      <c r="BE224">
        <v>26.1007</v>
      </c>
      <c r="BF224">
        <v>0</v>
      </c>
      <c r="BG224">
        <v>0</v>
      </c>
      <c r="BH224">
        <v>9986.25</v>
      </c>
      <c r="BI224">
        <v>1042.97</v>
      </c>
      <c r="BJ224">
        <v>1.62592</v>
      </c>
      <c r="BK224">
        <v>-330.23700000000002</v>
      </c>
      <c r="BL224">
        <v>479.78399999999999</v>
      </c>
      <c r="BM224">
        <v>800.19200000000001</v>
      </c>
      <c r="BN224">
        <v>20.593</v>
      </c>
      <c r="BO224">
        <v>800.06399999999996</v>
      </c>
      <c r="BP224">
        <v>0.15918499999999999</v>
      </c>
      <c r="BQ224">
        <v>2.0587300000000002</v>
      </c>
      <c r="BR224">
        <v>1.5792E-2</v>
      </c>
      <c r="BS224">
        <v>17.903400000000001</v>
      </c>
      <c r="BT224">
        <v>-41.675400000000003</v>
      </c>
      <c r="BU224">
        <v>1800</v>
      </c>
      <c r="BV224">
        <v>0.90998199999999996</v>
      </c>
      <c r="BW224">
        <v>3.3995600000000001E-2</v>
      </c>
      <c r="BX224">
        <v>2.2008799999999999E-2</v>
      </c>
      <c r="BY224">
        <v>3.4013599999999998E-2</v>
      </c>
      <c r="BZ224">
        <v>26</v>
      </c>
      <c r="CA224">
        <v>33528.199999999997</v>
      </c>
      <c r="CB224">
        <v>1690306253.5999999</v>
      </c>
      <c r="CC224" t="s">
        <v>332</v>
      </c>
      <c r="CD224">
        <v>1690306253.5999999</v>
      </c>
      <c r="CE224">
        <v>1690306251.5999999</v>
      </c>
      <c r="CF224">
        <v>9</v>
      </c>
      <c r="CG224">
        <v>0.19</v>
      </c>
      <c r="CH224">
        <v>-8.7999999999999995E-2</v>
      </c>
      <c r="CI224">
        <v>-5.0999999999999997E-2</v>
      </c>
      <c r="CJ224">
        <v>5.0999999999999997E-2</v>
      </c>
      <c r="CK224">
        <v>799</v>
      </c>
      <c r="CL224">
        <v>15</v>
      </c>
      <c r="CM224">
        <v>0.28000000000000003</v>
      </c>
      <c r="CN224">
        <v>0.03</v>
      </c>
      <c r="CO224">
        <v>-329.89070731707318</v>
      </c>
      <c r="CP224">
        <v>-1.3156515679445551</v>
      </c>
      <c r="CQ224">
        <v>0.14327038124324201</v>
      </c>
      <c r="CR224">
        <v>-1</v>
      </c>
      <c r="CS224">
        <v>20.560331707317079</v>
      </c>
      <c r="CT224">
        <v>0.1345275261324036</v>
      </c>
      <c r="CU224">
        <v>1.397273370994279E-2</v>
      </c>
      <c r="CV224">
        <v>-1</v>
      </c>
      <c r="CW224">
        <v>0</v>
      </c>
      <c r="CX224">
        <v>0</v>
      </c>
      <c r="CY224" t="s">
        <v>333</v>
      </c>
      <c r="CZ224">
        <v>2.3645299999999998</v>
      </c>
      <c r="DA224">
        <v>2.7137899999999999</v>
      </c>
      <c r="DB224">
        <v>0.10108200000000001</v>
      </c>
      <c r="DC224">
        <v>0.14621200000000001</v>
      </c>
      <c r="DD224">
        <v>0.102767</v>
      </c>
      <c r="DE224">
        <v>1.3423199999999999E-3</v>
      </c>
      <c r="DF224">
        <v>32844.5</v>
      </c>
      <c r="DG224">
        <v>27549.7</v>
      </c>
      <c r="DH224">
        <v>31191.8</v>
      </c>
      <c r="DI224">
        <v>28116.7</v>
      </c>
      <c r="DJ224">
        <v>37999.800000000003</v>
      </c>
      <c r="DK224">
        <v>39941.1</v>
      </c>
      <c r="DL224">
        <v>44394.3</v>
      </c>
      <c r="DM224">
        <v>42621.1</v>
      </c>
      <c r="DN224">
        <v>1.4393499999999999</v>
      </c>
      <c r="DO224">
        <v>2.0302699999999998</v>
      </c>
      <c r="DP224">
        <v>0.17763699999999999</v>
      </c>
      <c r="DQ224">
        <v>0.14960000000000001</v>
      </c>
      <c r="DR224">
        <v>24.053000000000001</v>
      </c>
      <c r="DS224">
        <v>23.645600000000002</v>
      </c>
      <c r="DT224">
        <v>20.7</v>
      </c>
      <c r="DU224">
        <v>29.8</v>
      </c>
      <c r="DV224">
        <v>8.7882099999999994</v>
      </c>
      <c r="DW224">
        <v>61.7376</v>
      </c>
      <c r="DX224">
        <v>37.1434</v>
      </c>
      <c r="DY224">
        <v>1</v>
      </c>
      <c r="DZ224">
        <v>-0.106006</v>
      </c>
      <c r="EA224">
        <v>0.90983099999999995</v>
      </c>
      <c r="EB224">
        <v>20.187200000000001</v>
      </c>
      <c r="EC224">
        <v>5.2411000000000003</v>
      </c>
      <c r="ED224">
        <v>12.039899999999999</v>
      </c>
      <c r="EE224">
        <v>5.0166000000000004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1.86893</v>
      </c>
      <c r="EL224">
        <v>1.8646400000000001</v>
      </c>
      <c r="EM224">
        <v>1.8692</v>
      </c>
      <c r="EN224">
        <v>1.8672599999999999</v>
      </c>
      <c r="EO224">
        <v>1.8633999999999999</v>
      </c>
      <c r="EP224">
        <v>1.8644700000000001</v>
      </c>
      <c r="EQ224">
        <v>1.8701700000000001</v>
      </c>
      <c r="ER224">
        <v>1.8694299999999999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0.183</v>
      </c>
      <c r="FG224">
        <v>0.215</v>
      </c>
      <c r="FH224">
        <v>0.49996858830924029</v>
      </c>
      <c r="FI224">
        <v>-6.1462078757559423E-4</v>
      </c>
      <c r="FJ224">
        <v>-1.8861989874597051E-7</v>
      </c>
      <c r="FK224">
        <v>1.1980462299894961E-10</v>
      </c>
      <c r="FL224">
        <v>-3.8593581000597899E-2</v>
      </c>
      <c r="FM224">
        <v>-1.6848085045870601E-2</v>
      </c>
      <c r="FN224">
        <v>1.9789084769509481E-3</v>
      </c>
      <c r="FO224">
        <v>-2.7142391389806329E-5</v>
      </c>
      <c r="FP224">
        <v>3</v>
      </c>
      <c r="FQ224">
        <v>2158</v>
      </c>
      <c r="FR224">
        <v>1</v>
      </c>
      <c r="FS224">
        <v>19</v>
      </c>
      <c r="FT224">
        <v>43.6</v>
      </c>
      <c r="FU224">
        <v>43.6</v>
      </c>
      <c r="FV224">
        <v>1.7626999999999999</v>
      </c>
      <c r="FW224">
        <v>2.5964399999999999</v>
      </c>
      <c r="FX224">
        <v>1.5490699999999999</v>
      </c>
      <c r="FY224">
        <v>2.3315399999999999</v>
      </c>
      <c r="FZ224">
        <v>1.50146</v>
      </c>
      <c r="GA224">
        <v>2.3290999999999999</v>
      </c>
      <c r="GB224">
        <v>34.031799999999997</v>
      </c>
      <c r="GC224">
        <v>23.982399999999998</v>
      </c>
      <c r="GD224">
        <v>19</v>
      </c>
      <c r="GE224">
        <v>266.80900000000003</v>
      </c>
      <c r="GF224">
        <v>576.42100000000005</v>
      </c>
      <c r="GG224">
        <v>21.674700000000001</v>
      </c>
      <c r="GH224">
        <v>26.017299999999999</v>
      </c>
      <c r="GI224">
        <v>29.9999</v>
      </c>
      <c r="GJ224">
        <v>26.1874</v>
      </c>
      <c r="GK224">
        <v>26.184699999999999</v>
      </c>
      <c r="GL224">
        <v>35.231999999999999</v>
      </c>
      <c r="GM224">
        <v>100</v>
      </c>
      <c r="GN224">
        <v>1.11087</v>
      </c>
      <c r="GO224">
        <v>21.69</v>
      </c>
      <c r="GP224">
        <v>800</v>
      </c>
      <c r="GQ224">
        <v>0</v>
      </c>
      <c r="GR224">
        <v>99.807500000000005</v>
      </c>
      <c r="GS224">
        <v>99.7</v>
      </c>
    </row>
    <row r="225" spans="1:201" x14ac:dyDescent="0.25">
      <c r="A225">
        <v>209</v>
      </c>
      <c r="B225">
        <v>1690308880.0999999</v>
      </c>
      <c r="C225">
        <v>2261.5</v>
      </c>
      <c r="D225" t="s">
        <v>751</v>
      </c>
      <c r="E225" t="s">
        <v>752</v>
      </c>
      <c r="F225" t="s">
        <v>330</v>
      </c>
      <c r="H225">
        <v>1690308880.0999999</v>
      </c>
      <c r="I225">
        <f t="shared" si="90"/>
        <v>2.0236061064051892E-3</v>
      </c>
      <c r="J225">
        <f t="shared" si="91"/>
        <v>2.0236061064051891</v>
      </c>
      <c r="K225">
        <f t="shared" si="92"/>
        <v>30.819429760168653</v>
      </c>
      <c r="L225">
        <f t="shared" si="93"/>
        <v>469.75400000000002</v>
      </c>
      <c r="M225">
        <f t="shared" si="94"/>
        <v>141.12599307550877</v>
      </c>
      <c r="N225">
        <f t="shared" si="95"/>
        <v>14.015043424569557</v>
      </c>
      <c r="O225">
        <f t="shared" si="96"/>
        <v>46.650674091927996</v>
      </c>
      <c r="P225">
        <f t="shared" si="97"/>
        <v>0.15830139603474594</v>
      </c>
      <c r="Q225">
        <f t="shared" si="98"/>
        <v>2.1934356139005926</v>
      </c>
      <c r="R225">
        <f t="shared" si="99"/>
        <v>0.15221725337526154</v>
      </c>
      <c r="S225">
        <f t="shared" si="100"/>
        <v>9.5662936024579981E-2</v>
      </c>
      <c r="T225">
        <f t="shared" si="101"/>
        <v>276.11653467599996</v>
      </c>
      <c r="U225">
        <f t="shared" si="102"/>
        <v>25.85855928805417</v>
      </c>
      <c r="V225">
        <f t="shared" si="103"/>
        <v>25.85855928805417</v>
      </c>
      <c r="W225">
        <f t="shared" si="104"/>
        <v>3.3461205473582503</v>
      </c>
      <c r="X225">
        <f t="shared" si="105"/>
        <v>67.144862209457827</v>
      </c>
      <c r="Y225">
        <f t="shared" si="106"/>
        <v>2.0618379629107997</v>
      </c>
      <c r="Z225">
        <f t="shared" si="107"/>
        <v>3.0707307976579261</v>
      </c>
      <c r="AA225">
        <f t="shared" si="108"/>
        <v>1.2842825844474506</v>
      </c>
      <c r="AB225">
        <f t="shared" si="109"/>
        <v>-89.241029292468838</v>
      </c>
      <c r="AC225">
        <f t="shared" si="110"/>
        <v>-170.52711713822413</v>
      </c>
      <c r="AD225">
        <f t="shared" si="111"/>
        <v>-16.467673705580538</v>
      </c>
      <c r="AE225">
        <f t="shared" si="112"/>
        <v>-0.11928546027354514</v>
      </c>
      <c r="AF225">
        <v>12</v>
      </c>
      <c r="AG225">
        <v>4</v>
      </c>
      <c r="AH225">
        <f t="shared" si="113"/>
        <v>1</v>
      </c>
      <c r="AI225">
        <f t="shared" si="114"/>
        <v>0</v>
      </c>
      <c r="AJ225">
        <f t="shared" si="115"/>
        <v>52816.051249284399</v>
      </c>
      <c r="AK225">
        <f t="shared" si="116"/>
        <v>1800</v>
      </c>
      <c r="AL225">
        <f t="shared" si="117"/>
        <v>1499.1111575999998</v>
      </c>
      <c r="AM225">
        <f t="shared" si="118"/>
        <v>0.83283953199999994</v>
      </c>
      <c r="AN225">
        <f t="shared" si="119"/>
        <v>0.15339807481999998</v>
      </c>
      <c r="AO225">
        <v>31.2</v>
      </c>
      <c r="AP225">
        <v>0.5</v>
      </c>
      <c r="AQ225" t="s">
        <v>331</v>
      </c>
      <c r="AR225">
        <v>2</v>
      </c>
      <c r="AS225">
        <v>1690308880.0999999</v>
      </c>
      <c r="AT225">
        <v>469.75400000000002</v>
      </c>
      <c r="AU225">
        <v>800.08299999999997</v>
      </c>
      <c r="AV225">
        <v>20.761900000000001</v>
      </c>
      <c r="AW225">
        <v>0.15828600000000001</v>
      </c>
      <c r="AX225">
        <v>469.572</v>
      </c>
      <c r="AY225">
        <v>20.546700000000001</v>
      </c>
      <c r="AZ225">
        <v>300.072</v>
      </c>
      <c r="BA225">
        <v>99.208699999999993</v>
      </c>
      <c r="BB225">
        <v>0.100032</v>
      </c>
      <c r="BC225">
        <v>24.416499999999999</v>
      </c>
      <c r="BD225">
        <v>27.018699999999999</v>
      </c>
      <c r="BE225">
        <v>26.0946</v>
      </c>
      <c r="BF225">
        <v>0</v>
      </c>
      <c r="BG225">
        <v>0</v>
      </c>
      <c r="BH225">
        <v>9980.6200000000008</v>
      </c>
      <c r="BI225">
        <v>1042.98</v>
      </c>
      <c r="BJ225">
        <v>1.62592</v>
      </c>
      <c r="BK225">
        <v>-330.32900000000001</v>
      </c>
      <c r="BL225">
        <v>479.714</v>
      </c>
      <c r="BM225">
        <v>800.21</v>
      </c>
      <c r="BN225">
        <v>20.6037</v>
      </c>
      <c r="BO225">
        <v>800.08299999999997</v>
      </c>
      <c r="BP225">
        <v>0.15828600000000001</v>
      </c>
      <c r="BQ225">
        <v>2.0597599999999998</v>
      </c>
      <c r="BR225">
        <v>1.5703399999999999E-2</v>
      </c>
      <c r="BS225">
        <v>17.9114</v>
      </c>
      <c r="BT225">
        <v>-41.728400000000001</v>
      </c>
      <c r="BU225">
        <v>1800</v>
      </c>
      <c r="BV225">
        <v>0.90998199999999996</v>
      </c>
      <c r="BW225">
        <v>3.3996100000000001E-2</v>
      </c>
      <c r="BX225">
        <v>2.20086E-2</v>
      </c>
      <c r="BY225">
        <v>3.40132E-2</v>
      </c>
      <c r="BZ225">
        <v>26</v>
      </c>
      <c r="CA225">
        <v>33528.300000000003</v>
      </c>
      <c r="CB225">
        <v>1690306253.5999999</v>
      </c>
      <c r="CC225" t="s">
        <v>332</v>
      </c>
      <c r="CD225">
        <v>1690306253.5999999</v>
      </c>
      <c r="CE225">
        <v>1690306251.5999999</v>
      </c>
      <c r="CF225">
        <v>9</v>
      </c>
      <c r="CG225">
        <v>0.19</v>
      </c>
      <c r="CH225">
        <v>-8.7999999999999995E-2</v>
      </c>
      <c r="CI225">
        <v>-5.0999999999999997E-2</v>
      </c>
      <c r="CJ225">
        <v>5.0999999999999997E-2</v>
      </c>
      <c r="CK225">
        <v>799</v>
      </c>
      <c r="CL225">
        <v>15</v>
      </c>
      <c r="CM225">
        <v>0.28000000000000003</v>
      </c>
      <c r="CN225">
        <v>0.03</v>
      </c>
      <c r="CO225">
        <v>-330.07217073170727</v>
      </c>
      <c r="CP225">
        <v>-0.91906620209009415</v>
      </c>
      <c r="CQ225">
        <v>0.13160007829322221</v>
      </c>
      <c r="CR225">
        <v>-1</v>
      </c>
      <c r="CS225">
        <v>20.584507317073172</v>
      </c>
      <c r="CT225">
        <v>0.15729825783976861</v>
      </c>
      <c r="CU225">
        <v>1.6184295161516E-2</v>
      </c>
      <c r="CV225">
        <v>-1</v>
      </c>
      <c r="CW225">
        <v>0</v>
      </c>
      <c r="CX225">
        <v>0</v>
      </c>
      <c r="CY225" t="s">
        <v>333</v>
      </c>
      <c r="CZ225">
        <v>2.3645499999999999</v>
      </c>
      <c r="DA225">
        <v>2.7138100000000001</v>
      </c>
      <c r="DB225">
        <v>0.101075</v>
      </c>
      <c r="DC225">
        <v>0.14622099999999999</v>
      </c>
      <c r="DD225">
        <v>0.10280499999999999</v>
      </c>
      <c r="DE225">
        <v>1.3348800000000001E-3</v>
      </c>
      <c r="DF225">
        <v>32844.400000000001</v>
      </c>
      <c r="DG225">
        <v>27549.7</v>
      </c>
      <c r="DH225">
        <v>31191.5</v>
      </c>
      <c r="DI225">
        <v>28116.9</v>
      </c>
      <c r="DJ225">
        <v>37997.699999999997</v>
      </c>
      <c r="DK225">
        <v>39941.800000000003</v>
      </c>
      <c r="DL225">
        <v>44393.8</v>
      </c>
      <c r="DM225">
        <v>42621.599999999999</v>
      </c>
      <c r="DN225">
        <v>1.4395500000000001</v>
      </c>
      <c r="DO225">
        <v>2.0306700000000002</v>
      </c>
      <c r="DP225">
        <v>0.18081800000000001</v>
      </c>
      <c r="DQ225">
        <v>0.149228</v>
      </c>
      <c r="DR225">
        <v>24.054500000000001</v>
      </c>
      <c r="DS225">
        <v>23.645600000000002</v>
      </c>
      <c r="DT225">
        <v>20.6</v>
      </c>
      <c r="DU225">
        <v>29.8</v>
      </c>
      <c r="DV225">
        <v>8.7448300000000003</v>
      </c>
      <c r="DW225">
        <v>61.547600000000003</v>
      </c>
      <c r="DX225">
        <v>37.283700000000003</v>
      </c>
      <c r="DY225">
        <v>1</v>
      </c>
      <c r="DZ225">
        <v>-0.106034</v>
      </c>
      <c r="EA225">
        <v>0.95241799999999999</v>
      </c>
      <c r="EB225">
        <v>20.186800000000002</v>
      </c>
      <c r="EC225">
        <v>5.2408000000000001</v>
      </c>
      <c r="ED225">
        <v>12.039899999999999</v>
      </c>
      <c r="EE225">
        <v>5.0167999999999999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1.8689100000000001</v>
      </c>
      <c r="EL225">
        <v>1.8646400000000001</v>
      </c>
      <c r="EM225">
        <v>1.8692</v>
      </c>
      <c r="EN225">
        <v>1.8672500000000001</v>
      </c>
      <c r="EO225">
        <v>1.8633999999999999</v>
      </c>
      <c r="EP225">
        <v>1.8644700000000001</v>
      </c>
      <c r="EQ225">
        <v>1.87018</v>
      </c>
      <c r="ER225">
        <v>1.8694299999999999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0.182</v>
      </c>
      <c r="FG225">
        <v>0.2152</v>
      </c>
      <c r="FH225">
        <v>0.49996858830924029</v>
      </c>
      <c r="FI225">
        <v>-6.1462078757559423E-4</v>
      </c>
      <c r="FJ225">
        <v>-1.8861989874597051E-7</v>
      </c>
      <c r="FK225">
        <v>1.1980462299894961E-10</v>
      </c>
      <c r="FL225">
        <v>-3.8593581000597899E-2</v>
      </c>
      <c r="FM225">
        <v>-1.6848085045870601E-2</v>
      </c>
      <c r="FN225">
        <v>1.9789084769509481E-3</v>
      </c>
      <c r="FO225">
        <v>-2.7142391389806329E-5</v>
      </c>
      <c r="FP225">
        <v>3</v>
      </c>
      <c r="FQ225">
        <v>2158</v>
      </c>
      <c r="FR225">
        <v>1</v>
      </c>
      <c r="FS225">
        <v>19</v>
      </c>
      <c r="FT225">
        <v>43.8</v>
      </c>
      <c r="FU225">
        <v>43.8</v>
      </c>
      <c r="FV225">
        <v>1.7626999999999999</v>
      </c>
      <c r="FW225">
        <v>2.5976599999999999</v>
      </c>
      <c r="FX225">
        <v>1.5490699999999999</v>
      </c>
      <c r="FY225">
        <v>2.3315399999999999</v>
      </c>
      <c r="FZ225">
        <v>1.50146</v>
      </c>
      <c r="GA225">
        <v>2.2912599999999999</v>
      </c>
      <c r="GB225">
        <v>34.054499999999997</v>
      </c>
      <c r="GC225">
        <v>23.973700000000001</v>
      </c>
      <c r="GD225">
        <v>19</v>
      </c>
      <c r="GE225">
        <v>266.89</v>
      </c>
      <c r="GF225">
        <v>576.73199999999997</v>
      </c>
      <c r="GG225">
        <v>21.731999999999999</v>
      </c>
      <c r="GH225">
        <v>26.017299999999999</v>
      </c>
      <c r="GI225">
        <v>30</v>
      </c>
      <c r="GJ225">
        <v>26.187200000000001</v>
      </c>
      <c r="GK225">
        <v>26.183299999999999</v>
      </c>
      <c r="GL225">
        <v>35.234299999999998</v>
      </c>
      <c r="GM225">
        <v>100</v>
      </c>
      <c r="GN225">
        <v>0.73091899999999999</v>
      </c>
      <c r="GO225">
        <v>21.732800000000001</v>
      </c>
      <c r="GP225">
        <v>800</v>
      </c>
      <c r="GQ225">
        <v>0</v>
      </c>
      <c r="GR225">
        <v>99.8065</v>
      </c>
      <c r="GS225">
        <v>99.700999999999993</v>
      </c>
    </row>
    <row r="226" spans="1:201" x14ac:dyDescent="0.25">
      <c r="A226">
        <v>210</v>
      </c>
      <c r="B226">
        <v>1690308890.0999999</v>
      </c>
      <c r="C226">
        <v>2271.5</v>
      </c>
      <c r="D226" t="s">
        <v>753</v>
      </c>
      <c r="E226" t="s">
        <v>754</v>
      </c>
      <c r="F226" t="s">
        <v>330</v>
      </c>
      <c r="H226">
        <v>1690308890.0999999</v>
      </c>
      <c r="I226">
        <f t="shared" si="90"/>
        <v>2.0253043518032778E-3</v>
      </c>
      <c r="J226">
        <f t="shared" si="91"/>
        <v>2.0253043518032778</v>
      </c>
      <c r="K226">
        <f t="shared" si="92"/>
        <v>30.823842971011814</v>
      </c>
      <c r="L226">
        <f t="shared" si="93"/>
        <v>469.62400000000002</v>
      </c>
      <c r="M226">
        <f t="shared" si="94"/>
        <v>141.09520769252876</v>
      </c>
      <c r="N226">
        <f t="shared" si="95"/>
        <v>14.011629478536632</v>
      </c>
      <c r="O226">
        <f t="shared" si="96"/>
        <v>46.636576747296004</v>
      </c>
      <c r="P226">
        <f t="shared" si="97"/>
        <v>0.15837727690678557</v>
      </c>
      <c r="Q226">
        <f t="shared" si="98"/>
        <v>2.1927876725727442</v>
      </c>
      <c r="R226">
        <f t="shared" si="99"/>
        <v>0.15228569569023442</v>
      </c>
      <c r="S226">
        <f t="shared" si="100"/>
        <v>9.5706342463036331E-2</v>
      </c>
      <c r="T226">
        <f t="shared" si="101"/>
        <v>276.11682179399997</v>
      </c>
      <c r="U226">
        <f t="shared" si="102"/>
        <v>25.867061176160167</v>
      </c>
      <c r="V226">
        <f t="shared" si="103"/>
        <v>25.867061176160167</v>
      </c>
      <c r="W226">
        <f t="shared" si="104"/>
        <v>3.3478060852692408</v>
      </c>
      <c r="X226">
        <f t="shared" si="105"/>
        <v>67.15020328001313</v>
      </c>
      <c r="Y226">
        <f t="shared" si="106"/>
        <v>2.0630764574795997</v>
      </c>
      <c r="Z226">
        <f t="shared" si="107"/>
        <v>3.0723309189052932</v>
      </c>
      <c r="AA226">
        <f t="shared" si="108"/>
        <v>1.2847296277896412</v>
      </c>
      <c r="AB226">
        <f t="shared" si="109"/>
        <v>-89.315921914524552</v>
      </c>
      <c r="AC226">
        <f t="shared" si="110"/>
        <v>-170.45332308653082</v>
      </c>
      <c r="AD226">
        <f t="shared" si="111"/>
        <v>-16.466836392957042</v>
      </c>
      <c r="AE226">
        <f t="shared" si="112"/>
        <v>-0.11925960001241265</v>
      </c>
      <c r="AF226">
        <v>12</v>
      </c>
      <c r="AG226">
        <v>4</v>
      </c>
      <c r="AH226">
        <f t="shared" si="113"/>
        <v>1</v>
      </c>
      <c r="AI226">
        <f t="shared" si="114"/>
        <v>0</v>
      </c>
      <c r="AJ226">
        <f t="shared" si="115"/>
        <v>52787.731547679221</v>
      </c>
      <c r="AK226">
        <f t="shared" si="116"/>
        <v>1800</v>
      </c>
      <c r="AL226">
        <f t="shared" si="117"/>
        <v>1499.1104393999999</v>
      </c>
      <c r="AM226">
        <f t="shared" si="118"/>
        <v>0.83283913300000001</v>
      </c>
      <c r="AN226">
        <f t="shared" si="119"/>
        <v>0.15339823432999999</v>
      </c>
      <c r="AO226">
        <v>31.2</v>
      </c>
      <c r="AP226">
        <v>0.5</v>
      </c>
      <c r="AQ226" t="s">
        <v>331</v>
      </c>
      <c r="AR226">
        <v>2</v>
      </c>
      <c r="AS226">
        <v>1690308890.0999999</v>
      </c>
      <c r="AT226">
        <v>469.62400000000002</v>
      </c>
      <c r="AU226">
        <v>799.94500000000005</v>
      </c>
      <c r="AV226">
        <v>20.774899999999999</v>
      </c>
      <c r="AW226">
        <v>0.15797900000000001</v>
      </c>
      <c r="AX226">
        <v>469.44099999999997</v>
      </c>
      <c r="AY226">
        <v>20.5593</v>
      </c>
      <c r="AZ226">
        <v>300.12599999999998</v>
      </c>
      <c r="BA226">
        <v>99.206100000000006</v>
      </c>
      <c r="BB226">
        <v>0.100104</v>
      </c>
      <c r="BC226">
        <v>24.4252</v>
      </c>
      <c r="BD226">
        <v>27.015000000000001</v>
      </c>
      <c r="BE226">
        <v>26.134399999999999</v>
      </c>
      <c r="BF226">
        <v>0</v>
      </c>
      <c r="BG226">
        <v>0</v>
      </c>
      <c r="BH226">
        <v>9975.6200000000008</v>
      </c>
      <c r="BI226">
        <v>1043.04</v>
      </c>
      <c r="BJ226">
        <v>1.62592</v>
      </c>
      <c r="BK226">
        <v>-330.322</v>
      </c>
      <c r="BL226">
        <v>479.58699999999999</v>
      </c>
      <c r="BM226">
        <v>800.072</v>
      </c>
      <c r="BN226">
        <v>20.616900000000001</v>
      </c>
      <c r="BO226">
        <v>799.94500000000005</v>
      </c>
      <c r="BP226">
        <v>0.15797900000000001</v>
      </c>
      <c r="BQ226">
        <v>2.0609899999999999</v>
      </c>
      <c r="BR226">
        <v>1.5672499999999999E-2</v>
      </c>
      <c r="BS226">
        <v>17.9209</v>
      </c>
      <c r="BT226">
        <v>-41.746899999999997</v>
      </c>
      <c r="BU226">
        <v>1800</v>
      </c>
      <c r="BV226">
        <v>0.90997600000000001</v>
      </c>
      <c r="BW226">
        <v>3.40033E-2</v>
      </c>
      <c r="BX226">
        <v>2.2008400000000001E-2</v>
      </c>
      <c r="BY226">
        <v>3.4012899999999999E-2</v>
      </c>
      <c r="BZ226">
        <v>26</v>
      </c>
      <c r="CA226">
        <v>33528.199999999997</v>
      </c>
      <c r="CB226">
        <v>1690306253.5999999</v>
      </c>
      <c r="CC226" t="s">
        <v>332</v>
      </c>
      <c r="CD226">
        <v>1690306253.5999999</v>
      </c>
      <c r="CE226">
        <v>1690306251.5999999</v>
      </c>
      <c r="CF226">
        <v>9</v>
      </c>
      <c r="CG226">
        <v>0.19</v>
      </c>
      <c r="CH226">
        <v>-8.7999999999999995E-2</v>
      </c>
      <c r="CI226">
        <v>-5.0999999999999997E-2</v>
      </c>
      <c r="CJ226">
        <v>5.0999999999999997E-2</v>
      </c>
      <c r="CK226">
        <v>799</v>
      </c>
      <c r="CL226">
        <v>15</v>
      </c>
      <c r="CM226">
        <v>0.28000000000000003</v>
      </c>
      <c r="CN226">
        <v>0.03</v>
      </c>
      <c r="CO226">
        <v>-330.25335000000001</v>
      </c>
      <c r="CP226">
        <v>-0.90355722326334087</v>
      </c>
      <c r="CQ226">
        <v>0.12088766479670469</v>
      </c>
      <c r="CR226">
        <v>-1</v>
      </c>
      <c r="CS226">
        <v>20.606177500000001</v>
      </c>
      <c r="CT226">
        <v>8.3526078799175979E-2</v>
      </c>
      <c r="CU226">
        <v>8.3455523334289849E-3</v>
      </c>
      <c r="CV226">
        <v>-1</v>
      </c>
      <c r="CW226">
        <v>0</v>
      </c>
      <c r="CX226">
        <v>0</v>
      </c>
      <c r="CY226" t="s">
        <v>333</v>
      </c>
      <c r="CZ226">
        <v>2.3647200000000002</v>
      </c>
      <c r="DA226">
        <v>2.71387</v>
      </c>
      <c r="DB226">
        <v>0.101052</v>
      </c>
      <c r="DC226">
        <v>0.1462</v>
      </c>
      <c r="DD226">
        <v>0.10284699999999999</v>
      </c>
      <c r="DE226">
        <v>1.3322799999999999E-3</v>
      </c>
      <c r="DF226">
        <v>32845.9</v>
      </c>
      <c r="DG226">
        <v>27550.400000000001</v>
      </c>
      <c r="DH226">
        <v>31192</v>
      </c>
      <c r="DI226">
        <v>28117</v>
      </c>
      <c r="DJ226">
        <v>37996.699999999997</v>
      </c>
      <c r="DK226">
        <v>39941.9</v>
      </c>
      <c r="DL226">
        <v>44394.7</v>
      </c>
      <c r="DM226">
        <v>42621.599999999999</v>
      </c>
      <c r="DN226">
        <v>1.4392</v>
      </c>
      <c r="DO226">
        <v>2.03077</v>
      </c>
      <c r="DP226">
        <v>0.180557</v>
      </c>
      <c r="DQ226">
        <v>0.15162700000000001</v>
      </c>
      <c r="DR226">
        <v>24.055</v>
      </c>
      <c r="DS226">
        <v>23.646100000000001</v>
      </c>
      <c r="DT226">
        <v>20.6</v>
      </c>
      <c r="DU226">
        <v>29.8</v>
      </c>
      <c r="DV226">
        <v>8.7457999999999991</v>
      </c>
      <c r="DW226">
        <v>61.807600000000001</v>
      </c>
      <c r="DX226">
        <v>37.395800000000001</v>
      </c>
      <c r="DY226">
        <v>1</v>
      </c>
      <c r="DZ226">
        <v>-0.105478</v>
      </c>
      <c r="EA226">
        <v>1.4162399999999999</v>
      </c>
      <c r="EB226">
        <v>20.182500000000001</v>
      </c>
      <c r="EC226">
        <v>5.2409499999999998</v>
      </c>
      <c r="ED226">
        <v>12.039899999999999</v>
      </c>
      <c r="EE226">
        <v>5.0164999999999997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1.8689199999999999</v>
      </c>
      <c r="EL226">
        <v>1.86463</v>
      </c>
      <c r="EM226">
        <v>1.8692</v>
      </c>
      <c r="EN226">
        <v>1.8672500000000001</v>
      </c>
      <c r="EO226">
        <v>1.8633999999999999</v>
      </c>
      <c r="EP226">
        <v>1.8644700000000001</v>
      </c>
      <c r="EQ226">
        <v>1.8701700000000001</v>
      </c>
      <c r="ER226">
        <v>1.8693900000000001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0.183</v>
      </c>
      <c r="FG226">
        <v>0.21560000000000001</v>
      </c>
      <c r="FH226">
        <v>0.49996858830924029</v>
      </c>
      <c r="FI226">
        <v>-6.1462078757559423E-4</v>
      </c>
      <c r="FJ226">
        <v>-1.8861989874597051E-7</v>
      </c>
      <c r="FK226">
        <v>1.1980462299894961E-10</v>
      </c>
      <c r="FL226">
        <v>-3.8593581000597899E-2</v>
      </c>
      <c r="FM226">
        <v>-1.6848085045870601E-2</v>
      </c>
      <c r="FN226">
        <v>1.9789084769509481E-3</v>
      </c>
      <c r="FO226">
        <v>-2.7142391389806329E-5</v>
      </c>
      <c r="FP226">
        <v>3</v>
      </c>
      <c r="FQ226">
        <v>2158</v>
      </c>
      <c r="FR226">
        <v>1</v>
      </c>
      <c r="FS226">
        <v>19</v>
      </c>
      <c r="FT226">
        <v>43.9</v>
      </c>
      <c r="FU226">
        <v>44</v>
      </c>
      <c r="FV226">
        <v>1.7626999999999999</v>
      </c>
      <c r="FW226">
        <v>2.5952099999999998</v>
      </c>
      <c r="FX226">
        <v>1.5490699999999999</v>
      </c>
      <c r="FY226">
        <v>2.3315399999999999</v>
      </c>
      <c r="FZ226">
        <v>1.50146</v>
      </c>
      <c r="GA226">
        <v>2.3010299999999999</v>
      </c>
      <c r="GB226">
        <v>34.054499999999997</v>
      </c>
      <c r="GC226">
        <v>23.982399999999998</v>
      </c>
      <c r="GD226">
        <v>19</v>
      </c>
      <c r="GE226">
        <v>266.738</v>
      </c>
      <c r="GF226">
        <v>576.78899999999999</v>
      </c>
      <c r="GG226">
        <v>21.6523</v>
      </c>
      <c r="GH226">
        <v>26.0169</v>
      </c>
      <c r="GI226">
        <v>30.000399999999999</v>
      </c>
      <c r="GJ226">
        <v>26.185099999999998</v>
      </c>
      <c r="GK226">
        <v>26.181100000000001</v>
      </c>
      <c r="GL226">
        <v>35.236400000000003</v>
      </c>
      <c r="GM226">
        <v>100</v>
      </c>
      <c r="GN226">
        <v>0.33954099999999998</v>
      </c>
      <c r="GO226">
        <v>21.600100000000001</v>
      </c>
      <c r="GP226">
        <v>800</v>
      </c>
      <c r="GQ226">
        <v>0</v>
      </c>
      <c r="GR226">
        <v>99.808499999999995</v>
      </c>
      <c r="GS226">
        <v>99.701099999999997</v>
      </c>
    </row>
    <row r="227" spans="1:201" x14ac:dyDescent="0.25">
      <c r="A227">
        <v>211</v>
      </c>
      <c r="B227">
        <v>1690308900.0999999</v>
      </c>
      <c r="C227">
        <v>2281.5</v>
      </c>
      <c r="D227" t="s">
        <v>755</v>
      </c>
      <c r="E227" t="s">
        <v>756</v>
      </c>
      <c r="F227" t="s">
        <v>330</v>
      </c>
      <c r="H227">
        <v>1690308900.0999999</v>
      </c>
      <c r="I227">
        <f t="shared" si="90"/>
        <v>2.0238353602404749E-3</v>
      </c>
      <c r="J227">
        <f t="shared" si="91"/>
        <v>2.0238353602404748</v>
      </c>
      <c r="K227">
        <f t="shared" si="92"/>
        <v>30.852891865642249</v>
      </c>
      <c r="L227">
        <f t="shared" si="93"/>
        <v>469.30099999999999</v>
      </c>
      <c r="M227">
        <f t="shared" si="94"/>
        <v>140.72940064865054</v>
      </c>
      <c r="N227">
        <f t="shared" si="95"/>
        <v>13.975592162573276</v>
      </c>
      <c r="O227">
        <f t="shared" si="96"/>
        <v>46.605466571001791</v>
      </c>
      <c r="P227">
        <f t="shared" si="97"/>
        <v>0.15849362231069816</v>
      </c>
      <c r="Q227">
        <f t="shared" si="98"/>
        <v>2.1958884718527827</v>
      </c>
      <c r="R227">
        <f t="shared" si="99"/>
        <v>0.15240153146295995</v>
      </c>
      <c r="S227">
        <f t="shared" si="100"/>
        <v>9.5778796693312573E-2</v>
      </c>
      <c r="T227">
        <f t="shared" si="101"/>
        <v>276.116693274</v>
      </c>
      <c r="U227">
        <f t="shared" si="102"/>
        <v>25.851819138294115</v>
      </c>
      <c r="V227">
        <f t="shared" si="103"/>
        <v>25.851819138294115</v>
      </c>
      <c r="W227">
        <f t="shared" si="104"/>
        <v>3.3447848088801573</v>
      </c>
      <c r="X227">
        <f t="shared" si="105"/>
        <v>67.168043728694514</v>
      </c>
      <c r="Y227">
        <f t="shared" si="106"/>
        <v>2.0619076472748596</v>
      </c>
      <c r="Z227">
        <f t="shared" si="107"/>
        <v>3.0697747512244469</v>
      </c>
      <c r="AA227">
        <f t="shared" si="108"/>
        <v>1.2828771616052976</v>
      </c>
      <c r="AB227">
        <f t="shared" si="109"/>
        <v>-89.251139386604947</v>
      </c>
      <c r="AC227">
        <f t="shared" si="110"/>
        <v>-170.53548263572569</v>
      </c>
      <c r="AD227">
        <f t="shared" si="111"/>
        <v>-16.449097483154226</v>
      </c>
      <c r="AE227">
        <f t="shared" si="112"/>
        <v>-0.11902623148486668</v>
      </c>
      <c r="AF227">
        <v>12</v>
      </c>
      <c r="AG227">
        <v>4</v>
      </c>
      <c r="AH227">
        <f t="shared" si="113"/>
        <v>1</v>
      </c>
      <c r="AI227">
        <f t="shared" si="114"/>
        <v>0</v>
      </c>
      <c r="AJ227">
        <f t="shared" si="115"/>
        <v>52918.192764688487</v>
      </c>
      <c r="AK227">
        <f t="shared" si="116"/>
        <v>1800</v>
      </c>
      <c r="AL227">
        <f t="shared" si="117"/>
        <v>1499.1111953999998</v>
      </c>
      <c r="AM227">
        <f t="shared" si="118"/>
        <v>0.8328395529999999</v>
      </c>
      <c r="AN227">
        <f t="shared" si="119"/>
        <v>0.15339816293</v>
      </c>
      <c r="AO227">
        <v>31.2</v>
      </c>
      <c r="AP227">
        <v>0.5</v>
      </c>
      <c r="AQ227" t="s">
        <v>331</v>
      </c>
      <c r="AR227">
        <v>2</v>
      </c>
      <c r="AS227">
        <v>1690308900.0999999</v>
      </c>
      <c r="AT227">
        <v>469.30099999999999</v>
      </c>
      <c r="AU227">
        <v>799.96400000000006</v>
      </c>
      <c r="AV227">
        <v>20.762699999999999</v>
      </c>
      <c r="AW227">
        <v>0.157112</v>
      </c>
      <c r="AX227">
        <v>469.11900000000003</v>
      </c>
      <c r="AY227">
        <v>20.5474</v>
      </c>
      <c r="AZ227">
        <v>300.077</v>
      </c>
      <c r="BA227">
        <v>99.208299999999994</v>
      </c>
      <c r="BB227">
        <v>9.9961800000000003E-2</v>
      </c>
      <c r="BC227">
        <v>24.411300000000001</v>
      </c>
      <c r="BD227">
        <v>26.999400000000001</v>
      </c>
      <c r="BE227">
        <v>26.122499999999999</v>
      </c>
      <c r="BF227">
        <v>0</v>
      </c>
      <c r="BG227">
        <v>0</v>
      </c>
      <c r="BH227">
        <v>10000.6</v>
      </c>
      <c r="BI227">
        <v>1043.1199999999999</v>
      </c>
      <c r="BJ227">
        <v>1.62592</v>
      </c>
      <c r="BK227">
        <v>-330.66300000000001</v>
      </c>
      <c r="BL227">
        <v>479.25200000000001</v>
      </c>
      <c r="BM227">
        <v>800.09</v>
      </c>
      <c r="BN227">
        <v>20.605599999999999</v>
      </c>
      <c r="BO227">
        <v>799.96400000000006</v>
      </c>
      <c r="BP227">
        <v>0.157112</v>
      </c>
      <c r="BQ227">
        <v>2.0598299999999998</v>
      </c>
      <c r="BR227">
        <v>1.55868E-2</v>
      </c>
      <c r="BS227">
        <v>17.911899999999999</v>
      </c>
      <c r="BT227">
        <v>-41.798499999999997</v>
      </c>
      <c r="BU227">
        <v>1800</v>
      </c>
      <c r="BV227">
        <v>0.90998000000000001</v>
      </c>
      <c r="BW227">
        <v>3.3999099999999997E-2</v>
      </c>
      <c r="BX227">
        <v>2.2008400000000001E-2</v>
      </c>
      <c r="BY227">
        <v>3.4012899999999999E-2</v>
      </c>
      <c r="BZ227">
        <v>26</v>
      </c>
      <c r="CA227">
        <v>33528.199999999997</v>
      </c>
      <c r="CB227">
        <v>1690306253.5999999</v>
      </c>
      <c r="CC227" t="s">
        <v>332</v>
      </c>
      <c r="CD227">
        <v>1690306253.5999999</v>
      </c>
      <c r="CE227">
        <v>1690306251.5999999</v>
      </c>
      <c r="CF227">
        <v>9</v>
      </c>
      <c r="CG227">
        <v>0.19</v>
      </c>
      <c r="CH227">
        <v>-8.7999999999999995E-2</v>
      </c>
      <c r="CI227">
        <v>-5.0999999999999997E-2</v>
      </c>
      <c r="CJ227">
        <v>5.0999999999999997E-2</v>
      </c>
      <c r="CK227">
        <v>799</v>
      </c>
      <c r="CL227">
        <v>15</v>
      </c>
      <c r="CM227">
        <v>0.28000000000000003</v>
      </c>
      <c r="CN227">
        <v>0.03</v>
      </c>
      <c r="CO227">
        <v>-330.43582500000002</v>
      </c>
      <c r="CP227">
        <v>-1.236641651031072</v>
      </c>
      <c r="CQ227">
        <v>0.13898091370759891</v>
      </c>
      <c r="CR227">
        <v>-1</v>
      </c>
      <c r="CS227">
        <v>20.611962500000001</v>
      </c>
      <c r="CT227">
        <v>-5.852532833049544E-3</v>
      </c>
      <c r="CU227">
        <v>4.784646669295658E-3</v>
      </c>
      <c r="CV227">
        <v>-1</v>
      </c>
      <c r="CW227">
        <v>0</v>
      </c>
      <c r="CX227">
        <v>0</v>
      </c>
      <c r="CY227" t="s">
        <v>333</v>
      </c>
      <c r="CZ227">
        <v>2.3645900000000002</v>
      </c>
      <c r="DA227">
        <v>2.7137500000000001</v>
      </c>
      <c r="DB227">
        <v>0.10100099999999999</v>
      </c>
      <c r="DC227">
        <v>0.146203</v>
      </c>
      <c r="DD227">
        <v>0.10280499999999999</v>
      </c>
      <c r="DE227">
        <v>1.3250499999999999E-3</v>
      </c>
      <c r="DF227">
        <v>32847.699999999997</v>
      </c>
      <c r="DG227">
        <v>27550</v>
      </c>
      <c r="DH227">
        <v>31192</v>
      </c>
      <c r="DI227">
        <v>28116.7</v>
      </c>
      <c r="DJ227">
        <v>37998.300000000003</v>
      </c>
      <c r="DK227">
        <v>39941.800000000003</v>
      </c>
      <c r="DL227">
        <v>44394.400000000001</v>
      </c>
      <c r="DM227">
        <v>42621.2</v>
      </c>
      <c r="DN227">
        <v>1.4391</v>
      </c>
      <c r="DO227">
        <v>2.0307499999999998</v>
      </c>
      <c r="DP227">
        <v>0.17960400000000001</v>
      </c>
      <c r="DQ227">
        <v>0.150807</v>
      </c>
      <c r="DR227">
        <v>24.055</v>
      </c>
      <c r="DS227">
        <v>23.647600000000001</v>
      </c>
      <c r="DT227">
        <v>20.5</v>
      </c>
      <c r="DU227">
        <v>29.8</v>
      </c>
      <c r="DV227">
        <v>8.7021200000000007</v>
      </c>
      <c r="DW227">
        <v>61.617600000000003</v>
      </c>
      <c r="DX227">
        <v>36.883000000000003</v>
      </c>
      <c r="DY227">
        <v>1</v>
      </c>
      <c r="DZ227">
        <v>-0.105462</v>
      </c>
      <c r="EA227">
        <v>1.33518</v>
      </c>
      <c r="EB227">
        <v>20.183399999999999</v>
      </c>
      <c r="EC227">
        <v>5.2411000000000003</v>
      </c>
      <c r="ED227">
        <v>12.039899999999999</v>
      </c>
      <c r="EE227">
        <v>5.0168499999999998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1.8689100000000001</v>
      </c>
      <c r="EL227">
        <v>1.8646400000000001</v>
      </c>
      <c r="EM227">
        <v>1.8692</v>
      </c>
      <c r="EN227">
        <v>1.8672500000000001</v>
      </c>
      <c r="EO227">
        <v>1.8633999999999999</v>
      </c>
      <c r="EP227">
        <v>1.8644700000000001</v>
      </c>
      <c r="EQ227">
        <v>1.87019</v>
      </c>
      <c r="ER227">
        <v>1.8694200000000001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0.182</v>
      </c>
      <c r="FG227">
        <v>0.21529999999999999</v>
      </c>
      <c r="FH227">
        <v>0.49996858830924029</v>
      </c>
      <c r="FI227">
        <v>-6.1462078757559423E-4</v>
      </c>
      <c r="FJ227">
        <v>-1.8861989874597051E-7</v>
      </c>
      <c r="FK227">
        <v>1.1980462299894961E-10</v>
      </c>
      <c r="FL227">
        <v>-3.8593581000597899E-2</v>
      </c>
      <c r="FM227">
        <v>-1.6848085045870601E-2</v>
      </c>
      <c r="FN227">
        <v>1.9789084769509481E-3</v>
      </c>
      <c r="FO227">
        <v>-2.7142391389806329E-5</v>
      </c>
      <c r="FP227">
        <v>3</v>
      </c>
      <c r="FQ227">
        <v>2158</v>
      </c>
      <c r="FR227">
        <v>1</v>
      </c>
      <c r="FS227">
        <v>19</v>
      </c>
      <c r="FT227">
        <v>44.1</v>
      </c>
      <c r="FU227">
        <v>44.1</v>
      </c>
      <c r="FV227">
        <v>1.7626999999999999</v>
      </c>
      <c r="FW227">
        <v>2.5891099999999998</v>
      </c>
      <c r="FX227">
        <v>1.5490699999999999</v>
      </c>
      <c r="FY227">
        <v>2.3315399999999999</v>
      </c>
      <c r="FZ227">
        <v>1.50146</v>
      </c>
      <c r="GA227">
        <v>2.36938</v>
      </c>
      <c r="GB227">
        <v>34.054499999999997</v>
      </c>
      <c r="GC227">
        <v>23.982399999999998</v>
      </c>
      <c r="GD227">
        <v>19</v>
      </c>
      <c r="GE227">
        <v>266.697</v>
      </c>
      <c r="GF227">
        <v>576.76800000000003</v>
      </c>
      <c r="GG227">
        <v>21.5627</v>
      </c>
      <c r="GH227">
        <v>26.0151</v>
      </c>
      <c r="GI227">
        <v>30</v>
      </c>
      <c r="GJ227">
        <v>26.185099999999998</v>
      </c>
      <c r="GK227">
        <v>26.181100000000001</v>
      </c>
      <c r="GL227">
        <v>35.235399999999998</v>
      </c>
      <c r="GM227">
        <v>100</v>
      </c>
      <c r="GN227">
        <v>0</v>
      </c>
      <c r="GO227">
        <v>21.553899999999999</v>
      </c>
      <c r="GP227">
        <v>800</v>
      </c>
      <c r="GQ227">
        <v>0</v>
      </c>
      <c r="GR227">
        <v>99.808000000000007</v>
      </c>
      <c r="GS227">
        <v>99.700100000000006</v>
      </c>
    </row>
    <row r="228" spans="1:201" x14ac:dyDescent="0.25">
      <c r="A228">
        <v>212</v>
      </c>
      <c r="B228">
        <v>1690308910.0999999</v>
      </c>
      <c r="C228">
        <v>2291.5</v>
      </c>
      <c r="D228" t="s">
        <v>757</v>
      </c>
      <c r="E228" t="s">
        <v>758</v>
      </c>
      <c r="F228" t="s">
        <v>330</v>
      </c>
      <c r="H228">
        <v>1690308910.0999999</v>
      </c>
      <c r="I228">
        <f t="shared" si="90"/>
        <v>2.0238593093950489E-3</v>
      </c>
      <c r="J228">
        <f t="shared" si="91"/>
        <v>2.023859309395049</v>
      </c>
      <c r="K228">
        <f t="shared" si="92"/>
        <v>30.875599852161717</v>
      </c>
      <c r="L228">
        <f t="shared" si="93"/>
        <v>469.19499999999999</v>
      </c>
      <c r="M228">
        <f t="shared" si="94"/>
        <v>140.31599741603213</v>
      </c>
      <c r="N228">
        <f t="shared" si="95"/>
        <v>13.934439051720462</v>
      </c>
      <c r="O228">
        <f t="shared" si="96"/>
        <v>46.594609675810005</v>
      </c>
      <c r="P228">
        <f t="shared" si="97"/>
        <v>0.15845173352116609</v>
      </c>
      <c r="Q228">
        <f t="shared" si="98"/>
        <v>2.1975736448766132</v>
      </c>
      <c r="R228">
        <f t="shared" si="99"/>
        <v>0.1523672722697032</v>
      </c>
      <c r="S228">
        <f t="shared" si="100"/>
        <v>9.5756742929402366E-2</v>
      </c>
      <c r="T228">
        <f t="shared" si="101"/>
        <v>276.11660129399996</v>
      </c>
      <c r="U228">
        <f t="shared" si="102"/>
        <v>25.850402628718896</v>
      </c>
      <c r="V228">
        <f t="shared" si="103"/>
        <v>25.850402628718896</v>
      </c>
      <c r="W228">
        <f t="shared" si="104"/>
        <v>3.3445041493741212</v>
      </c>
      <c r="X228">
        <f t="shared" si="105"/>
        <v>67.15073662531735</v>
      </c>
      <c r="Y228">
        <f t="shared" si="106"/>
        <v>2.0613269814059998</v>
      </c>
      <c r="Z228">
        <f t="shared" si="107"/>
        <v>3.0697012199696894</v>
      </c>
      <c r="AA228">
        <f t="shared" si="108"/>
        <v>1.2831771679681214</v>
      </c>
      <c r="AB228">
        <f t="shared" si="109"/>
        <v>-89.252195544321651</v>
      </c>
      <c r="AC228">
        <f t="shared" si="110"/>
        <v>-170.54592373717833</v>
      </c>
      <c r="AD228">
        <f t="shared" si="111"/>
        <v>-16.437339730529509</v>
      </c>
      <c r="AE228">
        <f t="shared" si="112"/>
        <v>-0.11885771802951695</v>
      </c>
      <c r="AF228">
        <v>12</v>
      </c>
      <c r="AG228">
        <v>4</v>
      </c>
      <c r="AH228">
        <f t="shared" si="113"/>
        <v>1</v>
      </c>
      <c r="AI228">
        <f t="shared" si="114"/>
        <v>0</v>
      </c>
      <c r="AJ228">
        <f t="shared" si="115"/>
        <v>52987.85967017027</v>
      </c>
      <c r="AK228">
        <f t="shared" si="116"/>
        <v>1800</v>
      </c>
      <c r="AL228">
        <f t="shared" si="117"/>
        <v>1499.1098094000001</v>
      </c>
      <c r="AM228">
        <f t="shared" si="118"/>
        <v>0.83283878300000003</v>
      </c>
      <c r="AN228">
        <f t="shared" si="119"/>
        <v>0.15339811182999999</v>
      </c>
      <c r="AO228">
        <v>31.2</v>
      </c>
      <c r="AP228">
        <v>0.5</v>
      </c>
      <c r="AQ228" t="s">
        <v>331</v>
      </c>
      <c r="AR228">
        <v>2</v>
      </c>
      <c r="AS228">
        <v>1690308910.0999999</v>
      </c>
      <c r="AT228">
        <v>469.19499999999999</v>
      </c>
      <c r="AU228">
        <v>800.00599999999997</v>
      </c>
      <c r="AV228">
        <v>20.757000000000001</v>
      </c>
      <c r="AW228">
        <v>0.15640299999999999</v>
      </c>
      <c r="AX228">
        <v>469.012</v>
      </c>
      <c r="AY228">
        <v>20.541899999999998</v>
      </c>
      <c r="AZ228">
        <v>300.15499999999997</v>
      </c>
      <c r="BA228">
        <v>99.207499999999996</v>
      </c>
      <c r="BB228">
        <v>0.10005799999999999</v>
      </c>
      <c r="BC228">
        <v>24.410900000000002</v>
      </c>
      <c r="BD228">
        <v>26.972100000000001</v>
      </c>
      <c r="BE228">
        <v>26.0701</v>
      </c>
      <c r="BF228">
        <v>0</v>
      </c>
      <c r="BG228">
        <v>0</v>
      </c>
      <c r="BH228">
        <v>10014.4</v>
      </c>
      <c r="BI228">
        <v>1043.1500000000001</v>
      </c>
      <c r="BJ228">
        <v>1.62592</v>
      </c>
      <c r="BK228">
        <v>-330.81200000000001</v>
      </c>
      <c r="BL228">
        <v>479.14</v>
      </c>
      <c r="BM228">
        <v>800.13199999999995</v>
      </c>
      <c r="BN228">
        <v>20.6006</v>
      </c>
      <c r="BO228">
        <v>800.00599999999997</v>
      </c>
      <c r="BP228">
        <v>0.15640299999999999</v>
      </c>
      <c r="BQ228">
        <v>2.05925</v>
      </c>
      <c r="BR228">
        <v>1.55163E-2</v>
      </c>
      <c r="BS228">
        <v>17.907399999999999</v>
      </c>
      <c r="BT228">
        <v>-41.841099999999997</v>
      </c>
      <c r="BU228">
        <v>1800</v>
      </c>
      <c r="BV228">
        <v>0.90997700000000004</v>
      </c>
      <c r="BW228">
        <v>3.40016E-2</v>
      </c>
      <c r="BX228">
        <v>2.2008400000000001E-2</v>
      </c>
      <c r="BY228">
        <v>3.4012899999999999E-2</v>
      </c>
      <c r="BZ228">
        <v>26</v>
      </c>
      <c r="CA228">
        <v>33528.199999999997</v>
      </c>
      <c r="CB228">
        <v>1690306253.5999999</v>
      </c>
      <c r="CC228" t="s">
        <v>332</v>
      </c>
      <c r="CD228">
        <v>1690306253.5999999</v>
      </c>
      <c r="CE228">
        <v>1690306251.5999999</v>
      </c>
      <c r="CF228">
        <v>9</v>
      </c>
      <c r="CG228">
        <v>0.19</v>
      </c>
      <c r="CH228">
        <v>-8.7999999999999995E-2</v>
      </c>
      <c r="CI228">
        <v>-5.0999999999999997E-2</v>
      </c>
      <c r="CJ228">
        <v>5.0999999999999997E-2</v>
      </c>
      <c r="CK228">
        <v>799</v>
      </c>
      <c r="CL228">
        <v>15</v>
      </c>
      <c r="CM228">
        <v>0.28000000000000003</v>
      </c>
      <c r="CN228">
        <v>0.03</v>
      </c>
      <c r="CO228">
        <v>-330.631775</v>
      </c>
      <c r="CP228">
        <v>-1.4973996247645129</v>
      </c>
      <c r="CQ228">
        <v>0.15925317696988359</v>
      </c>
      <c r="CR228">
        <v>-1</v>
      </c>
      <c r="CS228">
        <v>20.606024999999999</v>
      </c>
      <c r="CT228">
        <v>-5.4067542213910698E-2</v>
      </c>
      <c r="CU228">
        <v>5.4095170764126089E-3</v>
      </c>
      <c r="CV228">
        <v>-1</v>
      </c>
      <c r="CW228">
        <v>0</v>
      </c>
      <c r="CX228">
        <v>0</v>
      </c>
      <c r="CY228" t="s">
        <v>333</v>
      </c>
      <c r="CZ228">
        <v>2.3648400000000001</v>
      </c>
      <c r="DA228">
        <v>2.7138599999999999</v>
      </c>
      <c r="DB228">
        <v>0.100984</v>
      </c>
      <c r="DC228">
        <v>0.14620900000000001</v>
      </c>
      <c r="DD228">
        <v>0.102786</v>
      </c>
      <c r="DE228">
        <v>1.3191399999999999E-3</v>
      </c>
      <c r="DF228">
        <v>32848.5</v>
      </c>
      <c r="DG228">
        <v>27550.3</v>
      </c>
      <c r="DH228">
        <v>31192.2</v>
      </c>
      <c r="DI228">
        <v>28117.200000000001</v>
      </c>
      <c r="DJ228">
        <v>37999.300000000003</v>
      </c>
      <c r="DK228">
        <v>39942.699999999997</v>
      </c>
      <c r="DL228">
        <v>44394.8</v>
      </c>
      <c r="DM228">
        <v>42621.9</v>
      </c>
      <c r="DN228">
        <v>1.4394800000000001</v>
      </c>
      <c r="DO228">
        <v>2.0306000000000002</v>
      </c>
      <c r="DP228">
        <v>0.177816</v>
      </c>
      <c r="DQ228">
        <v>0.147484</v>
      </c>
      <c r="DR228">
        <v>24.056999999999999</v>
      </c>
      <c r="DS228">
        <v>23.6496</v>
      </c>
      <c r="DT228">
        <v>20.5</v>
      </c>
      <c r="DU228">
        <v>29.8</v>
      </c>
      <c r="DV228">
        <v>8.7033000000000005</v>
      </c>
      <c r="DW228">
        <v>61.427599999999998</v>
      </c>
      <c r="DX228">
        <v>36.5625</v>
      </c>
      <c r="DY228">
        <v>1</v>
      </c>
      <c r="DZ228">
        <v>-0.106128</v>
      </c>
      <c r="EA228">
        <v>1.09548</v>
      </c>
      <c r="EB228">
        <v>20.185600000000001</v>
      </c>
      <c r="EC228">
        <v>5.2408000000000001</v>
      </c>
      <c r="ED228">
        <v>12.039899999999999</v>
      </c>
      <c r="EE228">
        <v>5.0166500000000003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1.8689100000000001</v>
      </c>
      <c r="EL228">
        <v>1.8646199999999999</v>
      </c>
      <c r="EM228">
        <v>1.8692</v>
      </c>
      <c r="EN228">
        <v>1.8672299999999999</v>
      </c>
      <c r="EO228">
        <v>1.8633999999999999</v>
      </c>
      <c r="EP228">
        <v>1.8644700000000001</v>
      </c>
      <c r="EQ228">
        <v>1.8701700000000001</v>
      </c>
      <c r="ER228">
        <v>1.8694299999999999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0.183</v>
      </c>
      <c r="FG228">
        <v>0.21510000000000001</v>
      </c>
      <c r="FH228">
        <v>0.49996858830924029</v>
      </c>
      <c r="FI228">
        <v>-6.1462078757559423E-4</v>
      </c>
      <c r="FJ228">
        <v>-1.8861989874597051E-7</v>
      </c>
      <c r="FK228">
        <v>1.1980462299894961E-10</v>
      </c>
      <c r="FL228">
        <v>-3.8593581000597899E-2</v>
      </c>
      <c r="FM228">
        <v>-1.6848085045870601E-2</v>
      </c>
      <c r="FN228">
        <v>1.9789084769509481E-3</v>
      </c>
      <c r="FO228">
        <v>-2.7142391389806329E-5</v>
      </c>
      <c r="FP228">
        <v>3</v>
      </c>
      <c r="FQ228">
        <v>2158</v>
      </c>
      <c r="FR228">
        <v>1</v>
      </c>
      <c r="FS228">
        <v>19</v>
      </c>
      <c r="FT228">
        <v>44.3</v>
      </c>
      <c r="FU228">
        <v>44.3</v>
      </c>
      <c r="FV228">
        <v>1.7626999999999999</v>
      </c>
      <c r="FW228">
        <v>2.5854499999999998</v>
      </c>
      <c r="FX228">
        <v>1.5490699999999999</v>
      </c>
      <c r="FY228">
        <v>2.3315399999999999</v>
      </c>
      <c r="FZ228">
        <v>1.50146</v>
      </c>
      <c r="GA228">
        <v>2.3913600000000002</v>
      </c>
      <c r="GB228">
        <v>34.031799999999997</v>
      </c>
      <c r="GC228">
        <v>23.991199999999999</v>
      </c>
      <c r="GD228">
        <v>19</v>
      </c>
      <c r="GE228">
        <v>266.84100000000001</v>
      </c>
      <c r="GF228">
        <v>576.62199999999996</v>
      </c>
      <c r="GG228">
        <v>21.577200000000001</v>
      </c>
      <c r="GH228">
        <v>26.0151</v>
      </c>
      <c r="GI228">
        <v>29.9999</v>
      </c>
      <c r="GJ228">
        <v>26.1829</v>
      </c>
      <c r="GK228">
        <v>26.178899999999999</v>
      </c>
      <c r="GL228">
        <v>35.2333</v>
      </c>
      <c r="GM228">
        <v>100</v>
      </c>
      <c r="GN228">
        <v>0</v>
      </c>
      <c r="GO228">
        <v>21.592700000000001</v>
      </c>
      <c r="GP228">
        <v>800</v>
      </c>
      <c r="GQ228">
        <v>0</v>
      </c>
      <c r="GR228">
        <v>99.808700000000002</v>
      </c>
      <c r="GS228">
        <v>99.701800000000006</v>
      </c>
    </row>
    <row r="229" spans="1:201" x14ac:dyDescent="0.25">
      <c r="A229">
        <v>213</v>
      </c>
      <c r="B229">
        <v>1690308920.0999999</v>
      </c>
      <c r="C229">
        <v>2301.5</v>
      </c>
      <c r="D229" t="s">
        <v>759</v>
      </c>
      <c r="E229" t="s">
        <v>760</v>
      </c>
      <c r="F229" t="s">
        <v>330</v>
      </c>
      <c r="H229">
        <v>1690308920.0999999</v>
      </c>
      <c r="I229">
        <f t="shared" si="90"/>
        <v>2.0263693471239842E-3</v>
      </c>
      <c r="J229">
        <f t="shared" si="91"/>
        <v>2.0263693471239841</v>
      </c>
      <c r="K229">
        <f t="shared" si="92"/>
        <v>30.903711674399453</v>
      </c>
      <c r="L229">
        <f t="shared" si="93"/>
        <v>469.06099999999998</v>
      </c>
      <c r="M229">
        <f t="shared" si="94"/>
        <v>140.70003387336448</v>
      </c>
      <c r="N229">
        <f t="shared" si="95"/>
        <v>13.972644732597466</v>
      </c>
      <c r="O229">
        <f t="shared" si="96"/>
        <v>46.581529019500998</v>
      </c>
      <c r="P229">
        <f t="shared" si="97"/>
        <v>0.15886416577965912</v>
      </c>
      <c r="Q229">
        <f t="shared" si="98"/>
        <v>2.1967313143165637</v>
      </c>
      <c r="R229">
        <f t="shared" si="99"/>
        <v>0.15274639853735286</v>
      </c>
      <c r="S229">
        <f t="shared" si="100"/>
        <v>9.5996526567346918E-2</v>
      </c>
      <c r="T229">
        <f t="shared" si="101"/>
        <v>276.11670745800001</v>
      </c>
      <c r="U229">
        <f t="shared" si="102"/>
        <v>25.84885570737962</v>
      </c>
      <c r="V229">
        <f t="shared" si="103"/>
        <v>25.84885570737962</v>
      </c>
      <c r="W229">
        <f t="shared" si="104"/>
        <v>3.3441976742884703</v>
      </c>
      <c r="X229">
        <f t="shared" si="105"/>
        <v>67.197624801696435</v>
      </c>
      <c r="Y229">
        <f t="shared" si="106"/>
        <v>2.0626180807658998</v>
      </c>
      <c r="Z229">
        <f t="shared" si="107"/>
        <v>3.0694806354432758</v>
      </c>
      <c r="AA229">
        <f t="shared" si="108"/>
        <v>1.2815795935225704</v>
      </c>
      <c r="AB229">
        <f t="shared" si="109"/>
        <v>-89.362888208167703</v>
      </c>
      <c r="AC229">
        <f t="shared" si="110"/>
        <v>-170.43946748326871</v>
      </c>
      <c r="AD229">
        <f t="shared" si="111"/>
        <v>-16.433151152438583</v>
      </c>
      <c r="AE229">
        <f t="shared" si="112"/>
        <v>-0.1187993858750076</v>
      </c>
      <c r="AF229">
        <v>12</v>
      </c>
      <c r="AG229">
        <v>4</v>
      </c>
      <c r="AH229">
        <f t="shared" si="113"/>
        <v>1</v>
      </c>
      <c r="AI229">
        <f t="shared" si="114"/>
        <v>0</v>
      </c>
      <c r="AJ229">
        <f t="shared" si="115"/>
        <v>52953.279127153583</v>
      </c>
      <c r="AK229">
        <f t="shared" si="116"/>
        <v>1800</v>
      </c>
      <c r="AL229">
        <f t="shared" si="117"/>
        <v>1499.1112458</v>
      </c>
      <c r="AM229">
        <f t="shared" si="118"/>
        <v>0.832839581</v>
      </c>
      <c r="AN229">
        <f t="shared" si="119"/>
        <v>0.15339817081000001</v>
      </c>
      <c r="AO229">
        <v>31.2</v>
      </c>
      <c r="AP229">
        <v>0.5</v>
      </c>
      <c r="AQ229" t="s">
        <v>331</v>
      </c>
      <c r="AR229">
        <v>2</v>
      </c>
      <c r="AS229">
        <v>1690308920.0999999</v>
      </c>
      <c r="AT229">
        <v>469.06099999999998</v>
      </c>
      <c r="AU229">
        <v>799.98400000000004</v>
      </c>
      <c r="AV229">
        <v>20.7699</v>
      </c>
      <c r="AW229">
        <v>0.155838</v>
      </c>
      <c r="AX229">
        <v>468.87799999999999</v>
      </c>
      <c r="AY229">
        <v>20.554500000000001</v>
      </c>
      <c r="AZ229">
        <v>300.327</v>
      </c>
      <c r="BA229">
        <v>99.207899999999995</v>
      </c>
      <c r="BB229">
        <v>0.10014099999999999</v>
      </c>
      <c r="BC229">
        <v>24.409700000000001</v>
      </c>
      <c r="BD229">
        <v>27.000299999999999</v>
      </c>
      <c r="BE229">
        <v>26.075600000000001</v>
      </c>
      <c r="BF229">
        <v>0</v>
      </c>
      <c r="BG229">
        <v>0</v>
      </c>
      <c r="BH229">
        <v>10007.5</v>
      </c>
      <c r="BI229">
        <v>1043.28</v>
      </c>
      <c r="BJ229">
        <v>1.62592</v>
      </c>
      <c r="BK229">
        <v>-330.92399999999998</v>
      </c>
      <c r="BL229">
        <v>479.01</v>
      </c>
      <c r="BM229">
        <v>800.10900000000004</v>
      </c>
      <c r="BN229">
        <v>20.614100000000001</v>
      </c>
      <c r="BO229">
        <v>799.98400000000004</v>
      </c>
      <c r="BP229">
        <v>0.155838</v>
      </c>
      <c r="BQ229">
        <v>2.06054</v>
      </c>
      <c r="BR229">
        <v>1.5460399999999999E-2</v>
      </c>
      <c r="BS229">
        <v>17.917400000000001</v>
      </c>
      <c r="BT229">
        <v>-41.875</v>
      </c>
      <c r="BU229">
        <v>1800</v>
      </c>
      <c r="BV229">
        <v>0.90998000000000001</v>
      </c>
      <c r="BW229">
        <v>3.3998E-2</v>
      </c>
      <c r="BX229">
        <v>2.2008799999999999E-2</v>
      </c>
      <c r="BY229">
        <v>3.4013500000000002E-2</v>
      </c>
      <c r="BZ229">
        <v>26</v>
      </c>
      <c r="CA229">
        <v>33528.199999999997</v>
      </c>
      <c r="CB229">
        <v>1690306253.5999999</v>
      </c>
      <c r="CC229" t="s">
        <v>332</v>
      </c>
      <c r="CD229">
        <v>1690306253.5999999</v>
      </c>
      <c r="CE229">
        <v>1690306251.5999999</v>
      </c>
      <c r="CF229">
        <v>9</v>
      </c>
      <c r="CG229">
        <v>0.19</v>
      </c>
      <c r="CH229">
        <v>-8.7999999999999995E-2</v>
      </c>
      <c r="CI229">
        <v>-5.0999999999999997E-2</v>
      </c>
      <c r="CJ229">
        <v>5.0999999999999997E-2</v>
      </c>
      <c r="CK229">
        <v>799</v>
      </c>
      <c r="CL229">
        <v>15</v>
      </c>
      <c r="CM229">
        <v>0.28000000000000003</v>
      </c>
      <c r="CN229">
        <v>0.03</v>
      </c>
      <c r="CO229">
        <v>-330.82368292682929</v>
      </c>
      <c r="CP229">
        <v>-0.86621602787518792</v>
      </c>
      <c r="CQ229">
        <v>0.1054808823331245</v>
      </c>
      <c r="CR229">
        <v>-1</v>
      </c>
      <c r="CS229">
        <v>20.60413658536585</v>
      </c>
      <c r="CT229">
        <v>3.060418118464921E-2</v>
      </c>
      <c r="CU229">
        <v>4.1322500867320196E-3</v>
      </c>
      <c r="CV229">
        <v>-1</v>
      </c>
      <c r="CW229">
        <v>0</v>
      </c>
      <c r="CX229">
        <v>0</v>
      </c>
      <c r="CY229" t="s">
        <v>333</v>
      </c>
      <c r="CZ229">
        <v>2.3653900000000001</v>
      </c>
      <c r="DA229">
        <v>2.71394</v>
      </c>
      <c r="DB229">
        <v>0.100964</v>
      </c>
      <c r="DC229">
        <v>0.146207</v>
      </c>
      <c r="DD229">
        <v>0.10283200000000001</v>
      </c>
      <c r="DE229">
        <v>1.3144299999999999E-3</v>
      </c>
      <c r="DF229">
        <v>32849.1</v>
      </c>
      <c r="DG229">
        <v>27550.2</v>
      </c>
      <c r="DH229">
        <v>31192.1</v>
      </c>
      <c r="DI229">
        <v>28117</v>
      </c>
      <c r="DJ229">
        <v>37997.4</v>
      </c>
      <c r="DK229">
        <v>39942.9</v>
      </c>
      <c r="DL229">
        <v>44394.8</v>
      </c>
      <c r="DM229">
        <v>42621.9</v>
      </c>
      <c r="DN229">
        <v>1.4397500000000001</v>
      </c>
      <c r="DO229">
        <v>2.0303</v>
      </c>
      <c r="DP229">
        <v>0.17941699999999999</v>
      </c>
      <c r="DQ229">
        <v>0.14774499999999999</v>
      </c>
      <c r="DR229">
        <v>24.059000000000001</v>
      </c>
      <c r="DS229">
        <v>23.6509</v>
      </c>
      <c r="DT229">
        <v>20.5</v>
      </c>
      <c r="DU229">
        <v>29.8</v>
      </c>
      <c r="DV229">
        <v>8.7040500000000005</v>
      </c>
      <c r="DW229">
        <v>61.627600000000001</v>
      </c>
      <c r="DX229">
        <v>36.262</v>
      </c>
      <c r="DY229">
        <v>1</v>
      </c>
      <c r="DZ229">
        <v>-0.106583</v>
      </c>
      <c r="EA229">
        <v>1.0340400000000001</v>
      </c>
      <c r="EB229">
        <v>20.186299999999999</v>
      </c>
      <c r="EC229">
        <v>5.2409499999999998</v>
      </c>
      <c r="ED229">
        <v>12.039899999999999</v>
      </c>
      <c r="EE229">
        <v>5.0168999999999997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1.8689100000000001</v>
      </c>
      <c r="EL229">
        <v>1.8646199999999999</v>
      </c>
      <c r="EM229">
        <v>1.8692</v>
      </c>
      <c r="EN229">
        <v>1.86724</v>
      </c>
      <c r="EO229">
        <v>1.8633999999999999</v>
      </c>
      <c r="EP229">
        <v>1.8644799999999999</v>
      </c>
      <c r="EQ229">
        <v>1.87015</v>
      </c>
      <c r="ER229">
        <v>1.8694599999999999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0.183</v>
      </c>
      <c r="FG229">
        <v>0.21540000000000001</v>
      </c>
      <c r="FH229">
        <v>0.49996858830924029</v>
      </c>
      <c r="FI229">
        <v>-6.1462078757559423E-4</v>
      </c>
      <c r="FJ229">
        <v>-1.8861989874597051E-7</v>
      </c>
      <c r="FK229">
        <v>1.1980462299894961E-10</v>
      </c>
      <c r="FL229">
        <v>-3.8593581000597899E-2</v>
      </c>
      <c r="FM229">
        <v>-1.6848085045870601E-2</v>
      </c>
      <c r="FN229">
        <v>1.9789084769509481E-3</v>
      </c>
      <c r="FO229">
        <v>-2.7142391389806329E-5</v>
      </c>
      <c r="FP229">
        <v>3</v>
      </c>
      <c r="FQ229">
        <v>2158</v>
      </c>
      <c r="FR229">
        <v>1</v>
      </c>
      <c r="FS229">
        <v>19</v>
      </c>
      <c r="FT229">
        <v>44.4</v>
      </c>
      <c r="FU229">
        <v>44.5</v>
      </c>
      <c r="FV229">
        <v>1.7626999999999999</v>
      </c>
      <c r="FW229">
        <v>2.5964399999999999</v>
      </c>
      <c r="FX229">
        <v>1.5490699999999999</v>
      </c>
      <c r="FY229">
        <v>2.3315399999999999</v>
      </c>
      <c r="FZ229">
        <v>1.50146</v>
      </c>
      <c r="GA229">
        <v>2.3938000000000001</v>
      </c>
      <c r="GB229">
        <v>34.054499999999997</v>
      </c>
      <c r="GC229">
        <v>23.982399999999998</v>
      </c>
      <c r="GD229">
        <v>19</v>
      </c>
      <c r="GE229">
        <v>266.95299999999997</v>
      </c>
      <c r="GF229">
        <v>576.37599999999998</v>
      </c>
      <c r="GG229">
        <v>21.615200000000002</v>
      </c>
      <c r="GH229">
        <v>26.013000000000002</v>
      </c>
      <c r="GI229">
        <v>30</v>
      </c>
      <c r="GJ229">
        <v>26.1829</v>
      </c>
      <c r="GK229">
        <v>26.178899999999999</v>
      </c>
      <c r="GL229">
        <v>35.234299999999998</v>
      </c>
      <c r="GM229">
        <v>100</v>
      </c>
      <c r="GN229">
        <v>0</v>
      </c>
      <c r="GO229">
        <v>21.632100000000001</v>
      </c>
      <c r="GP229">
        <v>800</v>
      </c>
      <c r="GQ229">
        <v>0</v>
      </c>
      <c r="GR229">
        <v>99.808599999999998</v>
      </c>
      <c r="GS229">
        <v>99.701700000000002</v>
      </c>
    </row>
    <row r="230" spans="1:201" x14ac:dyDescent="0.25">
      <c r="A230">
        <v>214</v>
      </c>
      <c r="B230">
        <v>1690308930.0999999</v>
      </c>
      <c r="C230">
        <v>2311.5</v>
      </c>
      <c r="D230" t="s">
        <v>761</v>
      </c>
      <c r="E230" t="s">
        <v>762</v>
      </c>
      <c r="F230" t="s">
        <v>330</v>
      </c>
      <c r="H230">
        <v>1690308930.0999999</v>
      </c>
      <c r="I230">
        <f t="shared" si="90"/>
        <v>2.0266389857959933E-3</v>
      </c>
      <c r="J230">
        <f t="shared" si="91"/>
        <v>2.0266389857959934</v>
      </c>
      <c r="K230">
        <f t="shared" si="92"/>
        <v>30.903371708122297</v>
      </c>
      <c r="L230">
        <f t="shared" si="93"/>
        <v>468.81099999999998</v>
      </c>
      <c r="M230">
        <f t="shared" si="94"/>
        <v>140.84327370254411</v>
      </c>
      <c r="N230">
        <f t="shared" si="95"/>
        <v>13.986982457141691</v>
      </c>
      <c r="O230">
        <f t="shared" si="96"/>
        <v>46.557077667505297</v>
      </c>
      <c r="P230">
        <f t="shared" si="97"/>
        <v>0.15904464781016001</v>
      </c>
      <c r="Q230">
        <f t="shared" si="98"/>
        <v>2.202639528099493</v>
      </c>
      <c r="R230">
        <f t="shared" si="99"/>
        <v>0.15292902690551793</v>
      </c>
      <c r="S230">
        <f t="shared" si="100"/>
        <v>9.6110512529531691E-2</v>
      </c>
      <c r="T230">
        <f t="shared" si="101"/>
        <v>276.11654601600003</v>
      </c>
      <c r="U230">
        <f t="shared" si="102"/>
        <v>25.850432598939065</v>
      </c>
      <c r="V230">
        <f t="shared" si="103"/>
        <v>25.850432598939065</v>
      </c>
      <c r="W230">
        <f t="shared" si="104"/>
        <v>3.3445100872975924</v>
      </c>
      <c r="X230">
        <f t="shared" si="105"/>
        <v>67.231258907564367</v>
      </c>
      <c r="Y230">
        <f t="shared" si="106"/>
        <v>2.0642931813531802</v>
      </c>
      <c r="Z230">
        <f t="shared" si="107"/>
        <v>3.0704366018065463</v>
      </c>
      <c r="AA230">
        <f t="shared" si="108"/>
        <v>1.2802169059444122</v>
      </c>
      <c r="AB230">
        <f t="shared" si="109"/>
        <v>-89.374779273603309</v>
      </c>
      <c r="AC230">
        <f t="shared" si="110"/>
        <v>-170.46763314564919</v>
      </c>
      <c r="AD230">
        <f t="shared" si="111"/>
        <v>-16.392338742570274</v>
      </c>
      <c r="AE230">
        <f t="shared" si="112"/>
        <v>-0.11820514582271358</v>
      </c>
      <c r="AF230">
        <v>12</v>
      </c>
      <c r="AG230">
        <v>4</v>
      </c>
      <c r="AH230">
        <f t="shared" si="113"/>
        <v>1</v>
      </c>
      <c r="AI230">
        <f t="shared" si="114"/>
        <v>0</v>
      </c>
      <c r="AJ230">
        <f t="shared" si="115"/>
        <v>53196.779782367834</v>
      </c>
      <c r="AK230">
        <f t="shared" si="116"/>
        <v>1800</v>
      </c>
      <c r="AL230">
        <f t="shared" si="117"/>
        <v>1499.1115356</v>
      </c>
      <c r="AM230">
        <f t="shared" si="118"/>
        <v>0.83283974199999999</v>
      </c>
      <c r="AN230">
        <f t="shared" si="119"/>
        <v>0.15339808112</v>
      </c>
      <c r="AO230">
        <v>31.2</v>
      </c>
      <c r="AP230">
        <v>0.5</v>
      </c>
      <c r="AQ230" t="s">
        <v>331</v>
      </c>
      <c r="AR230">
        <v>2</v>
      </c>
      <c r="AS230">
        <v>1690308930.0999999</v>
      </c>
      <c r="AT230">
        <v>468.81099999999998</v>
      </c>
      <c r="AU230">
        <v>799.96799999999996</v>
      </c>
      <c r="AV230">
        <v>20.7866</v>
      </c>
      <c r="AW230">
        <v>0.15510199999999999</v>
      </c>
      <c r="AX230">
        <v>468.62799999999999</v>
      </c>
      <c r="AY230">
        <v>20.570599999999999</v>
      </c>
      <c r="AZ230">
        <v>300.108</v>
      </c>
      <c r="BA230">
        <v>99.2089</v>
      </c>
      <c r="BB230">
        <v>9.9942299999999998E-2</v>
      </c>
      <c r="BC230">
        <v>24.414899999999999</v>
      </c>
      <c r="BD230">
        <v>26.983899999999998</v>
      </c>
      <c r="BE230">
        <v>26.086400000000001</v>
      </c>
      <c r="BF230">
        <v>0</v>
      </c>
      <c r="BG230">
        <v>0</v>
      </c>
      <c r="BH230">
        <v>10055.6</v>
      </c>
      <c r="BI230">
        <v>1043.31</v>
      </c>
      <c r="BJ230">
        <v>1.62592</v>
      </c>
      <c r="BK230">
        <v>-331.15699999999998</v>
      </c>
      <c r="BL230">
        <v>478.76299999999998</v>
      </c>
      <c r="BM230">
        <v>800.09199999999998</v>
      </c>
      <c r="BN230">
        <v>20.631499999999999</v>
      </c>
      <c r="BO230">
        <v>799.96799999999996</v>
      </c>
      <c r="BP230">
        <v>0.15510199999999999</v>
      </c>
      <c r="BQ230">
        <v>2.0622099999999999</v>
      </c>
      <c r="BR230">
        <v>1.53875E-2</v>
      </c>
      <c r="BS230">
        <v>17.930299999999999</v>
      </c>
      <c r="BT230">
        <v>-41.919400000000003</v>
      </c>
      <c r="BU230">
        <v>1800</v>
      </c>
      <c r="BV230">
        <v>0.90998299999999999</v>
      </c>
      <c r="BW230">
        <v>3.3995200000000003E-2</v>
      </c>
      <c r="BX230">
        <v>2.20086E-2</v>
      </c>
      <c r="BY230">
        <v>3.40132E-2</v>
      </c>
      <c r="BZ230">
        <v>26</v>
      </c>
      <c r="CA230">
        <v>33528.199999999997</v>
      </c>
      <c r="CB230">
        <v>1690306253.5999999</v>
      </c>
      <c r="CC230" t="s">
        <v>332</v>
      </c>
      <c r="CD230">
        <v>1690306253.5999999</v>
      </c>
      <c r="CE230">
        <v>1690306251.5999999</v>
      </c>
      <c r="CF230">
        <v>9</v>
      </c>
      <c r="CG230">
        <v>0.19</v>
      </c>
      <c r="CH230">
        <v>-8.7999999999999995E-2</v>
      </c>
      <c r="CI230">
        <v>-5.0999999999999997E-2</v>
      </c>
      <c r="CJ230">
        <v>5.0999999999999997E-2</v>
      </c>
      <c r="CK230">
        <v>799</v>
      </c>
      <c r="CL230">
        <v>15</v>
      </c>
      <c r="CM230">
        <v>0.28000000000000003</v>
      </c>
      <c r="CN230">
        <v>0.03</v>
      </c>
      <c r="CO230">
        <v>-330.96458536585368</v>
      </c>
      <c r="CP230">
        <v>-1.013268292683122</v>
      </c>
      <c r="CQ230">
        <v>0.1199158191744551</v>
      </c>
      <c r="CR230">
        <v>-1</v>
      </c>
      <c r="CS230">
        <v>20.61293170731707</v>
      </c>
      <c r="CT230">
        <v>9.0282229965159097E-2</v>
      </c>
      <c r="CU230">
        <v>9.0093566274825048E-3</v>
      </c>
      <c r="CV230">
        <v>-1</v>
      </c>
      <c r="CW230">
        <v>0</v>
      </c>
      <c r="CX230">
        <v>0</v>
      </c>
      <c r="CY230" t="s">
        <v>333</v>
      </c>
      <c r="CZ230">
        <v>2.3646699999999998</v>
      </c>
      <c r="DA230">
        <v>2.7137799999999999</v>
      </c>
      <c r="DB230">
        <v>0.100925</v>
      </c>
      <c r="DC230">
        <v>0.146207</v>
      </c>
      <c r="DD230">
        <v>0.102891</v>
      </c>
      <c r="DE230">
        <v>1.3083000000000001E-3</v>
      </c>
      <c r="DF230">
        <v>32850.699999999997</v>
      </c>
      <c r="DG230">
        <v>27550.1</v>
      </c>
      <c r="DH230">
        <v>31192.3</v>
      </c>
      <c r="DI230">
        <v>28116.9</v>
      </c>
      <c r="DJ230">
        <v>37995.1</v>
      </c>
      <c r="DK230">
        <v>39942.9</v>
      </c>
      <c r="DL230">
        <v>44395.1</v>
      </c>
      <c r="DM230">
        <v>42621.599999999999</v>
      </c>
      <c r="DN230">
        <v>1.4390700000000001</v>
      </c>
      <c r="DO230">
        <v>2.0305</v>
      </c>
      <c r="DP230">
        <v>0.17832200000000001</v>
      </c>
      <c r="DQ230">
        <v>0.14836299999999999</v>
      </c>
      <c r="DR230">
        <v>24.060600000000001</v>
      </c>
      <c r="DS230">
        <v>23.651599999999998</v>
      </c>
      <c r="DT230">
        <v>20.399999999999999</v>
      </c>
      <c r="DU230">
        <v>29.8</v>
      </c>
      <c r="DV230">
        <v>8.6603700000000003</v>
      </c>
      <c r="DW230">
        <v>61.107599999999998</v>
      </c>
      <c r="DX230">
        <v>36.510399999999997</v>
      </c>
      <c r="DY230">
        <v>1</v>
      </c>
      <c r="DZ230">
        <v>-0.106143</v>
      </c>
      <c r="EA230">
        <v>1.0638099999999999</v>
      </c>
      <c r="EB230">
        <v>20.186</v>
      </c>
      <c r="EC230">
        <v>5.2411000000000003</v>
      </c>
      <c r="ED230">
        <v>12.039899999999999</v>
      </c>
      <c r="EE230">
        <v>5.0170000000000003</v>
      </c>
      <c r="EF230">
        <v>3.2879999999999998</v>
      </c>
      <c r="EG230">
        <v>9999</v>
      </c>
      <c r="EH230">
        <v>9999</v>
      </c>
      <c r="EI230">
        <v>9999</v>
      </c>
      <c r="EJ230">
        <v>999.9</v>
      </c>
      <c r="EK230">
        <v>1.8689100000000001</v>
      </c>
      <c r="EL230">
        <v>1.8646199999999999</v>
      </c>
      <c r="EM230">
        <v>1.8692</v>
      </c>
      <c r="EN230">
        <v>1.8672200000000001</v>
      </c>
      <c r="EO230">
        <v>1.8633900000000001</v>
      </c>
      <c r="EP230">
        <v>1.8644700000000001</v>
      </c>
      <c r="EQ230">
        <v>1.8701700000000001</v>
      </c>
      <c r="ER230">
        <v>1.86941</v>
      </c>
      <c r="ES230">
        <v>0</v>
      </c>
      <c r="ET230">
        <v>0</v>
      </c>
      <c r="EU230">
        <v>0</v>
      </c>
      <c r="EV230">
        <v>0</v>
      </c>
      <c r="EW230" t="s">
        <v>334</v>
      </c>
      <c r="EX230" t="s">
        <v>335</v>
      </c>
      <c r="EY230" t="s">
        <v>336</v>
      </c>
      <c r="EZ230" t="s">
        <v>336</v>
      </c>
      <c r="FA230" t="s">
        <v>336</v>
      </c>
      <c r="FB230" t="s">
        <v>336</v>
      </c>
      <c r="FC230">
        <v>0</v>
      </c>
      <c r="FD230">
        <v>100</v>
      </c>
      <c r="FE230">
        <v>100</v>
      </c>
      <c r="FF230">
        <v>0.183</v>
      </c>
      <c r="FG230">
        <v>0.216</v>
      </c>
      <c r="FH230">
        <v>0.49996858830924029</v>
      </c>
      <c r="FI230">
        <v>-6.1462078757559423E-4</v>
      </c>
      <c r="FJ230">
        <v>-1.8861989874597051E-7</v>
      </c>
      <c r="FK230">
        <v>1.1980462299894961E-10</v>
      </c>
      <c r="FL230">
        <v>-3.8593581000597899E-2</v>
      </c>
      <c r="FM230">
        <v>-1.6848085045870601E-2</v>
      </c>
      <c r="FN230">
        <v>1.9789084769509481E-3</v>
      </c>
      <c r="FO230">
        <v>-2.7142391389806329E-5</v>
      </c>
      <c r="FP230">
        <v>3</v>
      </c>
      <c r="FQ230">
        <v>2158</v>
      </c>
      <c r="FR230">
        <v>1</v>
      </c>
      <c r="FS230">
        <v>19</v>
      </c>
      <c r="FT230">
        <v>44.6</v>
      </c>
      <c r="FU230">
        <v>44.6</v>
      </c>
      <c r="FV230">
        <v>1.7626999999999999</v>
      </c>
      <c r="FW230">
        <v>2.5939899999999998</v>
      </c>
      <c r="FX230">
        <v>1.5490699999999999</v>
      </c>
      <c r="FY230">
        <v>2.3315399999999999</v>
      </c>
      <c r="FZ230">
        <v>1.50146</v>
      </c>
      <c r="GA230">
        <v>2.3803700000000001</v>
      </c>
      <c r="GB230">
        <v>34.031799999999997</v>
      </c>
      <c r="GC230">
        <v>23.982399999999998</v>
      </c>
      <c r="GD230">
        <v>19</v>
      </c>
      <c r="GE230">
        <v>266.66899999999998</v>
      </c>
      <c r="GF230">
        <v>576.51499999999999</v>
      </c>
      <c r="GG230">
        <v>21.6403</v>
      </c>
      <c r="GH230">
        <v>26.013000000000002</v>
      </c>
      <c r="GI230">
        <v>30.000299999999999</v>
      </c>
      <c r="GJ230">
        <v>26.180700000000002</v>
      </c>
      <c r="GK230">
        <v>26.1767</v>
      </c>
      <c r="GL230">
        <v>35.233199999999997</v>
      </c>
      <c r="GM230">
        <v>100</v>
      </c>
      <c r="GN230">
        <v>0</v>
      </c>
      <c r="GO230">
        <v>21.648700000000002</v>
      </c>
      <c r="GP230">
        <v>800</v>
      </c>
      <c r="GQ230">
        <v>0</v>
      </c>
      <c r="GR230">
        <v>99.809200000000004</v>
      </c>
      <c r="GS230">
        <v>99.701099999999997</v>
      </c>
    </row>
    <row r="231" spans="1:201" x14ac:dyDescent="0.25">
      <c r="A231">
        <v>215</v>
      </c>
      <c r="B231">
        <v>1690308940.0999999</v>
      </c>
      <c r="C231">
        <v>2321.5</v>
      </c>
      <c r="D231" t="s">
        <v>763</v>
      </c>
      <c r="E231" t="s">
        <v>764</v>
      </c>
      <c r="F231" t="s">
        <v>330</v>
      </c>
      <c r="H231">
        <v>1690308940.0999999</v>
      </c>
      <c r="I231">
        <f t="shared" si="90"/>
        <v>2.0281011140641635E-3</v>
      </c>
      <c r="J231">
        <f t="shared" si="91"/>
        <v>2.0281011140641634</v>
      </c>
      <c r="K231">
        <f t="shared" si="92"/>
        <v>30.928127740973249</v>
      </c>
      <c r="L231">
        <f t="shared" si="93"/>
        <v>468.58100000000002</v>
      </c>
      <c r="M231">
        <f t="shared" si="94"/>
        <v>140.35666838969823</v>
      </c>
      <c r="N231">
        <f t="shared" si="95"/>
        <v>13.938953585367562</v>
      </c>
      <c r="O231">
        <f t="shared" si="96"/>
        <v>46.535222621916503</v>
      </c>
      <c r="P231">
        <f t="shared" si="97"/>
        <v>0.15906334209177392</v>
      </c>
      <c r="Q231">
        <f t="shared" si="98"/>
        <v>2.1946947782766695</v>
      </c>
      <c r="R231">
        <f t="shared" si="99"/>
        <v>0.15292508873569516</v>
      </c>
      <c r="S231">
        <f t="shared" si="100"/>
        <v>9.6109941539177263E-2</v>
      </c>
      <c r="T231">
        <f t="shared" si="101"/>
        <v>276.11655208200006</v>
      </c>
      <c r="U231">
        <f t="shared" si="102"/>
        <v>25.861568803159923</v>
      </c>
      <c r="V231">
        <f t="shared" si="103"/>
        <v>25.861568803159923</v>
      </c>
      <c r="W231">
        <f t="shared" si="104"/>
        <v>3.3467171126163717</v>
      </c>
      <c r="X231">
        <f t="shared" si="105"/>
        <v>67.24403054596894</v>
      </c>
      <c r="Y231">
        <f t="shared" si="106"/>
        <v>2.0655385829695501</v>
      </c>
      <c r="Z231">
        <f t="shared" si="107"/>
        <v>3.0717054974233284</v>
      </c>
      <c r="AA231">
        <f t="shared" si="108"/>
        <v>1.2811785296468217</v>
      </c>
      <c r="AB231">
        <f t="shared" si="109"/>
        <v>-89.439259130229615</v>
      </c>
      <c r="AC231">
        <f t="shared" si="110"/>
        <v>-170.35399893738801</v>
      </c>
      <c r="AD231">
        <f t="shared" si="111"/>
        <v>-16.442204464181128</v>
      </c>
      <c r="AE231">
        <f t="shared" si="112"/>
        <v>-0.118910449798733</v>
      </c>
      <c r="AF231">
        <v>12</v>
      </c>
      <c r="AG231">
        <v>4</v>
      </c>
      <c r="AH231">
        <f t="shared" si="113"/>
        <v>1</v>
      </c>
      <c r="AI231">
        <f t="shared" si="114"/>
        <v>0</v>
      </c>
      <c r="AJ231">
        <f t="shared" si="115"/>
        <v>52867.107776072029</v>
      </c>
      <c r="AK231">
        <f t="shared" si="116"/>
        <v>1800</v>
      </c>
      <c r="AL231">
        <f t="shared" si="117"/>
        <v>1499.1105671999999</v>
      </c>
      <c r="AM231">
        <f t="shared" si="118"/>
        <v>0.83283920399999989</v>
      </c>
      <c r="AN231">
        <f t="shared" si="119"/>
        <v>0.15339808449000003</v>
      </c>
      <c r="AO231">
        <v>31.2</v>
      </c>
      <c r="AP231">
        <v>0.5</v>
      </c>
      <c r="AQ231" t="s">
        <v>331</v>
      </c>
      <c r="AR231">
        <v>2</v>
      </c>
      <c r="AS231">
        <v>1690308940.0999999</v>
      </c>
      <c r="AT231">
        <v>468.58100000000002</v>
      </c>
      <c r="AU231">
        <v>799.95899999999995</v>
      </c>
      <c r="AV231">
        <v>20.7987</v>
      </c>
      <c r="AW231">
        <v>0.15498000000000001</v>
      </c>
      <c r="AX231">
        <v>468.39800000000002</v>
      </c>
      <c r="AY231">
        <v>20.5824</v>
      </c>
      <c r="AZ231">
        <v>300.14299999999997</v>
      </c>
      <c r="BA231">
        <v>99.210999999999999</v>
      </c>
      <c r="BB231">
        <v>9.9946499999999994E-2</v>
      </c>
      <c r="BC231">
        <v>24.421800000000001</v>
      </c>
      <c r="BD231">
        <v>26.998699999999999</v>
      </c>
      <c r="BE231">
        <v>26.1221</v>
      </c>
      <c r="BF231">
        <v>0</v>
      </c>
      <c r="BG231">
        <v>0</v>
      </c>
      <c r="BH231">
        <v>9990.6200000000008</v>
      </c>
      <c r="BI231">
        <v>1043.45</v>
      </c>
      <c r="BJ231">
        <v>1.62592</v>
      </c>
      <c r="BK231">
        <v>-331.37799999999999</v>
      </c>
      <c r="BL231">
        <v>478.53399999999999</v>
      </c>
      <c r="BM231">
        <v>800.08299999999997</v>
      </c>
      <c r="BN231">
        <v>20.643699999999999</v>
      </c>
      <c r="BO231">
        <v>799.95899999999995</v>
      </c>
      <c r="BP231">
        <v>0.15498000000000001</v>
      </c>
      <c r="BQ231">
        <v>2.0634600000000001</v>
      </c>
      <c r="BR231">
        <v>1.5375700000000001E-2</v>
      </c>
      <c r="BS231">
        <v>17.939900000000002</v>
      </c>
      <c r="BT231">
        <v>-41.926699999999997</v>
      </c>
      <c r="BU231">
        <v>1800</v>
      </c>
      <c r="BV231">
        <v>0.90998000000000001</v>
      </c>
      <c r="BW231">
        <v>3.3997800000000002E-2</v>
      </c>
      <c r="BX231">
        <v>2.2008699999999999E-2</v>
      </c>
      <c r="BY231">
        <v>3.4013300000000003E-2</v>
      </c>
      <c r="BZ231">
        <v>26</v>
      </c>
      <c r="CA231">
        <v>33528.199999999997</v>
      </c>
      <c r="CB231">
        <v>1690306253.5999999</v>
      </c>
      <c r="CC231" t="s">
        <v>332</v>
      </c>
      <c r="CD231">
        <v>1690306253.5999999</v>
      </c>
      <c r="CE231">
        <v>1690306251.5999999</v>
      </c>
      <c r="CF231">
        <v>9</v>
      </c>
      <c r="CG231">
        <v>0.19</v>
      </c>
      <c r="CH231">
        <v>-8.7999999999999995E-2</v>
      </c>
      <c r="CI231">
        <v>-5.0999999999999997E-2</v>
      </c>
      <c r="CJ231">
        <v>5.0999999999999997E-2</v>
      </c>
      <c r="CK231">
        <v>799</v>
      </c>
      <c r="CL231">
        <v>15</v>
      </c>
      <c r="CM231">
        <v>0.28000000000000003</v>
      </c>
      <c r="CN231">
        <v>0.03</v>
      </c>
      <c r="CO231">
        <v>-331.14642500000002</v>
      </c>
      <c r="CP231">
        <v>-1.212551594746623</v>
      </c>
      <c r="CQ231">
        <v>0.1248404757080013</v>
      </c>
      <c r="CR231">
        <v>-1</v>
      </c>
      <c r="CS231">
        <v>20.628924999999999</v>
      </c>
      <c r="CT231">
        <v>8.8887804878024723E-2</v>
      </c>
      <c r="CU231">
        <v>8.7036702028512169E-3</v>
      </c>
      <c r="CV231">
        <v>-1</v>
      </c>
      <c r="CW231">
        <v>0</v>
      </c>
      <c r="CX231">
        <v>0</v>
      </c>
      <c r="CY231" t="s">
        <v>333</v>
      </c>
      <c r="CZ231">
        <v>2.3647900000000002</v>
      </c>
      <c r="DA231">
        <v>2.71373</v>
      </c>
      <c r="DB231">
        <v>0.10089099999999999</v>
      </c>
      <c r="DC231">
        <v>0.14620900000000001</v>
      </c>
      <c r="DD231">
        <v>0.102935</v>
      </c>
      <c r="DE231">
        <v>1.3073E-3</v>
      </c>
      <c r="DF231">
        <v>32851.599999999999</v>
      </c>
      <c r="DG231">
        <v>27550.7</v>
      </c>
      <c r="DH231">
        <v>31191.9</v>
      </c>
      <c r="DI231">
        <v>28117.5</v>
      </c>
      <c r="DJ231">
        <v>37992.800000000003</v>
      </c>
      <c r="DK231">
        <v>39943.699999999997</v>
      </c>
      <c r="DL231">
        <v>44394.6</v>
      </c>
      <c r="DM231">
        <v>42622.5</v>
      </c>
      <c r="DN231">
        <v>1.4393800000000001</v>
      </c>
      <c r="DO231">
        <v>2.0305</v>
      </c>
      <c r="DP231">
        <v>0.17929800000000001</v>
      </c>
      <c r="DQ231">
        <v>0.15046399999999999</v>
      </c>
      <c r="DR231">
        <v>24.0593</v>
      </c>
      <c r="DS231">
        <v>23.652899999999999</v>
      </c>
      <c r="DT231">
        <v>20.399999999999999</v>
      </c>
      <c r="DU231">
        <v>29.8</v>
      </c>
      <c r="DV231">
        <v>8.6610499999999995</v>
      </c>
      <c r="DW231">
        <v>61.637599999999999</v>
      </c>
      <c r="DX231">
        <v>36.999200000000002</v>
      </c>
      <c r="DY231">
        <v>1</v>
      </c>
      <c r="DZ231">
        <v>-0.106474</v>
      </c>
      <c r="EA231">
        <v>1.03877</v>
      </c>
      <c r="EB231">
        <v>20.186399999999999</v>
      </c>
      <c r="EC231">
        <v>5.2411000000000003</v>
      </c>
      <c r="ED231">
        <v>12.039899999999999</v>
      </c>
      <c r="EE231">
        <v>5.01675</v>
      </c>
      <c r="EF231">
        <v>3.2879999999999998</v>
      </c>
      <c r="EG231">
        <v>9999</v>
      </c>
      <c r="EH231">
        <v>9999</v>
      </c>
      <c r="EI231">
        <v>9999</v>
      </c>
      <c r="EJ231">
        <v>999.9</v>
      </c>
      <c r="EK231">
        <v>1.8689199999999999</v>
      </c>
      <c r="EL231">
        <v>1.8646199999999999</v>
      </c>
      <c r="EM231">
        <v>1.8692</v>
      </c>
      <c r="EN231">
        <v>1.8672500000000001</v>
      </c>
      <c r="EO231">
        <v>1.8633999999999999</v>
      </c>
      <c r="EP231">
        <v>1.8644700000000001</v>
      </c>
      <c r="EQ231">
        <v>1.8701700000000001</v>
      </c>
      <c r="ER231">
        <v>1.8694500000000001</v>
      </c>
      <c r="ES231">
        <v>0</v>
      </c>
      <c r="ET231">
        <v>0</v>
      </c>
      <c r="EU231">
        <v>0</v>
      </c>
      <c r="EV231">
        <v>0</v>
      </c>
      <c r="EW231" t="s">
        <v>334</v>
      </c>
      <c r="EX231" t="s">
        <v>335</v>
      </c>
      <c r="EY231" t="s">
        <v>336</v>
      </c>
      <c r="EZ231" t="s">
        <v>336</v>
      </c>
      <c r="FA231" t="s">
        <v>336</v>
      </c>
      <c r="FB231" t="s">
        <v>336</v>
      </c>
      <c r="FC231">
        <v>0</v>
      </c>
      <c r="FD231">
        <v>100</v>
      </c>
      <c r="FE231">
        <v>100</v>
      </c>
      <c r="FF231">
        <v>0.183</v>
      </c>
      <c r="FG231">
        <v>0.21629999999999999</v>
      </c>
      <c r="FH231">
        <v>0.49996858830924029</v>
      </c>
      <c r="FI231">
        <v>-6.1462078757559423E-4</v>
      </c>
      <c r="FJ231">
        <v>-1.8861989874597051E-7</v>
      </c>
      <c r="FK231">
        <v>1.1980462299894961E-10</v>
      </c>
      <c r="FL231">
        <v>-3.8593581000597899E-2</v>
      </c>
      <c r="FM231">
        <v>-1.6848085045870601E-2</v>
      </c>
      <c r="FN231">
        <v>1.9789084769509481E-3</v>
      </c>
      <c r="FO231">
        <v>-2.7142391389806329E-5</v>
      </c>
      <c r="FP231">
        <v>3</v>
      </c>
      <c r="FQ231">
        <v>2158</v>
      </c>
      <c r="FR231">
        <v>1</v>
      </c>
      <c r="FS231">
        <v>19</v>
      </c>
      <c r="FT231">
        <v>44.8</v>
      </c>
      <c r="FU231">
        <v>44.8</v>
      </c>
      <c r="FV231">
        <v>1.7626999999999999</v>
      </c>
      <c r="FW231">
        <v>2.5939899999999998</v>
      </c>
      <c r="FX231">
        <v>1.5490699999999999</v>
      </c>
      <c r="FY231">
        <v>2.3315399999999999</v>
      </c>
      <c r="FZ231">
        <v>1.50146</v>
      </c>
      <c r="GA231">
        <v>2.3938000000000001</v>
      </c>
      <c r="GB231">
        <v>34.054499999999997</v>
      </c>
      <c r="GC231">
        <v>23.982399999999998</v>
      </c>
      <c r="GD231">
        <v>19</v>
      </c>
      <c r="GE231">
        <v>266.79199999999997</v>
      </c>
      <c r="GF231">
        <v>576.51499999999999</v>
      </c>
      <c r="GG231">
        <v>21.662800000000001</v>
      </c>
      <c r="GH231">
        <v>26.0108</v>
      </c>
      <c r="GI231">
        <v>30.0001</v>
      </c>
      <c r="GJ231">
        <v>26.180700000000002</v>
      </c>
      <c r="GK231">
        <v>26.1767</v>
      </c>
      <c r="GL231">
        <v>35.235100000000003</v>
      </c>
      <c r="GM231">
        <v>100</v>
      </c>
      <c r="GN231">
        <v>0</v>
      </c>
      <c r="GO231">
        <v>21.676100000000002</v>
      </c>
      <c r="GP231">
        <v>800</v>
      </c>
      <c r="GQ231">
        <v>0</v>
      </c>
      <c r="GR231">
        <v>99.808199999999999</v>
      </c>
      <c r="GS231">
        <v>99.703100000000006</v>
      </c>
    </row>
    <row r="232" spans="1:201" x14ac:dyDescent="0.25">
      <c r="A232">
        <v>216</v>
      </c>
      <c r="B232">
        <v>1690308950.0999999</v>
      </c>
      <c r="C232">
        <v>2331.5</v>
      </c>
      <c r="D232" t="s">
        <v>765</v>
      </c>
      <c r="E232" t="s">
        <v>766</v>
      </c>
      <c r="F232" t="s">
        <v>330</v>
      </c>
      <c r="H232">
        <v>1690308950.0999999</v>
      </c>
      <c r="I232">
        <f t="shared" si="90"/>
        <v>2.0282239303638936E-3</v>
      </c>
      <c r="J232">
        <f t="shared" si="91"/>
        <v>2.0282239303638936</v>
      </c>
      <c r="K232">
        <f t="shared" si="92"/>
        <v>30.917450261105024</v>
      </c>
      <c r="L232">
        <f t="shared" si="93"/>
        <v>468.63400000000001</v>
      </c>
      <c r="M232">
        <f t="shared" si="94"/>
        <v>140.60053861804357</v>
      </c>
      <c r="N232">
        <f t="shared" si="95"/>
        <v>13.963083638727033</v>
      </c>
      <c r="O232">
        <f t="shared" si="96"/>
        <v>46.540189691076002</v>
      </c>
      <c r="P232">
        <f t="shared" si="97"/>
        <v>0.15910992437960186</v>
      </c>
      <c r="Q232">
        <f t="shared" si="98"/>
        <v>2.1927633211557365</v>
      </c>
      <c r="R232">
        <f t="shared" si="99"/>
        <v>0.15296296484872948</v>
      </c>
      <c r="S232">
        <f t="shared" si="100"/>
        <v>9.613434606172859E-2</v>
      </c>
      <c r="T232">
        <f t="shared" si="101"/>
        <v>276.11646955200001</v>
      </c>
      <c r="U232">
        <f t="shared" si="102"/>
        <v>25.86258370014087</v>
      </c>
      <c r="V232">
        <f t="shared" si="103"/>
        <v>25.86258370014087</v>
      </c>
      <c r="W232">
        <f t="shared" si="104"/>
        <v>3.3469183129077718</v>
      </c>
      <c r="X232">
        <f t="shared" si="105"/>
        <v>67.2592004353547</v>
      </c>
      <c r="Y232">
        <f t="shared" si="106"/>
        <v>2.0659921862676001</v>
      </c>
      <c r="Z232">
        <f t="shared" si="107"/>
        <v>3.0716871043587579</v>
      </c>
      <c r="AA232">
        <f t="shared" si="108"/>
        <v>1.2809261266401717</v>
      </c>
      <c r="AB232">
        <f t="shared" si="109"/>
        <v>-89.444675329047712</v>
      </c>
      <c r="AC232">
        <f t="shared" si="110"/>
        <v>-170.33587660724382</v>
      </c>
      <c r="AD232">
        <f t="shared" si="111"/>
        <v>-16.455012512831637</v>
      </c>
      <c r="AE232">
        <f t="shared" si="112"/>
        <v>-0.11909489712311938</v>
      </c>
      <c r="AF232">
        <v>12</v>
      </c>
      <c r="AG232">
        <v>4</v>
      </c>
      <c r="AH232">
        <f t="shared" si="113"/>
        <v>1</v>
      </c>
      <c r="AI232">
        <f t="shared" si="114"/>
        <v>0</v>
      </c>
      <c r="AJ232">
        <f t="shared" si="115"/>
        <v>52787.438727716326</v>
      </c>
      <c r="AK232">
        <f t="shared" si="116"/>
        <v>1800</v>
      </c>
      <c r="AL232">
        <f t="shared" si="117"/>
        <v>1499.1112062</v>
      </c>
      <c r="AM232">
        <f t="shared" si="118"/>
        <v>0.83283955899999995</v>
      </c>
      <c r="AN232">
        <f t="shared" si="119"/>
        <v>0.15339803864000001</v>
      </c>
      <c r="AO232">
        <v>31.2</v>
      </c>
      <c r="AP232">
        <v>0.5</v>
      </c>
      <c r="AQ232" t="s">
        <v>331</v>
      </c>
      <c r="AR232">
        <v>2</v>
      </c>
      <c r="AS232">
        <v>1690308950.0999999</v>
      </c>
      <c r="AT232">
        <v>468.63400000000001</v>
      </c>
      <c r="AU232">
        <v>799.98</v>
      </c>
      <c r="AV232">
        <v>20.8034</v>
      </c>
      <c r="AW232">
        <v>0.15371299999999999</v>
      </c>
      <c r="AX232">
        <v>468.45100000000002</v>
      </c>
      <c r="AY232">
        <v>20.587</v>
      </c>
      <c r="AZ232">
        <v>300.07299999999998</v>
      </c>
      <c r="BA232">
        <v>99.210300000000004</v>
      </c>
      <c r="BB232">
        <v>0.10001400000000001</v>
      </c>
      <c r="BC232">
        <v>24.421700000000001</v>
      </c>
      <c r="BD232">
        <v>27.0154</v>
      </c>
      <c r="BE232">
        <v>26.118099999999998</v>
      </c>
      <c r="BF232">
        <v>0</v>
      </c>
      <c r="BG232">
        <v>0</v>
      </c>
      <c r="BH232">
        <v>9975</v>
      </c>
      <c r="BI232">
        <v>1043.46</v>
      </c>
      <c r="BJ232">
        <v>1.62592</v>
      </c>
      <c r="BK232">
        <v>-331.346</v>
      </c>
      <c r="BL232">
        <v>478.59</v>
      </c>
      <c r="BM232">
        <v>800.10299999999995</v>
      </c>
      <c r="BN232">
        <v>20.649699999999999</v>
      </c>
      <c r="BO232">
        <v>799.98</v>
      </c>
      <c r="BP232">
        <v>0.15371299999999999</v>
      </c>
      <c r="BQ232">
        <v>2.0639099999999999</v>
      </c>
      <c r="BR232">
        <v>1.52499E-2</v>
      </c>
      <c r="BS232">
        <v>17.9434</v>
      </c>
      <c r="BT232">
        <v>-42.003799999999998</v>
      </c>
      <c r="BU232">
        <v>1800</v>
      </c>
      <c r="BV232">
        <v>0.90998299999999999</v>
      </c>
      <c r="BW232">
        <v>3.39946E-2</v>
      </c>
      <c r="BX232">
        <v>2.2008699999999999E-2</v>
      </c>
      <c r="BY232">
        <v>3.4013399999999999E-2</v>
      </c>
      <c r="BZ232">
        <v>26</v>
      </c>
      <c r="CA232">
        <v>33528.199999999997</v>
      </c>
      <c r="CB232">
        <v>1690306253.5999999</v>
      </c>
      <c r="CC232" t="s">
        <v>332</v>
      </c>
      <c r="CD232">
        <v>1690306253.5999999</v>
      </c>
      <c r="CE232">
        <v>1690306251.5999999</v>
      </c>
      <c r="CF232">
        <v>9</v>
      </c>
      <c r="CG232">
        <v>0.19</v>
      </c>
      <c r="CH232">
        <v>-8.7999999999999995E-2</v>
      </c>
      <c r="CI232">
        <v>-5.0999999999999997E-2</v>
      </c>
      <c r="CJ232">
        <v>5.0999999999999997E-2</v>
      </c>
      <c r="CK232">
        <v>799</v>
      </c>
      <c r="CL232">
        <v>15</v>
      </c>
      <c r="CM232">
        <v>0.28000000000000003</v>
      </c>
      <c r="CN232">
        <v>0.03</v>
      </c>
      <c r="CO232">
        <v>-331.34109756097558</v>
      </c>
      <c r="CP232">
        <v>-0.95266202090611529</v>
      </c>
      <c r="CQ232">
        <v>0.1245007209065308</v>
      </c>
      <c r="CR232">
        <v>-1</v>
      </c>
      <c r="CS232">
        <v>20.643297560975611</v>
      </c>
      <c r="CT232">
        <v>7.2156794425064855E-2</v>
      </c>
      <c r="CU232">
        <v>7.4748517500554399E-3</v>
      </c>
      <c r="CV232">
        <v>-1</v>
      </c>
      <c r="CW232">
        <v>0</v>
      </c>
      <c r="CX232">
        <v>0</v>
      </c>
      <c r="CY232" t="s">
        <v>333</v>
      </c>
      <c r="CZ232">
        <v>2.36456</v>
      </c>
      <c r="DA232">
        <v>2.7137799999999999</v>
      </c>
      <c r="DB232">
        <v>0.100899</v>
      </c>
      <c r="DC232">
        <v>0.14621100000000001</v>
      </c>
      <c r="DD232">
        <v>0.102951</v>
      </c>
      <c r="DE232">
        <v>1.2967199999999999E-3</v>
      </c>
      <c r="DF232">
        <v>32851.800000000003</v>
      </c>
      <c r="DG232">
        <v>27550.7</v>
      </c>
      <c r="DH232">
        <v>31192.400000000001</v>
      </c>
      <c r="DI232">
        <v>28117.7</v>
      </c>
      <c r="DJ232">
        <v>37992.6</v>
      </c>
      <c r="DK232">
        <v>39944.400000000001</v>
      </c>
      <c r="DL232">
        <v>44395.1</v>
      </c>
      <c r="DM232">
        <v>42622.7</v>
      </c>
      <c r="DN232">
        <v>1.43953</v>
      </c>
      <c r="DO232">
        <v>2.0306999999999999</v>
      </c>
      <c r="DP232">
        <v>0.18021499999999999</v>
      </c>
      <c r="DQ232">
        <v>0.15015899999999999</v>
      </c>
      <c r="DR232">
        <v>24.0611</v>
      </c>
      <c r="DS232">
        <v>23.6539</v>
      </c>
      <c r="DT232">
        <v>20.399999999999999</v>
      </c>
      <c r="DU232">
        <v>29.8</v>
      </c>
      <c r="DV232">
        <v>8.6611499999999992</v>
      </c>
      <c r="DW232">
        <v>61.897599999999997</v>
      </c>
      <c r="DX232">
        <v>37.179499999999997</v>
      </c>
      <c r="DY232">
        <v>1</v>
      </c>
      <c r="DZ232">
        <v>-0.10648100000000001</v>
      </c>
      <c r="EA232">
        <v>1.08243</v>
      </c>
      <c r="EB232">
        <v>20.185700000000001</v>
      </c>
      <c r="EC232">
        <v>5.2411000000000003</v>
      </c>
      <c r="ED232">
        <v>12.039899999999999</v>
      </c>
      <c r="EE232">
        <v>5.0167000000000002</v>
      </c>
      <c r="EF232">
        <v>3.2879999999999998</v>
      </c>
      <c r="EG232">
        <v>9999</v>
      </c>
      <c r="EH232">
        <v>9999</v>
      </c>
      <c r="EI232">
        <v>9999</v>
      </c>
      <c r="EJ232">
        <v>999.9</v>
      </c>
      <c r="EK232">
        <v>1.8689100000000001</v>
      </c>
      <c r="EL232">
        <v>1.8646199999999999</v>
      </c>
      <c r="EM232">
        <v>1.8692</v>
      </c>
      <c r="EN232">
        <v>1.8672500000000001</v>
      </c>
      <c r="EO232">
        <v>1.8633900000000001</v>
      </c>
      <c r="EP232">
        <v>1.8644700000000001</v>
      </c>
      <c r="EQ232">
        <v>1.87016</v>
      </c>
      <c r="ER232">
        <v>1.86938</v>
      </c>
      <c r="ES232">
        <v>0</v>
      </c>
      <c r="ET232">
        <v>0</v>
      </c>
      <c r="EU232">
        <v>0</v>
      </c>
      <c r="EV232">
        <v>0</v>
      </c>
      <c r="EW232" t="s">
        <v>334</v>
      </c>
      <c r="EX232" t="s">
        <v>335</v>
      </c>
      <c r="EY232" t="s">
        <v>336</v>
      </c>
      <c r="EZ232" t="s">
        <v>336</v>
      </c>
      <c r="FA232" t="s">
        <v>336</v>
      </c>
      <c r="FB232" t="s">
        <v>336</v>
      </c>
      <c r="FC232">
        <v>0</v>
      </c>
      <c r="FD232">
        <v>100</v>
      </c>
      <c r="FE232">
        <v>100</v>
      </c>
      <c r="FF232">
        <v>0.183</v>
      </c>
      <c r="FG232">
        <v>0.21640000000000001</v>
      </c>
      <c r="FH232">
        <v>0.49996858830924029</v>
      </c>
      <c r="FI232">
        <v>-6.1462078757559423E-4</v>
      </c>
      <c r="FJ232">
        <v>-1.8861989874597051E-7</v>
      </c>
      <c r="FK232">
        <v>1.1980462299894961E-10</v>
      </c>
      <c r="FL232">
        <v>-3.8593581000597899E-2</v>
      </c>
      <c r="FM232">
        <v>-1.6848085045870601E-2</v>
      </c>
      <c r="FN232">
        <v>1.9789084769509481E-3</v>
      </c>
      <c r="FO232">
        <v>-2.7142391389806329E-5</v>
      </c>
      <c r="FP232">
        <v>3</v>
      </c>
      <c r="FQ232">
        <v>2158</v>
      </c>
      <c r="FR232">
        <v>1</v>
      </c>
      <c r="FS232">
        <v>19</v>
      </c>
      <c r="FT232">
        <v>44.9</v>
      </c>
      <c r="FU232">
        <v>45</v>
      </c>
      <c r="FV232">
        <v>1.7626999999999999</v>
      </c>
      <c r="FW232">
        <v>2.5939899999999998</v>
      </c>
      <c r="FX232">
        <v>1.5490699999999999</v>
      </c>
      <c r="FY232">
        <v>2.3315399999999999</v>
      </c>
      <c r="FZ232">
        <v>1.50146</v>
      </c>
      <c r="GA232">
        <v>2.3303199999999999</v>
      </c>
      <c r="GB232">
        <v>34.054499999999997</v>
      </c>
      <c r="GC232">
        <v>23.973700000000001</v>
      </c>
      <c r="GD232">
        <v>19</v>
      </c>
      <c r="GE232">
        <v>266.84300000000002</v>
      </c>
      <c r="GF232">
        <v>576.654</v>
      </c>
      <c r="GG232">
        <v>21.681100000000001</v>
      </c>
      <c r="GH232">
        <v>26.0107</v>
      </c>
      <c r="GI232">
        <v>30.0001</v>
      </c>
      <c r="GJ232">
        <v>26.1785</v>
      </c>
      <c r="GK232">
        <v>26.174499999999998</v>
      </c>
      <c r="GL232">
        <v>35.233499999999999</v>
      </c>
      <c r="GM232">
        <v>100</v>
      </c>
      <c r="GN232">
        <v>0</v>
      </c>
      <c r="GO232">
        <v>21.6783</v>
      </c>
      <c r="GP232">
        <v>800</v>
      </c>
      <c r="GQ232">
        <v>0</v>
      </c>
      <c r="GR232">
        <v>99.809399999999997</v>
      </c>
      <c r="GS232">
        <v>99.703699999999998</v>
      </c>
    </row>
    <row r="233" spans="1:201" x14ac:dyDescent="0.25">
      <c r="A233">
        <v>217</v>
      </c>
      <c r="B233">
        <v>1690308960.0999999</v>
      </c>
      <c r="C233">
        <v>2341.5</v>
      </c>
      <c r="D233" t="s">
        <v>767</v>
      </c>
      <c r="E233" t="s">
        <v>768</v>
      </c>
      <c r="F233" t="s">
        <v>330</v>
      </c>
      <c r="H233">
        <v>1690308960.0999999</v>
      </c>
      <c r="I233">
        <f t="shared" si="90"/>
        <v>2.0294538410470329E-3</v>
      </c>
      <c r="J233">
        <f t="shared" si="91"/>
        <v>2.0294538410470331</v>
      </c>
      <c r="K233">
        <f t="shared" si="92"/>
        <v>30.946692313158302</v>
      </c>
      <c r="L233">
        <f t="shared" si="93"/>
        <v>468.32299999999998</v>
      </c>
      <c r="M233">
        <f t="shared" si="94"/>
        <v>140.47497324293056</v>
      </c>
      <c r="N233">
        <f t="shared" si="95"/>
        <v>13.950709941301202</v>
      </c>
      <c r="O233">
        <f t="shared" si="96"/>
        <v>46.509625031509302</v>
      </c>
      <c r="P233">
        <f t="shared" si="97"/>
        <v>0.15934230814453038</v>
      </c>
      <c r="Q233">
        <f t="shared" si="98"/>
        <v>2.1979975155281504</v>
      </c>
      <c r="R233">
        <f t="shared" si="99"/>
        <v>0.15319182455671229</v>
      </c>
      <c r="S233">
        <f t="shared" si="100"/>
        <v>9.627770622257506E-2</v>
      </c>
      <c r="T233">
        <f t="shared" si="101"/>
        <v>276.116498928</v>
      </c>
      <c r="U233">
        <f t="shared" si="102"/>
        <v>25.862929614732913</v>
      </c>
      <c r="V233">
        <f t="shared" si="103"/>
        <v>25.862929614732913</v>
      </c>
      <c r="W233">
        <f t="shared" si="104"/>
        <v>3.3469868918553498</v>
      </c>
      <c r="X233">
        <f t="shared" si="105"/>
        <v>67.282747670542534</v>
      </c>
      <c r="Y233">
        <f t="shared" si="106"/>
        <v>2.0671981706661398</v>
      </c>
      <c r="Z233">
        <f t="shared" si="107"/>
        <v>3.0724045052208715</v>
      </c>
      <c r="AA233">
        <f t="shared" si="108"/>
        <v>1.2797887211892101</v>
      </c>
      <c r="AB233">
        <f t="shared" si="109"/>
        <v>-89.49891439017415</v>
      </c>
      <c r="AC233">
        <f t="shared" si="110"/>
        <v>-170.32132006845913</v>
      </c>
      <c r="AD233">
        <f t="shared" si="111"/>
        <v>-16.414774731448613</v>
      </c>
      <c r="AE233">
        <f t="shared" si="112"/>
        <v>-0.11851026208191229</v>
      </c>
      <c r="AF233">
        <v>12</v>
      </c>
      <c r="AG233">
        <v>4</v>
      </c>
      <c r="AH233">
        <f t="shared" si="113"/>
        <v>1</v>
      </c>
      <c r="AI233">
        <f t="shared" si="114"/>
        <v>0</v>
      </c>
      <c r="AJ233">
        <f t="shared" si="115"/>
        <v>53002.835670368353</v>
      </c>
      <c r="AK233">
        <f t="shared" si="116"/>
        <v>1800</v>
      </c>
      <c r="AL233">
        <f t="shared" si="117"/>
        <v>1499.1109847999999</v>
      </c>
      <c r="AM233">
        <f t="shared" si="118"/>
        <v>0.83283943599999988</v>
      </c>
      <c r="AN233">
        <f t="shared" si="119"/>
        <v>0.15339805496</v>
      </c>
      <c r="AO233">
        <v>31.2</v>
      </c>
      <c r="AP233">
        <v>0.5</v>
      </c>
      <c r="AQ233" t="s">
        <v>331</v>
      </c>
      <c r="AR233">
        <v>2</v>
      </c>
      <c r="AS233">
        <v>1690308960.0999999</v>
      </c>
      <c r="AT233">
        <v>468.32299999999998</v>
      </c>
      <c r="AU233">
        <v>799.97799999999995</v>
      </c>
      <c r="AV233">
        <v>20.8154</v>
      </c>
      <c r="AW233">
        <v>0.15310000000000001</v>
      </c>
      <c r="AX233">
        <v>468.14</v>
      </c>
      <c r="AY233">
        <v>20.598600000000001</v>
      </c>
      <c r="AZ233">
        <v>300.06799999999998</v>
      </c>
      <c r="BA233">
        <v>99.210999999999999</v>
      </c>
      <c r="BB233">
        <v>9.9999099999999994E-2</v>
      </c>
      <c r="BC233">
        <v>24.425599999999999</v>
      </c>
      <c r="BD233">
        <v>27.025600000000001</v>
      </c>
      <c r="BE233">
        <v>26.124600000000001</v>
      </c>
      <c r="BF233">
        <v>0</v>
      </c>
      <c r="BG233">
        <v>0</v>
      </c>
      <c r="BH233">
        <v>10017.5</v>
      </c>
      <c r="BI233">
        <v>1043.44</v>
      </c>
      <c r="BJ233">
        <v>1.62592</v>
      </c>
      <c r="BK233">
        <v>-331.65499999999997</v>
      </c>
      <c r="BL233">
        <v>478.27800000000002</v>
      </c>
      <c r="BM233">
        <v>800.1</v>
      </c>
      <c r="BN233">
        <v>20.662299999999998</v>
      </c>
      <c r="BO233">
        <v>799.97799999999995</v>
      </c>
      <c r="BP233">
        <v>0.15310000000000001</v>
      </c>
      <c r="BQ233">
        <v>2.0651199999999998</v>
      </c>
      <c r="BR233">
        <v>1.51892E-2</v>
      </c>
      <c r="BS233">
        <v>17.9526</v>
      </c>
      <c r="BT233">
        <v>-42.041200000000003</v>
      </c>
      <c r="BU233">
        <v>1800</v>
      </c>
      <c r="BV233">
        <v>0.90998199999999996</v>
      </c>
      <c r="BW233">
        <v>3.3995499999999998E-2</v>
      </c>
      <c r="BX233">
        <v>2.2008799999999999E-2</v>
      </c>
      <c r="BY233">
        <v>3.4013399999999999E-2</v>
      </c>
      <c r="BZ233">
        <v>26</v>
      </c>
      <c r="CA233">
        <v>33528.199999999997</v>
      </c>
      <c r="CB233">
        <v>1690306253.5999999</v>
      </c>
      <c r="CC233" t="s">
        <v>332</v>
      </c>
      <c r="CD233">
        <v>1690306253.5999999</v>
      </c>
      <c r="CE233">
        <v>1690306251.5999999</v>
      </c>
      <c r="CF233">
        <v>9</v>
      </c>
      <c r="CG233">
        <v>0.19</v>
      </c>
      <c r="CH233">
        <v>-8.7999999999999995E-2</v>
      </c>
      <c r="CI233">
        <v>-5.0999999999999997E-2</v>
      </c>
      <c r="CJ233">
        <v>5.0999999999999997E-2</v>
      </c>
      <c r="CK233">
        <v>799</v>
      </c>
      <c r="CL233">
        <v>15</v>
      </c>
      <c r="CM233">
        <v>0.28000000000000003</v>
      </c>
      <c r="CN233">
        <v>0.03</v>
      </c>
      <c r="CO233">
        <v>-331.49648780487797</v>
      </c>
      <c r="CP233">
        <v>-0.80069686411166474</v>
      </c>
      <c r="CQ233">
        <v>0.12180034081237209</v>
      </c>
      <c r="CR233">
        <v>-1</v>
      </c>
      <c r="CS233">
        <v>20.652780487804879</v>
      </c>
      <c r="CT233">
        <v>5.3655052264831193E-2</v>
      </c>
      <c r="CU233">
        <v>5.8898929350570933E-3</v>
      </c>
      <c r="CV233">
        <v>-1</v>
      </c>
      <c r="CW233">
        <v>0</v>
      </c>
      <c r="CX233">
        <v>0</v>
      </c>
      <c r="CY233" t="s">
        <v>333</v>
      </c>
      <c r="CZ233">
        <v>2.3645399999999999</v>
      </c>
      <c r="DA233">
        <v>2.7138</v>
      </c>
      <c r="DB233">
        <v>0.100851</v>
      </c>
      <c r="DC233">
        <v>0.14621200000000001</v>
      </c>
      <c r="DD233">
        <v>0.102993</v>
      </c>
      <c r="DE233">
        <v>1.2916099999999999E-3</v>
      </c>
      <c r="DF233">
        <v>32853.1</v>
      </c>
      <c r="DG233">
        <v>27550.799999999999</v>
      </c>
      <c r="DH233">
        <v>31191.9</v>
      </c>
      <c r="DI233">
        <v>28117.8</v>
      </c>
      <c r="DJ233">
        <v>37990.199999999997</v>
      </c>
      <c r="DK233">
        <v>39944.699999999997</v>
      </c>
      <c r="DL233">
        <v>44394.5</v>
      </c>
      <c r="DM233">
        <v>42622.8</v>
      </c>
      <c r="DN233">
        <v>1.4396500000000001</v>
      </c>
      <c r="DO233">
        <v>2.0307300000000001</v>
      </c>
      <c r="DP233">
        <v>0.18084</v>
      </c>
      <c r="DQ233">
        <v>0.15045</v>
      </c>
      <c r="DR233">
        <v>24.0611</v>
      </c>
      <c r="DS233">
        <v>23.6556</v>
      </c>
      <c r="DT233">
        <v>20.3</v>
      </c>
      <c r="DU233">
        <v>29.8</v>
      </c>
      <c r="DV233">
        <v>8.6171600000000002</v>
      </c>
      <c r="DW233">
        <v>61.677599999999998</v>
      </c>
      <c r="DX233">
        <v>37.512</v>
      </c>
      <c r="DY233">
        <v>1</v>
      </c>
      <c r="DZ233">
        <v>-0.106181</v>
      </c>
      <c r="EA233">
        <v>1.30338</v>
      </c>
      <c r="EB233">
        <v>20.183599999999998</v>
      </c>
      <c r="EC233">
        <v>5.2411000000000003</v>
      </c>
      <c r="ED233">
        <v>12.039899999999999</v>
      </c>
      <c r="EE233">
        <v>5.0164999999999997</v>
      </c>
      <c r="EF233">
        <v>3.2879999999999998</v>
      </c>
      <c r="EG233">
        <v>9999</v>
      </c>
      <c r="EH233">
        <v>9999</v>
      </c>
      <c r="EI233">
        <v>9999</v>
      </c>
      <c r="EJ233">
        <v>999.9</v>
      </c>
      <c r="EK233">
        <v>1.8689100000000001</v>
      </c>
      <c r="EL233">
        <v>1.86463</v>
      </c>
      <c r="EM233">
        <v>1.8692</v>
      </c>
      <c r="EN233">
        <v>1.8672299999999999</v>
      </c>
      <c r="EO233">
        <v>1.8633999999999999</v>
      </c>
      <c r="EP233">
        <v>1.8644700000000001</v>
      </c>
      <c r="EQ233">
        <v>1.87018</v>
      </c>
      <c r="ER233">
        <v>1.8694299999999999</v>
      </c>
      <c r="ES233">
        <v>0</v>
      </c>
      <c r="ET233">
        <v>0</v>
      </c>
      <c r="EU233">
        <v>0</v>
      </c>
      <c r="EV233">
        <v>0</v>
      </c>
      <c r="EW233" t="s">
        <v>334</v>
      </c>
      <c r="EX233" t="s">
        <v>335</v>
      </c>
      <c r="EY233" t="s">
        <v>336</v>
      </c>
      <c r="EZ233" t="s">
        <v>336</v>
      </c>
      <c r="FA233" t="s">
        <v>336</v>
      </c>
      <c r="FB233" t="s">
        <v>336</v>
      </c>
      <c r="FC233">
        <v>0</v>
      </c>
      <c r="FD233">
        <v>100</v>
      </c>
      <c r="FE233">
        <v>100</v>
      </c>
      <c r="FF233">
        <v>0.183</v>
      </c>
      <c r="FG233">
        <v>0.21679999999999999</v>
      </c>
      <c r="FH233">
        <v>0.49996858830924029</v>
      </c>
      <c r="FI233">
        <v>-6.1462078757559423E-4</v>
      </c>
      <c r="FJ233">
        <v>-1.8861989874597051E-7</v>
      </c>
      <c r="FK233">
        <v>1.1980462299894961E-10</v>
      </c>
      <c r="FL233">
        <v>-3.8593581000597899E-2</v>
      </c>
      <c r="FM233">
        <v>-1.6848085045870601E-2</v>
      </c>
      <c r="FN233">
        <v>1.9789084769509481E-3</v>
      </c>
      <c r="FO233">
        <v>-2.7142391389806329E-5</v>
      </c>
      <c r="FP233">
        <v>3</v>
      </c>
      <c r="FQ233">
        <v>2158</v>
      </c>
      <c r="FR233">
        <v>1</v>
      </c>
      <c r="FS233">
        <v>19</v>
      </c>
      <c r="FT233">
        <v>45.1</v>
      </c>
      <c r="FU233">
        <v>45.1</v>
      </c>
      <c r="FV233">
        <v>1.7626999999999999</v>
      </c>
      <c r="FW233">
        <v>2.5988799999999999</v>
      </c>
      <c r="FX233">
        <v>1.5490699999999999</v>
      </c>
      <c r="FY233">
        <v>2.3315399999999999</v>
      </c>
      <c r="FZ233">
        <v>1.50146</v>
      </c>
      <c r="GA233">
        <v>2.2839399999999999</v>
      </c>
      <c r="GB233">
        <v>34.031799999999997</v>
      </c>
      <c r="GC233">
        <v>23.982399999999998</v>
      </c>
      <c r="GD233">
        <v>19</v>
      </c>
      <c r="GE233">
        <v>266.89100000000002</v>
      </c>
      <c r="GF233">
        <v>576.66</v>
      </c>
      <c r="GG233">
        <v>21.639600000000002</v>
      </c>
      <c r="GH233">
        <v>26.009699999999999</v>
      </c>
      <c r="GI233">
        <v>30.000299999999999</v>
      </c>
      <c r="GJ233">
        <v>26.177600000000002</v>
      </c>
      <c r="GK233">
        <v>26.173200000000001</v>
      </c>
      <c r="GL233">
        <v>35.233499999999999</v>
      </c>
      <c r="GM233">
        <v>100</v>
      </c>
      <c r="GN233">
        <v>0</v>
      </c>
      <c r="GO233">
        <v>21.6</v>
      </c>
      <c r="GP233">
        <v>800</v>
      </c>
      <c r="GQ233">
        <v>0</v>
      </c>
      <c r="GR233">
        <v>99.808000000000007</v>
      </c>
      <c r="GS233">
        <v>99.704099999999997</v>
      </c>
    </row>
    <row r="234" spans="1:201" x14ac:dyDescent="0.25">
      <c r="A234">
        <v>218</v>
      </c>
      <c r="B234">
        <v>1690308970.0999999</v>
      </c>
      <c r="C234">
        <v>2351.5</v>
      </c>
      <c r="D234" t="s">
        <v>769</v>
      </c>
      <c r="E234" t="s">
        <v>770</v>
      </c>
      <c r="F234" t="s">
        <v>330</v>
      </c>
      <c r="H234">
        <v>1690308970.0999999</v>
      </c>
      <c r="I234">
        <f t="shared" si="90"/>
        <v>2.0282642139950206E-3</v>
      </c>
      <c r="J234">
        <f t="shared" si="91"/>
        <v>2.0282642139950204</v>
      </c>
      <c r="K234">
        <f t="shared" si="92"/>
        <v>30.969454611113434</v>
      </c>
      <c r="L234">
        <f t="shared" si="93"/>
        <v>468.101</v>
      </c>
      <c r="M234">
        <f t="shared" si="94"/>
        <v>139.76335851412617</v>
      </c>
      <c r="N234">
        <f t="shared" si="95"/>
        <v>13.880113531029831</v>
      </c>
      <c r="O234">
        <f t="shared" si="96"/>
        <v>46.487828376933997</v>
      </c>
      <c r="P234">
        <f t="shared" si="97"/>
        <v>0.15921544396986567</v>
      </c>
      <c r="Q234">
        <f t="shared" si="98"/>
        <v>2.1951634289641859</v>
      </c>
      <c r="R234">
        <f t="shared" si="99"/>
        <v>0.15306694825148734</v>
      </c>
      <c r="S234">
        <f t="shared" si="100"/>
        <v>9.6199476949526019E-2</v>
      </c>
      <c r="T234">
        <f t="shared" si="101"/>
        <v>276.11663421599997</v>
      </c>
      <c r="U234">
        <f t="shared" si="102"/>
        <v>25.860634227114804</v>
      </c>
      <c r="V234">
        <f t="shared" si="103"/>
        <v>25.860634227114804</v>
      </c>
      <c r="W234">
        <f t="shared" si="104"/>
        <v>3.3465318450539914</v>
      </c>
      <c r="X234">
        <f t="shared" si="105"/>
        <v>67.275620006856172</v>
      </c>
      <c r="Y234">
        <f t="shared" si="106"/>
        <v>2.0664346748583999</v>
      </c>
      <c r="Z234">
        <f t="shared" si="107"/>
        <v>3.0715951404800226</v>
      </c>
      <c r="AA234">
        <f t="shared" si="108"/>
        <v>1.2800971701955914</v>
      </c>
      <c r="AB234">
        <f t="shared" si="109"/>
        <v>-89.446451837180405</v>
      </c>
      <c r="AC234">
        <f t="shared" si="110"/>
        <v>-170.35078036624344</v>
      </c>
      <c r="AD234">
        <f t="shared" si="111"/>
        <v>-16.438256635720137</v>
      </c>
      <c r="AE234">
        <f t="shared" si="112"/>
        <v>-0.11885462314398865</v>
      </c>
      <c r="AF234">
        <v>12</v>
      </c>
      <c r="AG234">
        <v>4</v>
      </c>
      <c r="AH234">
        <f t="shared" si="113"/>
        <v>1</v>
      </c>
      <c r="AI234">
        <f t="shared" si="114"/>
        <v>0</v>
      </c>
      <c r="AJ234">
        <f t="shared" si="115"/>
        <v>52886.567912234648</v>
      </c>
      <c r="AK234">
        <f t="shared" si="116"/>
        <v>1800</v>
      </c>
      <c r="AL234">
        <f t="shared" si="117"/>
        <v>1499.1102755999998</v>
      </c>
      <c r="AM234">
        <f t="shared" si="118"/>
        <v>0.83283904199999992</v>
      </c>
      <c r="AN234">
        <f t="shared" si="119"/>
        <v>0.15339813011999998</v>
      </c>
      <c r="AO234">
        <v>31.2</v>
      </c>
      <c r="AP234">
        <v>0.5</v>
      </c>
      <c r="AQ234" t="s">
        <v>331</v>
      </c>
      <c r="AR234">
        <v>2</v>
      </c>
      <c r="AS234">
        <v>1690308970.0999999</v>
      </c>
      <c r="AT234">
        <v>468.101</v>
      </c>
      <c r="AU234">
        <v>800.053</v>
      </c>
      <c r="AV234">
        <v>20.807600000000001</v>
      </c>
      <c r="AW234">
        <v>0.15284200000000001</v>
      </c>
      <c r="AX234">
        <v>467.91699999999997</v>
      </c>
      <c r="AY234">
        <v>20.591000000000001</v>
      </c>
      <c r="AZ234">
        <v>300.00400000000002</v>
      </c>
      <c r="BA234">
        <v>99.211500000000001</v>
      </c>
      <c r="BB234">
        <v>0.100034</v>
      </c>
      <c r="BC234">
        <v>24.421199999999999</v>
      </c>
      <c r="BD234">
        <v>27.004999999999999</v>
      </c>
      <c r="BE234">
        <v>26.1219</v>
      </c>
      <c r="BF234">
        <v>0</v>
      </c>
      <c r="BG234">
        <v>0</v>
      </c>
      <c r="BH234">
        <v>9994.3799999999992</v>
      </c>
      <c r="BI234">
        <v>1043.44</v>
      </c>
      <c r="BJ234">
        <v>1.2839100000000001</v>
      </c>
      <c r="BK234">
        <v>-331.952</v>
      </c>
      <c r="BL234">
        <v>478.048</v>
      </c>
      <c r="BM234">
        <v>800.17499999999995</v>
      </c>
      <c r="BN234">
        <v>20.654699999999998</v>
      </c>
      <c r="BO234">
        <v>800.053</v>
      </c>
      <c r="BP234">
        <v>0.15284200000000001</v>
      </c>
      <c r="BQ234">
        <v>2.0643500000000001</v>
      </c>
      <c r="BR234">
        <v>1.51637E-2</v>
      </c>
      <c r="BS234">
        <v>17.9467</v>
      </c>
      <c r="BT234">
        <v>-42.057000000000002</v>
      </c>
      <c r="BU234">
        <v>1800</v>
      </c>
      <c r="BV234">
        <v>0.90997799999999995</v>
      </c>
      <c r="BW234">
        <v>3.4000200000000001E-2</v>
      </c>
      <c r="BX234">
        <v>2.20086E-2</v>
      </c>
      <c r="BY234">
        <v>3.40132E-2</v>
      </c>
      <c r="BZ234">
        <v>26</v>
      </c>
      <c r="CA234">
        <v>33528.199999999997</v>
      </c>
      <c r="CB234">
        <v>1690306253.5999999</v>
      </c>
      <c r="CC234" t="s">
        <v>332</v>
      </c>
      <c r="CD234">
        <v>1690306253.5999999</v>
      </c>
      <c r="CE234">
        <v>1690306251.5999999</v>
      </c>
      <c r="CF234">
        <v>9</v>
      </c>
      <c r="CG234">
        <v>0.19</v>
      </c>
      <c r="CH234">
        <v>-8.7999999999999995E-2</v>
      </c>
      <c r="CI234">
        <v>-5.0999999999999997E-2</v>
      </c>
      <c r="CJ234">
        <v>5.0999999999999997E-2</v>
      </c>
      <c r="CK234">
        <v>799</v>
      </c>
      <c r="CL234">
        <v>15</v>
      </c>
      <c r="CM234">
        <v>0.28000000000000003</v>
      </c>
      <c r="CN234">
        <v>0.03</v>
      </c>
      <c r="CO234">
        <v>-331.60926829268288</v>
      </c>
      <c r="CP234">
        <v>-1.081128919861325</v>
      </c>
      <c r="CQ234">
        <v>0.12932168708589631</v>
      </c>
      <c r="CR234">
        <v>-1</v>
      </c>
      <c r="CS234">
        <v>20.656782926829269</v>
      </c>
      <c r="CT234">
        <v>1.006411149825256E-2</v>
      </c>
      <c r="CU234">
        <v>4.1684589442928296E-3</v>
      </c>
      <c r="CV234">
        <v>-1</v>
      </c>
      <c r="CW234">
        <v>0</v>
      </c>
      <c r="CX234">
        <v>0</v>
      </c>
      <c r="CY234" t="s">
        <v>333</v>
      </c>
      <c r="CZ234">
        <v>2.3643399999999999</v>
      </c>
      <c r="DA234">
        <v>2.7138200000000001</v>
      </c>
      <c r="DB234">
        <v>0.100816</v>
      </c>
      <c r="DC234">
        <v>0.14622299999999999</v>
      </c>
      <c r="DD234">
        <v>0.102967</v>
      </c>
      <c r="DE234">
        <v>1.28947E-3</v>
      </c>
      <c r="DF234">
        <v>32854.6</v>
      </c>
      <c r="DG234">
        <v>27550.5</v>
      </c>
      <c r="DH234">
        <v>31192.1</v>
      </c>
      <c r="DI234">
        <v>28117.8</v>
      </c>
      <c r="DJ234">
        <v>37991.5</v>
      </c>
      <c r="DK234">
        <v>39944.9</v>
      </c>
      <c r="DL234">
        <v>44394.7</v>
      </c>
      <c r="DM234">
        <v>42622.9</v>
      </c>
      <c r="DN234">
        <v>1.4392499999999999</v>
      </c>
      <c r="DO234">
        <v>2.0305</v>
      </c>
      <c r="DP234">
        <v>0.17958099999999999</v>
      </c>
      <c r="DQ234">
        <v>0.15016599999999999</v>
      </c>
      <c r="DR234">
        <v>24.0611</v>
      </c>
      <c r="DS234">
        <v>23.657599999999999</v>
      </c>
      <c r="DT234">
        <v>20.3</v>
      </c>
      <c r="DU234">
        <v>29.8</v>
      </c>
      <c r="DV234">
        <v>8.6193100000000005</v>
      </c>
      <c r="DW234">
        <v>61.457599999999999</v>
      </c>
      <c r="DX234">
        <v>37.403799999999997</v>
      </c>
      <c r="DY234">
        <v>1</v>
      </c>
      <c r="DZ234">
        <v>-0.106641</v>
      </c>
      <c r="EA234">
        <v>1.2761400000000001</v>
      </c>
      <c r="EB234">
        <v>20.184000000000001</v>
      </c>
      <c r="EC234">
        <v>5.2411000000000003</v>
      </c>
      <c r="ED234">
        <v>12.039899999999999</v>
      </c>
      <c r="EE234">
        <v>5.01675</v>
      </c>
      <c r="EF234">
        <v>3.2879999999999998</v>
      </c>
      <c r="EG234">
        <v>9999</v>
      </c>
      <c r="EH234">
        <v>9999</v>
      </c>
      <c r="EI234">
        <v>9999</v>
      </c>
      <c r="EJ234">
        <v>999.9</v>
      </c>
      <c r="EK234">
        <v>1.8689100000000001</v>
      </c>
      <c r="EL234">
        <v>1.8646199999999999</v>
      </c>
      <c r="EM234">
        <v>1.8692</v>
      </c>
      <c r="EN234">
        <v>1.8672299999999999</v>
      </c>
      <c r="EO234">
        <v>1.86338</v>
      </c>
      <c r="EP234">
        <v>1.8644700000000001</v>
      </c>
      <c r="EQ234">
        <v>1.8701700000000001</v>
      </c>
      <c r="ER234">
        <v>1.8694</v>
      </c>
      <c r="ES234">
        <v>0</v>
      </c>
      <c r="ET234">
        <v>0</v>
      </c>
      <c r="EU234">
        <v>0</v>
      </c>
      <c r="EV234">
        <v>0</v>
      </c>
      <c r="EW234" t="s">
        <v>334</v>
      </c>
      <c r="EX234" t="s">
        <v>335</v>
      </c>
      <c r="EY234" t="s">
        <v>336</v>
      </c>
      <c r="EZ234" t="s">
        <v>336</v>
      </c>
      <c r="FA234" t="s">
        <v>336</v>
      </c>
      <c r="FB234" t="s">
        <v>336</v>
      </c>
      <c r="FC234">
        <v>0</v>
      </c>
      <c r="FD234">
        <v>100</v>
      </c>
      <c r="FE234">
        <v>100</v>
      </c>
      <c r="FF234">
        <v>0.184</v>
      </c>
      <c r="FG234">
        <v>0.21659999999999999</v>
      </c>
      <c r="FH234">
        <v>0.49996858830924029</v>
      </c>
      <c r="FI234">
        <v>-6.1462078757559423E-4</v>
      </c>
      <c r="FJ234">
        <v>-1.8861989874597051E-7</v>
      </c>
      <c r="FK234">
        <v>1.1980462299894961E-10</v>
      </c>
      <c r="FL234">
        <v>-3.8593581000597899E-2</v>
      </c>
      <c r="FM234">
        <v>-1.6848085045870601E-2</v>
      </c>
      <c r="FN234">
        <v>1.9789084769509481E-3</v>
      </c>
      <c r="FO234">
        <v>-2.7142391389806329E-5</v>
      </c>
      <c r="FP234">
        <v>3</v>
      </c>
      <c r="FQ234">
        <v>2158</v>
      </c>
      <c r="FR234">
        <v>1</v>
      </c>
      <c r="FS234">
        <v>19</v>
      </c>
      <c r="FT234">
        <v>45.3</v>
      </c>
      <c r="FU234">
        <v>45.3</v>
      </c>
      <c r="FV234">
        <v>1.7614700000000001</v>
      </c>
      <c r="FW234">
        <v>2.5952099999999998</v>
      </c>
      <c r="FX234">
        <v>1.5490699999999999</v>
      </c>
      <c r="FY234">
        <v>2.3315399999999999</v>
      </c>
      <c r="FZ234">
        <v>1.50146</v>
      </c>
      <c r="GA234">
        <v>2.34009</v>
      </c>
      <c r="GB234">
        <v>34.031799999999997</v>
      </c>
      <c r="GC234">
        <v>23.982399999999998</v>
      </c>
      <c r="GD234">
        <v>19</v>
      </c>
      <c r="GE234">
        <v>266.72199999999998</v>
      </c>
      <c r="GF234">
        <v>576.46600000000001</v>
      </c>
      <c r="GG234">
        <v>21.569400000000002</v>
      </c>
      <c r="GH234">
        <v>26.008500000000002</v>
      </c>
      <c r="GI234">
        <v>29.9998</v>
      </c>
      <c r="GJ234">
        <v>26.176200000000001</v>
      </c>
      <c r="GK234">
        <v>26.1723</v>
      </c>
      <c r="GL234">
        <v>35.232700000000001</v>
      </c>
      <c r="GM234">
        <v>100</v>
      </c>
      <c r="GN234">
        <v>0</v>
      </c>
      <c r="GO234">
        <v>21.568899999999999</v>
      </c>
      <c r="GP234">
        <v>800</v>
      </c>
      <c r="GQ234">
        <v>0</v>
      </c>
      <c r="GR234">
        <v>99.808499999999995</v>
      </c>
      <c r="GS234">
        <v>99.7042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2023-07-25T18:16:25Z</dcterms:created>
  <dcterms:modified xsi:type="dcterms:W3CDTF">2023-07-25T18:40:13Z</dcterms:modified>
</cp:coreProperties>
</file>