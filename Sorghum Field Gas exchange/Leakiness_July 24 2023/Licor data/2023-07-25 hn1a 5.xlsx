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leakiness 2023 07 25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6" i="1" l="1"/>
  <c r="AM226" i="1"/>
  <c r="AK226" i="1"/>
  <c r="AJ226" i="1"/>
  <c r="AH226" i="1" s="1"/>
  <c r="Z226" i="1"/>
  <c r="X226" i="1" s="1"/>
  <c r="Y226" i="1"/>
  <c r="Q226" i="1"/>
  <c r="AN225" i="1"/>
  <c r="AM225" i="1"/>
  <c r="AK225" i="1"/>
  <c r="AJ225" i="1"/>
  <c r="AH225" i="1"/>
  <c r="Z225" i="1"/>
  <c r="Y225" i="1"/>
  <c r="X225" i="1" s="1"/>
  <c r="Q225" i="1"/>
  <c r="AN224" i="1"/>
  <c r="AM224" i="1"/>
  <c r="AK224" i="1"/>
  <c r="AJ224" i="1"/>
  <c r="AI224" i="1"/>
  <c r="AH224" i="1"/>
  <c r="J224" i="1" s="1"/>
  <c r="I224" i="1" s="1"/>
  <c r="Z224" i="1"/>
  <c r="Y224" i="1"/>
  <c r="X224" i="1" s="1"/>
  <c r="Q224" i="1"/>
  <c r="O224" i="1"/>
  <c r="L224" i="1"/>
  <c r="K224" i="1"/>
  <c r="AN223" i="1"/>
  <c r="AM223" i="1"/>
  <c r="AL223" i="1"/>
  <c r="AK223" i="1"/>
  <c r="AJ223" i="1"/>
  <c r="AH223" i="1" s="1"/>
  <c r="AI223" i="1"/>
  <c r="Z223" i="1"/>
  <c r="Y223" i="1"/>
  <c r="X223" i="1" s="1"/>
  <c r="T223" i="1"/>
  <c r="Q223" i="1"/>
  <c r="L223" i="1"/>
  <c r="AN222" i="1"/>
  <c r="AM222" i="1"/>
  <c r="AK222" i="1"/>
  <c r="AJ222" i="1"/>
  <c r="AH222" i="1" s="1"/>
  <c r="Z222" i="1"/>
  <c r="X222" i="1" s="1"/>
  <c r="Y222" i="1"/>
  <c r="Q222" i="1"/>
  <c r="J222" i="1"/>
  <c r="I222" i="1" s="1"/>
  <c r="AN221" i="1"/>
  <c r="AM221" i="1"/>
  <c r="AK221" i="1"/>
  <c r="AL221" i="1" s="1"/>
  <c r="AJ221" i="1"/>
  <c r="AI221" i="1"/>
  <c r="AH221" i="1"/>
  <c r="Z221" i="1"/>
  <c r="Y221" i="1"/>
  <c r="X221" i="1" s="1"/>
  <c r="Q221" i="1"/>
  <c r="AN220" i="1"/>
  <c r="AM220" i="1"/>
  <c r="AK220" i="1"/>
  <c r="AJ220" i="1"/>
  <c r="AH220" i="1"/>
  <c r="J220" i="1" s="1"/>
  <c r="I220" i="1" s="1"/>
  <c r="Z220" i="1"/>
  <c r="Y220" i="1"/>
  <c r="X220" i="1" s="1"/>
  <c r="Q220" i="1"/>
  <c r="O220" i="1"/>
  <c r="L220" i="1"/>
  <c r="K220" i="1"/>
  <c r="AN219" i="1"/>
  <c r="AM219" i="1"/>
  <c r="AL219" i="1"/>
  <c r="AK219" i="1"/>
  <c r="AJ219" i="1"/>
  <c r="AH219" i="1" s="1"/>
  <c r="AI219" i="1" s="1"/>
  <c r="Z219" i="1"/>
  <c r="Y219" i="1"/>
  <c r="X219" i="1" s="1"/>
  <c r="T219" i="1"/>
  <c r="Q219" i="1"/>
  <c r="L219" i="1"/>
  <c r="AN218" i="1"/>
  <c r="AM218" i="1"/>
  <c r="AK218" i="1"/>
  <c r="AJ218" i="1"/>
  <c r="AH218" i="1" s="1"/>
  <c r="Z218" i="1"/>
  <c r="X218" i="1" s="1"/>
  <c r="Y218" i="1"/>
  <c r="Q218" i="1"/>
  <c r="J218" i="1"/>
  <c r="I218" i="1" s="1"/>
  <c r="AN217" i="1"/>
  <c r="AM217" i="1"/>
  <c r="AK217" i="1"/>
  <c r="AL217" i="1" s="1"/>
  <c r="AJ217" i="1"/>
  <c r="AI217" i="1"/>
  <c r="AH217" i="1"/>
  <c r="Z217" i="1"/>
  <c r="Y217" i="1"/>
  <c r="X217" i="1" s="1"/>
  <c r="Q217" i="1"/>
  <c r="AN216" i="1"/>
  <c r="AM216" i="1"/>
  <c r="AK216" i="1"/>
  <c r="AJ216" i="1"/>
  <c r="AI216" i="1"/>
  <c r="AH216" i="1"/>
  <c r="AB216" i="1"/>
  <c r="Z216" i="1"/>
  <c r="Y216" i="1"/>
  <c r="X216" i="1" s="1"/>
  <c r="Q216" i="1"/>
  <c r="O216" i="1"/>
  <c r="L216" i="1"/>
  <c r="K216" i="1"/>
  <c r="J216" i="1"/>
  <c r="I216" i="1"/>
  <c r="AN215" i="1"/>
  <c r="AM215" i="1"/>
  <c r="AL215" i="1"/>
  <c r="AK215" i="1"/>
  <c r="AJ215" i="1"/>
  <c r="AH215" i="1" s="1"/>
  <c r="AI215" i="1"/>
  <c r="Z215" i="1"/>
  <c r="Y215" i="1"/>
  <c r="X215" i="1" s="1"/>
  <c r="T215" i="1"/>
  <c r="Q215" i="1"/>
  <c r="L215" i="1"/>
  <c r="AN214" i="1"/>
  <c r="AM214" i="1"/>
  <c r="AK214" i="1"/>
  <c r="AJ214" i="1"/>
  <c r="AH214" i="1" s="1"/>
  <c r="O214" i="1" s="1"/>
  <c r="Z214" i="1"/>
  <c r="X214" i="1" s="1"/>
  <c r="Y214" i="1"/>
  <c r="Q214" i="1"/>
  <c r="K214" i="1"/>
  <c r="J214" i="1"/>
  <c r="I214" i="1" s="1"/>
  <c r="AB214" i="1" s="1"/>
  <c r="AN213" i="1"/>
  <c r="AM213" i="1"/>
  <c r="AK213" i="1"/>
  <c r="AJ213" i="1"/>
  <c r="AI213" i="1"/>
  <c r="AH213" i="1"/>
  <c r="Z213" i="1"/>
  <c r="Y213" i="1"/>
  <c r="X213" i="1" s="1"/>
  <c r="Q213" i="1"/>
  <c r="AN212" i="1"/>
  <c r="AM212" i="1"/>
  <c r="AK212" i="1"/>
  <c r="AJ212" i="1"/>
  <c r="AH212" i="1" s="1"/>
  <c r="Z212" i="1"/>
  <c r="Y212" i="1"/>
  <c r="X212" i="1" s="1"/>
  <c r="Q212" i="1"/>
  <c r="K212" i="1"/>
  <c r="AN211" i="1"/>
  <c r="AM211" i="1"/>
  <c r="AL211" i="1" s="1"/>
  <c r="AK211" i="1"/>
  <c r="AJ211" i="1"/>
  <c r="AH211" i="1" s="1"/>
  <c r="Z211" i="1"/>
  <c r="Y211" i="1"/>
  <c r="X211" i="1" s="1"/>
  <c r="T211" i="1"/>
  <c r="Q211" i="1"/>
  <c r="AN210" i="1"/>
  <c r="AM210" i="1"/>
  <c r="AK210" i="1"/>
  <c r="AJ210" i="1"/>
  <c r="AH210" i="1" s="1"/>
  <c r="Z210" i="1"/>
  <c r="X210" i="1" s="1"/>
  <c r="Y210" i="1"/>
  <c r="Q210" i="1"/>
  <c r="O210" i="1"/>
  <c r="AN209" i="1"/>
  <c r="AM209" i="1"/>
  <c r="AK209" i="1"/>
  <c r="AJ209" i="1"/>
  <c r="AH209" i="1"/>
  <c r="Z209" i="1"/>
  <c r="Y209" i="1"/>
  <c r="X209" i="1"/>
  <c r="Q209" i="1"/>
  <c r="AN208" i="1"/>
  <c r="AM208" i="1"/>
  <c r="AK208" i="1"/>
  <c r="AJ208" i="1"/>
  <c r="AH208" i="1" s="1"/>
  <c r="Z208" i="1"/>
  <c r="Y208" i="1"/>
  <c r="X208" i="1" s="1"/>
  <c r="Q208" i="1"/>
  <c r="AN207" i="1"/>
  <c r="AM207" i="1"/>
  <c r="AL207" i="1"/>
  <c r="AK207" i="1"/>
  <c r="AJ207" i="1"/>
  <c r="AH207" i="1" s="1"/>
  <c r="AI207" i="1" s="1"/>
  <c r="Z207" i="1"/>
  <c r="Y207" i="1"/>
  <c r="X207" i="1" s="1"/>
  <c r="T207" i="1"/>
  <c r="Q207" i="1"/>
  <c r="L207" i="1"/>
  <c r="AN206" i="1"/>
  <c r="AM206" i="1"/>
  <c r="AK206" i="1"/>
  <c r="AJ206" i="1"/>
  <c r="AH206" i="1" s="1"/>
  <c r="Z206" i="1"/>
  <c r="X206" i="1" s="1"/>
  <c r="Y206" i="1"/>
  <c r="Q206" i="1"/>
  <c r="AN205" i="1"/>
  <c r="T205" i="1" s="1"/>
  <c r="AM205" i="1"/>
  <c r="AL205" i="1" s="1"/>
  <c r="AK205" i="1"/>
  <c r="AJ205" i="1"/>
  <c r="AI205" i="1"/>
  <c r="AH205" i="1"/>
  <c r="Z205" i="1"/>
  <c r="Y205" i="1"/>
  <c r="X205" i="1"/>
  <c r="Q205" i="1"/>
  <c r="AN204" i="1"/>
  <c r="AM204" i="1"/>
  <c r="AK204" i="1"/>
  <c r="AJ204" i="1"/>
  <c r="AH204" i="1" s="1"/>
  <c r="K204" i="1" s="1"/>
  <c r="Z204" i="1"/>
  <c r="Y204" i="1"/>
  <c r="X204" i="1" s="1"/>
  <c r="Q204" i="1"/>
  <c r="O204" i="1"/>
  <c r="AN203" i="1"/>
  <c r="AM203" i="1"/>
  <c r="AL203" i="1"/>
  <c r="AK203" i="1"/>
  <c r="AJ203" i="1"/>
  <c r="AH203" i="1" s="1"/>
  <c r="AI203" i="1"/>
  <c r="Z203" i="1"/>
  <c r="Y203" i="1"/>
  <c r="X203" i="1" s="1"/>
  <c r="T203" i="1"/>
  <c r="Q203" i="1"/>
  <c r="AN202" i="1"/>
  <c r="AM202" i="1"/>
  <c r="AK202" i="1"/>
  <c r="AJ202" i="1"/>
  <c r="AH202" i="1" s="1"/>
  <c r="Z202" i="1"/>
  <c r="Y202" i="1"/>
  <c r="X202" i="1"/>
  <c r="Q202" i="1"/>
  <c r="AN201" i="1"/>
  <c r="T201" i="1" s="1"/>
  <c r="AM201" i="1"/>
  <c r="AL201" i="1" s="1"/>
  <c r="AK201" i="1"/>
  <c r="AJ201" i="1"/>
  <c r="AI201" i="1"/>
  <c r="AH201" i="1"/>
  <c r="Z201" i="1"/>
  <c r="Y201" i="1"/>
  <c r="X201" i="1" s="1"/>
  <c r="Q201" i="1"/>
  <c r="AN200" i="1"/>
  <c r="AM200" i="1"/>
  <c r="AL200" i="1"/>
  <c r="AK200" i="1"/>
  <c r="AJ200" i="1"/>
  <c r="AH200" i="1" s="1"/>
  <c r="AI200" i="1" s="1"/>
  <c r="AB200" i="1"/>
  <c r="Z200" i="1"/>
  <c r="Y200" i="1"/>
  <c r="X200" i="1" s="1"/>
  <c r="T200" i="1"/>
  <c r="Q200" i="1"/>
  <c r="O200" i="1"/>
  <c r="L200" i="1"/>
  <c r="K200" i="1"/>
  <c r="J200" i="1"/>
  <c r="I200" i="1" s="1"/>
  <c r="AN199" i="1"/>
  <c r="AM199" i="1"/>
  <c r="AL199" i="1" s="1"/>
  <c r="AK199" i="1"/>
  <c r="T199" i="1" s="1"/>
  <c r="AJ199" i="1"/>
  <c r="AH199" i="1"/>
  <c r="Z199" i="1"/>
  <c r="Y199" i="1"/>
  <c r="X199" i="1"/>
  <c r="Q199" i="1"/>
  <c r="AN198" i="1"/>
  <c r="AM198" i="1"/>
  <c r="AK198" i="1"/>
  <c r="AJ198" i="1"/>
  <c r="AH198" i="1" s="1"/>
  <c r="Z198" i="1"/>
  <c r="Y198" i="1"/>
  <c r="Q198" i="1"/>
  <c r="AN197" i="1"/>
  <c r="T197" i="1" s="1"/>
  <c r="AM197" i="1"/>
  <c r="AL197" i="1" s="1"/>
  <c r="AK197" i="1"/>
  <c r="AJ197" i="1"/>
  <c r="AH197" i="1" s="1"/>
  <c r="Z197" i="1"/>
  <c r="Y197" i="1"/>
  <c r="X197" i="1" s="1"/>
  <c r="Q197" i="1"/>
  <c r="J197" i="1"/>
  <c r="I197" i="1" s="1"/>
  <c r="AN196" i="1"/>
  <c r="AM196" i="1"/>
  <c r="AK196" i="1"/>
  <c r="AL196" i="1" s="1"/>
  <c r="AJ196" i="1"/>
  <c r="AH196" i="1"/>
  <c r="Z196" i="1"/>
  <c r="Y196" i="1"/>
  <c r="X196" i="1"/>
  <c r="T196" i="1"/>
  <c r="Q196" i="1"/>
  <c r="L196" i="1"/>
  <c r="K196" i="1"/>
  <c r="AN195" i="1"/>
  <c r="T195" i="1" s="1"/>
  <c r="AM195" i="1"/>
  <c r="AL195" i="1" s="1"/>
  <c r="AK195" i="1"/>
  <c r="AJ195" i="1"/>
  <c r="AH195" i="1" s="1"/>
  <c r="AI195" i="1" s="1"/>
  <c r="Z195" i="1"/>
  <c r="Y195" i="1"/>
  <c r="Q195" i="1"/>
  <c r="AN194" i="1"/>
  <c r="AM194" i="1"/>
  <c r="AL194" i="1"/>
  <c r="AK194" i="1"/>
  <c r="AJ194" i="1"/>
  <c r="AH194" i="1"/>
  <c r="O194" i="1" s="1"/>
  <c r="Z194" i="1"/>
  <c r="Y194" i="1"/>
  <c r="X194" i="1"/>
  <c r="T194" i="1"/>
  <c r="Q194" i="1"/>
  <c r="L194" i="1"/>
  <c r="AN193" i="1"/>
  <c r="T193" i="1" s="1"/>
  <c r="AM193" i="1"/>
  <c r="AK193" i="1"/>
  <c r="AL193" i="1" s="1"/>
  <c r="AJ193" i="1"/>
  <c r="AH193" i="1" s="1"/>
  <c r="Z193" i="1"/>
  <c r="Y193" i="1"/>
  <c r="X193" i="1" s="1"/>
  <c r="Q193" i="1"/>
  <c r="AN192" i="1"/>
  <c r="AM192" i="1"/>
  <c r="AK192" i="1"/>
  <c r="AL192" i="1" s="1"/>
  <c r="AJ192" i="1"/>
  <c r="AH192" i="1"/>
  <c r="L192" i="1" s="1"/>
  <c r="Z192" i="1"/>
  <c r="Y192" i="1"/>
  <c r="X192" i="1"/>
  <c r="T192" i="1"/>
  <c r="Q192" i="1"/>
  <c r="K192" i="1"/>
  <c r="AN191" i="1"/>
  <c r="T191" i="1" s="1"/>
  <c r="AM191" i="1"/>
  <c r="AK191" i="1"/>
  <c r="AL191" i="1" s="1"/>
  <c r="AJ191" i="1"/>
  <c r="AH191" i="1" s="1"/>
  <c r="Z191" i="1"/>
  <c r="Y191" i="1"/>
  <c r="X191" i="1" s="1"/>
  <c r="Q191" i="1"/>
  <c r="AN190" i="1"/>
  <c r="AM190" i="1"/>
  <c r="AL190" i="1"/>
  <c r="AK190" i="1"/>
  <c r="AJ190" i="1"/>
  <c r="AH190" i="1"/>
  <c r="Z190" i="1"/>
  <c r="Y190" i="1"/>
  <c r="X190" i="1"/>
  <c r="T190" i="1"/>
  <c r="Q190" i="1"/>
  <c r="AN189" i="1"/>
  <c r="T189" i="1" s="1"/>
  <c r="AM189" i="1"/>
  <c r="AK189" i="1"/>
  <c r="AJ189" i="1"/>
  <c r="AH189" i="1" s="1"/>
  <c r="Z189" i="1"/>
  <c r="Y189" i="1"/>
  <c r="X189" i="1" s="1"/>
  <c r="Q189" i="1"/>
  <c r="AN188" i="1"/>
  <c r="AM188" i="1"/>
  <c r="AL188" i="1"/>
  <c r="AK188" i="1"/>
  <c r="AJ188" i="1"/>
  <c r="AH188" i="1"/>
  <c r="Z188" i="1"/>
  <c r="Y188" i="1"/>
  <c r="X188" i="1"/>
  <c r="T188" i="1"/>
  <c r="Q188" i="1"/>
  <c r="AN187" i="1"/>
  <c r="T187" i="1" s="1"/>
  <c r="AM187" i="1"/>
  <c r="AK187" i="1"/>
  <c r="AL187" i="1" s="1"/>
  <c r="AJ187" i="1"/>
  <c r="AH187" i="1" s="1"/>
  <c r="AI187" i="1"/>
  <c r="Z187" i="1"/>
  <c r="Y187" i="1"/>
  <c r="X187" i="1" s="1"/>
  <c r="Q187" i="1"/>
  <c r="O187" i="1"/>
  <c r="AN186" i="1"/>
  <c r="AM186" i="1"/>
  <c r="AL186" i="1"/>
  <c r="AK186" i="1"/>
  <c r="AJ186" i="1"/>
  <c r="AH186" i="1"/>
  <c r="Z186" i="1"/>
  <c r="Y186" i="1"/>
  <c r="X186" i="1"/>
  <c r="T186" i="1"/>
  <c r="Q186" i="1"/>
  <c r="AN185" i="1"/>
  <c r="AM185" i="1"/>
  <c r="AK185" i="1"/>
  <c r="AJ185" i="1"/>
  <c r="AH185" i="1" s="1"/>
  <c r="Z185" i="1"/>
  <c r="Y185" i="1"/>
  <c r="Q185" i="1"/>
  <c r="O185" i="1"/>
  <c r="K185" i="1"/>
  <c r="J185" i="1"/>
  <c r="I185" i="1"/>
  <c r="AN184" i="1"/>
  <c r="AM184" i="1"/>
  <c r="AL184" i="1"/>
  <c r="AK184" i="1"/>
  <c r="T184" i="1" s="1"/>
  <c r="AJ184" i="1"/>
  <c r="AH184" i="1"/>
  <c r="Z184" i="1"/>
  <c r="Y184" i="1"/>
  <c r="X184" i="1"/>
  <c r="Q184" i="1"/>
  <c r="AN183" i="1"/>
  <c r="AM183" i="1"/>
  <c r="AK183" i="1"/>
  <c r="AJ183" i="1"/>
  <c r="AH183" i="1" s="1"/>
  <c r="Z183" i="1"/>
  <c r="X183" i="1" s="1"/>
  <c r="Y183" i="1"/>
  <c r="Q183" i="1"/>
  <c r="O183" i="1"/>
  <c r="AN182" i="1"/>
  <c r="T182" i="1" s="1"/>
  <c r="AM182" i="1"/>
  <c r="AL182" i="1" s="1"/>
  <c r="AK182" i="1"/>
  <c r="AJ182" i="1"/>
  <c r="AH182" i="1"/>
  <c r="Z182" i="1"/>
  <c r="Y182" i="1"/>
  <c r="X182" i="1"/>
  <c r="Q182" i="1"/>
  <c r="AN181" i="1"/>
  <c r="AM181" i="1"/>
  <c r="AK181" i="1"/>
  <c r="AJ181" i="1"/>
  <c r="AH181" i="1" s="1"/>
  <c r="Z181" i="1"/>
  <c r="X181" i="1" s="1"/>
  <c r="Y181" i="1"/>
  <c r="Q181" i="1"/>
  <c r="AN180" i="1"/>
  <c r="AM180" i="1"/>
  <c r="AL180" i="1"/>
  <c r="AK180" i="1"/>
  <c r="AJ180" i="1"/>
  <c r="AH180" i="1" s="1"/>
  <c r="AI180" i="1"/>
  <c r="Z180" i="1"/>
  <c r="Y180" i="1"/>
  <c r="X180" i="1" s="1"/>
  <c r="T180" i="1"/>
  <c r="Q180" i="1"/>
  <c r="L180" i="1"/>
  <c r="AN179" i="1"/>
  <c r="AM179" i="1"/>
  <c r="AK179" i="1"/>
  <c r="AJ179" i="1"/>
  <c r="AH179" i="1" s="1"/>
  <c r="Z179" i="1"/>
  <c r="X179" i="1" s="1"/>
  <c r="Y179" i="1"/>
  <c r="Q179" i="1"/>
  <c r="AN178" i="1"/>
  <c r="T178" i="1" s="1"/>
  <c r="AM178" i="1"/>
  <c r="AL178" i="1" s="1"/>
  <c r="AK178" i="1"/>
  <c r="AJ178" i="1"/>
  <c r="AI178" i="1"/>
  <c r="AH178" i="1"/>
  <c r="Z178" i="1"/>
  <c r="Y178" i="1"/>
  <c r="X178" i="1"/>
  <c r="Q178" i="1"/>
  <c r="AN177" i="1"/>
  <c r="AM177" i="1"/>
  <c r="AK177" i="1"/>
  <c r="AJ177" i="1"/>
  <c r="AH177" i="1" s="1"/>
  <c r="Z177" i="1"/>
  <c r="Y177" i="1"/>
  <c r="X177" i="1" s="1"/>
  <c r="Q177" i="1"/>
  <c r="O177" i="1"/>
  <c r="K177" i="1"/>
  <c r="AN176" i="1"/>
  <c r="AM176" i="1"/>
  <c r="AL176" i="1"/>
  <c r="AK176" i="1"/>
  <c r="AJ176" i="1"/>
  <c r="AH176" i="1" s="1"/>
  <c r="AI176" i="1"/>
  <c r="Z176" i="1"/>
  <c r="Y176" i="1"/>
  <c r="X176" i="1" s="1"/>
  <c r="T176" i="1"/>
  <c r="Q176" i="1"/>
  <c r="AN175" i="1"/>
  <c r="AM175" i="1"/>
  <c r="AK175" i="1"/>
  <c r="AJ175" i="1"/>
  <c r="AH175" i="1" s="1"/>
  <c r="Z175" i="1"/>
  <c r="X175" i="1" s="1"/>
  <c r="Y175" i="1"/>
  <c r="Q175" i="1"/>
  <c r="O175" i="1"/>
  <c r="K175" i="1"/>
  <c r="J175" i="1"/>
  <c r="I175" i="1" s="1"/>
  <c r="AB175" i="1" s="1"/>
  <c r="AN174" i="1"/>
  <c r="T174" i="1" s="1"/>
  <c r="AM174" i="1"/>
  <c r="AL174" i="1" s="1"/>
  <c r="AK174" i="1"/>
  <c r="AJ174" i="1"/>
  <c r="AH174" i="1"/>
  <c r="Z174" i="1"/>
  <c r="Y174" i="1"/>
  <c r="X174" i="1"/>
  <c r="Q174" i="1"/>
  <c r="AN173" i="1"/>
  <c r="AM173" i="1"/>
  <c r="AK173" i="1"/>
  <c r="AJ173" i="1"/>
  <c r="AH173" i="1" s="1"/>
  <c r="Z173" i="1"/>
  <c r="Y173" i="1"/>
  <c r="X173" i="1" s="1"/>
  <c r="Q173" i="1"/>
  <c r="O173" i="1"/>
  <c r="K173" i="1"/>
  <c r="AN172" i="1"/>
  <c r="AM172" i="1"/>
  <c r="AL172" i="1"/>
  <c r="AK172" i="1"/>
  <c r="AJ172" i="1"/>
  <c r="AH172" i="1" s="1"/>
  <c r="AI172" i="1"/>
  <c r="Z172" i="1"/>
  <c r="Y172" i="1"/>
  <c r="X172" i="1" s="1"/>
  <c r="T172" i="1"/>
  <c r="Q172" i="1"/>
  <c r="L172" i="1"/>
  <c r="AN171" i="1"/>
  <c r="AM171" i="1"/>
  <c r="AK171" i="1"/>
  <c r="AJ171" i="1"/>
  <c r="AH171" i="1" s="1"/>
  <c r="Z171" i="1"/>
  <c r="X171" i="1" s="1"/>
  <c r="Y171" i="1"/>
  <c r="Q171" i="1"/>
  <c r="O171" i="1"/>
  <c r="K171" i="1"/>
  <c r="J171" i="1"/>
  <c r="I171" i="1" s="1"/>
  <c r="AB171" i="1" s="1"/>
  <c r="AN170" i="1"/>
  <c r="T170" i="1" s="1"/>
  <c r="AM170" i="1"/>
  <c r="AL170" i="1" s="1"/>
  <c r="AK170" i="1"/>
  <c r="AJ170" i="1"/>
  <c r="AH170" i="1"/>
  <c r="Z170" i="1"/>
  <c r="Y170" i="1"/>
  <c r="X170" i="1"/>
  <c r="Q170" i="1"/>
  <c r="AN169" i="1"/>
  <c r="AM169" i="1"/>
  <c r="AK169" i="1"/>
  <c r="AL169" i="1" s="1"/>
  <c r="AJ169" i="1"/>
  <c r="AH169" i="1" s="1"/>
  <c r="Z169" i="1"/>
  <c r="Y169" i="1"/>
  <c r="X169" i="1" s="1"/>
  <c r="T169" i="1"/>
  <c r="Q169" i="1"/>
  <c r="O169" i="1"/>
  <c r="K169" i="1"/>
  <c r="AN168" i="1"/>
  <c r="AM168" i="1"/>
  <c r="AL168" i="1" s="1"/>
  <c r="AK168" i="1"/>
  <c r="AJ168" i="1"/>
  <c r="AH168" i="1" s="1"/>
  <c r="AI168" i="1"/>
  <c r="Z168" i="1"/>
  <c r="Y168" i="1"/>
  <c r="X168" i="1"/>
  <c r="T168" i="1"/>
  <c r="Q168" i="1"/>
  <c r="L168" i="1"/>
  <c r="J168" i="1"/>
  <c r="I168" i="1" s="1"/>
  <c r="AB168" i="1" s="1"/>
  <c r="AN167" i="1"/>
  <c r="AM167" i="1"/>
  <c r="AK167" i="1"/>
  <c r="AJ167" i="1"/>
  <c r="AH167" i="1" s="1"/>
  <c r="Z167" i="1"/>
  <c r="X167" i="1" s="1"/>
  <c r="Y167" i="1"/>
  <c r="Q167" i="1"/>
  <c r="AN166" i="1"/>
  <c r="T166" i="1" s="1"/>
  <c r="AM166" i="1"/>
  <c r="AL166" i="1" s="1"/>
  <c r="AK166" i="1"/>
  <c r="AJ166" i="1"/>
  <c r="AH166" i="1"/>
  <c r="Z166" i="1"/>
  <c r="Y166" i="1"/>
  <c r="X166" i="1"/>
  <c r="Q166" i="1"/>
  <c r="L166" i="1"/>
  <c r="AN165" i="1"/>
  <c r="AM165" i="1"/>
  <c r="AL165" i="1"/>
  <c r="AK165" i="1"/>
  <c r="AJ165" i="1"/>
  <c r="AH165" i="1" s="1"/>
  <c r="J165" i="1" s="1"/>
  <c r="I165" i="1" s="1"/>
  <c r="AI165" i="1"/>
  <c r="Z165" i="1"/>
  <c r="Y165" i="1"/>
  <c r="T165" i="1"/>
  <c r="Q165" i="1"/>
  <c r="O165" i="1"/>
  <c r="L165" i="1"/>
  <c r="K165" i="1"/>
  <c r="AN164" i="1"/>
  <c r="AM164" i="1"/>
  <c r="AL164" i="1"/>
  <c r="AK164" i="1"/>
  <c r="AJ164" i="1"/>
  <c r="AH164" i="1" s="1"/>
  <c r="AI164" i="1" s="1"/>
  <c r="Z164" i="1"/>
  <c r="X164" i="1" s="1"/>
  <c r="Y164" i="1"/>
  <c r="T164" i="1"/>
  <c r="Q164" i="1"/>
  <c r="AN163" i="1"/>
  <c r="AM163" i="1"/>
  <c r="AK163" i="1"/>
  <c r="AJ163" i="1"/>
  <c r="AH163" i="1"/>
  <c r="Z163" i="1"/>
  <c r="X163" i="1" s="1"/>
  <c r="Y163" i="1"/>
  <c r="Q163" i="1"/>
  <c r="AN162" i="1"/>
  <c r="AM162" i="1"/>
  <c r="AK162" i="1"/>
  <c r="AJ162" i="1"/>
  <c r="AH162" i="1"/>
  <c r="AI162" i="1" s="1"/>
  <c r="Z162" i="1"/>
  <c r="Y162" i="1"/>
  <c r="X162" i="1" s="1"/>
  <c r="Q162" i="1"/>
  <c r="K162" i="1"/>
  <c r="J162" i="1"/>
  <c r="I162" i="1" s="1"/>
  <c r="AB162" i="1" s="1"/>
  <c r="AN161" i="1"/>
  <c r="AM161" i="1"/>
  <c r="AK161" i="1"/>
  <c r="AL161" i="1" s="1"/>
  <c r="AJ161" i="1"/>
  <c r="AH161" i="1"/>
  <c r="Z161" i="1"/>
  <c r="Y161" i="1"/>
  <c r="X161" i="1"/>
  <c r="T161" i="1"/>
  <c r="Q161" i="1"/>
  <c r="L161" i="1"/>
  <c r="K161" i="1"/>
  <c r="AN160" i="1"/>
  <c r="T160" i="1" s="1"/>
  <c r="AM160" i="1"/>
  <c r="AL160" i="1" s="1"/>
  <c r="AK160" i="1"/>
  <c r="AJ160" i="1"/>
  <c r="AH160" i="1" s="1"/>
  <c r="AI160" i="1" s="1"/>
  <c r="Z160" i="1"/>
  <c r="Y160" i="1"/>
  <c r="X160" i="1" s="1"/>
  <c r="Q160" i="1"/>
  <c r="AN159" i="1"/>
  <c r="AM159" i="1"/>
  <c r="AL159" i="1"/>
  <c r="AK159" i="1"/>
  <c r="AJ159" i="1"/>
  <c r="AH159" i="1"/>
  <c r="O159" i="1" s="1"/>
  <c r="Z159" i="1"/>
  <c r="Y159" i="1"/>
  <c r="X159" i="1"/>
  <c r="T159" i="1"/>
  <c r="Q159" i="1"/>
  <c r="AN158" i="1"/>
  <c r="AM158" i="1"/>
  <c r="AK158" i="1"/>
  <c r="AJ158" i="1"/>
  <c r="AH158" i="1" s="1"/>
  <c r="J158" i="1" s="1"/>
  <c r="I158" i="1" s="1"/>
  <c r="Z158" i="1"/>
  <c r="Y158" i="1"/>
  <c r="X158" i="1" s="1"/>
  <c r="Q158" i="1"/>
  <c r="AN157" i="1"/>
  <c r="AM157" i="1"/>
  <c r="AL157" i="1"/>
  <c r="AK157" i="1"/>
  <c r="AJ157" i="1"/>
  <c r="AH157" i="1"/>
  <c r="L157" i="1" s="1"/>
  <c r="Z157" i="1"/>
  <c r="Y157" i="1"/>
  <c r="X157" i="1"/>
  <c r="T157" i="1"/>
  <c r="Q157" i="1"/>
  <c r="AN156" i="1"/>
  <c r="T156" i="1" s="1"/>
  <c r="AM156" i="1"/>
  <c r="AL156" i="1" s="1"/>
  <c r="AK156" i="1"/>
  <c r="AJ156" i="1"/>
  <c r="AH156" i="1" s="1"/>
  <c r="AI156" i="1"/>
  <c r="Z156" i="1"/>
  <c r="Y156" i="1"/>
  <c r="X156" i="1" s="1"/>
  <c r="Q156" i="1"/>
  <c r="J156" i="1"/>
  <c r="I156" i="1" s="1"/>
  <c r="AN155" i="1"/>
  <c r="AM155" i="1"/>
  <c r="AL155" i="1"/>
  <c r="AK155" i="1"/>
  <c r="AJ155" i="1"/>
  <c r="AH155" i="1"/>
  <c r="O155" i="1" s="1"/>
  <c r="Z155" i="1"/>
  <c r="Y155" i="1"/>
  <c r="X155" i="1"/>
  <c r="T155" i="1"/>
  <c r="Q155" i="1"/>
  <c r="AN154" i="1"/>
  <c r="AM154" i="1"/>
  <c r="AK154" i="1"/>
  <c r="AJ154" i="1"/>
  <c r="AH154" i="1" s="1"/>
  <c r="Z154" i="1"/>
  <c r="Y154" i="1"/>
  <c r="Q154" i="1"/>
  <c r="J154" i="1"/>
  <c r="I154" i="1" s="1"/>
  <c r="AB154" i="1" s="1"/>
  <c r="AN153" i="1"/>
  <c r="AM153" i="1"/>
  <c r="AL153" i="1"/>
  <c r="AK153" i="1"/>
  <c r="AJ153" i="1"/>
  <c r="AH153" i="1"/>
  <c r="L153" i="1" s="1"/>
  <c r="Z153" i="1"/>
  <c r="Y153" i="1"/>
  <c r="X153" i="1"/>
  <c r="T153" i="1"/>
  <c r="Q153" i="1"/>
  <c r="AN152" i="1"/>
  <c r="T152" i="1" s="1"/>
  <c r="AM152" i="1"/>
  <c r="AL152" i="1" s="1"/>
  <c r="AK152" i="1"/>
  <c r="AJ152" i="1"/>
  <c r="AH152" i="1" s="1"/>
  <c r="AI152" i="1"/>
  <c r="Z152" i="1"/>
  <c r="Y152" i="1"/>
  <c r="Q152" i="1"/>
  <c r="J152" i="1"/>
  <c r="I152" i="1" s="1"/>
  <c r="AB152" i="1" s="1"/>
  <c r="AN151" i="1"/>
  <c r="AM151" i="1"/>
  <c r="AL151" i="1"/>
  <c r="AK151" i="1"/>
  <c r="AJ151" i="1"/>
  <c r="AH151" i="1"/>
  <c r="Z151" i="1"/>
  <c r="Y151" i="1"/>
  <c r="X151" i="1"/>
  <c r="T151" i="1"/>
  <c r="Q151" i="1"/>
  <c r="O151" i="1"/>
  <c r="L151" i="1"/>
  <c r="AN150" i="1"/>
  <c r="AM150" i="1"/>
  <c r="AK150" i="1"/>
  <c r="AL150" i="1" s="1"/>
  <c r="AJ150" i="1"/>
  <c r="AH150" i="1" s="1"/>
  <c r="K150" i="1" s="1"/>
  <c r="Z150" i="1"/>
  <c r="Y150" i="1"/>
  <c r="Q150" i="1"/>
  <c r="AN149" i="1"/>
  <c r="AM149" i="1"/>
  <c r="AK149" i="1"/>
  <c r="AL149" i="1" s="1"/>
  <c r="AJ149" i="1"/>
  <c r="AI149" i="1"/>
  <c r="AH149" i="1"/>
  <c r="Z149" i="1"/>
  <c r="Y149" i="1"/>
  <c r="X149" i="1"/>
  <c r="T149" i="1"/>
  <c r="Q149" i="1"/>
  <c r="L149" i="1"/>
  <c r="K149" i="1"/>
  <c r="AN148" i="1"/>
  <c r="T148" i="1" s="1"/>
  <c r="U148" i="1" s="1"/>
  <c r="V148" i="1" s="1"/>
  <c r="AM148" i="1"/>
  <c r="AL148" i="1" s="1"/>
  <c r="AK148" i="1"/>
  <c r="AJ148" i="1"/>
  <c r="AH148" i="1" s="1"/>
  <c r="AI148" i="1"/>
  <c r="Z148" i="1"/>
  <c r="Y148" i="1"/>
  <c r="X148" i="1" s="1"/>
  <c r="R148" i="1"/>
  <c r="P148" i="1" s="1"/>
  <c r="S148" i="1" s="1"/>
  <c r="Q148" i="1"/>
  <c r="AC148" i="1" s="1"/>
  <c r="O148" i="1"/>
  <c r="J148" i="1"/>
  <c r="I148" i="1" s="1"/>
  <c r="AB148" i="1" s="1"/>
  <c r="AN147" i="1"/>
  <c r="AM147" i="1"/>
  <c r="AL147" i="1" s="1"/>
  <c r="AK147" i="1"/>
  <c r="T147" i="1" s="1"/>
  <c r="AJ147" i="1"/>
  <c r="AH147" i="1"/>
  <c r="K147" i="1" s="1"/>
  <c r="Z147" i="1"/>
  <c r="Y147" i="1"/>
  <c r="X147" i="1"/>
  <c r="Q147" i="1"/>
  <c r="L147" i="1"/>
  <c r="AN146" i="1"/>
  <c r="AM146" i="1"/>
  <c r="AK146" i="1"/>
  <c r="AJ146" i="1"/>
  <c r="AH146" i="1" s="1"/>
  <c r="AI146" i="1" s="1"/>
  <c r="Z146" i="1"/>
  <c r="Y146" i="1"/>
  <c r="X146" i="1" s="1"/>
  <c r="Q146" i="1"/>
  <c r="J146" i="1"/>
  <c r="I146" i="1" s="1"/>
  <c r="AN145" i="1"/>
  <c r="AM145" i="1"/>
  <c r="AL145" i="1"/>
  <c r="AK145" i="1"/>
  <c r="AJ145" i="1"/>
  <c r="AH145" i="1"/>
  <c r="Z145" i="1"/>
  <c r="Y145" i="1"/>
  <c r="X145" i="1" s="1"/>
  <c r="T145" i="1"/>
  <c r="Q145" i="1"/>
  <c r="AN144" i="1"/>
  <c r="T144" i="1" s="1"/>
  <c r="AM144" i="1"/>
  <c r="AL144" i="1" s="1"/>
  <c r="AK144" i="1"/>
  <c r="AJ144" i="1"/>
  <c r="AH144" i="1" s="1"/>
  <c r="AI144" i="1"/>
  <c r="Z144" i="1"/>
  <c r="Y144" i="1"/>
  <c r="Q144" i="1"/>
  <c r="O144" i="1"/>
  <c r="AN143" i="1"/>
  <c r="AM143" i="1"/>
  <c r="AK143" i="1"/>
  <c r="AL143" i="1" s="1"/>
  <c r="AJ143" i="1"/>
  <c r="AH143" i="1"/>
  <c r="K143" i="1" s="1"/>
  <c r="Z143" i="1"/>
  <c r="Y143" i="1"/>
  <c r="X143" i="1"/>
  <c r="T143" i="1"/>
  <c r="Q143" i="1"/>
  <c r="L143" i="1"/>
  <c r="AN142" i="1"/>
  <c r="AM142" i="1"/>
  <c r="AK142" i="1"/>
  <c r="AJ142" i="1"/>
  <c r="AH142" i="1" s="1"/>
  <c r="AI142" i="1" s="1"/>
  <c r="Z142" i="1"/>
  <c r="Y142" i="1"/>
  <c r="X142" i="1" s="1"/>
  <c r="Q142" i="1"/>
  <c r="K142" i="1"/>
  <c r="AN141" i="1"/>
  <c r="AM141" i="1"/>
  <c r="AL141" i="1"/>
  <c r="AK141" i="1"/>
  <c r="AJ141" i="1"/>
  <c r="AI141" i="1"/>
  <c r="AH141" i="1"/>
  <c r="J141" i="1" s="1"/>
  <c r="I141" i="1" s="1"/>
  <c r="AB141" i="1"/>
  <c r="Z141" i="1"/>
  <c r="Y141" i="1"/>
  <c r="X141" i="1" s="1"/>
  <c r="T141" i="1"/>
  <c r="Q141" i="1"/>
  <c r="O141" i="1"/>
  <c r="L141" i="1"/>
  <c r="K141" i="1"/>
  <c r="AN140" i="1"/>
  <c r="AM140" i="1"/>
  <c r="AL140" i="1" s="1"/>
  <c r="AK140" i="1"/>
  <c r="AJ140" i="1"/>
  <c r="AH140" i="1" s="1"/>
  <c r="L140" i="1" s="1"/>
  <c r="AI140" i="1"/>
  <c r="Z140" i="1"/>
  <c r="Y140" i="1"/>
  <c r="X140" i="1" s="1"/>
  <c r="T140" i="1"/>
  <c r="U140" i="1" s="1"/>
  <c r="V140" i="1" s="1"/>
  <c r="Q140" i="1"/>
  <c r="O140" i="1"/>
  <c r="K140" i="1"/>
  <c r="J140" i="1"/>
  <c r="I140" i="1" s="1"/>
  <c r="AN139" i="1"/>
  <c r="AM139" i="1"/>
  <c r="AK139" i="1"/>
  <c r="AL139" i="1" s="1"/>
  <c r="AJ139" i="1"/>
  <c r="AH139" i="1"/>
  <c r="J139" i="1" s="1"/>
  <c r="I139" i="1" s="1"/>
  <c r="AB139" i="1"/>
  <c r="Z139" i="1"/>
  <c r="Y139" i="1"/>
  <c r="X139" i="1"/>
  <c r="T139" i="1"/>
  <c r="Q139" i="1"/>
  <c r="L139" i="1"/>
  <c r="K139" i="1"/>
  <c r="AN138" i="1"/>
  <c r="AM138" i="1"/>
  <c r="AK138" i="1"/>
  <c r="AL138" i="1" s="1"/>
  <c r="AJ138" i="1"/>
  <c r="AH138" i="1" s="1"/>
  <c r="Z138" i="1"/>
  <c r="Y138" i="1"/>
  <c r="X138" i="1" s="1"/>
  <c r="Q138" i="1"/>
  <c r="AN137" i="1"/>
  <c r="AM137" i="1"/>
  <c r="AL137" i="1"/>
  <c r="AK137" i="1"/>
  <c r="AJ137" i="1"/>
  <c r="AH137" i="1"/>
  <c r="Z137" i="1"/>
  <c r="Y137" i="1"/>
  <c r="X137" i="1"/>
  <c r="T137" i="1"/>
  <c r="Q137" i="1"/>
  <c r="O137" i="1"/>
  <c r="AN136" i="1"/>
  <c r="AM136" i="1"/>
  <c r="AK136" i="1"/>
  <c r="AJ136" i="1"/>
  <c r="AH136" i="1" s="1"/>
  <c r="Z136" i="1"/>
  <c r="X136" i="1" s="1"/>
  <c r="Y136" i="1"/>
  <c r="Q136" i="1"/>
  <c r="AN135" i="1"/>
  <c r="AM135" i="1"/>
  <c r="AL135" i="1"/>
  <c r="AK135" i="1"/>
  <c r="AJ135" i="1"/>
  <c r="AH135" i="1"/>
  <c r="J135" i="1" s="1"/>
  <c r="I135" i="1" s="1"/>
  <c r="AB135" i="1"/>
  <c r="Z135" i="1"/>
  <c r="Y135" i="1"/>
  <c r="X135" i="1"/>
  <c r="T135" i="1"/>
  <c r="Q135" i="1"/>
  <c r="L135" i="1"/>
  <c r="K135" i="1"/>
  <c r="AN134" i="1"/>
  <c r="AM134" i="1"/>
  <c r="AK134" i="1"/>
  <c r="AL134" i="1" s="1"/>
  <c r="AJ134" i="1"/>
  <c r="AH134" i="1" s="1"/>
  <c r="AI134" i="1"/>
  <c r="Z134" i="1"/>
  <c r="Y134" i="1"/>
  <c r="X134" i="1" s="1"/>
  <c r="Q134" i="1"/>
  <c r="AN133" i="1"/>
  <c r="AM133" i="1"/>
  <c r="AL133" i="1"/>
  <c r="AK133" i="1"/>
  <c r="AJ133" i="1"/>
  <c r="AH133" i="1"/>
  <c r="O133" i="1" s="1"/>
  <c r="Z133" i="1"/>
  <c r="Y133" i="1"/>
  <c r="X133" i="1"/>
  <c r="T133" i="1"/>
  <c r="Q133" i="1"/>
  <c r="AN132" i="1"/>
  <c r="AM132" i="1"/>
  <c r="AK132" i="1"/>
  <c r="AL132" i="1" s="1"/>
  <c r="AJ132" i="1"/>
  <c r="AH132" i="1" s="1"/>
  <c r="Z132" i="1"/>
  <c r="Y132" i="1"/>
  <c r="X132" i="1" s="1"/>
  <c r="Q132" i="1"/>
  <c r="AN131" i="1"/>
  <c r="AM131" i="1"/>
  <c r="AK131" i="1"/>
  <c r="AL131" i="1" s="1"/>
  <c r="AJ131" i="1"/>
  <c r="AH131" i="1"/>
  <c r="J131" i="1" s="1"/>
  <c r="I131" i="1" s="1"/>
  <c r="Z131" i="1"/>
  <c r="Y131" i="1"/>
  <c r="X131" i="1"/>
  <c r="T131" i="1"/>
  <c r="Q131" i="1"/>
  <c r="L131" i="1"/>
  <c r="K131" i="1"/>
  <c r="AN130" i="1"/>
  <c r="AM130" i="1"/>
  <c r="AK130" i="1"/>
  <c r="AL130" i="1" s="1"/>
  <c r="AJ130" i="1"/>
  <c r="AH130" i="1" s="1"/>
  <c r="Z130" i="1"/>
  <c r="Y130" i="1"/>
  <c r="Q130" i="1"/>
  <c r="AN129" i="1"/>
  <c r="AM129" i="1"/>
  <c r="AL129" i="1"/>
  <c r="AK129" i="1"/>
  <c r="AJ129" i="1"/>
  <c r="AH129" i="1"/>
  <c r="Z129" i="1"/>
  <c r="Y129" i="1"/>
  <c r="X129" i="1"/>
  <c r="T129" i="1"/>
  <c r="Q129" i="1"/>
  <c r="AN128" i="1"/>
  <c r="AM128" i="1"/>
  <c r="AK128" i="1"/>
  <c r="AJ128" i="1"/>
  <c r="AH128" i="1" s="1"/>
  <c r="J128" i="1" s="1"/>
  <c r="I128" i="1" s="1"/>
  <c r="Z128" i="1"/>
  <c r="Y128" i="1"/>
  <c r="Q128" i="1"/>
  <c r="O128" i="1"/>
  <c r="K128" i="1"/>
  <c r="AN127" i="1"/>
  <c r="AM127" i="1"/>
  <c r="AL127" i="1" s="1"/>
  <c r="AK127" i="1"/>
  <c r="AJ127" i="1"/>
  <c r="AI127" i="1"/>
  <c r="AH127" i="1"/>
  <c r="Z127" i="1"/>
  <c r="Y127" i="1"/>
  <c r="X127" i="1"/>
  <c r="T127" i="1"/>
  <c r="U127" i="1" s="1"/>
  <c r="V127" i="1" s="1"/>
  <c r="Q127" i="1"/>
  <c r="O127" i="1"/>
  <c r="L127" i="1"/>
  <c r="K127" i="1"/>
  <c r="J127" i="1"/>
  <c r="I127" i="1" s="1"/>
  <c r="AN126" i="1"/>
  <c r="AM126" i="1"/>
  <c r="AK126" i="1"/>
  <c r="AJ126" i="1"/>
  <c r="AH126" i="1"/>
  <c r="Z126" i="1"/>
  <c r="Y126" i="1"/>
  <c r="X126" i="1"/>
  <c r="Q126" i="1"/>
  <c r="K126" i="1"/>
  <c r="AN125" i="1"/>
  <c r="AM125" i="1"/>
  <c r="AK125" i="1"/>
  <c r="AL125" i="1" s="1"/>
  <c r="AJ125" i="1"/>
  <c r="AI125" i="1"/>
  <c r="AH125" i="1"/>
  <c r="L125" i="1" s="1"/>
  <c r="Z125" i="1"/>
  <c r="Y125" i="1"/>
  <c r="X125" i="1" s="1"/>
  <c r="Q125" i="1"/>
  <c r="O125" i="1"/>
  <c r="AN124" i="1"/>
  <c r="AM124" i="1"/>
  <c r="AL124" i="1"/>
  <c r="AK124" i="1"/>
  <c r="AJ124" i="1"/>
  <c r="AI124" i="1"/>
  <c r="AH124" i="1"/>
  <c r="K124" i="1" s="1"/>
  <c r="Z124" i="1"/>
  <c r="Y124" i="1"/>
  <c r="X124" i="1" s="1"/>
  <c r="T124" i="1"/>
  <c r="Q124" i="1"/>
  <c r="O124" i="1"/>
  <c r="L124" i="1"/>
  <c r="AN123" i="1"/>
  <c r="AM123" i="1"/>
  <c r="AK123" i="1"/>
  <c r="AJ123" i="1"/>
  <c r="AH123" i="1" s="1"/>
  <c r="Z123" i="1"/>
  <c r="Y123" i="1"/>
  <c r="X123" i="1" s="1"/>
  <c r="Q123" i="1"/>
  <c r="K123" i="1"/>
  <c r="J123" i="1"/>
  <c r="I123" i="1" s="1"/>
  <c r="AB123" i="1" s="1"/>
  <c r="AN122" i="1"/>
  <c r="AM122" i="1"/>
  <c r="AK122" i="1"/>
  <c r="AJ122" i="1"/>
  <c r="AH122" i="1"/>
  <c r="Z122" i="1"/>
  <c r="Y122" i="1"/>
  <c r="X122" i="1" s="1"/>
  <c r="Q122" i="1"/>
  <c r="AN121" i="1"/>
  <c r="AM121" i="1"/>
  <c r="AK121" i="1"/>
  <c r="AL121" i="1" s="1"/>
  <c r="AJ121" i="1"/>
  <c r="AI121" i="1"/>
  <c r="AH121" i="1"/>
  <c r="L121" i="1" s="1"/>
  <c r="Z121" i="1"/>
  <c r="Y121" i="1"/>
  <c r="X121" i="1" s="1"/>
  <c r="Q121" i="1"/>
  <c r="O121" i="1"/>
  <c r="K121" i="1"/>
  <c r="AN120" i="1"/>
  <c r="AM120" i="1"/>
  <c r="AL120" i="1"/>
  <c r="AK120" i="1"/>
  <c r="AJ120" i="1"/>
  <c r="AI120" i="1"/>
  <c r="AH120" i="1"/>
  <c r="J120" i="1" s="1"/>
  <c r="I120" i="1" s="1"/>
  <c r="Z120" i="1"/>
  <c r="Y120" i="1"/>
  <c r="X120" i="1" s="1"/>
  <c r="U120" i="1"/>
  <c r="V120" i="1" s="1"/>
  <c r="AC120" i="1" s="1"/>
  <c r="T120" i="1"/>
  <c r="Q120" i="1"/>
  <c r="O120" i="1"/>
  <c r="L120" i="1"/>
  <c r="K120" i="1"/>
  <c r="AN119" i="1"/>
  <c r="AM119" i="1"/>
  <c r="AK119" i="1"/>
  <c r="AJ119" i="1"/>
  <c r="AH119" i="1" s="1"/>
  <c r="Z119" i="1"/>
  <c r="Y119" i="1"/>
  <c r="Q119" i="1"/>
  <c r="AN118" i="1"/>
  <c r="AM118" i="1"/>
  <c r="AK118" i="1"/>
  <c r="AJ118" i="1"/>
  <c r="AH118" i="1"/>
  <c r="Z118" i="1"/>
  <c r="Y118" i="1"/>
  <c r="X118" i="1"/>
  <c r="Q118" i="1"/>
  <c r="AN117" i="1"/>
  <c r="AM117" i="1"/>
  <c r="AK117" i="1"/>
  <c r="AL117" i="1" s="1"/>
  <c r="AJ117" i="1"/>
  <c r="AI117" i="1"/>
  <c r="AH117" i="1"/>
  <c r="L117" i="1" s="1"/>
  <c r="Z117" i="1"/>
  <c r="Y117" i="1"/>
  <c r="X117" i="1" s="1"/>
  <c r="Q117" i="1"/>
  <c r="O117" i="1"/>
  <c r="K117" i="1"/>
  <c r="AN116" i="1"/>
  <c r="AM116" i="1"/>
  <c r="AL116" i="1"/>
  <c r="AK116" i="1"/>
  <c r="AJ116" i="1"/>
  <c r="AI116" i="1"/>
  <c r="AH116" i="1"/>
  <c r="J116" i="1" s="1"/>
  <c r="AB116" i="1"/>
  <c r="Z116" i="1"/>
  <c r="Y116" i="1"/>
  <c r="X116" i="1" s="1"/>
  <c r="T116" i="1"/>
  <c r="Q116" i="1"/>
  <c r="U116" i="1" s="1"/>
  <c r="V116" i="1" s="1"/>
  <c r="O116" i="1"/>
  <c r="L116" i="1"/>
  <c r="K116" i="1"/>
  <c r="I116" i="1"/>
  <c r="AN115" i="1"/>
  <c r="AM115" i="1"/>
  <c r="AK115" i="1"/>
  <c r="AJ115" i="1"/>
  <c r="AH115" i="1" s="1"/>
  <c r="Z115" i="1"/>
  <c r="Y115" i="1"/>
  <c r="X115" i="1" s="1"/>
  <c r="Q115" i="1"/>
  <c r="AN114" i="1"/>
  <c r="AM114" i="1"/>
  <c r="AK114" i="1"/>
  <c r="AJ114" i="1"/>
  <c r="AI114" i="1"/>
  <c r="AH114" i="1"/>
  <c r="Z114" i="1"/>
  <c r="Y114" i="1"/>
  <c r="X114" i="1" s="1"/>
  <c r="Q114" i="1"/>
  <c r="K114" i="1"/>
  <c r="AN113" i="1"/>
  <c r="AM113" i="1"/>
  <c r="AK113" i="1"/>
  <c r="AJ113" i="1"/>
  <c r="AI113" i="1"/>
  <c r="AH113" i="1"/>
  <c r="L113" i="1" s="1"/>
  <c r="Z113" i="1"/>
  <c r="Y113" i="1"/>
  <c r="X113" i="1" s="1"/>
  <c r="Q113" i="1"/>
  <c r="O113" i="1"/>
  <c r="K113" i="1"/>
  <c r="AN112" i="1"/>
  <c r="AM112" i="1"/>
  <c r="AL112" i="1" s="1"/>
  <c r="AK112" i="1"/>
  <c r="AJ112" i="1"/>
  <c r="AI112" i="1"/>
  <c r="AH112" i="1"/>
  <c r="J112" i="1" s="1"/>
  <c r="Z112" i="1"/>
  <c r="Y112" i="1"/>
  <c r="X112" i="1" s="1"/>
  <c r="T112" i="1"/>
  <c r="U112" i="1" s="1"/>
  <c r="V112" i="1" s="1"/>
  <c r="Q112" i="1"/>
  <c r="O112" i="1"/>
  <c r="L112" i="1"/>
  <c r="K112" i="1"/>
  <c r="I112" i="1"/>
  <c r="AN111" i="1"/>
  <c r="AM111" i="1"/>
  <c r="AK111" i="1"/>
  <c r="AJ111" i="1"/>
  <c r="AH111" i="1" s="1"/>
  <c r="Z111" i="1"/>
  <c r="Y111" i="1"/>
  <c r="Q111" i="1"/>
  <c r="O111" i="1"/>
  <c r="K111" i="1"/>
  <c r="J111" i="1"/>
  <c r="I111" i="1" s="1"/>
  <c r="AB111" i="1" s="1"/>
  <c r="AN110" i="1"/>
  <c r="AM110" i="1"/>
  <c r="AK110" i="1"/>
  <c r="AJ110" i="1"/>
  <c r="AH110" i="1"/>
  <c r="Z110" i="1"/>
  <c r="Y110" i="1"/>
  <c r="X110" i="1" s="1"/>
  <c r="Q110" i="1"/>
  <c r="AN109" i="1"/>
  <c r="AM109" i="1"/>
  <c r="AK109" i="1"/>
  <c r="AJ109" i="1"/>
  <c r="AH109" i="1"/>
  <c r="Z109" i="1"/>
  <c r="Y109" i="1"/>
  <c r="X109" i="1" s="1"/>
  <c r="Q109" i="1"/>
  <c r="AN108" i="1"/>
  <c r="T108" i="1" s="1"/>
  <c r="AM108" i="1"/>
  <c r="AL108" i="1" s="1"/>
  <c r="AK108" i="1"/>
  <c r="AJ108" i="1"/>
  <c r="AI108" i="1"/>
  <c r="AH108" i="1"/>
  <c r="J108" i="1" s="1"/>
  <c r="Z108" i="1"/>
  <c r="Y108" i="1"/>
  <c r="X108" i="1" s="1"/>
  <c r="Q108" i="1"/>
  <c r="O108" i="1"/>
  <c r="L108" i="1"/>
  <c r="K108" i="1"/>
  <c r="I108" i="1"/>
  <c r="AN107" i="1"/>
  <c r="AM107" i="1"/>
  <c r="AL107" i="1" s="1"/>
  <c r="AK107" i="1"/>
  <c r="AJ107" i="1"/>
  <c r="AH107" i="1" s="1"/>
  <c r="AI107" i="1" s="1"/>
  <c r="Z107" i="1"/>
  <c r="Y107" i="1"/>
  <c r="T107" i="1"/>
  <c r="Q107" i="1"/>
  <c r="O107" i="1"/>
  <c r="K107" i="1"/>
  <c r="J107" i="1"/>
  <c r="I107" i="1" s="1"/>
  <c r="AN106" i="1"/>
  <c r="AM106" i="1"/>
  <c r="AK106" i="1"/>
  <c r="AJ106" i="1"/>
  <c r="AH106" i="1" s="1"/>
  <c r="Z106" i="1"/>
  <c r="Y106" i="1"/>
  <c r="X106" i="1"/>
  <c r="Q106" i="1"/>
  <c r="AN105" i="1"/>
  <c r="AM105" i="1"/>
  <c r="AK105" i="1"/>
  <c r="AJ105" i="1"/>
  <c r="AH105" i="1"/>
  <c r="Z105" i="1"/>
  <c r="Y105" i="1"/>
  <c r="X105" i="1"/>
  <c r="Q105" i="1"/>
  <c r="AN104" i="1"/>
  <c r="AM104" i="1"/>
  <c r="AL104" i="1"/>
  <c r="AK104" i="1"/>
  <c r="T104" i="1" s="1"/>
  <c r="AJ104" i="1"/>
  <c r="AI104" i="1"/>
  <c r="AH104" i="1"/>
  <c r="J104" i="1" s="1"/>
  <c r="AB104" i="1"/>
  <c r="Z104" i="1"/>
  <c r="Y104" i="1"/>
  <c r="X104" i="1" s="1"/>
  <c r="Q104" i="1"/>
  <c r="O104" i="1"/>
  <c r="L104" i="1"/>
  <c r="K104" i="1"/>
  <c r="I104" i="1"/>
  <c r="AN103" i="1"/>
  <c r="AM103" i="1"/>
  <c r="AK103" i="1"/>
  <c r="AJ103" i="1"/>
  <c r="AH103" i="1" s="1"/>
  <c r="AI103" i="1" s="1"/>
  <c r="Z103" i="1"/>
  <c r="Y103" i="1"/>
  <c r="X103" i="1" s="1"/>
  <c r="Q103" i="1"/>
  <c r="O103" i="1"/>
  <c r="L103" i="1"/>
  <c r="AN102" i="1"/>
  <c r="AM102" i="1"/>
  <c r="AK102" i="1"/>
  <c r="AL102" i="1" s="1"/>
  <c r="AJ102" i="1"/>
  <c r="AH102" i="1" s="1"/>
  <c r="Z102" i="1"/>
  <c r="Y102" i="1"/>
  <c r="X102" i="1"/>
  <c r="Q102" i="1"/>
  <c r="O102" i="1"/>
  <c r="AN101" i="1"/>
  <c r="AM101" i="1"/>
  <c r="AK101" i="1"/>
  <c r="AJ101" i="1"/>
  <c r="AH101" i="1" s="1"/>
  <c r="Z101" i="1"/>
  <c r="Y101" i="1"/>
  <c r="Q101" i="1"/>
  <c r="K101" i="1"/>
  <c r="AN100" i="1"/>
  <c r="T100" i="1" s="1"/>
  <c r="AM100" i="1"/>
  <c r="AK100" i="1"/>
  <c r="AL100" i="1" s="1"/>
  <c r="AJ100" i="1"/>
  <c r="AI100" i="1"/>
  <c r="AH100" i="1"/>
  <c r="J100" i="1" s="1"/>
  <c r="I100" i="1" s="1"/>
  <c r="Z100" i="1"/>
  <c r="Y100" i="1"/>
  <c r="X100" i="1" s="1"/>
  <c r="Q100" i="1"/>
  <c r="O100" i="1"/>
  <c r="AN99" i="1"/>
  <c r="AM99" i="1"/>
  <c r="AK99" i="1"/>
  <c r="AJ99" i="1"/>
  <c r="AH99" i="1" s="1"/>
  <c r="Z99" i="1"/>
  <c r="Y99" i="1"/>
  <c r="Q99" i="1"/>
  <c r="O99" i="1"/>
  <c r="AN98" i="1"/>
  <c r="AM98" i="1"/>
  <c r="AL98" i="1" s="1"/>
  <c r="AK98" i="1"/>
  <c r="AJ98" i="1"/>
  <c r="AH98" i="1"/>
  <c r="Z98" i="1"/>
  <c r="Y98" i="1"/>
  <c r="X98" i="1"/>
  <c r="T98" i="1"/>
  <c r="Q98" i="1"/>
  <c r="AN97" i="1"/>
  <c r="AM97" i="1"/>
  <c r="AK97" i="1"/>
  <c r="AJ97" i="1"/>
  <c r="AH97" i="1" s="1"/>
  <c r="Z97" i="1"/>
  <c r="Y97" i="1"/>
  <c r="X97" i="1" s="1"/>
  <c r="Q97" i="1"/>
  <c r="AN96" i="1"/>
  <c r="AM96" i="1"/>
  <c r="AK96" i="1"/>
  <c r="AJ96" i="1"/>
  <c r="AI96" i="1"/>
  <c r="AH96" i="1"/>
  <c r="J96" i="1" s="1"/>
  <c r="Z96" i="1"/>
  <c r="Y96" i="1"/>
  <c r="X96" i="1" s="1"/>
  <c r="Q96" i="1"/>
  <c r="O96" i="1"/>
  <c r="L96" i="1"/>
  <c r="K96" i="1"/>
  <c r="I96" i="1"/>
  <c r="AN95" i="1"/>
  <c r="AM95" i="1"/>
  <c r="AL95" i="1" s="1"/>
  <c r="AK95" i="1"/>
  <c r="AJ95" i="1"/>
  <c r="AH95" i="1" s="1"/>
  <c r="J95" i="1" s="1"/>
  <c r="I95" i="1" s="1"/>
  <c r="AI95" i="1"/>
  <c r="Z95" i="1"/>
  <c r="Y95" i="1"/>
  <c r="X95" i="1" s="1"/>
  <c r="T95" i="1"/>
  <c r="Q95" i="1"/>
  <c r="O95" i="1"/>
  <c r="L95" i="1"/>
  <c r="K95" i="1"/>
  <c r="AN94" i="1"/>
  <c r="AM94" i="1"/>
  <c r="AL94" i="1"/>
  <c r="AK94" i="1"/>
  <c r="AJ94" i="1"/>
  <c r="AH94" i="1" s="1"/>
  <c r="AI94" i="1" s="1"/>
  <c r="Z94" i="1"/>
  <c r="Y94" i="1"/>
  <c r="X94" i="1" s="1"/>
  <c r="T94" i="1"/>
  <c r="Q94" i="1"/>
  <c r="L94" i="1"/>
  <c r="AN93" i="1"/>
  <c r="AM93" i="1"/>
  <c r="AK93" i="1"/>
  <c r="AL93" i="1" s="1"/>
  <c r="AJ93" i="1"/>
  <c r="AH93" i="1"/>
  <c r="Z93" i="1"/>
  <c r="Y93" i="1"/>
  <c r="X93" i="1"/>
  <c r="Q93" i="1"/>
  <c r="AN92" i="1"/>
  <c r="T92" i="1" s="1"/>
  <c r="AM92" i="1"/>
  <c r="AL92" i="1" s="1"/>
  <c r="AK92" i="1"/>
  <c r="AJ92" i="1"/>
  <c r="AH92" i="1"/>
  <c r="Z92" i="1"/>
  <c r="Y92" i="1"/>
  <c r="X92" i="1"/>
  <c r="Q92" i="1"/>
  <c r="AN91" i="1"/>
  <c r="AM91" i="1"/>
  <c r="AL91" i="1"/>
  <c r="AK91" i="1"/>
  <c r="AJ91" i="1"/>
  <c r="AH91" i="1" s="1"/>
  <c r="Z91" i="1"/>
  <c r="Y91" i="1"/>
  <c r="X91" i="1" s="1"/>
  <c r="T91" i="1"/>
  <c r="Q91" i="1"/>
  <c r="AN90" i="1"/>
  <c r="AM90" i="1"/>
  <c r="AL90" i="1"/>
  <c r="AK90" i="1"/>
  <c r="AJ90" i="1"/>
  <c r="AH90" i="1" s="1"/>
  <c r="Z90" i="1"/>
  <c r="Y90" i="1"/>
  <c r="X90" i="1" s="1"/>
  <c r="T90" i="1"/>
  <c r="Q90" i="1"/>
  <c r="L90" i="1"/>
  <c r="AN89" i="1"/>
  <c r="AM89" i="1"/>
  <c r="AK89" i="1"/>
  <c r="AL89" i="1" s="1"/>
  <c r="AJ89" i="1"/>
  <c r="AH89" i="1"/>
  <c r="Z89" i="1"/>
  <c r="X89" i="1" s="1"/>
  <c r="Y89" i="1"/>
  <c r="Q89" i="1"/>
  <c r="O89" i="1"/>
  <c r="AN88" i="1"/>
  <c r="T88" i="1" s="1"/>
  <c r="AM88" i="1"/>
  <c r="AL88" i="1" s="1"/>
  <c r="AK88" i="1"/>
  <c r="AJ88" i="1"/>
  <c r="AH88" i="1"/>
  <c r="Z88" i="1"/>
  <c r="Y88" i="1"/>
  <c r="X88" i="1"/>
  <c r="Q88" i="1"/>
  <c r="AN87" i="1"/>
  <c r="AM87" i="1"/>
  <c r="AK87" i="1"/>
  <c r="AL87" i="1" s="1"/>
  <c r="AJ87" i="1"/>
  <c r="AH87" i="1" s="1"/>
  <c r="Z87" i="1"/>
  <c r="Y87" i="1"/>
  <c r="X87" i="1" s="1"/>
  <c r="Q87" i="1"/>
  <c r="L87" i="1"/>
  <c r="AN86" i="1"/>
  <c r="AM86" i="1"/>
  <c r="AL86" i="1"/>
  <c r="AK86" i="1"/>
  <c r="AJ86" i="1"/>
  <c r="AH86" i="1" s="1"/>
  <c r="AI86" i="1"/>
  <c r="Z86" i="1"/>
  <c r="Y86" i="1"/>
  <c r="T86" i="1"/>
  <c r="Q86" i="1"/>
  <c r="L86" i="1"/>
  <c r="J86" i="1"/>
  <c r="I86" i="1" s="1"/>
  <c r="AB86" i="1" s="1"/>
  <c r="AN85" i="1"/>
  <c r="AM85" i="1"/>
  <c r="AK85" i="1"/>
  <c r="AL85" i="1" s="1"/>
  <c r="AJ85" i="1"/>
  <c r="AH85" i="1" s="1"/>
  <c r="Z85" i="1"/>
  <c r="X85" i="1" s="1"/>
  <c r="Y85" i="1"/>
  <c r="Q85" i="1"/>
  <c r="AN84" i="1"/>
  <c r="T84" i="1" s="1"/>
  <c r="AM84" i="1"/>
  <c r="AL84" i="1" s="1"/>
  <c r="AK84" i="1"/>
  <c r="AJ84" i="1"/>
  <c r="AH84" i="1"/>
  <c r="Z84" i="1"/>
  <c r="Y84" i="1"/>
  <c r="X84" i="1"/>
  <c r="Q84" i="1"/>
  <c r="AN83" i="1"/>
  <c r="T83" i="1" s="1"/>
  <c r="AM83" i="1"/>
  <c r="AK83" i="1"/>
  <c r="AL83" i="1" s="1"/>
  <c r="AJ83" i="1"/>
  <c r="AH83" i="1" s="1"/>
  <c r="Z83" i="1"/>
  <c r="Y83" i="1"/>
  <c r="X83" i="1" s="1"/>
  <c r="Q83" i="1"/>
  <c r="L83" i="1"/>
  <c r="AN82" i="1"/>
  <c r="AM82" i="1"/>
  <c r="AL82" i="1"/>
  <c r="AK82" i="1"/>
  <c r="AJ82" i="1"/>
  <c r="AH82" i="1" s="1"/>
  <c r="AI82" i="1"/>
  <c r="Z82" i="1"/>
  <c r="Y82" i="1"/>
  <c r="T82" i="1"/>
  <c r="Q82" i="1"/>
  <c r="L82" i="1"/>
  <c r="J82" i="1"/>
  <c r="I82" i="1"/>
  <c r="AB82" i="1" s="1"/>
  <c r="AN81" i="1"/>
  <c r="AM81" i="1"/>
  <c r="AK81" i="1"/>
  <c r="AL81" i="1" s="1"/>
  <c r="AJ81" i="1"/>
  <c r="AH81" i="1"/>
  <c r="Z81" i="1"/>
  <c r="X81" i="1" s="1"/>
  <c r="Y81" i="1"/>
  <c r="Q81" i="1"/>
  <c r="AN80" i="1"/>
  <c r="T80" i="1" s="1"/>
  <c r="AM80" i="1"/>
  <c r="AL80" i="1" s="1"/>
  <c r="AK80" i="1"/>
  <c r="AJ80" i="1"/>
  <c r="AH80" i="1"/>
  <c r="Z80" i="1"/>
  <c r="Y80" i="1"/>
  <c r="X80" i="1"/>
  <c r="Q80" i="1"/>
  <c r="AN79" i="1"/>
  <c r="T79" i="1" s="1"/>
  <c r="AM79" i="1"/>
  <c r="AL79" i="1"/>
  <c r="AK79" i="1"/>
  <c r="AJ79" i="1"/>
  <c r="AH79" i="1" s="1"/>
  <c r="Z79" i="1"/>
  <c r="Y79" i="1"/>
  <c r="X79" i="1" s="1"/>
  <c r="Q79" i="1"/>
  <c r="L79" i="1"/>
  <c r="K79" i="1"/>
  <c r="AN78" i="1"/>
  <c r="AM78" i="1"/>
  <c r="AL78" i="1"/>
  <c r="AK78" i="1"/>
  <c r="AJ78" i="1"/>
  <c r="AH78" i="1" s="1"/>
  <c r="Z78" i="1"/>
  <c r="Y78" i="1"/>
  <c r="T78" i="1"/>
  <c r="Q78" i="1"/>
  <c r="K78" i="1"/>
  <c r="AN77" i="1"/>
  <c r="AM77" i="1"/>
  <c r="AK77" i="1"/>
  <c r="AL77" i="1" s="1"/>
  <c r="AJ77" i="1"/>
  <c r="AH77" i="1"/>
  <c r="Z77" i="1"/>
  <c r="X77" i="1" s="1"/>
  <c r="Y77" i="1"/>
  <c r="Q77" i="1"/>
  <c r="AN76" i="1"/>
  <c r="T76" i="1" s="1"/>
  <c r="AM76" i="1"/>
  <c r="AL76" i="1" s="1"/>
  <c r="AK76" i="1"/>
  <c r="AJ76" i="1"/>
  <c r="AH76" i="1"/>
  <c r="Z76" i="1"/>
  <c r="Y76" i="1"/>
  <c r="X76" i="1"/>
  <c r="Q76" i="1"/>
  <c r="AN75" i="1"/>
  <c r="AM75" i="1"/>
  <c r="AL75" i="1" s="1"/>
  <c r="AK75" i="1"/>
  <c r="T75" i="1" s="1"/>
  <c r="AJ75" i="1"/>
  <c r="AH75" i="1" s="1"/>
  <c r="Z75" i="1"/>
  <c r="Y75" i="1"/>
  <c r="X75" i="1" s="1"/>
  <c r="Q75" i="1"/>
  <c r="L75" i="1"/>
  <c r="K75" i="1"/>
  <c r="AN74" i="1"/>
  <c r="AM74" i="1"/>
  <c r="AL74" i="1"/>
  <c r="AK74" i="1"/>
  <c r="AJ74" i="1"/>
  <c r="AH74" i="1" s="1"/>
  <c r="O74" i="1" s="1"/>
  <c r="AI74" i="1"/>
  <c r="Z74" i="1"/>
  <c r="Y74" i="1"/>
  <c r="X74" i="1" s="1"/>
  <c r="T74" i="1"/>
  <c r="Q74" i="1"/>
  <c r="AN73" i="1"/>
  <c r="AM73" i="1"/>
  <c r="AK73" i="1"/>
  <c r="AL73" i="1" s="1"/>
  <c r="AJ73" i="1"/>
  <c r="AH73" i="1" s="1"/>
  <c r="Z73" i="1"/>
  <c r="Y73" i="1"/>
  <c r="X73" i="1" s="1"/>
  <c r="Q73" i="1"/>
  <c r="AN72" i="1"/>
  <c r="T72" i="1" s="1"/>
  <c r="AM72" i="1"/>
  <c r="AL72" i="1" s="1"/>
  <c r="AK72" i="1"/>
  <c r="AJ72" i="1"/>
  <c r="AH72" i="1"/>
  <c r="Z72" i="1"/>
  <c r="Y72" i="1"/>
  <c r="X72" i="1"/>
  <c r="Q72" i="1"/>
  <c r="O72" i="1"/>
  <c r="AN71" i="1"/>
  <c r="T71" i="1" s="1"/>
  <c r="AM71" i="1"/>
  <c r="AK71" i="1"/>
  <c r="AL71" i="1" s="1"/>
  <c r="AJ71" i="1"/>
  <c r="AH71" i="1" s="1"/>
  <c r="Z71" i="1"/>
  <c r="Y71" i="1"/>
  <c r="X71" i="1" s="1"/>
  <c r="Q71" i="1"/>
  <c r="AN70" i="1"/>
  <c r="AM70" i="1"/>
  <c r="AK70" i="1"/>
  <c r="AJ70" i="1"/>
  <c r="AH70" i="1" s="1"/>
  <c r="O70" i="1" s="1"/>
  <c r="Z70" i="1"/>
  <c r="Y70" i="1"/>
  <c r="Q70" i="1"/>
  <c r="J70" i="1"/>
  <c r="I70" i="1" s="1"/>
  <c r="AN69" i="1"/>
  <c r="AM69" i="1"/>
  <c r="AK69" i="1"/>
  <c r="AL69" i="1" s="1"/>
  <c r="AJ69" i="1"/>
  <c r="AH69" i="1" s="1"/>
  <c r="Z69" i="1"/>
  <c r="Y69" i="1"/>
  <c r="X69" i="1"/>
  <c r="Q69" i="1"/>
  <c r="O69" i="1"/>
  <c r="AN68" i="1"/>
  <c r="T68" i="1" s="1"/>
  <c r="AM68" i="1"/>
  <c r="AL68" i="1" s="1"/>
  <c r="AK68" i="1"/>
  <c r="AJ68" i="1"/>
  <c r="AH68" i="1"/>
  <c r="Z68" i="1"/>
  <c r="Y68" i="1"/>
  <c r="X68" i="1"/>
  <c r="Q68" i="1"/>
  <c r="O68" i="1"/>
  <c r="AN67" i="1"/>
  <c r="AM67" i="1"/>
  <c r="AL67" i="1"/>
  <c r="AK67" i="1"/>
  <c r="AJ67" i="1"/>
  <c r="AH67" i="1" s="1"/>
  <c r="Z67" i="1"/>
  <c r="Y67" i="1"/>
  <c r="X67" i="1" s="1"/>
  <c r="T67" i="1"/>
  <c r="Q67" i="1"/>
  <c r="L67" i="1"/>
  <c r="AN66" i="1"/>
  <c r="AM66" i="1"/>
  <c r="AL66" i="1"/>
  <c r="AK66" i="1"/>
  <c r="AJ66" i="1"/>
  <c r="AH66" i="1" s="1"/>
  <c r="O66" i="1" s="1"/>
  <c r="AI66" i="1"/>
  <c r="Z66" i="1"/>
  <c r="Y66" i="1"/>
  <c r="X66" i="1" s="1"/>
  <c r="T66" i="1"/>
  <c r="Q66" i="1"/>
  <c r="L66" i="1"/>
  <c r="K66" i="1"/>
  <c r="J66" i="1"/>
  <c r="I66" i="1"/>
  <c r="AN65" i="1"/>
  <c r="AM65" i="1"/>
  <c r="AK65" i="1"/>
  <c r="AL65" i="1" s="1"/>
  <c r="AJ65" i="1"/>
  <c r="AI65" i="1"/>
  <c r="AH65" i="1"/>
  <c r="Z65" i="1"/>
  <c r="Y65" i="1"/>
  <c r="X65" i="1" s="1"/>
  <c r="Q65" i="1"/>
  <c r="O65" i="1"/>
  <c r="J65" i="1"/>
  <c r="I65" i="1" s="1"/>
  <c r="AN64" i="1"/>
  <c r="T64" i="1" s="1"/>
  <c r="AM64" i="1"/>
  <c r="AL64" i="1" s="1"/>
  <c r="AK64" i="1"/>
  <c r="AJ64" i="1"/>
  <c r="AH64" i="1"/>
  <c r="Z64" i="1"/>
  <c r="Y64" i="1"/>
  <c r="X64" i="1"/>
  <c r="Q64" i="1"/>
  <c r="O64" i="1"/>
  <c r="AN63" i="1"/>
  <c r="AM63" i="1"/>
  <c r="AL63" i="1"/>
  <c r="AK63" i="1"/>
  <c r="AJ63" i="1"/>
  <c r="AH63" i="1" s="1"/>
  <c r="L63" i="1" s="1"/>
  <c r="Z63" i="1"/>
  <c r="Y63" i="1"/>
  <c r="X63" i="1" s="1"/>
  <c r="T63" i="1"/>
  <c r="Q63" i="1"/>
  <c r="O63" i="1"/>
  <c r="AN62" i="1"/>
  <c r="AM62" i="1"/>
  <c r="AK62" i="1"/>
  <c r="AJ62" i="1"/>
  <c r="AH62" i="1" s="1"/>
  <c r="O62" i="1" s="1"/>
  <c r="AI62" i="1"/>
  <c r="Z62" i="1"/>
  <c r="Y62" i="1"/>
  <c r="X62" i="1" s="1"/>
  <c r="Q62" i="1"/>
  <c r="K62" i="1"/>
  <c r="J62" i="1"/>
  <c r="I62" i="1" s="1"/>
  <c r="AN61" i="1"/>
  <c r="AM61" i="1"/>
  <c r="AK61" i="1"/>
  <c r="AJ61" i="1"/>
  <c r="AH61" i="1" s="1"/>
  <c r="Z61" i="1"/>
  <c r="X61" i="1" s="1"/>
  <c r="Y61" i="1"/>
  <c r="Q61" i="1"/>
  <c r="AN60" i="1"/>
  <c r="T60" i="1" s="1"/>
  <c r="AM60" i="1"/>
  <c r="AL60" i="1" s="1"/>
  <c r="AK60" i="1"/>
  <c r="AJ60" i="1"/>
  <c r="AI60" i="1"/>
  <c r="AH60" i="1"/>
  <c r="Z60" i="1"/>
  <c r="Y60" i="1"/>
  <c r="X60" i="1" s="1"/>
  <c r="Q60" i="1"/>
  <c r="O60" i="1"/>
  <c r="AN59" i="1"/>
  <c r="AM59" i="1"/>
  <c r="AL59" i="1"/>
  <c r="AK59" i="1"/>
  <c r="AJ59" i="1"/>
  <c r="AH59" i="1" s="1"/>
  <c r="Z59" i="1"/>
  <c r="Y59" i="1"/>
  <c r="X59" i="1" s="1"/>
  <c r="T59" i="1"/>
  <c r="Q59" i="1"/>
  <c r="O59" i="1"/>
  <c r="L59" i="1"/>
  <c r="AN58" i="1"/>
  <c r="AM58" i="1"/>
  <c r="AK58" i="1"/>
  <c r="AJ58" i="1"/>
  <c r="AH58" i="1" s="1"/>
  <c r="O58" i="1" s="1"/>
  <c r="AI58" i="1"/>
  <c r="Z58" i="1"/>
  <c r="Y58" i="1"/>
  <c r="X58" i="1" s="1"/>
  <c r="Q58" i="1"/>
  <c r="J58" i="1"/>
  <c r="I58" i="1" s="1"/>
  <c r="AB58" i="1" s="1"/>
  <c r="AN57" i="1"/>
  <c r="AM57" i="1"/>
  <c r="AK57" i="1"/>
  <c r="AJ57" i="1"/>
  <c r="AH57" i="1" s="1"/>
  <c r="Z57" i="1"/>
  <c r="Y57" i="1"/>
  <c r="X57" i="1" s="1"/>
  <c r="Q57" i="1"/>
  <c r="AN56" i="1"/>
  <c r="AM56" i="1"/>
  <c r="AL56" i="1"/>
  <c r="AK56" i="1"/>
  <c r="AJ56" i="1"/>
  <c r="AI56" i="1"/>
  <c r="AH56" i="1"/>
  <c r="L56" i="1" s="1"/>
  <c r="Z56" i="1"/>
  <c r="Y56" i="1"/>
  <c r="X56" i="1"/>
  <c r="T56" i="1"/>
  <c r="Q56" i="1"/>
  <c r="O56" i="1"/>
  <c r="K56" i="1"/>
  <c r="AN55" i="1"/>
  <c r="T55" i="1" s="1"/>
  <c r="AM55" i="1"/>
  <c r="AL55" i="1" s="1"/>
  <c r="AK55" i="1"/>
  <c r="AJ55" i="1"/>
  <c r="AI55" i="1"/>
  <c r="AH55" i="1"/>
  <c r="K55" i="1" s="1"/>
  <c r="Z55" i="1"/>
  <c r="Y55" i="1"/>
  <c r="X55" i="1" s="1"/>
  <c r="Q55" i="1"/>
  <c r="O55" i="1"/>
  <c r="L55" i="1"/>
  <c r="AN54" i="1"/>
  <c r="AM54" i="1"/>
  <c r="AL54" i="1"/>
  <c r="AK54" i="1"/>
  <c r="AJ54" i="1"/>
  <c r="AH54" i="1" s="1"/>
  <c r="O54" i="1" s="1"/>
  <c r="Z54" i="1"/>
  <c r="X54" i="1" s="1"/>
  <c r="Y54" i="1"/>
  <c r="T54" i="1"/>
  <c r="Q54" i="1"/>
  <c r="AN53" i="1"/>
  <c r="AM53" i="1"/>
  <c r="AK53" i="1"/>
  <c r="AL53" i="1" s="1"/>
  <c r="AJ53" i="1"/>
  <c r="AH53" i="1" s="1"/>
  <c r="J53" i="1" s="1"/>
  <c r="I53" i="1" s="1"/>
  <c r="Z53" i="1"/>
  <c r="Y53" i="1"/>
  <c r="X53" i="1" s="1"/>
  <c r="Q53" i="1"/>
  <c r="AN52" i="1"/>
  <c r="AM52" i="1"/>
  <c r="AK52" i="1"/>
  <c r="AJ52" i="1"/>
  <c r="AH52" i="1"/>
  <c r="Z52" i="1"/>
  <c r="Y52" i="1"/>
  <c r="X52" i="1"/>
  <c r="Q52" i="1"/>
  <c r="K52" i="1"/>
  <c r="AN51" i="1"/>
  <c r="T51" i="1" s="1"/>
  <c r="AM51" i="1"/>
  <c r="AL51" i="1" s="1"/>
  <c r="AK51" i="1"/>
  <c r="AJ51" i="1"/>
  <c r="AI51" i="1"/>
  <c r="AH51" i="1"/>
  <c r="K51" i="1" s="1"/>
  <c r="Z51" i="1"/>
  <c r="Y51" i="1"/>
  <c r="X51" i="1" s="1"/>
  <c r="Q51" i="1"/>
  <c r="O51" i="1"/>
  <c r="L51" i="1"/>
  <c r="AN50" i="1"/>
  <c r="AM50" i="1"/>
  <c r="AL50" i="1"/>
  <c r="AK50" i="1"/>
  <c r="AJ50" i="1"/>
  <c r="AH50" i="1" s="1"/>
  <c r="Z50" i="1"/>
  <c r="X50" i="1" s="1"/>
  <c r="Y50" i="1"/>
  <c r="T50" i="1"/>
  <c r="Q50" i="1"/>
  <c r="O50" i="1"/>
  <c r="L50" i="1"/>
  <c r="AN49" i="1"/>
  <c r="AM49" i="1"/>
  <c r="AK49" i="1"/>
  <c r="AJ49" i="1"/>
  <c r="AH49" i="1" s="1"/>
  <c r="Z49" i="1"/>
  <c r="Y49" i="1"/>
  <c r="X49" i="1" s="1"/>
  <c r="Q49" i="1"/>
  <c r="K49" i="1"/>
  <c r="J49" i="1"/>
  <c r="I49" i="1" s="1"/>
  <c r="AB49" i="1" s="1"/>
  <c r="AN48" i="1"/>
  <c r="AM48" i="1"/>
  <c r="AK48" i="1"/>
  <c r="AJ48" i="1"/>
  <c r="AH48" i="1"/>
  <c r="Z48" i="1"/>
  <c r="Y48" i="1"/>
  <c r="X48" i="1"/>
  <c r="Q48" i="1"/>
  <c r="K48" i="1"/>
  <c r="AN47" i="1"/>
  <c r="T47" i="1" s="1"/>
  <c r="AM47" i="1"/>
  <c r="AL47" i="1" s="1"/>
  <c r="AK47" i="1"/>
  <c r="AJ47" i="1"/>
  <c r="AI47" i="1"/>
  <c r="AH47" i="1"/>
  <c r="K47" i="1" s="1"/>
  <c r="Z47" i="1"/>
  <c r="Y47" i="1"/>
  <c r="X47" i="1" s="1"/>
  <c r="Q47" i="1"/>
  <c r="O47" i="1"/>
  <c r="L47" i="1"/>
  <c r="AN46" i="1"/>
  <c r="AM46" i="1"/>
  <c r="AL46" i="1" s="1"/>
  <c r="AK46" i="1"/>
  <c r="AJ46" i="1"/>
  <c r="AH46" i="1" s="1"/>
  <c r="Z46" i="1"/>
  <c r="X46" i="1" s="1"/>
  <c r="Y46" i="1"/>
  <c r="T46" i="1"/>
  <c r="Q46" i="1"/>
  <c r="O46" i="1"/>
  <c r="L46" i="1"/>
  <c r="AN45" i="1"/>
  <c r="AM45" i="1"/>
  <c r="AK45" i="1"/>
  <c r="AJ45" i="1"/>
  <c r="AH45" i="1" s="1"/>
  <c r="Z45" i="1"/>
  <c r="Y45" i="1"/>
  <c r="Q45" i="1"/>
  <c r="K45" i="1"/>
  <c r="J45" i="1"/>
  <c r="I45" i="1" s="1"/>
  <c r="AB45" i="1" s="1"/>
  <c r="AN44" i="1"/>
  <c r="AM44" i="1"/>
  <c r="AK44" i="1"/>
  <c r="AJ44" i="1"/>
  <c r="AH44" i="1"/>
  <c r="Z44" i="1"/>
  <c r="Y44" i="1"/>
  <c r="X44" i="1"/>
  <c r="Q44" i="1"/>
  <c r="K44" i="1"/>
  <c r="AN43" i="1"/>
  <c r="T43" i="1" s="1"/>
  <c r="AM43" i="1"/>
  <c r="AL43" i="1" s="1"/>
  <c r="AK43" i="1"/>
  <c r="AJ43" i="1"/>
  <c r="AI43" i="1"/>
  <c r="AH43" i="1"/>
  <c r="K43" i="1" s="1"/>
  <c r="Z43" i="1"/>
  <c r="Y43" i="1"/>
  <c r="X43" i="1" s="1"/>
  <c r="Q43" i="1"/>
  <c r="O43" i="1"/>
  <c r="L43" i="1"/>
  <c r="AN42" i="1"/>
  <c r="AM42" i="1"/>
  <c r="AL42" i="1" s="1"/>
  <c r="AK42" i="1"/>
  <c r="AJ42" i="1"/>
  <c r="AH42" i="1" s="1"/>
  <c r="Z42" i="1"/>
  <c r="X42" i="1" s="1"/>
  <c r="Y42" i="1"/>
  <c r="T42" i="1"/>
  <c r="Q42" i="1"/>
  <c r="O42" i="1"/>
  <c r="L42" i="1"/>
  <c r="AN41" i="1"/>
  <c r="AM41" i="1"/>
  <c r="AK41" i="1"/>
  <c r="AJ41" i="1"/>
  <c r="AH41" i="1" s="1"/>
  <c r="Z41" i="1"/>
  <c r="Y41" i="1"/>
  <c r="Q41" i="1"/>
  <c r="K41" i="1"/>
  <c r="J41" i="1"/>
  <c r="I41" i="1" s="1"/>
  <c r="AB41" i="1" s="1"/>
  <c r="AN40" i="1"/>
  <c r="AM40" i="1"/>
  <c r="AK40" i="1"/>
  <c r="AJ40" i="1"/>
  <c r="AH40" i="1"/>
  <c r="Z40" i="1"/>
  <c r="Y40" i="1"/>
  <c r="X40" i="1"/>
  <c r="Q40" i="1"/>
  <c r="K40" i="1"/>
  <c r="AN39" i="1"/>
  <c r="T39" i="1" s="1"/>
  <c r="AM39" i="1"/>
  <c r="AL39" i="1" s="1"/>
  <c r="AK39" i="1"/>
  <c r="AJ39" i="1"/>
  <c r="AI39" i="1"/>
  <c r="AH39" i="1"/>
  <c r="K39" i="1" s="1"/>
  <c r="Z39" i="1"/>
  <c r="Y39" i="1"/>
  <c r="X39" i="1" s="1"/>
  <c r="Q39" i="1"/>
  <c r="O39" i="1"/>
  <c r="L39" i="1"/>
  <c r="AN38" i="1"/>
  <c r="AM38" i="1"/>
  <c r="AL38" i="1" s="1"/>
  <c r="AK38" i="1"/>
  <c r="AJ38" i="1"/>
  <c r="AH38" i="1" s="1"/>
  <c r="Z38" i="1"/>
  <c r="X38" i="1" s="1"/>
  <c r="Y38" i="1"/>
  <c r="T38" i="1"/>
  <c r="Q38" i="1"/>
  <c r="O38" i="1"/>
  <c r="L38" i="1"/>
  <c r="AN37" i="1"/>
  <c r="AM37" i="1"/>
  <c r="AK37" i="1"/>
  <c r="AJ37" i="1"/>
  <c r="AH37" i="1" s="1"/>
  <c r="Z37" i="1"/>
  <c r="Y37" i="1"/>
  <c r="Q37" i="1"/>
  <c r="K37" i="1"/>
  <c r="J37" i="1"/>
  <c r="I37" i="1" s="1"/>
  <c r="AB37" i="1" s="1"/>
  <c r="AN36" i="1"/>
  <c r="AM36" i="1"/>
  <c r="AK36" i="1"/>
  <c r="AJ36" i="1"/>
  <c r="AH36" i="1"/>
  <c r="Z36" i="1"/>
  <c r="Y36" i="1"/>
  <c r="X36" i="1"/>
  <c r="Q36" i="1"/>
  <c r="K36" i="1"/>
  <c r="AN35" i="1"/>
  <c r="T35" i="1" s="1"/>
  <c r="AM35" i="1"/>
  <c r="AL35" i="1" s="1"/>
  <c r="AK35" i="1"/>
  <c r="AJ35" i="1"/>
  <c r="AI35" i="1"/>
  <c r="AH35" i="1"/>
  <c r="K35" i="1" s="1"/>
  <c r="Z35" i="1"/>
  <c r="Y35" i="1"/>
  <c r="X35" i="1" s="1"/>
  <c r="Q35" i="1"/>
  <c r="O35" i="1"/>
  <c r="L35" i="1"/>
  <c r="AN34" i="1"/>
  <c r="AM34" i="1"/>
  <c r="AL34" i="1" s="1"/>
  <c r="AK34" i="1"/>
  <c r="AJ34" i="1"/>
  <c r="AH34" i="1" s="1"/>
  <c r="Z34" i="1"/>
  <c r="Y34" i="1"/>
  <c r="X34" i="1" s="1"/>
  <c r="T34" i="1"/>
  <c r="Q34" i="1"/>
  <c r="O34" i="1"/>
  <c r="L34" i="1"/>
  <c r="AN33" i="1"/>
  <c r="AM33" i="1"/>
  <c r="AK33" i="1"/>
  <c r="AJ33" i="1"/>
  <c r="AH33" i="1" s="1"/>
  <c r="Z33" i="1"/>
  <c r="Y33" i="1"/>
  <c r="Q33" i="1"/>
  <c r="K33" i="1"/>
  <c r="J33" i="1"/>
  <c r="I33" i="1" s="1"/>
  <c r="AB33" i="1" s="1"/>
  <c r="AN32" i="1"/>
  <c r="AM32" i="1"/>
  <c r="AK32" i="1"/>
  <c r="AJ32" i="1"/>
  <c r="AH32" i="1"/>
  <c r="Z32" i="1"/>
  <c r="Y32" i="1"/>
  <c r="X32" i="1"/>
  <c r="Q32" i="1"/>
  <c r="K32" i="1"/>
  <c r="AN31" i="1"/>
  <c r="T31" i="1" s="1"/>
  <c r="AM31" i="1"/>
  <c r="AL31" i="1" s="1"/>
  <c r="AK31" i="1"/>
  <c r="AJ31" i="1"/>
  <c r="AI31" i="1"/>
  <c r="AH31" i="1"/>
  <c r="J31" i="1" s="1"/>
  <c r="I31" i="1" s="1"/>
  <c r="Z31" i="1"/>
  <c r="Y31" i="1"/>
  <c r="X31" i="1" s="1"/>
  <c r="Q31" i="1"/>
  <c r="O31" i="1"/>
  <c r="L31" i="1"/>
  <c r="K31" i="1"/>
  <c r="AN30" i="1"/>
  <c r="AM30" i="1"/>
  <c r="AL30" i="1"/>
  <c r="AK30" i="1"/>
  <c r="AJ30" i="1"/>
  <c r="AH30" i="1" s="1"/>
  <c r="O30" i="1" s="1"/>
  <c r="Z30" i="1"/>
  <c r="Y30" i="1"/>
  <c r="X30" i="1" s="1"/>
  <c r="T30" i="1"/>
  <c r="Q30" i="1"/>
  <c r="L30" i="1"/>
  <c r="AN29" i="1"/>
  <c r="AM29" i="1"/>
  <c r="AK29" i="1"/>
  <c r="AJ29" i="1"/>
  <c r="AH29" i="1" s="1"/>
  <c r="K29" i="1" s="1"/>
  <c r="Z29" i="1"/>
  <c r="Y29" i="1"/>
  <c r="X29" i="1" s="1"/>
  <c r="Q29" i="1"/>
  <c r="AN28" i="1"/>
  <c r="AM28" i="1"/>
  <c r="AK28" i="1"/>
  <c r="AJ28" i="1"/>
  <c r="AI28" i="1"/>
  <c r="AH28" i="1"/>
  <c r="Z28" i="1"/>
  <c r="Y28" i="1"/>
  <c r="X28" i="1"/>
  <c r="Q28" i="1"/>
  <c r="K28" i="1"/>
  <c r="AN27" i="1"/>
  <c r="AM27" i="1"/>
  <c r="AL27" i="1"/>
  <c r="AK27" i="1"/>
  <c r="AJ27" i="1"/>
  <c r="AI27" i="1"/>
  <c r="AH27" i="1"/>
  <c r="J27" i="1" s="1"/>
  <c r="Z27" i="1"/>
  <c r="Y27" i="1"/>
  <c r="X27" i="1" s="1"/>
  <c r="T27" i="1"/>
  <c r="Q27" i="1"/>
  <c r="O27" i="1"/>
  <c r="L27" i="1"/>
  <c r="K27" i="1"/>
  <c r="I27" i="1"/>
  <c r="U27" i="1" s="1"/>
  <c r="V27" i="1" s="1"/>
  <c r="AN26" i="1"/>
  <c r="AM26" i="1"/>
  <c r="AL26" i="1"/>
  <c r="AK26" i="1"/>
  <c r="AJ26" i="1"/>
  <c r="AH26" i="1" s="1"/>
  <c r="AI26" i="1" s="1"/>
  <c r="AB26" i="1"/>
  <c r="Z26" i="1"/>
  <c r="Y26" i="1"/>
  <c r="X26" i="1" s="1"/>
  <c r="T26" i="1"/>
  <c r="U26" i="1" s="1"/>
  <c r="V26" i="1" s="1"/>
  <c r="Q26" i="1"/>
  <c r="K26" i="1"/>
  <c r="J26" i="1"/>
  <c r="I26" i="1" s="1"/>
  <c r="AN25" i="1"/>
  <c r="AM25" i="1"/>
  <c r="AK25" i="1"/>
  <c r="AJ25" i="1"/>
  <c r="AH25" i="1" s="1"/>
  <c r="Z25" i="1"/>
  <c r="Y25" i="1"/>
  <c r="X25" i="1" s="1"/>
  <c r="Q25" i="1"/>
  <c r="AN24" i="1"/>
  <c r="AM24" i="1"/>
  <c r="AK24" i="1"/>
  <c r="AJ24" i="1"/>
  <c r="AH24" i="1"/>
  <c r="AI24" i="1" s="1"/>
  <c r="Z24" i="1"/>
  <c r="Y24" i="1"/>
  <c r="X24" i="1" s="1"/>
  <c r="Q24" i="1"/>
  <c r="AN23" i="1"/>
  <c r="T23" i="1" s="1"/>
  <c r="AM23" i="1"/>
  <c r="AL23" i="1" s="1"/>
  <c r="AK23" i="1"/>
  <c r="AJ23" i="1"/>
  <c r="AI23" i="1"/>
  <c r="AH23" i="1"/>
  <c r="J23" i="1" s="1"/>
  <c r="Z23" i="1"/>
  <c r="Y23" i="1"/>
  <c r="X23" i="1" s="1"/>
  <c r="Q23" i="1"/>
  <c r="O23" i="1"/>
  <c r="L23" i="1"/>
  <c r="K23" i="1"/>
  <c r="I23" i="1"/>
  <c r="AB23" i="1" s="1"/>
  <c r="AN22" i="1"/>
  <c r="AM22" i="1"/>
  <c r="AK22" i="1"/>
  <c r="T22" i="1" s="1"/>
  <c r="AJ22" i="1"/>
  <c r="AH22" i="1" s="1"/>
  <c r="AI22" i="1"/>
  <c r="AB22" i="1"/>
  <c r="Z22" i="1"/>
  <c r="Y22" i="1"/>
  <c r="X22" i="1" s="1"/>
  <c r="Q22" i="1"/>
  <c r="O22" i="1"/>
  <c r="L22" i="1"/>
  <c r="K22" i="1"/>
  <c r="J22" i="1"/>
  <c r="I22" i="1"/>
  <c r="AN21" i="1"/>
  <c r="AM21" i="1"/>
  <c r="AK21" i="1"/>
  <c r="AL21" i="1" s="1"/>
  <c r="AJ21" i="1"/>
  <c r="AI21" i="1"/>
  <c r="AH21" i="1"/>
  <c r="J21" i="1" s="1"/>
  <c r="I21" i="1" s="1"/>
  <c r="Z21" i="1"/>
  <c r="X21" i="1" s="1"/>
  <c r="Y21" i="1"/>
  <c r="T21" i="1"/>
  <c r="Q21" i="1"/>
  <c r="O21" i="1"/>
  <c r="L21" i="1"/>
  <c r="K21" i="1"/>
  <c r="AN20" i="1"/>
  <c r="AM20" i="1"/>
  <c r="AK20" i="1"/>
  <c r="AL20" i="1" s="1"/>
  <c r="AJ20" i="1"/>
  <c r="AH20" i="1" s="1"/>
  <c r="Z20" i="1"/>
  <c r="Y20" i="1"/>
  <c r="X20" i="1" s="1"/>
  <c r="Q20" i="1"/>
  <c r="AN19" i="1"/>
  <c r="AM19" i="1"/>
  <c r="AK19" i="1"/>
  <c r="AL19" i="1" s="1"/>
  <c r="AJ19" i="1"/>
  <c r="AH19" i="1"/>
  <c r="L19" i="1" s="1"/>
  <c r="Z19" i="1"/>
  <c r="Y19" i="1"/>
  <c r="X19" i="1"/>
  <c r="Q19" i="1"/>
  <c r="AN18" i="1"/>
  <c r="AM18" i="1"/>
  <c r="AK18" i="1"/>
  <c r="AL18" i="1" s="1"/>
  <c r="AJ18" i="1"/>
  <c r="AI18" i="1"/>
  <c r="AH18" i="1"/>
  <c r="J18" i="1" s="1"/>
  <c r="I18" i="1" s="1"/>
  <c r="Z18" i="1"/>
  <c r="Y18" i="1"/>
  <c r="X18" i="1" s="1"/>
  <c r="Q18" i="1"/>
  <c r="O18" i="1"/>
  <c r="K18" i="1"/>
  <c r="AN17" i="1"/>
  <c r="AM17" i="1"/>
  <c r="AL17" i="1"/>
  <c r="AK17" i="1"/>
  <c r="AJ17" i="1"/>
  <c r="AH17" i="1" s="1"/>
  <c r="Z17" i="1"/>
  <c r="Y17" i="1"/>
  <c r="X17" i="1" s="1"/>
  <c r="T17" i="1"/>
  <c r="Q17" i="1"/>
  <c r="AB18" i="1" l="1"/>
  <c r="AD26" i="1"/>
  <c r="W26" i="1"/>
  <c r="AA26" i="1" s="1"/>
  <c r="R26" i="1"/>
  <c r="P26" i="1" s="1"/>
  <c r="S26" i="1" s="1"/>
  <c r="AC26" i="1"/>
  <c r="O25" i="1"/>
  <c r="L25" i="1"/>
  <c r="K25" i="1"/>
  <c r="J25" i="1"/>
  <c r="I25" i="1" s="1"/>
  <c r="AI25" i="1"/>
  <c r="W27" i="1"/>
  <c r="AA27" i="1" s="1"/>
  <c r="AD27" i="1"/>
  <c r="K20" i="1"/>
  <c r="J20" i="1"/>
  <c r="I20" i="1" s="1"/>
  <c r="L20" i="1"/>
  <c r="AI20" i="1"/>
  <c r="O20" i="1"/>
  <c r="AB31" i="1"/>
  <c r="AB21" i="1"/>
  <c r="U23" i="1"/>
  <c r="V23" i="1" s="1"/>
  <c r="AC27" i="1"/>
  <c r="O17" i="1"/>
  <c r="L17" i="1"/>
  <c r="K17" i="1"/>
  <c r="AI17" i="1"/>
  <c r="J17" i="1"/>
  <c r="I17" i="1" s="1"/>
  <c r="U22" i="1"/>
  <c r="V22" i="1" s="1"/>
  <c r="AB53" i="1"/>
  <c r="AL52" i="1"/>
  <c r="T52" i="1"/>
  <c r="L84" i="1"/>
  <c r="K84" i="1"/>
  <c r="J84" i="1"/>
  <c r="I84" i="1" s="1"/>
  <c r="AI84" i="1"/>
  <c r="O84" i="1"/>
  <c r="L18" i="1"/>
  <c r="T18" i="1"/>
  <c r="AL22" i="1"/>
  <c r="O26" i="1"/>
  <c r="J29" i="1"/>
  <c r="I29" i="1" s="1"/>
  <c r="X33" i="1"/>
  <c r="X37" i="1"/>
  <c r="X41" i="1"/>
  <c r="X45" i="1"/>
  <c r="L61" i="1"/>
  <c r="O61" i="1"/>
  <c r="K61" i="1"/>
  <c r="J61" i="1"/>
  <c r="I61" i="1" s="1"/>
  <c r="AI61" i="1"/>
  <c r="L69" i="1"/>
  <c r="K69" i="1"/>
  <c r="AI69" i="1"/>
  <c r="J69" i="1"/>
  <c r="I69" i="1" s="1"/>
  <c r="L73" i="1"/>
  <c r="K73" i="1"/>
  <c r="AI73" i="1"/>
  <c r="O73" i="1"/>
  <c r="J73" i="1"/>
  <c r="I73" i="1" s="1"/>
  <c r="L76" i="1"/>
  <c r="K76" i="1"/>
  <c r="J76" i="1"/>
  <c r="I76" i="1" s="1"/>
  <c r="AI76" i="1"/>
  <c r="O76" i="1"/>
  <c r="U80" i="1"/>
  <c r="V80" i="1" s="1"/>
  <c r="L85" i="1"/>
  <c r="K85" i="1"/>
  <c r="AI85" i="1"/>
  <c r="O85" i="1"/>
  <c r="O90" i="1"/>
  <c r="K90" i="1"/>
  <c r="AI90" i="1"/>
  <c r="J90" i="1"/>
  <c r="I90" i="1" s="1"/>
  <c r="AB100" i="1"/>
  <c r="L106" i="1"/>
  <c r="J106" i="1"/>
  <c r="I106" i="1" s="1"/>
  <c r="AI106" i="1"/>
  <c r="O106" i="1"/>
  <c r="K106" i="1"/>
  <c r="U107" i="1"/>
  <c r="V107" i="1" s="1"/>
  <c r="AB27" i="1"/>
  <c r="K54" i="1"/>
  <c r="J54" i="1"/>
  <c r="I54" i="1" s="1"/>
  <c r="AI54" i="1"/>
  <c r="O19" i="1"/>
  <c r="AL25" i="1"/>
  <c r="T25" i="1"/>
  <c r="L28" i="1"/>
  <c r="J28" i="1"/>
  <c r="I28" i="1" s="1"/>
  <c r="U31" i="1"/>
  <c r="V31" i="1" s="1"/>
  <c r="U35" i="1"/>
  <c r="V35" i="1" s="1"/>
  <c r="U39" i="1"/>
  <c r="V39" i="1" s="1"/>
  <c r="K50" i="1"/>
  <c r="J50" i="1"/>
  <c r="I50" i="1" s="1"/>
  <c r="AI50" i="1"/>
  <c r="U54" i="1"/>
  <c r="V54" i="1" s="1"/>
  <c r="L57" i="1"/>
  <c r="J57" i="1"/>
  <c r="I57" i="1" s="1"/>
  <c r="AI57" i="1"/>
  <c r="O57" i="1"/>
  <c r="AB65" i="1"/>
  <c r="U83" i="1"/>
  <c r="V83" i="1" s="1"/>
  <c r="AL96" i="1"/>
  <c r="T96" i="1"/>
  <c r="L97" i="1"/>
  <c r="K97" i="1"/>
  <c r="J97" i="1"/>
  <c r="I97" i="1" s="1"/>
  <c r="AI97" i="1"/>
  <c r="O97" i="1"/>
  <c r="AL109" i="1"/>
  <c r="T109" i="1"/>
  <c r="AI29" i="1"/>
  <c r="O29" i="1"/>
  <c r="L29" i="1"/>
  <c r="K30" i="1"/>
  <c r="J30" i="1"/>
  <c r="I30" i="1" s="1"/>
  <c r="AI30" i="1"/>
  <c r="O32" i="1"/>
  <c r="L32" i="1"/>
  <c r="J32" i="1"/>
  <c r="I32" i="1" s="1"/>
  <c r="O36" i="1"/>
  <c r="L36" i="1"/>
  <c r="J36" i="1"/>
  <c r="I36" i="1" s="1"/>
  <c r="O40" i="1"/>
  <c r="L40" i="1"/>
  <c r="J40" i="1"/>
  <c r="I40" i="1" s="1"/>
  <c r="O44" i="1"/>
  <c r="L44" i="1"/>
  <c r="J44" i="1"/>
  <c r="I44" i="1" s="1"/>
  <c r="O48" i="1"/>
  <c r="L48" i="1"/>
  <c r="J48" i="1"/>
  <c r="I48" i="1" s="1"/>
  <c r="U50" i="1"/>
  <c r="V50" i="1" s="1"/>
  <c r="U84" i="1"/>
  <c r="V84" i="1" s="1"/>
  <c r="AI98" i="1"/>
  <c r="O98" i="1"/>
  <c r="L98" i="1"/>
  <c r="K98" i="1"/>
  <c r="J98" i="1"/>
  <c r="I98" i="1" s="1"/>
  <c r="U108" i="1"/>
  <c r="V108" i="1" s="1"/>
  <c r="AL111" i="1"/>
  <c r="T111" i="1"/>
  <c r="AD112" i="1"/>
  <c r="AE112" i="1" s="1"/>
  <c r="W112" i="1"/>
  <c r="AA112" i="1" s="1"/>
  <c r="AB128" i="1"/>
  <c r="U21" i="1"/>
  <c r="V21" i="1" s="1"/>
  <c r="J19" i="1"/>
  <c r="I19" i="1" s="1"/>
  <c r="T20" i="1"/>
  <c r="K24" i="1"/>
  <c r="AE26" i="1"/>
  <c r="AL28" i="1"/>
  <c r="T28" i="1"/>
  <c r="AL29" i="1"/>
  <c r="T29" i="1"/>
  <c r="AI32" i="1"/>
  <c r="AI33" i="1"/>
  <c r="O33" i="1"/>
  <c r="L33" i="1"/>
  <c r="K34" i="1"/>
  <c r="J34" i="1"/>
  <c r="I34" i="1" s="1"/>
  <c r="AI34" i="1"/>
  <c r="AI36" i="1"/>
  <c r="AI37" i="1"/>
  <c r="O37" i="1"/>
  <c r="L37" i="1"/>
  <c r="K38" i="1"/>
  <c r="J38" i="1"/>
  <c r="I38" i="1" s="1"/>
  <c r="AI38" i="1"/>
  <c r="AI40" i="1"/>
  <c r="AI41" i="1"/>
  <c r="O41" i="1"/>
  <c r="L41" i="1"/>
  <c r="K42" i="1"/>
  <c r="J42" i="1"/>
  <c r="I42" i="1" s="1"/>
  <c r="AI42" i="1"/>
  <c r="AI44" i="1"/>
  <c r="AI45" i="1"/>
  <c r="O45" i="1"/>
  <c r="L45" i="1"/>
  <c r="K46" i="1"/>
  <c r="J46" i="1"/>
  <c r="I46" i="1" s="1"/>
  <c r="AI46" i="1"/>
  <c r="AI48" i="1"/>
  <c r="AI49" i="1"/>
  <c r="O49" i="1"/>
  <c r="L49" i="1"/>
  <c r="K57" i="1"/>
  <c r="U59" i="1"/>
  <c r="V59" i="1" s="1"/>
  <c r="AB62" i="1"/>
  <c r="AB66" i="1"/>
  <c r="AB70" i="1"/>
  <c r="J85" i="1"/>
  <c r="I85" i="1" s="1"/>
  <c r="T87" i="1"/>
  <c r="AL101" i="1"/>
  <c r="T101" i="1"/>
  <c r="J71" i="1"/>
  <c r="I71" i="1" s="1"/>
  <c r="AI71" i="1"/>
  <c r="O71" i="1"/>
  <c r="L71" i="1"/>
  <c r="K71" i="1"/>
  <c r="L93" i="1"/>
  <c r="K93" i="1"/>
  <c r="AI93" i="1"/>
  <c r="O93" i="1"/>
  <c r="J93" i="1"/>
  <c r="I93" i="1" s="1"/>
  <c r="AI19" i="1"/>
  <c r="K19" i="1"/>
  <c r="AL24" i="1"/>
  <c r="T24" i="1"/>
  <c r="O28" i="1"/>
  <c r="AC31" i="1"/>
  <c r="AL33" i="1"/>
  <c r="T33" i="1"/>
  <c r="AL37" i="1"/>
  <c r="T37" i="1"/>
  <c r="AL41" i="1"/>
  <c r="T41" i="1"/>
  <c r="AL45" i="1"/>
  <c r="T45" i="1"/>
  <c r="AL49" i="1"/>
  <c r="T49" i="1"/>
  <c r="O52" i="1"/>
  <c r="L52" i="1"/>
  <c r="J52" i="1"/>
  <c r="I52" i="1" s="1"/>
  <c r="AI52" i="1"/>
  <c r="U67" i="1"/>
  <c r="V67" i="1" s="1"/>
  <c r="L81" i="1"/>
  <c r="K81" i="1"/>
  <c r="AI81" i="1"/>
  <c r="O81" i="1"/>
  <c r="J81" i="1"/>
  <c r="I81" i="1" s="1"/>
  <c r="U100" i="1"/>
  <c r="V100" i="1" s="1"/>
  <c r="L24" i="1"/>
  <c r="J24" i="1"/>
  <c r="I24" i="1" s="1"/>
  <c r="R27" i="1"/>
  <c r="P27" i="1" s="1"/>
  <c r="S27" i="1" s="1"/>
  <c r="M27" i="1" s="1"/>
  <c r="N27" i="1" s="1"/>
  <c r="AI53" i="1"/>
  <c r="O53" i="1"/>
  <c r="L53" i="1"/>
  <c r="K53" i="1"/>
  <c r="AL70" i="1"/>
  <c r="T70" i="1"/>
  <c r="L77" i="1"/>
  <c r="K77" i="1"/>
  <c r="O77" i="1"/>
  <c r="J77" i="1"/>
  <c r="I77" i="1" s="1"/>
  <c r="AI77" i="1"/>
  <c r="R23" i="1"/>
  <c r="P23" i="1" s="1"/>
  <c r="S23" i="1" s="1"/>
  <c r="M23" i="1" s="1"/>
  <c r="N23" i="1" s="1"/>
  <c r="T19" i="1"/>
  <c r="O24" i="1"/>
  <c r="L26" i="1"/>
  <c r="AL32" i="1"/>
  <c r="T32" i="1"/>
  <c r="AL36" i="1"/>
  <c r="T36" i="1"/>
  <c r="AL40" i="1"/>
  <c r="T40" i="1"/>
  <c r="AL44" i="1"/>
  <c r="T44" i="1"/>
  <c r="AL48" i="1"/>
  <c r="T48" i="1"/>
  <c r="L54" i="1"/>
  <c r="AL58" i="1"/>
  <c r="T58" i="1"/>
  <c r="T62" i="1"/>
  <c r="AL62" i="1"/>
  <c r="O78" i="1"/>
  <c r="J78" i="1"/>
  <c r="I78" i="1" s="1"/>
  <c r="AI78" i="1"/>
  <c r="L78" i="1"/>
  <c r="J83" i="1"/>
  <c r="I83" i="1" s="1"/>
  <c r="AI83" i="1"/>
  <c r="O83" i="1"/>
  <c r="K83" i="1"/>
  <c r="R112" i="1"/>
  <c r="P112" i="1" s="1"/>
  <c r="S112" i="1" s="1"/>
  <c r="M112" i="1" s="1"/>
  <c r="N112" i="1" s="1"/>
  <c r="AB112" i="1"/>
  <c r="J59" i="1"/>
  <c r="I59" i="1" s="1"/>
  <c r="AI59" i="1"/>
  <c r="J67" i="1"/>
  <c r="I67" i="1" s="1"/>
  <c r="AI67" i="1"/>
  <c r="O67" i="1"/>
  <c r="O86" i="1"/>
  <c r="K86" i="1"/>
  <c r="L89" i="1"/>
  <c r="K89" i="1"/>
  <c r="AI89" i="1"/>
  <c r="J91" i="1"/>
  <c r="I91" i="1" s="1"/>
  <c r="AI91" i="1"/>
  <c r="O91" i="1"/>
  <c r="L92" i="1"/>
  <c r="K92" i="1"/>
  <c r="J92" i="1"/>
  <c r="I92" i="1" s="1"/>
  <c r="AI92" i="1"/>
  <c r="O92" i="1"/>
  <c r="AB95" i="1"/>
  <c r="R95" i="1"/>
  <c r="P95" i="1" s="1"/>
  <c r="S95" i="1" s="1"/>
  <c r="M95" i="1" s="1"/>
  <c r="N95" i="1" s="1"/>
  <c r="U98" i="1"/>
  <c r="V98" i="1" s="1"/>
  <c r="X99" i="1"/>
  <c r="AL105" i="1"/>
  <c r="T105" i="1"/>
  <c r="L109" i="1"/>
  <c r="J109" i="1"/>
  <c r="I109" i="1" s="1"/>
  <c r="O109" i="1"/>
  <c r="K109" i="1"/>
  <c r="AI109" i="1"/>
  <c r="K129" i="1"/>
  <c r="J129" i="1"/>
  <c r="I129" i="1" s="1"/>
  <c r="AI129" i="1"/>
  <c r="O129" i="1"/>
  <c r="L129" i="1"/>
  <c r="T53" i="1"/>
  <c r="J56" i="1"/>
  <c r="I56" i="1" s="1"/>
  <c r="L62" i="1"/>
  <c r="L64" i="1"/>
  <c r="K64" i="1"/>
  <c r="J64" i="1"/>
  <c r="I64" i="1" s="1"/>
  <c r="AI64" i="1"/>
  <c r="L65" i="1"/>
  <c r="K65" i="1"/>
  <c r="K67" i="1"/>
  <c r="X70" i="1"/>
  <c r="O82" i="1"/>
  <c r="K82" i="1"/>
  <c r="J87" i="1"/>
  <c r="I87" i="1" s="1"/>
  <c r="AI87" i="1"/>
  <c r="O87" i="1"/>
  <c r="L88" i="1"/>
  <c r="K88" i="1"/>
  <c r="J88" i="1"/>
  <c r="I88" i="1" s="1"/>
  <c r="AI88" i="1"/>
  <c r="O88" i="1"/>
  <c r="U95" i="1"/>
  <c r="V95" i="1" s="1"/>
  <c r="L101" i="1"/>
  <c r="AI101" i="1"/>
  <c r="O101" i="1"/>
  <c r="J101" i="1"/>
  <c r="I101" i="1" s="1"/>
  <c r="O110" i="1"/>
  <c r="L110" i="1"/>
  <c r="J110" i="1"/>
  <c r="I110" i="1" s="1"/>
  <c r="AI110" i="1"/>
  <c r="AI115" i="1"/>
  <c r="L115" i="1"/>
  <c r="K115" i="1"/>
  <c r="J115" i="1"/>
  <c r="I115" i="1" s="1"/>
  <c r="AD116" i="1"/>
  <c r="W116" i="1"/>
  <c r="AA116" i="1" s="1"/>
  <c r="O118" i="1"/>
  <c r="L118" i="1"/>
  <c r="J118" i="1"/>
  <c r="I118" i="1" s="1"/>
  <c r="AI118" i="1"/>
  <c r="O122" i="1"/>
  <c r="L122" i="1"/>
  <c r="J122" i="1"/>
  <c r="I122" i="1" s="1"/>
  <c r="AI122" i="1"/>
  <c r="J35" i="1"/>
  <c r="I35" i="1" s="1"/>
  <c r="J39" i="1"/>
  <c r="I39" i="1" s="1"/>
  <c r="J43" i="1"/>
  <c r="I43" i="1" s="1"/>
  <c r="J47" i="1"/>
  <c r="I47" i="1" s="1"/>
  <c r="U47" i="1" s="1"/>
  <c r="V47" i="1" s="1"/>
  <c r="J51" i="1"/>
  <c r="I51" i="1" s="1"/>
  <c r="U51" i="1" s="1"/>
  <c r="V51" i="1" s="1"/>
  <c r="J55" i="1"/>
  <c r="I55" i="1" s="1"/>
  <c r="U55" i="1" s="1"/>
  <c r="V55" i="1" s="1"/>
  <c r="K58" i="1"/>
  <c r="AL61" i="1"/>
  <c r="T61" i="1"/>
  <c r="K63" i="1"/>
  <c r="AC66" i="1"/>
  <c r="L68" i="1"/>
  <c r="K68" i="1"/>
  <c r="J68" i="1"/>
  <c r="I68" i="1" s="1"/>
  <c r="AI68" i="1"/>
  <c r="K70" i="1"/>
  <c r="J79" i="1"/>
  <c r="I79" i="1" s="1"/>
  <c r="AI79" i="1"/>
  <c r="O79" i="1"/>
  <c r="L80" i="1"/>
  <c r="K80" i="1"/>
  <c r="J80" i="1"/>
  <c r="I80" i="1" s="1"/>
  <c r="AI80" i="1"/>
  <c r="O80" i="1"/>
  <c r="U86" i="1"/>
  <c r="V86" i="1" s="1"/>
  <c r="AC86" i="1" s="1"/>
  <c r="AI99" i="1"/>
  <c r="L99" i="1"/>
  <c r="K99" i="1"/>
  <c r="T103" i="1"/>
  <c r="AL103" i="1"/>
  <c r="AC104" i="1"/>
  <c r="U104" i="1"/>
  <c r="V104" i="1" s="1"/>
  <c r="AL106" i="1"/>
  <c r="T106" i="1"/>
  <c r="O115" i="1"/>
  <c r="K118" i="1"/>
  <c r="AL118" i="1"/>
  <c r="T118" i="1"/>
  <c r="U139" i="1"/>
  <c r="V139" i="1" s="1"/>
  <c r="L58" i="1"/>
  <c r="L60" i="1"/>
  <c r="K60" i="1"/>
  <c r="J60" i="1"/>
  <c r="I60" i="1" s="1"/>
  <c r="L70" i="1"/>
  <c r="U72" i="1"/>
  <c r="V72" i="1" s="1"/>
  <c r="J74" i="1"/>
  <c r="I74" i="1" s="1"/>
  <c r="U74" i="1" s="1"/>
  <c r="V74" i="1" s="1"/>
  <c r="J75" i="1"/>
  <c r="I75" i="1" s="1"/>
  <c r="AI75" i="1"/>
  <c r="O75" i="1"/>
  <c r="U78" i="1"/>
  <c r="V78" i="1" s="1"/>
  <c r="U82" i="1"/>
  <c r="V82" i="1" s="1"/>
  <c r="AC82" i="1" s="1"/>
  <c r="X86" i="1"/>
  <c r="K91" i="1"/>
  <c r="AB96" i="1"/>
  <c r="J99" i="1"/>
  <c r="I99" i="1" s="1"/>
  <c r="T99" i="1"/>
  <c r="AL99" i="1"/>
  <c r="AL113" i="1"/>
  <c r="T113" i="1"/>
  <c r="J63" i="1"/>
  <c r="I63" i="1" s="1"/>
  <c r="AI63" i="1"/>
  <c r="AI70" i="1"/>
  <c r="L72" i="1"/>
  <c r="K72" i="1"/>
  <c r="J72" i="1"/>
  <c r="I72" i="1" s="1"/>
  <c r="AI72" i="1"/>
  <c r="K74" i="1"/>
  <c r="X78" i="1"/>
  <c r="X82" i="1"/>
  <c r="K87" i="1"/>
  <c r="L91" i="1"/>
  <c r="J94" i="1"/>
  <c r="I94" i="1" s="1"/>
  <c r="X101" i="1"/>
  <c r="K110" i="1"/>
  <c r="AD120" i="1"/>
  <c r="AE120" i="1" s="1"/>
  <c r="W120" i="1"/>
  <c r="AA120" i="1" s="1"/>
  <c r="K122" i="1"/>
  <c r="AL57" i="1"/>
  <c r="T57" i="1"/>
  <c r="K59" i="1"/>
  <c r="U66" i="1"/>
  <c r="V66" i="1" s="1"/>
  <c r="L74" i="1"/>
  <c r="J89" i="1"/>
  <c r="I89" i="1" s="1"/>
  <c r="O94" i="1"/>
  <c r="K94" i="1"/>
  <c r="AI102" i="1"/>
  <c r="L102" i="1"/>
  <c r="K102" i="1"/>
  <c r="J102" i="1"/>
  <c r="I102" i="1" s="1"/>
  <c r="L105" i="1"/>
  <c r="J105" i="1"/>
  <c r="I105" i="1" s="1"/>
  <c r="K105" i="1"/>
  <c r="O105" i="1"/>
  <c r="AI105" i="1"/>
  <c r="AB107" i="1"/>
  <c r="R107" i="1"/>
  <c r="P107" i="1" s="1"/>
  <c r="S107" i="1" s="1"/>
  <c r="AC112" i="1"/>
  <c r="AC116" i="1"/>
  <c r="AD127" i="1"/>
  <c r="W127" i="1"/>
  <c r="AA127" i="1" s="1"/>
  <c r="AC127" i="1"/>
  <c r="R108" i="1"/>
  <c r="P108" i="1" s="1"/>
  <c r="S108" i="1" s="1"/>
  <c r="M108" i="1" s="1"/>
  <c r="N108" i="1" s="1"/>
  <c r="AI119" i="1"/>
  <c r="O119" i="1"/>
  <c r="L119" i="1"/>
  <c r="AD140" i="1"/>
  <c r="AC140" i="1"/>
  <c r="W140" i="1"/>
  <c r="AA140" i="1" s="1"/>
  <c r="X111" i="1"/>
  <c r="AL114" i="1"/>
  <c r="T114" i="1"/>
  <c r="AL119" i="1"/>
  <c r="T119" i="1"/>
  <c r="R120" i="1"/>
  <c r="P120" i="1" s="1"/>
  <c r="S120" i="1" s="1"/>
  <c r="M120" i="1" s="1"/>
  <c r="N120" i="1" s="1"/>
  <c r="R127" i="1"/>
  <c r="P127" i="1" s="1"/>
  <c r="S127" i="1" s="1"/>
  <c r="M127" i="1" s="1"/>
  <c r="N127" i="1" s="1"/>
  <c r="R131" i="1"/>
  <c r="P131" i="1" s="1"/>
  <c r="S131" i="1" s="1"/>
  <c r="M131" i="1" s="1"/>
  <c r="N131" i="1" s="1"/>
  <c r="AB131" i="1"/>
  <c r="L167" i="1"/>
  <c r="AI167" i="1"/>
  <c r="K167" i="1"/>
  <c r="J167" i="1"/>
  <c r="I167" i="1" s="1"/>
  <c r="O167" i="1"/>
  <c r="AL97" i="1"/>
  <c r="T97" i="1"/>
  <c r="R104" i="1"/>
  <c r="P104" i="1" s="1"/>
  <c r="S104" i="1" s="1"/>
  <c r="M104" i="1" s="1"/>
  <c r="N104" i="1" s="1"/>
  <c r="AL115" i="1"/>
  <c r="T115" i="1"/>
  <c r="AI123" i="1"/>
  <c r="O123" i="1"/>
  <c r="L123" i="1"/>
  <c r="O126" i="1"/>
  <c r="L126" i="1"/>
  <c r="J126" i="1"/>
  <c r="I126" i="1" s="1"/>
  <c r="O138" i="1"/>
  <c r="L138" i="1"/>
  <c r="K138" i="1"/>
  <c r="J138" i="1"/>
  <c r="I138" i="1" s="1"/>
  <c r="AI138" i="1"/>
  <c r="U144" i="1"/>
  <c r="V144" i="1" s="1"/>
  <c r="AB156" i="1"/>
  <c r="T65" i="1"/>
  <c r="T69" i="1"/>
  <c r="T73" i="1"/>
  <c r="T77" i="1"/>
  <c r="T81" i="1"/>
  <c r="T85" i="1"/>
  <c r="T89" i="1"/>
  <c r="T93" i="1"/>
  <c r="T102" i="1"/>
  <c r="J103" i="1"/>
  <c r="I103" i="1" s="1"/>
  <c r="L107" i="1"/>
  <c r="X119" i="1"/>
  <c r="AL123" i="1"/>
  <c r="T123" i="1"/>
  <c r="AI126" i="1"/>
  <c r="AC131" i="1"/>
  <c r="K100" i="1"/>
  <c r="K103" i="1"/>
  <c r="X107" i="1"/>
  <c r="AB108" i="1"/>
  <c r="AL110" i="1"/>
  <c r="T110" i="1"/>
  <c r="J119" i="1"/>
  <c r="I119" i="1" s="1"/>
  <c r="AL122" i="1"/>
  <c r="T122" i="1"/>
  <c r="L100" i="1"/>
  <c r="AI111" i="1"/>
  <c r="L111" i="1"/>
  <c r="O114" i="1"/>
  <c r="L114" i="1"/>
  <c r="J114" i="1"/>
  <c r="I114" i="1" s="1"/>
  <c r="R116" i="1"/>
  <c r="P116" i="1" s="1"/>
  <c r="S116" i="1" s="1"/>
  <c r="M116" i="1" s="1"/>
  <c r="N116" i="1" s="1"/>
  <c r="K119" i="1"/>
  <c r="AB120" i="1"/>
  <c r="AL126" i="1"/>
  <c r="T126" i="1"/>
  <c r="AB127" i="1"/>
  <c r="L130" i="1"/>
  <c r="K130" i="1"/>
  <c r="J130" i="1"/>
  <c r="I130" i="1" s="1"/>
  <c r="AI130" i="1"/>
  <c r="O130" i="1"/>
  <c r="AB146" i="1"/>
  <c r="U133" i="1"/>
  <c r="V133" i="1" s="1"/>
  <c r="L136" i="1"/>
  <c r="K136" i="1"/>
  <c r="J136" i="1"/>
  <c r="I136" i="1" s="1"/>
  <c r="AI136" i="1"/>
  <c r="O136" i="1"/>
  <c r="AC139" i="1"/>
  <c r="R139" i="1"/>
  <c r="P139" i="1" s="1"/>
  <c r="S139" i="1" s="1"/>
  <c r="M139" i="1" s="1"/>
  <c r="N139" i="1" s="1"/>
  <c r="AL146" i="1"/>
  <c r="T146" i="1"/>
  <c r="U156" i="1"/>
  <c r="V156" i="1" s="1"/>
  <c r="AB158" i="1"/>
  <c r="U180" i="1"/>
  <c r="V180" i="1" s="1"/>
  <c r="L132" i="1"/>
  <c r="K132" i="1"/>
  <c r="J132" i="1"/>
  <c r="I132" i="1" s="1"/>
  <c r="AI132" i="1"/>
  <c r="O132" i="1"/>
  <c r="AC135" i="1"/>
  <c r="R135" i="1"/>
  <c r="P135" i="1" s="1"/>
  <c r="S135" i="1" s="1"/>
  <c r="M135" i="1" s="1"/>
  <c r="N135" i="1" s="1"/>
  <c r="AL136" i="1"/>
  <c r="R141" i="1"/>
  <c r="P141" i="1" s="1"/>
  <c r="S141" i="1" s="1"/>
  <c r="M141" i="1" s="1"/>
  <c r="N141" i="1" s="1"/>
  <c r="M148" i="1"/>
  <c r="N148" i="1" s="1"/>
  <c r="AD148" i="1"/>
  <c r="AE148" i="1" s="1"/>
  <c r="W148" i="1"/>
  <c r="AA148" i="1" s="1"/>
  <c r="J113" i="1"/>
  <c r="I113" i="1" s="1"/>
  <c r="J117" i="1"/>
  <c r="I117" i="1" s="1"/>
  <c r="J121" i="1"/>
  <c r="I121" i="1" s="1"/>
  <c r="J125" i="1"/>
  <c r="I125" i="1" s="1"/>
  <c r="O134" i="1"/>
  <c r="L134" i="1"/>
  <c r="K134" i="1"/>
  <c r="U135" i="1"/>
  <c r="V135" i="1" s="1"/>
  <c r="U147" i="1"/>
  <c r="V147" i="1" s="1"/>
  <c r="K125" i="1"/>
  <c r="L128" i="1"/>
  <c r="AI128" i="1"/>
  <c r="U131" i="1"/>
  <c r="V131" i="1" s="1"/>
  <c r="U141" i="1"/>
  <c r="V141" i="1" s="1"/>
  <c r="J145" i="1"/>
  <c r="I145" i="1" s="1"/>
  <c r="O145" i="1"/>
  <c r="L145" i="1"/>
  <c r="K145" i="1"/>
  <c r="AI145" i="1"/>
  <c r="AL173" i="1"/>
  <c r="T173" i="1"/>
  <c r="T117" i="1"/>
  <c r="T121" i="1"/>
  <c r="J124" i="1"/>
  <c r="I124" i="1" s="1"/>
  <c r="T125" i="1"/>
  <c r="AL128" i="1"/>
  <c r="T128" i="1"/>
  <c r="X130" i="1"/>
  <c r="J134" i="1"/>
  <c r="I134" i="1" s="1"/>
  <c r="L137" i="1"/>
  <c r="K137" i="1"/>
  <c r="J137" i="1"/>
  <c r="I137" i="1" s="1"/>
  <c r="U137" i="1" s="1"/>
  <c r="V137" i="1" s="1"/>
  <c r="AI137" i="1"/>
  <c r="X128" i="1"/>
  <c r="L133" i="1"/>
  <c r="K133" i="1"/>
  <c r="J133" i="1"/>
  <c r="I133" i="1" s="1"/>
  <c r="AI133" i="1"/>
  <c r="AB140" i="1"/>
  <c r="R140" i="1"/>
  <c r="P140" i="1" s="1"/>
  <c r="S140" i="1" s="1"/>
  <c r="M140" i="1" s="1"/>
  <c r="N140" i="1" s="1"/>
  <c r="O184" i="1"/>
  <c r="AI184" i="1"/>
  <c r="K184" i="1"/>
  <c r="J184" i="1"/>
  <c r="I184" i="1" s="1"/>
  <c r="L184" i="1"/>
  <c r="O143" i="1"/>
  <c r="K146" i="1"/>
  <c r="J150" i="1"/>
  <c r="I150" i="1" s="1"/>
  <c r="U152" i="1"/>
  <c r="V152" i="1" s="1"/>
  <c r="K157" i="1"/>
  <c r="L159" i="1"/>
  <c r="U164" i="1"/>
  <c r="V164" i="1" s="1"/>
  <c r="T130" i="1"/>
  <c r="T134" i="1"/>
  <c r="T138" i="1"/>
  <c r="O142" i="1"/>
  <c r="L142" i="1"/>
  <c r="L148" i="1"/>
  <c r="K148" i="1"/>
  <c r="O149" i="1"/>
  <c r="J149" i="1"/>
  <c r="I149" i="1" s="1"/>
  <c r="X150" i="1"/>
  <c r="X152" i="1"/>
  <c r="K153" i="1"/>
  <c r="X154" i="1"/>
  <c r="L155" i="1"/>
  <c r="L174" i="1"/>
  <c r="K174" i="1"/>
  <c r="J174" i="1"/>
  <c r="I174" i="1" s="1"/>
  <c r="O174" i="1"/>
  <c r="AI174" i="1"/>
  <c r="O176" i="1"/>
  <c r="K176" i="1"/>
  <c r="J176" i="1"/>
  <c r="I176" i="1" s="1"/>
  <c r="L176" i="1"/>
  <c r="L179" i="1"/>
  <c r="AI179" i="1"/>
  <c r="O179" i="1"/>
  <c r="K179" i="1"/>
  <c r="J181" i="1"/>
  <c r="I181" i="1" s="1"/>
  <c r="AI181" i="1"/>
  <c r="L181" i="1"/>
  <c r="K181" i="1"/>
  <c r="O181" i="1"/>
  <c r="U193" i="1"/>
  <c r="V193" i="1" s="1"/>
  <c r="O131" i="1"/>
  <c r="O135" i="1"/>
  <c r="O139" i="1"/>
  <c r="J142" i="1"/>
  <c r="I142" i="1" s="1"/>
  <c r="AL142" i="1"/>
  <c r="T142" i="1"/>
  <c r="J160" i="1"/>
  <c r="I160" i="1" s="1"/>
  <c r="AC161" i="1"/>
  <c r="O161" i="1"/>
  <c r="J161" i="1"/>
  <c r="I161" i="1" s="1"/>
  <c r="AI161" i="1"/>
  <c r="AL163" i="1"/>
  <c r="T163" i="1"/>
  <c r="AL179" i="1"/>
  <c r="T179" i="1"/>
  <c r="AL181" i="1"/>
  <c r="T181" i="1"/>
  <c r="J147" i="1"/>
  <c r="I147" i="1" s="1"/>
  <c r="AI147" i="1"/>
  <c r="U149" i="1"/>
  <c r="V149" i="1" s="1"/>
  <c r="AC157" i="1"/>
  <c r="O157" i="1"/>
  <c r="J157" i="1"/>
  <c r="I157" i="1" s="1"/>
  <c r="AI157" i="1"/>
  <c r="K159" i="1"/>
  <c r="J159" i="1"/>
  <c r="I159" i="1" s="1"/>
  <c r="AI159" i="1"/>
  <c r="L160" i="1"/>
  <c r="K160" i="1"/>
  <c r="O160" i="1"/>
  <c r="L182" i="1"/>
  <c r="K182" i="1"/>
  <c r="J182" i="1"/>
  <c r="I182" i="1" s="1"/>
  <c r="O182" i="1"/>
  <c r="AI182" i="1"/>
  <c r="L226" i="1"/>
  <c r="AI226" i="1"/>
  <c r="K226" i="1"/>
  <c r="J226" i="1"/>
  <c r="I226" i="1" s="1"/>
  <c r="O226" i="1"/>
  <c r="AI131" i="1"/>
  <c r="AI135" i="1"/>
  <c r="AI139" i="1"/>
  <c r="L144" i="1"/>
  <c r="K144" i="1"/>
  <c r="O153" i="1"/>
  <c r="J153" i="1"/>
  <c r="I153" i="1" s="1"/>
  <c r="AI153" i="1"/>
  <c r="K155" i="1"/>
  <c r="J155" i="1"/>
  <c r="I155" i="1" s="1"/>
  <c r="AI155" i="1"/>
  <c r="L156" i="1"/>
  <c r="K156" i="1"/>
  <c r="O156" i="1"/>
  <c r="AI158" i="1"/>
  <c r="O158" i="1"/>
  <c r="L158" i="1"/>
  <c r="K158" i="1"/>
  <c r="U159" i="1"/>
  <c r="V159" i="1" s="1"/>
  <c r="U161" i="1"/>
  <c r="V161" i="1" s="1"/>
  <c r="AL171" i="1"/>
  <c r="T171" i="1"/>
  <c r="J179" i="1"/>
  <c r="I179" i="1" s="1"/>
  <c r="J208" i="1"/>
  <c r="I208" i="1" s="1"/>
  <c r="AI208" i="1"/>
  <c r="L208" i="1"/>
  <c r="K208" i="1"/>
  <c r="O208" i="1"/>
  <c r="T132" i="1"/>
  <c r="T136" i="1"/>
  <c r="J144" i="1"/>
  <c r="I144" i="1" s="1"/>
  <c r="O147" i="1"/>
  <c r="K151" i="1"/>
  <c r="J151" i="1"/>
  <c r="I151" i="1" s="1"/>
  <c r="U151" i="1" s="1"/>
  <c r="V151" i="1" s="1"/>
  <c r="AI151" i="1"/>
  <c r="L152" i="1"/>
  <c r="K152" i="1"/>
  <c r="O152" i="1"/>
  <c r="AI154" i="1"/>
  <c r="O154" i="1"/>
  <c r="L154" i="1"/>
  <c r="K154" i="1"/>
  <c r="U155" i="1"/>
  <c r="V155" i="1" s="1"/>
  <c r="AC156" i="1"/>
  <c r="U157" i="1"/>
  <c r="V157" i="1" s="1"/>
  <c r="AL158" i="1"/>
  <c r="L164" i="1"/>
  <c r="AB165" i="1"/>
  <c r="O188" i="1"/>
  <c r="J188" i="1"/>
  <c r="I188" i="1" s="1"/>
  <c r="AI188" i="1"/>
  <c r="L188" i="1"/>
  <c r="K188" i="1"/>
  <c r="AL198" i="1"/>
  <c r="T198" i="1"/>
  <c r="J143" i="1"/>
  <c r="I143" i="1" s="1"/>
  <c r="AI143" i="1"/>
  <c r="X144" i="1"/>
  <c r="O146" i="1"/>
  <c r="L146" i="1"/>
  <c r="AI150" i="1"/>
  <c r="O150" i="1"/>
  <c r="L150" i="1"/>
  <c r="AC152" i="1"/>
  <c r="U153" i="1"/>
  <c r="V153" i="1" s="1"/>
  <c r="AL154" i="1"/>
  <c r="AL162" i="1"/>
  <c r="K164" i="1"/>
  <c r="J164" i="1"/>
  <c r="I164" i="1" s="1"/>
  <c r="O164" i="1"/>
  <c r="AC165" i="1"/>
  <c r="U166" i="1"/>
  <c r="V166" i="1" s="1"/>
  <c r="U191" i="1"/>
  <c r="V191" i="1" s="1"/>
  <c r="U200" i="1"/>
  <c r="V200" i="1" s="1"/>
  <c r="L163" i="1"/>
  <c r="AI163" i="1"/>
  <c r="O168" i="1"/>
  <c r="K168" i="1"/>
  <c r="L183" i="1"/>
  <c r="AI183" i="1"/>
  <c r="AI193" i="1"/>
  <c r="O193" i="1"/>
  <c r="L193" i="1"/>
  <c r="K193" i="1"/>
  <c r="J193" i="1"/>
  <c r="I193" i="1" s="1"/>
  <c r="AL202" i="1"/>
  <c r="T202" i="1"/>
  <c r="AL208" i="1"/>
  <c r="T208" i="1"/>
  <c r="T150" i="1"/>
  <c r="T154" i="1"/>
  <c r="T158" i="1"/>
  <c r="L162" i="1"/>
  <c r="T162" i="1"/>
  <c r="O163" i="1"/>
  <c r="X165" i="1"/>
  <c r="U168" i="1"/>
  <c r="V168" i="1" s="1"/>
  <c r="L178" i="1"/>
  <c r="K178" i="1"/>
  <c r="J178" i="1"/>
  <c r="I178" i="1" s="1"/>
  <c r="O178" i="1"/>
  <c r="O180" i="1"/>
  <c r="K180" i="1"/>
  <c r="J180" i="1"/>
  <c r="I180" i="1" s="1"/>
  <c r="AL183" i="1"/>
  <c r="T183" i="1"/>
  <c r="K190" i="1"/>
  <c r="J190" i="1"/>
  <c r="I190" i="1" s="1"/>
  <c r="AI190" i="1"/>
  <c r="O190" i="1"/>
  <c r="L190" i="1"/>
  <c r="X195" i="1"/>
  <c r="O162" i="1"/>
  <c r="J169" i="1"/>
  <c r="I169" i="1" s="1"/>
  <c r="U169" i="1" s="1"/>
  <c r="V169" i="1" s="1"/>
  <c r="AI169" i="1"/>
  <c r="L175" i="1"/>
  <c r="AI175" i="1"/>
  <c r="J177" i="1"/>
  <c r="I177" i="1" s="1"/>
  <c r="AI177" i="1"/>
  <c r="L177" i="1"/>
  <c r="K186" i="1"/>
  <c r="J186" i="1"/>
  <c r="I186" i="1" s="1"/>
  <c r="AI186" i="1"/>
  <c r="L186" i="1"/>
  <c r="AC190" i="1"/>
  <c r="L191" i="1"/>
  <c r="K191" i="1"/>
  <c r="O191" i="1"/>
  <c r="AI191" i="1"/>
  <c r="J191" i="1"/>
  <c r="I191" i="1" s="1"/>
  <c r="AB197" i="1"/>
  <c r="U197" i="1"/>
  <c r="V197" i="1" s="1"/>
  <c r="L199" i="1"/>
  <c r="K199" i="1"/>
  <c r="J199" i="1"/>
  <c r="I199" i="1" s="1"/>
  <c r="U199" i="1" s="1"/>
  <c r="V199" i="1" s="1"/>
  <c r="AI199" i="1"/>
  <c r="L206" i="1"/>
  <c r="AI206" i="1"/>
  <c r="O206" i="1"/>
  <c r="K206" i="1"/>
  <c r="J206" i="1"/>
  <c r="I206" i="1" s="1"/>
  <c r="J163" i="1"/>
  <c r="I163" i="1" s="1"/>
  <c r="J166" i="1"/>
  <c r="I166" i="1" s="1"/>
  <c r="O166" i="1"/>
  <c r="L170" i="1"/>
  <c r="K170" i="1"/>
  <c r="J170" i="1"/>
  <c r="I170" i="1" s="1"/>
  <c r="O170" i="1"/>
  <c r="O172" i="1"/>
  <c r="K172" i="1"/>
  <c r="J172" i="1"/>
  <c r="I172" i="1" s="1"/>
  <c r="AL175" i="1"/>
  <c r="T175" i="1"/>
  <c r="U176" i="1"/>
  <c r="V176" i="1" s="1"/>
  <c r="AC176" i="1" s="1"/>
  <c r="AL177" i="1"/>
  <c r="T177" i="1"/>
  <c r="J183" i="1"/>
  <c r="I183" i="1" s="1"/>
  <c r="AB185" i="1"/>
  <c r="O186" i="1"/>
  <c r="U187" i="1"/>
  <c r="V187" i="1" s="1"/>
  <c r="AC187" i="1" s="1"/>
  <c r="AB218" i="1"/>
  <c r="K163" i="1"/>
  <c r="U165" i="1"/>
  <c r="V165" i="1" s="1"/>
  <c r="K166" i="1"/>
  <c r="AI166" i="1"/>
  <c r="AL167" i="1"/>
  <c r="T167" i="1"/>
  <c r="L169" i="1"/>
  <c r="AI170" i="1"/>
  <c r="L171" i="1"/>
  <c r="AI171" i="1"/>
  <c r="J173" i="1"/>
  <c r="I173" i="1" s="1"/>
  <c r="AI173" i="1"/>
  <c r="L173" i="1"/>
  <c r="K183" i="1"/>
  <c r="U194" i="1"/>
  <c r="V194" i="1" s="1"/>
  <c r="R197" i="1"/>
  <c r="P197" i="1" s="1"/>
  <c r="S197" i="1" s="1"/>
  <c r="M197" i="1" s="1"/>
  <c r="N197" i="1" s="1"/>
  <c r="O199" i="1"/>
  <c r="AB222" i="1"/>
  <c r="L187" i="1"/>
  <c r="K187" i="1"/>
  <c r="AI189" i="1"/>
  <c r="O189" i="1"/>
  <c r="L189" i="1"/>
  <c r="K189" i="1"/>
  <c r="U190" i="1"/>
  <c r="V190" i="1" s="1"/>
  <c r="O211" i="1"/>
  <c r="K211" i="1"/>
  <c r="J211" i="1"/>
  <c r="I211" i="1" s="1"/>
  <c r="AI211" i="1"/>
  <c r="L211" i="1"/>
  <c r="L218" i="1"/>
  <c r="AI218" i="1"/>
  <c r="O218" i="1"/>
  <c r="K218" i="1"/>
  <c r="AB220" i="1"/>
  <c r="L225" i="1"/>
  <c r="K225" i="1"/>
  <c r="J225" i="1"/>
  <c r="I225" i="1" s="1"/>
  <c r="O225" i="1"/>
  <c r="U188" i="1"/>
  <c r="V188" i="1" s="1"/>
  <c r="AL189" i="1"/>
  <c r="L198" i="1"/>
  <c r="K198" i="1"/>
  <c r="J198" i="1"/>
  <c r="I198" i="1" s="1"/>
  <c r="AI198" i="1"/>
  <c r="O198" i="1"/>
  <c r="L202" i="1"/>
  <c r="AI202" i="1"/>
  <c r="O202" i="1"/>
  <c r="K202" i="1"/>
  <c r="J202" i="1"/>
  <c r="I202" i="1" s="1"/>
  <c r="AL218" i="1"/>
  <c r="T218" i="1"/>
  <c r="AI225" i="1"/>
  <c r="AI185" i="1"/>
  <c r="L185" i="1"/>
  <c r="O203" i="1"/>
  <c r="K203" i="1"/>
  <c r="L203" i="1"/>
  <c r="AL206" i="1"/>
  <c r="T206" i="1"/>
  <c r="L209" i="1"/>
  <c r="K209" i="1"/>
  <c r="J209" i="1"/>
  <c r="I209" i="1" s="1"/>
  <c r="O209" i="1"/>
  <c r="AI209" i="1"/>
  <c r="L222" i="1"/>
  <c r="AI222" i="1"/>
  <c r="O222" i="1"/>
  <c r="K222" i="1"/>
  <c r="AL185" i="1"/>
  <c r="T185" i="1"/>
  <c r="J189" i="1"/>
  <c r="I189" i="1" s="1"/>
  <c r="J195" i="1"/>
  <c r="I195" i="1" s="1"/>
  <c r="U195" i="1" s="1"/>
  <c r="V195" i="1" s="1"/>
  <c r="O196" i="1"/>
  <c r="J196" i="1"/>
  <c r="I196" i="1" s="1"/>
  <c r="U196" i="1" s="1"/>
  <c r="V196" i="1" s="1"/>
  <c r="AI196" i="1"/>
  <c r="R200" i="1"/>
  <c r="P200" i="1" s="1"/>
  <c r="S200" i="1" s="1"/>
  <c r="M200" i="1" s="1"/>
  <c r="N200" i="1" s="1"/>
  <c r="J203" i="1"/>
  <c r="I203" i="1" s="1"/>
  <c r="AL222" i="1"/>
  <c r="T222" i="1"/>
  <c r="AB224" i="1"/>
  <c r="X185" i="1"/>
  <c r="J187" i="1"/>
  <c r="I187" i="1" s="1"/>
  <c r="O192" i="1"/>
  <c r="J192" i="1"/>
  <c r="I192" i="1" s="1"/>
  <c r="U192" i="1" s="1"/>
  <c r="V192" i="1" s="1"/>
  <c r="AI192" i="1"/>
  <c r="K194" i="1"/>
  <c r="J194" i="1"/>
  <c r="I194" i="1" s="1"/>
  <c r="AI194" i="1"/>
  <c r="L195" i="1"/>
  <c r="K195" i="1"/>
  <c r="O195" i="1"/>
  <c r="AI197" i="1"/>
  <c r="O197" i="1"/>
  <c r="L197" i="1"/>
  <c r="K197" i="1"/>
  <c r="X198" i="1"/>
  <c r="AL209" i="1"/>
  <c r="AL214" i="1"/>
  <c r="T214" i="1"/>
  <c r="AC200" i="1"/>
  <c r="L210" i="1"/>
  <c r="AI210" i="1"/>
  <c r="J212" i="1"/>
  <c r="I212" i="1" s="1"/>
  <c r="AI212" i="1"/>
  <c r="L212" i="1"/>
  <c r="AL213" i="1"/>
  <c r="L205" i="1"/>
  <c r="K205" i="1"/>
  <c r="J205" i="1"/>
  <c r="I205" i="1" s="1"/>
  <c r="O205" i="1"/>
  <c r="O207" i="1"/>
  <c r="K207" i="1"/>
  <c r="J207" i="1"/>
  <c r="I207" i="1" s="1"/>
  <c r="AL210" i="1"/>
  <c r="T210" i="1"/>
  <c r="AL212" i="1"/>
  <c r="T212" i="1"/>
  <c r="L217" i="1"/>
  <c r="K217" i="1"/>
  <c r="J217" i="1"/>
  <c r="I217" i="1" s="1"/>
  <c r="O217" i="1"/>
  <c r="O219" i="1"/>
  <c r="K219" i="1"/>
  <c r="J219" i="1"/>
  <c r="I219" i="1" s="1"/>
  <c r="L221" i="1"/>
  <c r="K221" i="1"/>
  <c r="J221" i="1"/>
  <c r="I221" i="1" s="1"/>
  <c r="O221" i="1"/>
  <c r="O223" i="1"/>
  <c r="K223" i="1"/>
  <c r="J223" i="1"/>
  <c r="I223" i="1" s="1"/>
  <c r="J204" i="1"/>
  <c r="I204" i="1" s="1"/>
  <c r="AI204" i="1"/>
  <c r="L204" i="1"/>
  <c r="AL226" i="1"/>
  <c r="T226" i="1"/>
  <c r="U203" i="1"/>
  <c r="V203" i="1" s="1"/>
  <c r="AC203" i="1" s="1"/>
  <c r="AL204" i="1"/>
  <c r="T204" i="1"/>
  <c r="J210" i="1"/>
  <c r="I210" i="1" s="1"/>
  <c r="L213" i="1"/>
  <c r="K213" i="1"/>
  <c r="J213" i="1"/>
  <c r="I213" i="1" s="1"/>
  <c r="O213" i="1"/>
  <c r="O215" i="1"/>
  <c r="K215" i="1"/>
  <c r="J215" i="1"/>
  <c r="I215" i="1" s="1"/>
  <c r="AL216" i="1"/>
  <c r="T216" i="1"/>
  <c r="AL220" i="1"/>
  <c r="T220" i="1"/>
  <c r="AL225" i="1"/>
  <c r="L201" i="1"/>
  <c r="K201" i="1"/>
  <c r="J201" i="1"/>
  <c r="I201" i="1" s="1"/>
  <c r="O201" i="1"/>
  <c r="K210" i="1"/>
  <c r="O212" i="1"/>
  <c r="L214" i="1"/>
  <c r="AI214" i="1"/>
  <c r="AL224" i="1"/>
  <c r="T224" i="1"/>
  <c r="AI220" i="1"/>
  <c r="T209" i="1"/>
  <c r="T213" i="1"/>
  <c r="T217" i="1"/>
  <c r="T221" i="1"/>
  <c r="T225" i="1"/>
  <c r="W74" i="1" l="1"/>
  <c r="AA74" i="1" s="1"/>
  <c r="AD74" i="1"/>
  <c r="AC74" i="1"/>
  <c r="W55" i="1"/>
  <c r="AA55" i="1" s="1"/>
  <c r="AD55" i="1"/>
  <c r="AC55" i="1"/>
  <c r="AD137" i="1"/>
  <c r="AC137" i="1"/>
  <c r="W137" i="1"/>
  <c r="AA137" i="1" s="1"/>
  <c r="W51" i="1"/>
  <c r="AA51" i="1" s="1"/>
  <c r="AD51" i="1"/>
  <c r="AC51" i="1"/>
  <c r="W195" i="1"/>
  <c r="AA195" i="1" s="1"/>
  <c r="AD195" i="1"/>
  <c r="AC195" i="1"/>
  <c r="AD151" i="1"/>
  <c r="AE151" i="1" s="1"/>
  <c r="AC151" i="1"/>
  <c r="W151" i="1"/>
  <c r="AA151" i="1" s="1"/>
  <c r="W192" i="1"/>
  <c r="AA192" i="1" s="1"/>
  <c r="AD192" i="1"/>
  <c r="AC192" i="1"/>
  <c r="AD199" i="1"/>
  <c r="W199" i="1"/>
  <c r="AA199" i="1" s="1"/>
  <c r="AC199" i="1"/>
  <c r="AD47" i="1"/>
  <c r="W47" i="1"/>
  <c r="AA47" i="1" s="1"/>
  <c r="AC47" i="1"/>
  <c r="W169" i="1"/>
  <c r="AA169" i="1" s="1"/>
  <c r="AD169" i="1"/>
  <c r="AC169" i="1"/>
  <c r="W196" i="1"/>
  <c r="AA196" i="1" s="1"/>
  <c r="AD196" i="1"/>
  <c r="AE196" i="1" s="1"/>
  <c r="AC196" i="1"/>
  <c r="AB223" i="1"/>
  <c r="W153" i="1"/>
  <c r="AA153" i="1" s="1"/>
  <c r="AD153" i="1"/>
  <c r="AD164" i="1"/>
  <c r="W164" i="1"/>
  <c r="AA164" i="1" s="1"/>
  <c r="R177" i="1"/>
  <c r="P177" i="1" s="1"/>
  <c r="S177" i="1" s="1"/>
  <c r="M177" i="1" s="1"/>
  <c r="N177" i="1" s="1"/>
  <c r="AB177" i="1"/>
  <c r="U171" i="1"/>
  <c r="V171" i="1" s="1"/>
  <c r="AB184" i="1"/>
  <c r="U184" i="1"/>
  <c r="V184" i="1" s="1"/>
  <c r="W66" i="1"/>
  <c r="AA66" i="1" s="1"/>
  <c r="AD66" i="1"/>
  <c r="AE66" i="1" s="1"/>
  <c r="AB43" i="1"/>
  <c r="U19" i="1"/>
  <c r="V19" i="1" s="1"/>
  <c r="AB85" i="1"/>
  <c r="AD39" i="1"/>
  <c r="AE39" i="1" s="1"/>
  <c r="W39" i="1"/>
  <c r="AA39" i="1" s="1"/>
  <c r="AB20" i="1"/>
  <c r="AB189" i="1"/>
  <c r="U142" i="1"/>
  <c r="V142" i="1" s="1"/>
  <c r="AB174" i="1"/>
  <c r="R174" i="1"/>
  <c r="P174" i="1" s="1"/>
  <c r="S174" i="1" s="1"/>
  <c r="M174" i="1" s="1"/>
  <c r="N174" i="1" s="1"/>
  <c r="R149" i="1"/>
  <c r="P149" i="1" s="1"/>
  <c r="S149" i="1" s="1"/>
  <c r="M149" i="1" s="1"/>
  <c r="N149" i="1" s="1"/>
  <c r="AB149" i="1"/>
  <c r="U134" i="1"/>
  <c r="V134" i="1" s="1"/>
  <c r="AB133" i="1"/>
  <c r="R133" i="1"/>
  <c r="P133" i="1" s="1"/>
  <c r="S133" i="1" s="1"/>
  <c r="M133" i="1" s="1"/>
  <c r="N133" i="1" s="1"/>
  <c r="AB124" i="1"/>
  <c r="U126" i="1"/>
  <c r="V126" i="1" s="1"/>
  <c r="AB119" i="1"/>
  <c r="U77" i="1"/>
  <c r="V77" i="1" s="1"/>
  <c r="AB99" i="1"/>
  <c r="W78" i="1"/>
  <c r="AA78" i="1" s="1"/>
  <c r="AD78" i="1"/>
  <c r="AB79" i="1"/>
  <c r="U61" i="1"/>
  <c r="V61" i="1" s="1"/>
  <c r="AB39" i="1"/>
  <c r="R39" i="1"/>
  <c r="P39" i="1" s="1"/>
  <c r="S39" i="1" s="1"/>
  <c r="M39" i="1" s="1"/>
  <c r="N39" i="1" s="1"/>
  <c r="AB109" i="1"/>
  <c r="R59" i="1"/>
  <c r="P59" i="1" s="1"/>
  <c r="S59" i="1" s="1"/>
  <c r="M59" i="1" s="1"/>
  <c r="N59" i="1" s="1"/>
  <c r="AB59" i="1"/>
  <c r="W100" i="1"/>
  <c r="AA100" i="1" s="1"/>
  <c r="AD100" i="1"/>
  <c r="U41" i="1"/>
  <c r="V41" i="1" s="1"/>
  <c r="U24" i="1"/>
  <c r="V24" i="1" s="1"/>
  <c r="AB71" i="1"/>
  <c r="U46" i="1"/>
  <c r="V46" i="1" s="1"/>
  <c r="AB46" i="1"/>
  <c r="U111" i="1"/>
  <c r="V111" i="1" s="1"/>
  <c r="AB48" i="1"/>
  <c r="W83" i="1"/>
  <c r="AA83" i="1" s="1"/>
  <c r="AC83" i="1"/>
  <c r="AD83" i="1"/>
  <c r="AD35" i="1"/>
  <c r="AE35" i="1" s="1"/>
  <c r="W35" i="1"/>
  <c r="AA35" i="1" s="1"/>
  <c r="AB61" i="1"/>
  <c r="AD23" i="1"/>
  <c r="W23" i="1"/>
  <c r="AA23" i="1" s="1"/>
  <c r="R192" i="1"/>
  <c r="P192" i="1" s="1"/>
  <c r="S192" i="1" s="1"/>
  <c r="M192" i="1" s="1"/>
  <c r="N192" i="1" s="1"/>
  <c r="AB192" i="1"/>
  <c r="U206" i="1"/>
  <c r="V206" i="1" s="1"/>
  <c r="AB170" i="1"/>
  <c r="AB160" i="1"/>
  <c r="AB87" i="1"/>
  <c r="U40" i="1"/>
  <c r="V40" i="1" s="1"/>
  <c r="AB90" i="1"/>
  <c r="U226" i="1"/>
  <c r="V226" i="1" s="1"/>
  <c r="W191" i="1"/>
  <c r="AA191" i="1" s="1"/>
  <c r="AD191" i="1"/>
  <c r="AE191" i="1" s="1"/>
  <c r="W149" i="1"/>
  <c r="AA149" i="1" s="1"/>
  <c r="AD149" i="1"/>
  <c r="AE149" i="1" s="1"/>
  <c r="U209" i="1"/>
  <c r="V209" i="1" s="1"/>
  <c r="U220" i="1"/>
  <c r="V220" i="1" s="1"/>
  <c r="AB213" i="1"/>
  <c r="AB217" i="1"/>
  <c r="R217" i="1"/>
  <c r="P217" i="1" s="1"/>
  <c r="S217" i="1" s="1"/>
  <c r="M217" i="1" s="1"/>
  <c r="N217" i="1" s="1"/>
  <c r="R207" i="1"/>
  <c r="P207" i="1" s="1"/>
  <c r="S207" i="1" s="1"/>
  <c r="M207" i="1" s="1"/>
  <c r="N207" i="1" s="1"/>
  <c r="AB207" i="1"/>
  <c r="U207" i="1"/>
  <c r="V207" i="1" s="1"/>
  <c r="AB203" i="1"/>
  <c r="R203" i="1"/>
  <c r="P203" i="1" s="1"/>
  <c r="S203" i="1" s="1"/>
  <c r="M203" i="1" s="1"/>
  <c r="N203" i="1" s="1"/>
  <c r="U185" i="1"/>
  <c r="V185" i="1" s="1"/>
  <c r="W188" i="1"/>
  <c r="AA188" i="1" s="1"/>
  <c r="AD188" i="1"/>
  <c r="AE188" i="1" s="1"/>
  <c r="AC191" i="1"/>
  <c r="AC188" i="1"/>
  <c r="R180" i="1"/>
  <c r="P180" i="1" s="1"/>
  <c r="S180" i="1" s="1"/>
  <c r="M180" i="1" s="1"/>
  <c r="N180" i="1" s="1"/>
  <c r="AB180" i="1"/>
  <c r="W168" i="1"/>
  <c r="AA168" i="1" s="1"/>
  <c r="AD168" i="1"/>
  <c r="R143" i="1"/>
  <c r="P143" i="1" s="1"/>
  <c r="S143" i="1" s="1"/>
  <c r="M143" i="1" s="1"/>
  <c r="N143" i="1" s="1"/>
  <c r="AB143" i="1"/>
  <c r="R188" i="1"/>
  <c r="P188" i="1" s="1"/>
  <c r="S188" i="1" s="1"/>
  <c r="M188" i="1" s="1"/>
  <c r="N188" i="1" s="1"/>
  <c r="AB188" i="1"/>
  <c r="W161" i="1"/>
  <c r="AA161" i="1" s="1"/>
  <c r="AD161" i="1"/>
  <c r="AB226" i="1"/>
  <c r="R226" i="1"/>
  <c r="P226" i="1" s="1"/>
  <c r="S226" i="1" s="1"/>
  <c r="M226" i="1" s="1"/>
  <c r="N226" i="1" s="1"/>
  <c r="AB182" i="1"/>
  <c r="R182" i="1"/>
  <c r="P182" i="1" s="1"/>
  <c r="S182" i="1" s="1"/>
  <c r="M182" i="1" s="1"/>
  <c r="N182" i="1" s="1"/>
  <c r="U182" i="1"/>
  <c r="V182" i="1" s="1"/>
  <c r="U163" i="1"/>
  <c r="V163" i="1" s="1"/>
  <c r="U130" i="1"/>
  <c r="V130" i="1" s="1"/>
  <c r="U121" i="1"/>
  <c r="V121" i="1" s="1"/>
  <c r="R121" i="1" s="1"/>
  <c r="P121" i="1" s="1"/>
  <c r="S121" i="1" s="1"/>
  <c r="M121" i="1" s="1"/>
  <c r="N121" i="1" s="1"/>
  <c r="AB145" i="1"/>
  <c r="AD147" i="1"/>
  <c r="W147" i="1"/>
  <c r="AA147" i="1" s="1"/>
  <c r="AC147" i="1"/>
  <c r="U73" i="1"/>
  <c r="V73" i="1" s="1"/>
  <c r="AB138" i="1"/>
  <c r="R138" i="1"/>
  <c r="P138" i="1" s="1"/>
  <c r="S138" i="1" s="1"/>
  <c r="M138" i="1" s="1"/>
  <c r="N138" i="1" s="1"/>
  <c r="AE127" i="1"/>
  <c r="AB63" i="1"/>
  <c r="AB60" i="1"/>
  <c r="R60" i="1"/>
  <c r="P60" i="1" s="1"/>
  <c r="S60" i="1" s="1"/>
  <c r="M60" i="1" s="1"/>
  <c r="N60" i="1" s="1"/>
  <c r="U103" i="1"/>
  <c r="V103" i="1" s="1"/>
  <c r="R103" i="1" s="1"/>
  <c r="P103" i="1" s="1"/>
  <c r="S103" i="1" s="1"/>
  <c r="M103" i="1" s="1"/>
  <c r="N103" i="1" s="1"/>
  <c r="AB35" i="1"/>
  <c r="R35" i="1"/>
  <c r="P35" i="1" s="1"/>
  <c r="S35" i="1" s="1"/>
  <c r="M35" i="1" s="1"/>
  <c r="N35" i="1" s="1"/>
  <c r="AB64" i="1"/>
  <c r="U64" i="1"/>
  <c r="V64" i="1" s="1"/>
  <c r="AB78" i="1"/>
  <c r="R78" i="1"/>
  <c r="P78" i="1" s="1"/>
  <c r="S78" i="1" s="1"/>
  <c r="M78" i="1" s="1"/>
  <c r="N78" i="1" s="1"/>
  <c r="U36" i="1"/>
  <c r="V36" i="1" s="1"/>
  <c r="U90" i="1"/>
  <c r="V90" i="1" s="1"/>
  <c r="AC35" i="1"/>
  <c r="U20" i="1"/>
  <c r="V20" i="1" s="1"/>
  <c r="AB36" i="1"/>
  <c r="R36" i="1"/>
  <c r="P36" i="1" s="1"/>
  <c r="S36" i="1" s="1"/>
  <c r="M36" i="1" s="1"/>
  <c r="N36" i="1" s="1"/>
  <c r="AD54" i="1"/>
  <c r="AE54" i="1" s="1"/>
  <c r="AC54" i="1"/>
  <c r="W54" i="1"/>
  <c r="AA54" i="1" s="1"/>
  <c r="AD31" i="1"/>
  <c r="AE31" i="1" s="1"/>
  <c r="W31" i="1"/>
  <c r="AA31" i="1" s="1"/>
  <c r="R54" i="1"/>
  <c r="P54" i="1" s="1"/>
  <c r="S54" i="1" s="1"/>
  <c r="M54" i="1" s="1"/>
  <c r="N54" i="1" s="1"/>
  <c r="AB54" i="1"/>
  <c r="U52" i="1"/>
  <c r="V52" i="1" s="1"/>
  <c r="AD22" i="1"/>
  <c r="AE22" i="1" s="1"/>
  <c r="W22" i="1"/>
  <c r="AA22" i="1" s="1"/>
  <c r="AC22" i="1"/>
  <c r="R22" i="1"/>
  <c r="P22" i="1" s="1"/>
  <c r="S22" i="1" s="1"/>
  <c r="M22" i="1" s="1"/>
  <c r="N22" i="1" s="1"/>
  <c r="R31" i="1"/>
  <c r="P31" i="1" s="1"/>
  <c r="S31" i="1" s="1"/>
  <c r="M31" i="1" s="1"/>
  <c r="N31" i="1" s="1"/>
  <c r="U222" i="1"/>
  <c r="V222" i="1" s="1"/>
  <c r="AB206" i="1"/>
  <c r="U138" i="1"/>
  <c r="V138" i="1" s="1"/>
  <c r="U125" i="1"/>
  <c r="V125" i="1" s="1"/>
  <c r="W144" i="1"/>
  <c r="AA144" i="1" s="1"/>
  <c r="AD144" i="1"/>
  <c r="AC144" i="1"/>
  <c r="AB118" i="1"/>
  <c r="AD59" i="1"/>
  <c r="AC59" i="1"/>
  <c r="W59" i="1"/>
  <c r="AA59" i="1" s="1"/>
  <c r="AB57" i="1"/>
  <c r="AD194" i="1"/>
  <c r="AE194" i="1" s="1"/>
  <c r="W194" i="1"/>
  <c r="AA194" i="1" s="1"/>
  <c r="U150" i="1"/>
  <c r="V150" i="1" s="1"/>
  <c r="AB221" i="1"/>
  <c r="R221" i="1"/>
  <c r="P221" i="1" s="1"/>
  <c r="S221" i="1" s="1"/>
  <c r="M221" i="1" s="1"/>
  <c r="N221" i="1" s="1"/>
  <c r="R194" i="1"/>
  <c r="P194" i="1" s="1"/>
  <c r="S194" i="1" s="1"/>
  <c r="M194" i="1" s="1"/>
  <c r="N194" i="1" s="1"/>
  <c r="AB194" i="1"/>
  <c r="AB187" i="1"/>
  <c r="R187" i="1"/>
  <c r="P187" i="1" s="1"/>
  <c r="S187" i="1" s="1"/>
  <c r="M187" i="1" s="1"/>
  <c r="N187" i="1" s="1"/>
  <c r="AB198" i="1"/>
  <c r="AB211" i="1"/>
  <c r="U211" i="1"/>
  <c r="V211" i="1" s="1"/>
  <c r="AD190" i="1"/>
  <c r="AE190" i="1" s="1"/>
  <c r="W190" i="1"/>
  <c r="AA190" i="1" s="1"/>
  <c r="AD165" i="1"/>
  <c r="AE165" i="1" s="1"/>
  <c r="W165" i="1"/>
  <c r="AA165" i="1" s="1"/>
  <c r="AB191" i="1"/>
  <c r="R191" i="1"/>
  <c r="P191" i="1" s="1"/>
  <c r="S191" i="1" s="1"/>
  <c r="M191" i="1" s="1"/>
  <c r="N191" i="1" s="1"/>
  <c r="AB186" i="1"/>
  <c r="U186" i="1"/>
  <c r="V186" i="1" s="1"/>
  <c r="R186" i="1" s="1"/>
  <c r="P186" i="1" s="1"/>
  <c r="S186" i="1" s="1"/>
  <c r="M186" i="1" s="1"/>
  <c r="N186" i="1" s="1"/>
  <c r="U208" i="1"/>
  <c r="V208" i="1" s="1"/>
  <c r="R208" i="1" s="1"/>
  <c r="P208" i="1" s="1"/>
  <c r="S208" i="1" s="1"/>
  <c r="M208" i="1" s="1"/>
  <c r="N208" i="1" s="1"/>
  <c r="W157" i="1"/>
  <c r="AA157" i="1" s="1"/>
  <c r="AD157" i="1"/>
  <c r="AB144" i="1"/>
  <c r="R144" i="1"/>
  <c r="P144" i="1" s="1"/>
  <c r="S144" i="1" s="1"/>
  <c r="M144" i="1" s="1"/>
  <c r="N144" i="1" s="1"/>
  <c r="AB208" i="1"/>
  <c r="AC153" i="1"/>
  <c r="R159" i="1"/>
  <c r="P159" i="1" s="1"/>
  <c r="S159" i="1" s="1"/>
  <c r="M159" i="1" s="1"/>
  <c r="N159" i="1" s="1"/>
  <c r="AB159" i="1"/>
  <c r="AB142" i="1"/>
  <c r="R142" i="1"/>
  <c r="P142" i="1" s="1"/>
  <c r="S142" i="1" s="1"/>
  <c r="M142" i="1" s="1"/>
  <c r="N142" i="1" s="1"/>
  <c r="AC149" i="1"/>
  <c r="W152" i="1"/>
  <c r="AA152" i="1" s="1"/>
  <c r="AD152" i="1"/>
  <c r="AE152" i="1" s="1"/>
  <c r="R152" i="1"/>
  <c r="P152" i="1" s="1"/>
  <c r="S152" i="1" s="1"/>
  <c r="M152" i="1" s="1"/>
  <c r="N152" i="1" s="1"/>
  <c r="U117" i="1"/>
  <c r="V117" i="1" s="1"/>
  <c r="W141" i="1"/>
  <c r="AA141" i="1" s="1"/>
  <c r="AD141" i="1"/>
  <c r="AC141" i="1"/>
  <c r="AB125" i="1"/>
  <c r="R125" i="1"/>
  <c r="P125" i="1" s="1"/>
  <c r="S125" i="1" s="1"/>
  <c r="M125" i="1" s="1"/>
  <c r="N125" i="1" s="1"/>
  <c r="U145" i="1"/>
  <c r="V145" i="1" s="1"/>
  <c r="AB132" i="1"/>
  <c r="U110" i="1"/>
  <c r="V110" i="1" s="1"/>
  <c r="AB103" i="1"/>
  <c r="U69" i="1"/>
  <c r="V69" i="1" s="1"/>
  <c r="AB167" i="1"/>
  <c r="U119" i="1"/>
  <c r="V119" i="1" s="1"/>
  <c r="AE140" i="1"/>
  <c r="AB105" i="1"/>
  <c r="U57" i="1"/>
  <c r="V57" i="1" s="1"/>
  <c r="R57" i="1" s="1"/>
  <c r="P57" i="1" s="1"/>
  <c r="S57" i="1" s="1"/>
  <c r="M57" i="1" s="1"/>
  <c r="N57" i="1" s="1"/>
  <c r="AC100" i="1"/>
  <c r="U60" i="1"/>
  <c r="V60" i="1" s="1"/>
  <c r="AB110" i="1"/>
  <c r="R110" i="1"/>
  <c r="P110" i="1" s="1"/>
  <c r="S110" i="1" s="1"/>
  <c r="M110" i="1" s="1"/>
  <c r="N110" i="1" s="1"/>
  <c r="AD95" i="1"/>
  <c r="AC95" i="1"/>
  <c r="W95" i="1"/>
  <c r="AA95" i="1" s="1"/>
  <c r="AB88" i="1"/>
  <c r="U88" i="1"/>
  <c r="V88" i="1" s="1"/>
  <c r="AB129" i="1"/>
  <c r="U129" i="1"/>
  <c r="V129" i="1" s="1"/>
  <c r="U105" i="1"/>
  <c r="V105" i="1" s="1"/>
  <c r="AB77" i="1"/>
  <c r="R77" i="1"/>
  <c r="P77" i="1" s="1"/>
  <c r="S77" i="1" s="1"/>
  <c r="M77" i="1" s="1"/>
  <c r="N77" i="1" s="1"/>
  <c r="U79" i="1"/>
  <c r="V79" i="1" s="1"/>
  <c r="U33" i="1"/>
  <c r="V33" i="1" s="1"/>
  <c r="R82" i="1"/>
  <c r="P82" i="1" s="1"/>
  <c r="S82" i="1" s="1"/>
  <c r="M82" i="1" s="1"/>
  <c r="N82" i="1" s="1"/>
  <c r="AB19" i="1"/>
  <c r="R19" i="1"/>
  <c r="P19" i="1" s="1"/>
  <c r="S19" i="1" s="1"/>
  <c r="M19" i="1" s="1"/>
  <c r="N19" i="1" s="1"/>
  <c r="AD108" i="1"/>
  <c r="W108" i="1"/>
  <c r="AA108" i="1" s="1"/>
  <c r="W84" i="1"/>
  <c r="AA84" i="1" s="1"/>
  <c r="AD84" i="1"/>
  <c r="AC84" i="1"/>
  <c r="AB30" i="1"/>
  <c r="AB28" i="1"/>
  <c r="AB106" i="1"/>
  <c r="AB17" i="1"/>
  <c r="AC23" i="1"/>
  <c r="AE27" i="1"/>
  <c r="M26" i="1"/>
  <c r="N26" i="1" s="1"/>
  <c r="U221" i="1"/>
  <c r="V221" i="1" s="1"/>
  <c r="U158" i="1"/>
  <c r="V158" i="1" s="1"/>
  <c r="R151" i="1"/>
  <c r="P151" i="1" s="1"/>
  <c r="S151" i="1" s="1"/>
  <c r="M151" i="1" s="1"/>
  <c r="N151" i="1" s="1"/>
  <c r="AB151" i="1"/>
  <c r="U179" i="1"/>
  <c r="V179" i="1" s="1"/>
  <c r="AB173" i="1"/>
  <c r="U175" i="1"/>
  <c r="V175" i="1" s="1"/>
  <c r="AB193" i="1"/>
  <c r="R193" i="1"/>
  <c r="P193" i="1" s="1"/>
  <c r="S193" i="1" s="1"/>
  <c r="M193" i="1" s="1"/>
  <c r="N193" i="1" s="1"/>
  <c r="U99" i="1"/>
  <c r="V99" i="1" s="1"/>
  <c r="AB92" i="1"/>
  <c r="R92" i="1"/>
  <c r="P92" i="1" s="1"/>
  <c r="S92" i="1" s="1"/>
  <c r="M92" i="1" s="1"/>
  <c r="N92" i="1" s="1"/>
  <c r="U92" i="1"/>
  <c r="V92" i="1" s="1"/>
  <c r="AD50" i="1"/>
  <c r="AC50" i="1"/>
  <c r="W50" i="1"/>
  <c r="AA50" i="1" s="1"/>
  <c r="U109" i="1"/>
  <c r="V109" i="1" s="1"/>
  <c r="U213" i="1"/>
  <c r="V213" i="1" s="1"/>
  <c r="R213" i="1" s="1"/>
  <c r="P213" i="1" s="1"/>
  <c r="S213" i="1" s="1"/>
  <c r="M213" i="1" s="1"/>
  <c r="N213" i="1" s="1"/>
  <c r="U218" i="1"/>
  <c r="V218" i="1" s="1"/>
  <c r="W197" i="1"/>
  <c r="AA197" i="1" s="1"/>
  <c r="AD197" i="1"/>
  <c r="AC197" i="1"/>
  <c r="R164" i="1"/>
  <c r="P164" i="1" s="1"/>
  <c r="S164" i="1" s="1"/>
  <c r="M164" i="1" s="1"/>
  <c r="N164" i="1" s="1"/>
  <c r="AB164" i="1"/>
  <c r="R153" i="1"/>
  <c r="P153" i="1" s="1"/>
  <c r="S153" i="1" s="1"/>
  <c r="M153" i="1" s="1"/>
  <c r="N153" i="1" s="1"/>
  <c r="AB153" i="1"/>
  <c r="U224" i="1"/>
  <c r="V224" i="1" s="1"/>
  <c r="U216" i="1"/>
  <c r="V216" i="1" s="1"/>
  <c r="R212" i="1"/>
  <c r="P212" i="1" s="1"/>
  <c r="S212" i="1" s="1"/>
  <c r="M212" i="1" s="1"/>
  <c r="N212" i="1" s="1"/>
  <c r="AB212" i="1"/>
  <c r="AB209" i="1"/>
  <c r="R209" i="1"/>
  <c r="P209" i="1" s="1"/>
  <c r="S209" i="1" s="1"/>
  <c r="M209" i="1" s="1"/>
  <c r="N209" i="1" s="1"/>
  <c r="AB202" i="1"/>
  <c r="AB183" i="1"/>
  <c r="R183" i="1"/>
  <c r="P183" i="1" s="1"/>
  <c r="S183" i="1" s="1"/>
  <c r="M183" i="1" s="1"/>
  <c r="N183" i="1" s="1"/>
  <c r="R172" i="1"/>
  <c r="P172" i="1" s="1"/>
  <c r="S172" i="1" s="1"/>
  <c r="M172" i="1" s="1"/>
  <c r="N172" i="1" s="1"/>
  <c r="AB172" i="1"/>
  <c r="U172" i="1"/>
  <c r="V172" i="1" s="1"/>
  <c r="R166" i="1"/>
  <c r="P166" i="1" s="1"/>
  <c r="S166" i="1" s="1"/>
  <c r="M166" i="1" s="1"/>
  <c r="N166" i="1" s="1"/>
  <c r="AB166" i="1"/>
  <c r="R168" i="1"/>
  <c r="P168" i="1" s="1"/>
  <c r="S168" i="1" s="1"/>
  <c r="M168" i="1" s="1"/>
  <c r="N168" i="1" s="1"/>
  <c r="U143" i="1"/>
  <c r="V143" i="1" s="1"/>
  <c r="U189" i="1"/>
  <c r="V189" i="1" s="1"/>
  <c r="R147" i="1"/>
  <c r="P147" i="1" s="1"/>
  <c r="S147" i="1" s="1"/>
  <c r="M147" i="1" s="1"/>
  <c r="N147" i="1" s="1"/>
  <c r="AB147" i="1"/>
  <c r="R176" i="1"/>
  <c r="P176" i="1" s="1"/>
  <c r="S176" i="1" s="1"/>
  <c r="M176" i="1" s="1"/>
  <c r="N176" i="1" s="1"/>
  <c r="AB176" i="1"/>
  <c r="AB150" i="1"/>
  <c r="R150" i="1"/>
  <c r="P150" i="1" s="1"/>
  <c r="S150" i="1" s="1"/>
  <c r="M150" i="1" s="1"/>
  <c r="N150" i="1" s="1"/>
  <c r="AC164" i="1"/>
  <c r="AB134" i="1"/>
  <c r="R134" i="1"/>
  <c r="P134" i="1" s="1"/>
  <c r="S134" i="1" s="1"/>
  <c r="M134" i="1" s="1"/>
  <c r="N134" i="1" s="1"/>
  <c r="U173" i="1"/>
  <c r="V173" i="1" s="1"/>
  <c r="W131" i="1"/>
  <c r="AA131" i="1" s="1"/>
  <c r="AD131" i="1"/>
  <c r="AE131" i="1" s="1"/>
  <c r="AB121" i="1"/>
  <c r="AB136" i="1"/>
  <c r="R136" i="1"/>
  <c r="P136" i="1" s="1"/>
  <c r="S136" i="1" s="1"/>
  <c r="M136" i="1" s="1"/>
  <c r="N136" i="1" s="1"/>
  <c r="U123" i="1"/>
  <c r="V123" i="1" s="1"/>
  <c r="U102" i="1"/>
  <c r="V102" i="1" s="1"/>
  <c r="U65" i="1"/>
  <c r="V65" i="1" s="1"/>
  <c r="U115" i="1"/>
  <c r="V115" i="1" s="1"/>
  <c r="AB89" i="1"/>
  <c r="AB94" i="1"/>
  <c r="R94" i="1"/>
  <c r="P94" i="1" s="1"/>
  <c r="S94" i="1" s="1"/>
  <c r="M94" i="1" s="1"/>
  <c r="N94" i="1" s="1"/>
  <c r="AB72" i="1"/>
  <c r="R72" i="1"/>
  <c r="P72" i="1" s="1"/>
  <c r="S72" i="1" s="1"/>
  <c r="M72" i="1" s="1"/>
  <c r="N72" i="1" s="1"/>
  <c r="U124" i="1"/>
  <c r="V124" i="1" s="1"/>
  <c r="U106" i="1"/>
  <c r="V106" i="1" s="1"/>
  <c r="R106" i="1" s="1"/>
  <c r="P106" i="1" s="1"/>
  <c r="S106" i="1" s="1"/>
  <c r="M106" i="1" s="1"/>
  <c r="N106" i="1" s="1"/>
  <c r="AB80" i="1"/>
  <c r="R80" i="1"/>
  <c r="P80" i="1" s="1"/>
  <c r="S80" i="1" s="1"/>
  <c r="M80" i="1" s="1"/>
  <c r="N80" i="1" s="1"/>
  <c r="AB68" i="1"/>
  <c r="R68" i="1"/>
  <c r="P68" i="1" s="1"/>
  <c r="S68" i="1" s="1"/>
  <c r="M68" i="1" s="1"/>
  <c r="N68" i="1" s="1"/>
  <c r="U68" i="1"/>
  <c r="V68" i="1" s="1"/>
  <c r="AB122" i="1"/>
  <c r="R122" i="1"/>
  <c r="P122" i="1" s="1"/>
  <c r="S122" i="1" s="1"/>
  <c r="M122" i="1" s="1"/>
  <c r="N122" i="1" s="1"/>
  <c r="AE116" i="1"/>
  <c r="U94" i="1"/>
  <c r="V94" i="1" s="1"/>
  <c r="AC78" i="1"/>
  <c r="U71" i="1"/>
  <c r="V71" i="1" s="1"/>
  <c r="U48" i="1"/>
  <c r="V48" i="1" s="1"/>
  <c r="U32" i="1"/>
  <c r="V32" i="1" s="1"/>
  <c r="AB52" i="1"/>
  <c r="U45" i="1"/>
  <c r="V45" i="1" s="1"/>
  <c r="U29" i="1"/>
  <c r="V29" i="1" s="1"/>
  <c r="AD21" i="1"/>
  <c r="AC21" i="1"/>
  <c r="W21" i="1"/>
  <c r="AA21" i="1" s="1"/>
  <c r="AB44" i="1"/>
  <c r="AB97" i="1"/>
  <c r="R50" i="1"/>
  <c r="P50" i="1" s="1"/>
  <c r="S50" i="1" s="1"/>
  <c r="M50" i="1" s="1"/>
  <c r="N50" i="1" s="1"/>
  <c r="AB50" i="1"/>
  <c r="AB76" i="1"/>
  <c r="R76" i="1"/>
  <c r="P76" i="1" s="1"/>
  <c r="S76" i="1" s="1"/>
  <c r="M76" i="1" s="1"/>
  <c r="N76" i="1" s="1"/>
  <c r="U76" i="1"/>
  <c r="V76" i="1" s="1"/>
  <c r="AB69" i="1"/>
  <c r="AB29" i="1"/>
  <c r="R29" i="1"/>
  <c r="P29" i="1" s="1"/>
  <c r="S29" i="1" s="1"/>
  <c r="M29" i="1" s="1"/>
  <c r="N29" i="1" s="1"/>
  <c r="AB84" i="1"/>
  <c r="R84" i="1"/>
  <c r="P84" i="1" s="1"/>
  <c r="S84" i="1" s="1"/>
  <c r="M84" i="1" s="1"/>
  <c r="N84" i="1" s="1"/>
  <c r="R21" i="1"/>
  <c r="P21" i="1" s="1"/>
  <c r="S21" i="1" s="1"/>
  <c r="M21" i="1" s="1"/>
  <c r="N21" i="1" s="1"/>
  <c r="U223" i="1"/>
  <c r="V223" i="1" s="1"/>
  <c r="U217" i="1"/>
  <c r="V217" i="1" s="1"/>
  <c r="U154" i="1"/>
  <c r="V154" i="1" s="1"/>
  <c r="W180" i="1"/>
  <c r="AA180" i="1" s="1"/>
  <c r="AD180" i="1"/>
  <c r="AE180" i="1" s="1"/>
  <c r="AC180" i="1"/>
  <c r="W80" i="1"/>
  <c r="AA80" i="1" s="1"/>
  <c r="AC80" i="1"/>
  <c r="AD80" i="1"/>
  <c r="AE80" i="1" s="1"/>
  <c r="U18" i="1"/>
  <c r="V18" i="1" s="1"/>
  <c r="AB210" i="1"/>
  <c r="R210" i="1"/>
  <c r="P210" i="1" s="1"/>
  <c r="S210" i="1" s="1"/>
  <c r="M210" i="1" s="1"/>
  <c r="N210" i="1" s="1"/>
  <c r="AB204" i="1"/>
  <c r="U212" i="1"/>
  <c r="V212" i="1" s="1"/>
  <c r="U214" i="1"/>
  <c r="V214" i="1" s="1"/>
  <c r="AC194" i="1"/>
  <c r="R196" i="1"/>
  <c r="P196" i="1" s="1"/>
  <c r="S196" i="1" s="1"/>
  <c r="M196" i="1" s="1"/>
  <c r="N196" i="1" s="1"/>
  <c r="AB196" i="1"/>
  <c r="U174" i="1"/>
  <c r="V174" i="1" s="1"/>
  <c r="U177" i="1"/>
  <c r="V177" i="1" s="1"/>
  <c r="R169" i="1"/>
  <c r="P169" i="1" s="1"/>
  <c r="S169" i="1" s="1"/>
  <c r="M169" i="1" s="1"/>
  <c r="N169" i="1" s="1"/>
  <c r="AB169" i="1"/>
  <c r="U162" i="1"/>
  <c r="V162" i="1" s="1"/>
  <c r="U202" i="1"/>
  <c r="V202" i="1" s="1"/>
  <c r="R202" i="1" s="1"/>
  <c r="P202" i="1" s="1"/>
  <c r="S202" i="1" s="1"/>
  <c r="M202" i="1" s="1"/>
  <c r="N202" i="1" s="1"/>
  <c r="W166" i="1"/>
  <c r="AA166" i="1" s="1"/>
  <c r="AD166" i="1"/>
  <c r="AE166" i="1" s="1"/>
  <c r="U160" i="1"/>
  <c r="V160" i="1" s="1"/>
  <c r="U198" i="1"/>
  <c r="V198" i="1" s="1"/>
  <c r="AC168" i="1"/>
  <c r="U136" i="1"/>
  <c r="V136" i="1" s="1"/>
  <c r="AD159" i="1"/>
  <c r="AC159" i="1"/>
  <c r="W159" i="1"/>
  <c r="AA159" i="1" s="1"/>
  <c r="U170" i="1"/>
  <c r="V170" i="1" s="1"/>
  <c r="U181" i="1"/>
  <c r="V181" i="1" s="1"/>
  <c r="R161" i="1"/>
  <c r="P161" i="1" s="1"/>
  <c r="S161" i="1" s="1"/>
  <c r="M161" i="1" s="1"/>
  <c r="N161" i="1" s="1"/>
  <c r="AB161" i="1"/>
  <c r="AC166" i="1"/>
  <c r="AB117" i="1"/>
  <c r="R117" i="1"/>
  <c r="P117" i="1" s="1"/>
  <c r="S117" i="1" s="1"/>
  <c r="M117" i="1" s="1"/>
  <c r="N117" i="1" s="1"/>
  <c r="W156" i="1"/>
  <c r="AA156" i="1" s="1"/>
  <c r="AD156" i="1"/>
  <c r="AE156" i="1" s="1"/>
  <c r="AB130" i="1"/>
  <c r="R130" i="1"/>
  <c r="P130" i="1" s="1"/>
  <c r="S130" i="1" s="1"/>
  <c r="M130" i="1" s="1"/>
  <c r="N130" i="1" s="1"/>
  <c r="U93" i="1"/>
  <c r="V93" i="1" s="1"/>
  <c r="R156" i="1"/>
  <c r="P156" i="1" s="1"/>
  <c r="S156" i="1" s="1"/>
  <c r="M156" i="1" s="1"/>
  <c r="N156" i="1" s="1"/>
  <c r="AB102" i="1"/>
  <c r="R102" i="1"/>
  <c r="P102" i="1" s="1"/>
  <c r="S102" i="1" s="1"/>
  <c r="M102" i="1" s="1"/>
  <c r="N102" i="1" s="1"/>
  <c r="U113" i="1"/>
  <c r="V113" i="1" s="1"/>
  <c r="R113" i="1" s="1"/>
  <c r="P113" i="1" s="1"/>
  <c r="S113" i="1" s="1"/>
  <c r="M113" i="1" s="1"/>
  <c r="N113" i="1" s="1"/>
  <c r="R75" i="1"/>
  <c r="P75" i="1" s="1"/>
  <c r="S75" i="1" s="1"/>
  <c r="M75" i="1" s="1"/>
  <c r="N75" i="1" s="1"/>
  <c r="AB75" i="1"/>
  <c r="AB55" i="1"/>
  <c r="R55" i="1"/>
  <c r="P55" i="1" s="1"/>
  <c r="S55" i="1" s="1"/>
  <c r="M55" i="1" s="1"/>
  <c r="N55" i="1" s="1"/>
  <c r="AB115" i="1"/>
  <c r="R91" i="1"/>
  <c r="P91" i="1" s="1"/>
  <c r="S91" i="1" s="1"/>
  <c r="M91" i="1" s="1"/>
  <c r="N91" i="1" s="1"/>
  <c r="AB91" i="1"/>
  <c r="AC39" i="1"/>
  <c r="U101" i="1"/>
  <c r="V101" i="1" s="1"/>
  <c r="R66" i="1"/>
  <c r="P66" i="1" s="1"/>
  <c r="S66" i="1" s="1"/>
  <c r="M66" i="1" s="1"/>
  <c r="N66" i="1" s="1"/>
  <c r="AC108" i="1"/>
  <c r="U63" i="1"/>
  <c r="V63" i="1" s="1"/>
  <c r="U25" i="1"/>
  <c r="V25" i="1" s="1"/>
  <c r="R25" i="1" s="1"/>
  <c r="P25" i="1" s="1"/>
  <c r="S25" i="1" s="1"/>
  <c r="M25" i="1" s="1"/>
  <c r="N25" i="1" s="1"/>
  <c r="U210" i="1"/>
  <c r="V210" i="1" s="1"/>
  <c r="W193" i="1"/>
  <c r="AA193" i="1" s="1"/>
  <c r="AD193" i="1"/>
  <c r="AC193" i="1"/>
  <c r="W203" i="1"/>
  <c r="AA203" i="1" s="1"/>
  <c r="AD203" i="1"/>
  <c r="AE203" i="1" s="1"/>
  <c r="AB195" i="1"/>
  <c r="R195" i="1"/>
  <c r="P195" i="1" s="1"/>
  <c r="S195" i="1" s="1"/>
  <c r="M195" i="1" s="1"/>
  <c r="N195" i="1" s="1"/>
  <c r="W187" i="1"/>
  <c r="AA187" i="1" s="1"/>
  <c r="AD187" i="1"/>
  <c r="U183" i="1"/>
  <c r="V183" i="1" s="1"/>
  <c r="U81" i="1"/>
  <c r="V81" i="1" s="1"/>
  <c r="U97" i="1"/>
  <c r="V97" i="1" s="1"/>
  <c r="R97" i="1" s="1"/>
  <c r="P97" i="1" s="1"/>
  <c r="S97" i="1" s="1"/>
  <c r="M97" i="1" s="1"/>
  <c r="N97" i="1" s="1"/>
  <c r="U118" i="1"/>
  <c r="V118" i="1" s="1"/>
  <c r="W67" i="1"/>
  <c r="AA67" i="1" s="1"/>
  <c r="AC67" i="1"/>
  <c r="AD67" i="1"/>
  <c r="U42" i="1"/>
  <c r="V42" i="1" s="1"/>
  <c r="R42" i="1" s="1"/>
  <c r="P42" i="1" s="1"/>
  <c r="S42" i="1" s="1"/>
  <c r="M42" i="1" s="1"/>
  <c r="N42" i="1" s="1"/>
  <c r="AB42" i="1"/>
  <c r="AB137" i="1"/>
  <c r="R137" i="1"/>
  <c r="P137" i="1" s="1"/>
  <c r="S137" i="1" s="1"/>
  <c r="M137" i="1" s="1"/>
  <c r="N137" i="1" s="1"/>
  <c r="U225" i="1"/>
  <c r="V225" i="1" s="1"/>
  <c r="AB201" i="1"/>
  <c r="U201" i="1"/>
  <c r="V201" i="1" s="1"/>
  <c r="R201" i="1" s="1"/>
  <c r="P201" i="1" s="1"/>
  <c r="S201" i="1" s="1"/>
  <c r="M201" i="1" s="1"/>
  <c r="N201" i="1" s="1"/>
  <c r="R215" i="1"/>
  <c r="P215" i="1" s="1"/>
  <c r="S215" i="1" s="1"/>
  <c r="M215" i="1" s="1"/>
  <c r="N215" i="1" s="1"/>
  <c r="U215" i="1"/>
  <c r="V215" i="1" s="1"/>
  <c r="AB215" i="1"/>
  <c r="U204" i="1"/>
  <c r="V204" i="1" s="1"/>
  <c r="AB219" i="1"/>
  <c r="U219" i="1"/>
  <c r="V219" i="1" s="1"/>
  <c r="AB205" i="1"/>
  <c r="U205" i="1"/>
  <c r="V205" i="1" s="1"/>
  <c r="AB225" i="1"/>
  <c r="R225" i="1"/>
  <c r="P225" i="1" s="1"/>
  <c r="S225" i="1" s="1"/>
  <c r="M225" i="1" s="1"/>
  <c r="N225" i="1" s="1"/>
  <c r="U167" i="1"/>
  <c r="V167" i="1" s="1"/>
  <c r="AB163" i="1"/>
  <c r="R163" i="1"/>
  <c r="P163" i="1" s="1"/>
  <c r="S163" i="1" s="1"/>
  <c r="M163" i="1" s="1"/>
  <c r="N163" i="1" s="1"/>
  <c r="R199" i="1"/>
  <c r="P199" i="1" s="1"/>
  <c r="S199" i="1" s="1"/>
  <c r="M199" i="1" s="1"/>
  <c r="N199" i="1" s="1"/>
  <c r="AB199" i="1"/>
  <c r="R190" i="1"/>
  <c r="P190" i="1" s="1"/>
  <c r="S190" i="1" s="1"/>
  <c r="M190" i="1" s="1"/>
  <c r="N190" i="1" s="1"/>
  <c r="AB190" i="1"/>
  <c r="AB178" i="1"/>
  <c r="U178" i="1"/>
  <c r="V178" i="1" s="1"/>
  <c r="W200" i="1"/>
  <c r="AA200" i="1" s="1"/>
  <c r="AD200" i="1"/>
  <c r="AE200" i="1" s="1"/>
  <c r="R165" i="1"/>
  <c r="P165" i="1" s="1"/>
  <c r="S165" i="1" s="1"/>
  <c r="M165" i="1" s="1"/>
  <c r="N165" i="1" s="1"/>
  <c r="AD155" i="1"/>
  <c r="AC155" i="1"/>
  <c r="W155" i="1"/>
  <c r="AA155" i="1" s="1"/>
  <c r="U132" i="1"/>
  <c r="V132" i="1" s="1"/>
  <c r="AB179" i="1"/>
  <c r="R155" i="1"/>
  <c r="P155" i="1" s="1"/>
  <c r="S155" i="1" s="1"/>
  <c r="M155" i="1" s="1"/>
  <c r="N155" i="1" s="1"/>
  <c r="AB155" i="1"/>
  <c r="R157" i="1"/>
  <c r="P157" i="1" s="1"/>
  <c r="S157" i="1" s="1"/>
  <c r="M157" i="1" s="1"/>
  <c r="N157" i="1" s="1"/>
  <c r="AB157" i="1"/>
  <c r="R181" i="1"/>
  <c r="P181" i="1" s="1"/>
  <c r="S181" i="1" s="1"/>
  <c r="M181" i="1" s="1"/>
  <c r="N181" i="1" s="1"/>
  <c r="AB181" i="1"/>
  <c r="U128" i="1"/>
  <c r="V128" i="1" s="1"/>
  <c r="W135" i="1"/>
  <c r="AA135" i="1" s="1"/>
  <c r="AD135" i="1"/>
  <c r="AE135" i="1" s="1"/>
  <c r="AB113" i="1"/>
  <c r="U146" i="1"/>
  <c r="V146" i="1" s="1"/>
  <c r="AB114" i="1"/>
  <c r="U89" i="1"/>
  <c r="V89" i="1" s="1"/>
  <c r="AB126" i="1"/>
  <c r="R126" i="1"/>
  <c r="P126" i="1" s="1"/>
  <c r="S126" i="1" s="1"/>
  <c r="M126" i="1" s="1"/>
  <c r="N126" i="1" s="1"/>
  <c r="U114" i="1"/>
  <c r="V114" i="1" s="1"/>
  <c r="M107" i="1"/>
  <c r="N107" i="1" s="1"/>
  <c r="AB74" i="1"/>
  <c r="R74" i="1"/>
  <c r="P74" i="1" s="1"/>
  <c r="S74" i="1" s="1"/>
  <c r="M74" i="1" s="1"/>
  <c r="N74" i="1" s="1"/>
  <c r="W139" i="1"/>
  <c r="AA139" i="1" s="1"/>
  <c r="AD139" i="1"/>
  <c r="AE139" i="1" s="1"/>
  <c r="W104" i="1"/>
  <c r="AA104" i="1" s="1"/>
  <c r="AD104" i="1"/>
  <c r="AE104" i="1" s="1"/>
  <c r="AB51" i="1"/>
  <c r="R51" i="1"/>
  <c r="P51" i="1" s="1"/>
  <c r="S51" i="1" s="1"/>
  <c r="M51" i="1" s="1"/>
  <c r="N51" i="1" s="1"/>
  <c r="U91" i="1"/>
  <c r="V91" i="1" s="1"/>
  <c r="AB56" i="1"/>
  <c r="U62" i="1"/>
  <c r="V62" i="1" s="1"/>
  <c r="U44" i="1"/>
  <c r="V44" i="1" s="1"/>
  <c r="R44" i="1" s="1"/>
  <c r="P44" i="1" s="1"/>
  <c r="S44" i="1" s="1"/>
  <c r="M44" i="1" s="1"/>
  <c r="N44" i="1" s="1"/>
  <c r="AB24" i="1"/>
  <c r="R24" i="1"/>
  <c r="P24" i="1" s="1"/>
  <c r="S24" i="1" s="1"/>
  <c r="M24" i="1" s="1"/>
  <c r="N24" i="1" s="1"/>
  <c r="AB81" i="1"/>
  <c r="R81" i="1"/>
  <c r="P81" i="1" s="1"/>
  <c r="S81" i="1" s="1"/>
  <c r="M81" i="1" s="1"/>
  <c r="N81" i="1" s="1"/>
  <c r="U37" i="1"/>
  <c r="V37" i="1" s="1"/>
  <c r="AB93" i="1"/>
  <c r="R93" i="1"/>
  <c r="P93" i="1" s="1"/>
  <c r="S93" i="1" s="1"/>
  <c r="M93" i="1" s="1"/>
  <c r="N93" i="1" s="1"/>
  <c r="R34" i="1"/>
  <c r="P34" i="1" s="1"/>
  <c r="S34" i="1" s="1"/>
  <c r="M34" i="1" s="1"/>
  <c r="N34" i="1" s="1"/>
  <c r="U34" i="1"/>
  <c r="V34" i="1" s="1"/>
  <c r="AB34" i="1"/>
  <c r="U28" i="1"/>
  <c r="V28" i="1" s="1"/>
  <c r="R98" i="1"/>
  <c r="P98" i="1" s="1"/>
  <c r="S98" i="1" s="1"/>
  <c r="M98" i="1" s="1"/>
  <c r="N98" i="1" s="1"/>
  <c r="AB98" i="1"/>
  <c r="AB32" i="1"/>
  <c r="R100" i="1"/>
  <c r="P100" i="1" s="1"/>
  <c r="S100" i="1" s="1"/>
  <c r="M100" i="1" s="1"/>
  <c r="N100" i="1" s="1"/>
  <c r="U56" i="1"/>
  <c r="V56" i="1" s="1"/>
  <c r="U30" i="1"/>
  <c r="V30" i="1" s="1"/>
  <c r="R30" i="1" s="1"/>
  <c r="P30" i="1" s="1"/>
  <c r="S30" i="1" s="1"/>
  <c r="M30" i="1" s="1"/>
  <c r="N30" i="1" s="1"/>
  <c r="AB25" i="1"/>
  <c r="W176" i="1"/>
  <c r="AA176" i="1" s="1"/>
  <c r="AD176" i="1"/>
  <c r="AE176" i="1" s="1"/>
  <c r="AD133" i="1"/>
  <c r="AE133" i="1" s="1"/>
  <c r="AC133" i="1"/>
  <c r="W133" i="1"/>
  <c r="AA133" i="1" s="1"/>
  <c r="U122" i="1"/>
  <c r="V122" i="1" s="1"/>
  <c r="U85" i="1"/>
  <c r="V85" i="1" s="1"/>
  <c r="W82" i="1"/>
  <c r="AA82" i="1" s="1"/>
  <c r="AD82" i="1"/>
  <c r="AE82" i="1" s="1"/>
  <c r="W72" i="1"/>
  <c r="AA72" i="1" s="1"/>
  <c r="AD72" i="1"/>
  <c r="AC72" i="1"/>
  <c r="W86" i="1"/>
  <c r="AA86" i="1" s="1"/>
  <c r="AD86" i="1"/>
  <c r="AE86" i="1" s="1"/>
  <c r="R86" i="1"/>
  <c r="P86" i="1" s="1"/>
  <c r="S86" i="1" s="1"/>
  <c r="M86" i="1" s="1"/>
  <c r="N86" i="1" s="1"/>
  <c r="AB47" i="1"/>
  <c r="R47" i="1"/>
  <c r="P47" i="1" s="1"/>
  <c r="S47" i="1" s="1"/>
  <c r="M47" i="1" s="1"/>
  <c r="N47" i="1" s="1"/>
  <c r="AB101" i="1"/>
  <c r="R101" i="1"/>
  <c r="P101" i="1" s="1"/>
  <c r="S101" i="1" s="1"/>
  <c r="M101" i="1" s="1"/>
  <c r="N101" i="1" s="1"/>
  <c r="U53" i="1"/>
  <c r="V53" i="1" s="1"/>
  <c r="AD98" i="1"/>
  <c r="AC98" i="1"/>
  <c r="W98" i="1"/>
  <c r="AA98" i="1" s="1"/>
  <c r="R67" i="1"/>
  <c r="P67" i="1" s="1"/>
  <c r="S67" i="1" s="1"/>
  <c r="M67" i="1" s="1"/>
  <c r="N67" i="1" s="1"/>
  <c r="AB67" i="1"/>
  <c r="R83" i="1"/>
  <c r="P83" i="1" s="1"/>
  <c r="S83" i="1" s="1"/>
  <c r="M83" i="1" s="1"/>
  <c r="N83" i="1" s="1"/>
  <c r="AB83" i="1"/>
  <c r="U58" i="1"/>
  <c r="V58" i="1" s="1"/>
  <c r="U70" i="1"/>
  <c r="V70" i="1" s="1"/>
  <c r="U49" i="1"/>
  <c r="V49" i="1" s="1"/>
  <c r="U87" i="1"/>
  <c r="V87" i="1" s="1"/>
  <c r="R87" i="1" s="1"/>
  <c r="P87" i="1" s="1"/>
  <c r="S87" i="1" s="1"/>
  <c r="M87" i="1" s="1"/>
  <c r="N87" i="1" s="1"/>
  <c r="U38" i="1"/>
  <c r="V38" i="1" s="1"/>
  <c r="AB38" i="1"/>
  <c r="AB40" i="1"/>
  <c r="U96" i="1"/>
  <c r="V96" i="1" s="1"/>
  <c r="U43" i="1"/>
  <c r="V43" i="1" s="1"/>
  <c r="AD107" i="1"/>
  <c r="W107" i="1"/>
  <c r="AA107" i="1" s="1"/>
  <c r="AC107" i="1"/>
  <c r="AB73" i="1"/>
  <c r="R73" i="1"/>
  <c r="P73" i="1" s="1"/>
  <c r="S73" i="1" s="1"/>
  <c r="M73" i="1" s="1"/>
  <c r="N73" i="1" s="1"/>
  <c r="U75" i="1"/>
  <c r="V75" i="1" s="1"/>
  <c r="U17" i="1"/>
  <c r="V17" i="1" s="1"/>
  <c r="R17" i="1" s="1"/>
  <c r="P17" i="1" s="1"/>
  <c r="S17" i="1" s="1"/>
  <c r="M17" i="1" s="1"/>
  <c r="N17" i="1" s="1"/>
  <c r="W219" i="1" l="1"/>
  <c r="AA219" i="1" s="1"/>
  <c r="AD219" i="1"/>
  <c r="AC219" i="1"/>
  <c r="AD145" i="1"/>
  <c r="W145" i="1"/>
  <c r="AA145" i="1" s="1"/>
  <c r="AC145" i="1"/>
  <c r="W41" i="1"/>
  <c r="AA41" i="1" s="1"/>
  <c r="AD41" i="1"/>
  <c r="AE41" i="1" s="1"/>
  <c r="AC41" i="1"/>
  <c r="R41" i="1"/>
  <c r="P41" i="1" s="1"/>
  <c r="S41" i="1" s="1"/>
  <c r="M41" i="1" s="1"/>
  <c r="N41" i="1" s="1"/>
  <c r="AD115" i="1"/>
  <c r="AE115" i="1" s="1"/>
  <c r="W115" i="1"/>
  <c r="AA115" i="1" s="1"/>
  <c r="AC115" i="1"/>
  <c r="AD179" i="1"/>
  <c r="W179" i="1"/>
  <c r="AA179" i="1" s="1"/>
  <c r="AC179" i="1"/>
  <c r="AD69" i="1"/>
  <c r="W69" i="1"/>
  <c r="AA69" i="1" s="1"/>
  <c r="AC69" i="1"/>
  <c r="AE98" i="1"/>
  <c r="AD85" i="1"/>
  <c r="W85" i="1"/>
  <c r="AA85" i="1" s="1"/>
  <c r="AC85" i="1"/>
  <c r="W37" i="1"/>
  <c r="AA37" i="1" s="1"/>
  <c r="AD37" i="1"/>
  <c r="AC37" i="1"/>
  <c r="R37" i="1"/>
  <c r="P37" i="1" s="1"/>
  <c r="S37" i="1" s="1"/>
  <c r="M37" i="1" s="1"/>
  <c r="N37" i="1" s="1"/>
  <c r="W62" i="1"/>
  <c r="AA62" i="1" s="1"/>
  <c r="AD62" i="1"/>
  <c r="R62" i="1"/>
  <c r="P62" i="1" s="1"/>
  <c r="S62" i="1" s="1"/>
  <c r="M62" i="1" s="1"/>
  <c r="N62" i="1" s="1"/>
  <c r="AC62" i="1"/>
  <c r="AC167" i="1"/>
  <c r="W167" i="1"/>
  <c r="AA167" i="1" s="1"/>
  <c r="AD167" i="1"/>
  <c r="R219" i="1"/>
  <c r="P219" i="1" s="1"/>
  <c r="S219" i="1" s="1"/>
  <c r="M219" i="1" s="1"/>
  <c r="N219" i="1" s="1"/>
  <c r="AE67" i="1"/>
  <c r="AD81" i="1"/>
  <c r="W81" i="1"/>
  <c r="AA81" i="1" s="1"/>
  <c r="AC81" i="1"/>
  <c r="W63" i="1"/>
  <c r="AA63" i="1" s="1"/>
  <c r="AD63" i="1"/>
  <c r="AC63" i="1"/>
  <c r="R115" i="1"/>
  <c r="P115" i="1" s="1"/>
  <c r="S115" i="1" s="1"/>
  <c r="M115" i="1" s="1"/>
  <c r="N115" i="1" s="1"/>
  <c r="W170" i="1"/>
  <c r="AA170" i="1" s="1"/>
  <c r="AD170" i="1"/>
  <c r="AC170" i="1"/>
  <c r="AD198" i="1"/>
  <c r="AE198" i="1" s="1"/>
  <c r="W198" i="1"/>
  <c r="AA198" i="1" s="1"/>
  <c r="AC198" i="1"/>
  <c r="W18" i="1"/>
  <c r="AA18" i="1" s="1"/>
  <c r="AD18" i="1"/>
  <c r="AE18" i="1" s="1"/>
  <c r="AC18" i="1"/>
  <c r="R18" i="1"/>
  <c r="P18" i="1" s="1"/>
  <c r="S18" i="1" s="1"/>
  <c r="M18" i="1" s="1"/>
  <c r="N18" i="1" s="1"/>
  <c r="W154" i="1"/>
  <c r="AA154" i="1" s="1"/>
  <c r="R154" i="1"/>
  <c r="P154" i="1" s="1"/>
  <c r="S154" i="1" s="1"/>
  <c r="M154" i="1" s="1"/>
  <c r="N154" i="1" s="1"/>
  <c r="AD154" i="1"/>
  <c r="AE154" i="1" s="1"/>
  <c r="AC154" i="1"/>
  <c r="W29" i="1"/>
  <c r="AA29" i="1" s="1"/>
  <c r="AD29" i="1"/>
  <c r="AE29" i="1" s="1"/>
  <c r="AC29" i="1"/>
  <c r="W48" i="1"/>
  <c r="AA48" i="1" s="1"/>
  <c r="AD48" i="1"/>
  <c r="AC48" i="1"/>
  <c r="W68" i="1"/>
  <c r="AA68" i="1" s="1"/>
  <c r="AD68" i="1"/>
  <c r="AC68" i="1"/>
  <c r="AD143" i="1"/>
  <c r="AE143" i="1" s="1"/>
  <c r="W143" i="1"/>
  <c r="AA143" i="1" s="1"/>
  <c r="AC143" i="1"/>
  <c r="AC216" i="1"/>
  <c r="AD216" i="1"/>
  <c r="AE216" i="1" s="1"/>
  <c r="W216" i="1"/>
  <c r="AA216" i="1" s="1"/>
  <c r="R216" i="1"/>
  <c r="P216" i="1" s="1"/>
  <c r="S216" i="1" s="1"/>
  <c r="M216" i="1" s="1"/>
  <c r="N216" i="1" s="1"/>
  <c r="AE197" i="1"/>
  <c r="AD129" i="1"/>
  <c r="AE129" i="1" s="1"/>
  <c r="AC129" i="1"/>
  <c r="W129" i="1"/>
  <c r="AA129" i="1" s="1"/>
  <c r="AE95" i="1"/>
  <c r="W211" i="1"/>
  <c r="AA211" i="1" s="1"/>
  <c r="AD211" i="1"/>
  <c r="AE211" i="1" s="1"/>
  <c r="AC211" i="1"/>
  <c r="AD222" i="1"/>
  <c r="AE222" i="1" s="1"/>
  <c r="W222" i="1"/>
  <c r="AA222" i="1" s="1"/>
  <c r="R222" i="1"/>
  <c r="P222" i="1" s="1"/>
  <c r="S222" i="1" s="1"/>
  <c r="M222" i="1" s="1"/>
  <c r="N222" i="1" s="1"/>
  <c r="AC222" i="1"/>
  <c r="AD73" i="1"/>
  <c r="W73" i="1"/>
  <c r="AA73" i="1" s="1"/>
  <c r="AC73" i="1"/>
  <c r="AE83" i="1"/>
  <c r="AD46" i="1"/>
  <c r="AE46" i="1" s="1"/>
  <c r="W46" i="1"/>
  <c r="AA46" i="1" s="1"/>
  <c r="AC46" i="1"/>
  <c r="AE100" i="1"/>
  <c r="W142" i="1"/>
  <c r="AA142" i="1" s="1"/>
  <c r="AD142" i="1"/>
  <c r="AC142" i="1"/>
  <c r="R85" i="1"/>
  <c r="P85" i="1" s="1"/>
  <c r="S85" i="1" s="1"/>
  <c r="M85" i="1" s="1"/>
  <c r="N85" i="1" s="1"/>
  <c r="AD184" i="1"/>
  <c r="AE184" i="1" s="1"/>
  <c r="W184" i="1"/>
  <c r="AA184" i="1" s="1"/>
  <c r="AC184" i="1"/>
  <c r="AE164" i="1"/>
  <c r="AE199" i="1"/>
  <c r="AE195" i="1"/>
  <c r="W146" i="1"/>
  <c r="AA146" i="1" s="1"/>
  <c r="AD146" i="1"/>
  <c r="AE146" i="1" s="1"/>
  <c r="AC146" i="1"/>
  <c r="R146" i="1"/>
  <c r="P146" i="1" s="1"/>
  <c r="S146" i="1" s="1"/>
  <c r="M146" i="1" s="1"/>
  <c r="N146" i="1" s="1"/>
  <c r="AD57" i="1"/>
  <c r="W57" i="1"/>
  <c r="AA57" i="1" s="1"/>
  <c r="AC57" i="1"/>
  <c r="W52" i="1"/>
  <c r="AA52" i="1" s="1"/>
  <c r="AD52" i="1"/>
  <c r="AE52" i="1" s="1"/>
  <c r="AC52" i="1"/>
  <c r="AD206" i="1"/>
  <c r="AE206" i="1" s="1"/>
  <c r="W206" i="1"/>
  <c r="AA206" i="1" s="1"/>
  <c r="AC206" i="1"/>
  <c r="W53" i="1"/>
  <c r="AA53" i="1" s="1"/>
  <c r="AD53" i="1"/>
  <c r="AC53" i="1"/>
  <c r="R53" i="1"/>
  <c r="P53" i="1" s="1"/>
  <c r="S53" i="1" s="1"/>
  <c r="M53" i="1" s="1"/>
  <c r="N53" i="1" s="1"/>
  <c r="W225" i="1"/>
  <c r="AA225" i="1" s="1"/>
  <c r="AD225" i="1"/>
  <c r="AC225" i="1"/>
  <c r="W160" i="1"/>
  <c r="AA160" i="1" s="1"/>
  <c r="AD160" i="1"/>
  <c r="AC160" i="1"/>
  <c r="AD214" i="1"/>
  <c r="AE214" i="1" s="1"/>
  <c r="W214" i="1"/>
  <c r="AA214" i="1" s="1"/>
  <c r="R214" i="1"/>
  <c r="P214" i="1" s="1"/>
  <c r="S214" i="1" s="1"/>
  <c r="M214" i="1" s="1"/>
  <c r="N214" i="1" s="1"/>
  <c r="AC214" i="1"/>
  <c r="AD65" i="1"/>
  <c r="AE65" i="1" s="1"/>
  <c r="W65" i="1"/>
  <c r="AA65" i="1" s="1"/>
  <c r="AC65" i="1"/>
  <c r="R65" i="1"/>
  <c r="P65" i="1" s="1"/>
  <c r="S65" i="1" s="1"/>
  <c r="M65" i="1" s="1"/>
  <c r="N65" i="1" s="1"/>
  <c r="W33" i="1"/>
  <c r="AA33" i="1" s="1"/>
  <c r="AD33" i="1"/>
  <c r="AE33" i="1" s="1"/>
  <c r="AC33" i="1"/>
  <c r="R33" i="1"/>
  <c r="P33" i="1" s="1"/>
  <c r="S33" i="1" s="1"/>
  <c r="M33" i="1" s="1"/>
  <c r="N33" i="1" s="1"/>
  <c r="AC64" i="1"/>
  <c r="AD64" i="1"/>
  <c r="W64" i="1"/>
  <c r="AA64" i="1" s="1"/>
  <c r="W130" i="1"/>
  <c r="AA130" i="1" s="1"/>
  <c r="AD130" i="1"/>
  <c r="AC130" i="1"/>
  <c r="AE161" i="1"/>
  <c r="R46" i="1"/>
  <c r="P46" i="1" s="1"/>
  <c r="S46" i="1" s="1"/>
  <c r="M46" i="1" s="1"/>
  <c r="N46" i="1" s="1"/>
  <c r="AD61" i="1"/>
  <c r="AE61" i="1" s="1"/>
  <c r="W61" i="1"/>
  <c r="AA61" i="1" s="1"/>
  <c r="AC61" i="1"/>
  <c r="AD77" i="1"/>
  <c r="W77" i="1"/>
  <c r="AA77" i="1" s="1"/>
  <c r="AC77" i="1"/>
  <c r="AE153" i="1"/>
  <c r="AE169" i="1"/>
  <c r="AE55" i="1"/>
  <c r="W178" i="1"/>
  <c r="AA178" i="1" s="1"/>
  <c r="AD178" i="1"/>
  <c r="AC178" i="1"/>
  <c r="W113" i="1"/>
  <c r="AA113" i="1" s="1"/>
  <c r="AD113" i="1"/>
  <c r="AE113" i="1" s="1"/>
  <c r="AC113" i="1"/>
  <c r="W189" i="1"/>
  <c r="AA189" i="1" s="1"/>
  <c r="AC189" i="1"/>
  <c r="AD189" i="1"/>
  <c r="AE137" i="1"/>
  <c r="W87" i="1"/>
  <c r="AA87" i="1" s="1"/>
  <c r="AC87" i="1"/>
  <c r="AD87" i="1"/>
  <c r="AE87" i="1" s="1"/>
  <c r="W28" i="1"/>
  <c r="AA28" i="1" s="1"/>
  <c r="AD28" i="1"/>
  <c r="AC28" i="1"/>
  <c r="W204" i="1"/>
  <c r="AA204" i="1" s="1"/>
  <c r="AD204" i="1"/>
  <c r="AC204" i="1"/>
  <c r="AD183" i="1"/>
  <c r="AE183" i="1" s="1"/>
  <c r="W183" i="1"/>
  <c r="AA183" i="1" s="1"/>
  <c r="AC183" i="1"/>
  <c r="AE193" i="1"/>
  <c r="W217" i="1"/>
  <c r="AA217" i="1" s="1"/>
  <c r="AD217" i="1"/>
  <c r="AE217" i="1" s="1"/>
  <c r="AC217" i="1"/>
  <c r="R69" i="1"/>
  <c r="P69" i="1" s="1"/>
  <c r="S69" i="1" s="1"/>
  <c r="M69" i="1" s="1"/>
  <c r="N69" i="1" s="1"/>
  <c r="W45" i="1"/>
  <c r="AA45" i="1" s="1"/>
  <c r="AD45" i="1"/>
  <c r="AE45" i="1" s="1"/>
  <c r="AC45" i="1"/>
  <c r="R45" i="1"/>
  <c r="P45" i="1" s="1"/>
  <c r="S45" i="1" s="1"/>
  <c r="M45" i="1" s="1"/>
  <c r="N45" i="1" s="1"/>
  <c r="W71" i="1"/>
  <c r="AA71" i="1" s="1"/>
  <c r="AD71" i="1"/>
  <c r="AE71" i="1" s="1"/>
  <c r="AC71" i="1"/>
  <c r="AC224" i="1"/>
  <c r="W224" i="1"/>
  <c r="AA224" i="1" s="1"/>
  <c r="AD224" i="1"/>
  <c r="AE224" i="1" s="1"/>
  <c r="R224" i="1"/>
  <c r="P224" i="1" s="1"/>
  <c r="S224" i="1" s="1"/>
  <c r="M224" i="1" s="1"/>
  <c r="N224" i="1" s="1"/>
  <c r="AE50" i="1"/>
  <c r="W158" i="1"/>
  <c r="AA158" i="1" s="1"/>
  <c r="AD158" i="1"/>
  <c r="AE158" i="1" s="1"/>
  <c r="AC158" i="1"/>
  <c r="R158" i="1"/>
  <c r="P158" i="1" s="1"/>
  <c r="S158" i="1" s="1"/>
  <c r="M158" i="1" s="1"/>
  <c r="N158" i="1" s="1"/>
  <c r="AE84" i="1"/>
  <c r="R129" i="1"/>
  <c r="P129" i="1" s="1"/>
  <c r="S129" i="1" s="1"/>
  <c r="M129" i="1" s="1"/>
  <c r="N129" i="1" s="1"/>
  <c r="W119" i="1"/>
  <c r="AA119" i="1" s="1"/>
  <c r="AD119" i="1"/>
  <c r="AE119" i="1" s="1"/>
  <c r="AC119" i="1"/>
  <c r="W110" i="1"/>
  <c r="AA110" i="1" s="1"/>
  <c r="AD110" i="1"/>
  <c r="AC110" i="1"/>
  <c r="AE141" i="1"/>
  <c r="R211" i="1"/>
  <c r="P211" i="1" s="1"/>
  <c r="S211" i="1" s="1"/>
  <c r="M211" i="1" s="1"/>
  <c r="N211" i="1" s="1"/>
  <c r="AD125" i="1"/>
  <c r="AE125" i="1" s="1"/>
  <c r="W125" i="1"/>
  <c r="AA125" i="1" s="1"/>
  <c r="AC125" i="1"/>
  <c r="AD20" i="1"/>
  <c r="W20" i="1"/>
  <c r="AA20" i="1" s="1"/>
  <c r="AC20" i="1"/>
  <c r="R64" i="1"/>
  <c r="P64" i="1" s="1"/>
  <c r="S64" i="1" s="1"/>
  <c r="M64" i="1" s="1"/>
  <c r="N64" i="1" s="1"/>
  <c r="R160" i="1"/>
  <c r="P160" i="1" s="1"/>
  <c r="S160" i="1" s="1"/>
  <c r="M160" i="1" s="1"/>
  <c r="N160" i="1" s="1"/>
  <c r="R119" i="1"/>
  <c r="P119" i="1" s="1"/>
  <c r="S119" i="1" s="1"/>
  <c r="M119" i="1" s="1"/>
  <c r="N119" i="1" s="1"/>
  <c r="W134" i="1"/>
  <c r="AA134" i="1" s="1"/>
  <c r="AD134" i="1"/>
  <c r="AE134" i="1" s="1"/>
  <c r="AC134" i="1"/>
  <c r="R189" i="1"/>
  <c r="P189" i="1" s="1"/>
  <c r="S189" i="1" s="1"/>
  <c r="M189" i="1" s="1"/>
  <c r="N189" i="1" s="1"/>
  <c r="W19" i="1"/>
  <c r="AA19" i="1" s="1"/>
  <c r="AD19" i="1"/>
  <c r="AC19" i="1"/>
  <c r="R184" i="1"/>
  <c r="P184" i="1" s="1"/>
  <c r="S184" i="1" s="1"/>
  <c r="M184" i="1" s="1"/>
  <c r="N184" i="1" s="1"/>
  <c r="AE192" i="1"/>
  <c r="W114" i="1"/>
  <c r="AA114" i="1" s="1"/>
  <c r="AD114" i="1"/>
  <c r="AC114" i="1"/>
  <c r="AD97" i="1"/>
  <c r="W97" i="1"/>
  <c r="AA97" i="1" s="1"/>
  <c r="AC97" i="1"/>
  <c r="W32" i="1"/>
  <c r="AA32" i="1" s="1"/>
  <c r="AD32" i="1"/>
  <c r="AE32" i="1" s="1"/>
  <c r="AC32" i="1"/>
  <c r="W99" i="1"/>
  <c r="AA99" i="1" s="1"/>
  <c r="AD99" i="1"/>
  <c r="AC99" i="1"/>
  <c r="AD105" i="1"/>
  <c r="AE105" i="1" s="1"/>
  <c r="W105" i="1"/>
  <c r="AA105" i="1" s="1"/>
  <c r="AC105" i="1"/>
  <c r="W208" i="1"/>
  <c r="AA208" i="1" s="1"/>
  <c r="AD208" i="1"/>
  <c r="AE208" i="1" s="1"/>
  <c r="AC208" i="1"/>
  <c r="AD124" i="1"/>
  <c r="W124" i="1"/>
  <c r="AA124" i="1" s="1"/>
  <c r="AC124" i="1"/>
  <c r="AD109" i="1"/>
  <c r="AE109" i="1" s="1"/>
  <c r="W109" i="1"/>
  <c r="AA109" i="1" s="1"/>
  <c r="AC109" i="1"/>
  <c r="R105" i="1"/>
  <c r="P105" i="1" s="1"/>
  <c r="S105" i="1" s="1"/>
  <c r="M105" i="1" s="1"/>
  <c r="N105" i="1" s="1"/>
  <c r="W121" i="1"/>
  <c r="AA121" i="1" s="1"/>
  <c r="AD121" i="1"/>
  <c r="AC121" i="1"/>
  <c r="W185" i="1"/>
  <c r="AA185" i="1" s="1"/>
  <c r="AC185" i="1"/>
  <c r="AD185" i="1"/>
  <c r="R185" i="1"/>
  <c r="P185" i="1" s="1"/>
  <c r="S185" i="1" s="1"/>
  <c r="M185" i="1" s="1"/>
  <c r="N185" i="1" s="1"/>
  <c r="R99" i="1"/>
  <c r="P99" i="1" s="1"/>
  <c r="S99" i="1" s="1"/>
  <c r="M99" i="1" s="1"/>
  <c r="N99" i="1" s="1"/>
  <c r="W58" i="1"/>
  <c r="AA58" i="1" s="1"/>
  <c r="AD58" i="1"/>
  <c r="AC58" i="1"/>
  <c r="R58" i="1"/>
  <c r="P58" i="1" s="1"/>
  <c r="S58" i="1" s="1"/>
  <c r="M58" i="1" s="1"/>
  <c r="N58" i="1" s="1"/>
  <c r="AE107" i="1"/>
  <c r="W122" i="1"/>
  <c r="AA122" i="1" s="1"/>
  <c r="AD122" i="1"/>
  <c r="AC122" i="1"/>
  <c r="AD43" i="1"/>
  <c r="W43" i="1"/>
  <c r="AA43" i="1" s="1"/>
  <c r="AC43" i="1"/>
  <c r="AD30" i="1"/>
  <c r="AE30" i="1" s="1"/>
  <c r="W30" i="1"/>
  <c r="AA30" i="1" s="1"/>
  <c r="AC30" i="1"/>
  <c r="AE155" i="1"/>
  <c r="W17" i="1"/>
  <c r="AA17" i="1" s="1"/>
  <c r="AD17" i="1"/>
  <c r="AC17" i="1"/>
  <c r="W96" i="1"/>
  <c r="AA96" i="1" s="1"/>
  <c r="AD96" i="1"/>
  <c r="AC96" i="1"/>
  <c r="R96" i="1"/>
  <c r="P96" i="1" s="1"/>
  <c r="S96" i="1" s="1"/>
  <c r="M96" i="1" s="1"/>
  <c r="N96" i="1" s="1"/>
  <c r="AE72" i="1"/>
  <c r="W56" i="1"/>
  <c r="AA56" i="1" s="1"/>
  <c r="AD56" i="1"/>
  <c r="AE56" i="1" s="1"/>
  <c r="AC56" i="1"/>
  <c r="R56" i="1"/>
  <c r="P56" i="1" s="1"/>
  <c r="S56" i="1" s="1"/>
  <c r="M56" i="1" s="1"/>
  <c r="N56" i="1" s="1"/>
  <c r="AD89" i="1"/>
  <c r="AE89" i="1" s="1"/>
  <c r="W89" i="1"/>
  <c r="AA89" i="1" s="1"/>
  <c r="AC89" i="1"/>
  <c r="W205" i="1"/>
  <c r="AA205" i="1" s="1"/>
  <c r="AD205" i="1"/>
  <c r="AE205" i="1" s="1"/>
  <c r="AC205" i="1"/>
  <c r="W118" i="1"/>
  <c r="AA118" i="1" s="1"/>
  <c r="AD118" i="1"/>
  <c r="AC118" i="1"/>
  <c r="AE187" i="1"/>
  <c r="W101" i="1"/>
  <c r="AA101" i="1" s="1"/>
  <c r="AD101" i="1"/>
  <c r="AC101" i="1"/>
  <c r="AE159" i="1"/>
  <c r="W177" i="1"/>
  <c r="AA177" i="1" s="1"/>
  <c r="AD177" i="1"/>
  <c r="AC177" i="1"/>
  <c r="AC212" i="1"/>
  <c r="AD212" i="1"/>
  <c r="W212" i="1"/>
  <c r="AA212" i="1" s="1"/>
  <c r="AD102" i="1"/>
  <c r="AE102" i="1" s="1"/>
  <c r="W102" i="1"/>
  <c r="AA102" i="1" s="1"/>
  <c r="AC102" i="1"/>
  <c r="AD218" i="1"/>
  <c r="W218" i="1"/>
  <c r="AA218" i="1" s="1"/>
  <c r="R218" i="1"/>
  <c r="P218" i="1" s="1"/>
  <c r="S218" i="1" s="1"/>
  <c r="M218" i="1" s="1"/>
  <c r="N218" i="1" s="1"/>
  <c r="AC218" i="1"/>
  <c r="W92" i="1"/>
  <c r="AA92" i="1" s="1"/>
  <c r="AC92" i="1"/>
  <c r="AD92" i="1"/>
  <c r="AD175" i="1"/>
  <c r="AC175" i="1"/>
  <c r="W175" i="1"/>
  <c r="AA175" i="1" s="1"/>
  <c r="R175" i="1"/>
  <c r="P175" i="1" s="1"/>
  <c r="S175" i="1" s="1"/>
  <c r="M175" i="1" s="1"/>
  <c r="N175" i="1" s="1"/>
  <c r="W79" i="1"/>
  <c r="AA79" i="1" s="1"/>
  <c r="AC79" i="1"/>
  <c r="AD79" i="1"/>
  <c r="AE79" i="1" s="1"/>
  <c r="W88" i="1"/>
  <c r="AA88" i="1" s="1"/>
  <c r="AD88" i="1"/>
  <c r="AC88" i="1"/>
  <c r="W60" i="1"/>
  <c r="AA60" i="1" s="1"/>
  <c r="AD60" i="1"/>
  <c r="AE60" i="1" s="1"/>
  <c r="AC60" i="1"/>
  <c r="AE157" i="1"/>
  <c r="R198" i="1"/>
  <c r="P198" i="1" s="1"/>
  <c r="S198" i="1" s="1"/>
  <c r="M198" i="1" s="1"/>
  <c r="N198" i="1" s="1"/>
  <c r="W150" i="1"/>
  <c r="AA150" i="1" s="1"/>
  <c r="AD150" i="1"/>
  <c r="AC150" i="1"/>
  <c r="AE59" i="1"/>
  <c r="W138" i="1"/>
  <c r="AA138" i="1" s="1"/>
  <c r="AD138" i="1"/>
  <c r="AE138" i="1" s="1"/>
  <c r="AC138" i="1"/>
  <c r="R63" i="1"/>
  <c r="P63" i="1" s="1"/>
  <c r="S63" i="1" s="1"/>
  <c r="M63" i="1" s="1"/>
  <c r="N63" i="1" s="1"/>
  <c r="AE147" i="1"/>
  <c r="AD163" i="1"/>
  <c r="AC163" i="1"/>
  <c r="W163" i="1"/>
  <c r="AA163" i="1" s="1"/>
  <c r="W207" i="1"/>
  <c r="AA207" i="1" s="1"/>
  <c r="AD207" i="1"/>
  <c r="AE207" i="1" s="1"/>
  <c r="AC207" i="1"/>
  <c r="AC220" i="1"/>
  <c r="W220" i="1"/>
  <c r="AA220" i="1" s="1"/>
  <c r="AD220" i="1"/>
  <c r="R220" i="1"/>
  <c r="P220" i="1" s="1"/>
  <c r="S220" i="1" s="1"/>
  <c r="M220" i="1" s="1"/>
  <c r="N220" i="1" s="1"/>
  <c r="AD226" i="1"/>
  <c r="AE226" i="1" s="1"/>
  <c r="W226" i="1"/>
  <c r="AA226" i="1" s="1"/>
  <c r="AC226" i="1"/>
  <c r="AE23" i="1"/>
  <c r="R48" i="1"/>
  <c r="P48" i="1" s="1"/>
  <c r="S48" i="1" s="1"/>
  <c r="M48" i="1" s="1"/>
  <c r="N48" i="1" s="1"/>
  <c r="R71" i="1"/>
  <c r="P71" i="1" s="1"/>
  <c r="S71" i="1" s="1"/>
  <c r="M71" i="1" s="1"/>
  <c r="N71" i="1" s="1"/>
  <c r="R79" i="1"/>
  <c r="P79" i="1" s="1"/>
  <c r="S79" i="1" s="1"/>
  <c r="M79" i="1" s="1"/>
  <c r="N79" i="1" s="1"/>
  <c r="AE51" i="1"/>
  <c r="W70" i="1"/>
  <c r="AA70" i="1" s="1"/>
  <c r="AD70" i="1"/>
  <c r="AE70" i="1" s="1"/>
  <c r="AC70" i="1"/>
  <c r="R70" i="1"/>
  <c r="P70" i="1" s="1"/>
  <c r="S70" i="1" s="1"/>
  <c r="M70" i="1" s="1"/>
  <c r="N70" i="1" s="1"/>
  <c r="W44" i="1"/>
  <c r="AA44" i="1" s="1"/>
  <c r="AD44" i="1"/>
  <c r="AE44" i="1" s="1"/>
  <c r="AC44" i="1"/>
  <c r="W132" i="1"/>
  <c r="AA132" i="1" s="1"/>
  <c r="AD132" i="1"/>
  <c r="AC132" i="1"/>
  <c r="W201" i="1"/>
  <c r="AA201" i="1" s="1"/>
  <c r="AD201" i="1"/>
  <c r="AC201" i="1"/>
  <c r="W25" i="1"/>
  <c r="AA25" i="1" s="1"/>
  <c r="AD25" i="1"/>
  <c r="AC25" i="1"/>
  <c r="W162" i="1"/>
  <c r="AA162" i="1" s="1"/>
  <c r="AD162" i="1"/>
  <c r="AE162" i="1" s="1"/>
  <c r="AC162" i="1"/>
  <c r="R162" i="1"/>
  <c r="P162" i="1" s="1"/>
  <c r="S162" i="1" s="1"/>
  <c r="M162" i="1" s="1"/>
  <c r="N162" i="1" s="1"/>
  <c r="W40" i="1"/>
  <c r="AA40" i="1" s="1"/>
  <c r="AD40" i="1"/>
  <c r="AE40" i="1" s="1"/>
  <c r="AC40" i="1"/>
  <c r="R178" i="1"/>
  <c r="P178" i="1" s="1"/>
  <c r="S178" i="1" s="1"/>
  <c r="M178" i="1" s="1"/>
  <c r="N178" i="1" s="1"/>
  <c r="AC181" i="1"/>
  <c r="W181" i="1"/>
  <c r="AA181" i="1" s="1"/>
  <c r="AD181" i="1"/>
  <c r="AE21" i="1"/>
  <c r="AD186" i="1"/>
  <c r="AE186" i="1" s="1"/>
  <c r="AC186" i="1"/>
  <c r="W186" i="1"/>
  <c r="AA186" i="1" s="1"/>
  <c r="AE144" i="1"/>
  <c r="AD103" i="1"/>
  <c r="AE103" i="1" s="1"/>
  <c r="W103" i="1"/>
  <c r="AA103" i="1" s="1"/>
  <c r="AC103" i="1"/>
  <c r="AE168" i="1"/>
  <c r="R124" i="1"/>
  <c r="P124" i="1" s="1"/>
  <c r="S124" i="1" s="1"/>
  <c r="M124" i="1" s="1"/>
  <c r="N124" i="1" s="1"/>
  <c r="AD38" i="1"/>
  <c r="W38" i="1"/>
  <c r="AA38" i="1" s="1"/>
  <c r="AC38" i="1"/>
  <c r="R38" i="1"/>
  <c r="P38" i="1" s="1"/>
  <c r="S38" i="1" s="1"/>
  <c r="M38" i="1" s="1"/>
  <c r="N38" i="1" s="1"/>
  <c r="W75" i="1"/>
  <c r="AA75" i="1" s="1"/>
  <c r="AD75" i="1"/>
  <c r="AE75" i="1" s="1"/>
  <c r="AC75" i="1"/>
  <c r="W49" i="1"/>
  <c r="AA49" i="1" s="1"/>
  <c r="AD49" i="1"/>
  <c r="AE49" i="1" s="1"/>
  <c r="AC49" i="1"/>
  <c r="R49" i="1"/>
  <c r="P49" i="1" s="1"/>
  <c r="S49" i="1" s="1"/>
  <c r="M49" i="1" s="1"/>
  <c r="N49" i="1" s="1"/>
  <c r="AD34" i="1"/>
  <c r="AE34" i="1" s="1"/>
  <c r="W34" i="1"/>
  <c r="AA34" i="1" s="1"/>
  <c r="AC34" i="1"/>
  <c r="W91" i="1"/>
  <c r="AA91" i="1" s="1"/>
  <c r="AC91" i="1"/>
  <c r="AD91" i="1"/>
  <c r="R114" i="1"/>
  <c r="P114" i="1" s="1"/>
  <c r="S114" i="1" s="1"/>
  <c r="M114" i="1" s="1"/>
  <c r="N114" i="1" s="1"/>
  <c r="W128" i="1"/>
  <c r="AA128" i="1" s="1"/>
  <c r="AD128" i="1"/>
  <c r="AE128" i="1" s="1"/>
  <c r="R128" i="1"/>
  <c r="P128" i="1" s="1"/>
  <c r="S128" i="1" s="1"/>
  <c r="M128" i="1" s="1"/>
  <c r="N128" i="1" s="1"/>
  <c r="AC128" i="1"/>
  <c r="R179" i="1"/>
  <c r="P179" i="1" s="1"/>
  <c r="S179" i="1" s="1"/>
  <c r="M179" i="1" s="1"/>
  <c r="N179" i="1" s="1"/>
  <c r="R205" i="1"/>
  <c r="P205" i="1" s="1"/>
  <c r="S205" i="1" s="1"/>
  <c r="M205" i="1" s="1"/>
  <c r="N205" i="1" s="1"/>
  <c r="W215" i="1"/>
  <c r="AA215" i="1" s="1"/>
  <c r="AD215" i="1"/>
  <c r="AC215" i="1"/>
  <c r="AD93" i="1"/>
  <c r="AE93" i="1" s="1"/>
  <c r="W93" i="1"/>
  <c r="AA93" i="1" s="1"/>
  <c r="AC93" i="1"/>
  <c r="W136" i="1"/>
  <c r="AA136" i="1" s="1"/>
  <c r="AC136" i="1"/>
  <c r="AD136" i="1"/>
  <c r="W174" i="1"/>
  <c r="AA174" i="1" s="1"/>
  <c r="AD174" i="1"/>
  <c r="AC174" i="1"/>
  <c r="W223" i="1"/>
  <c r="AA223" i="1" s="1"/>
  <c r="AD223" i="1"/>
  <c r="AE223" i="1" s="1"/>
  <c r="AC223" i="1"/>
  <c r="AD76" i="1"/>
  <c r="AE76" i="1" s="1"/>
  <c r="AC76" i="1"/>
  <c r="W76" i="1"/>
  <c r="AA76" i="1" s="1"/>
  <c r="R52" i="1"/>
  <c r="P52" i="1" s="1"/>
  <c r="S52" i="1" s="1"/>
  <c r="M52" i="1" s="1"/>
  <c r="N52" i="1" s="1"/>
  <c r="W94" i="1"/>
  <c r="AA94" i="1" s="1"/>
  <c r="AD94" i="1"/>
  <c r="AE94" i="1" s="1"/>
  <c r="AC94" i="1"/>
  <c r="R89" i="1"/>
  <c r="P89" i="1" s="1"/>
  <c r="S89" i="1" s="1"/>
  <c r="M89" i="1" s="1"/>
  <c r="N89" i="1" s="1"/>
  <c r="W123" i="1"/>
  <c r="AA123" i="1" s="1"/>
  <c r="AD123" i="1"/>
  <c r="AC123" i="1"/>
  <c r="R123" i="1"/>
  <c r="P123" i="1" s="1"/>
  <c r="S123" i="1" s="1"/>
  <c r="M123" i="1" s="1"/>
  <c r="N123" i="1" s="1"/>
  <c r="W172" i="1"/>
  <c r="AA172" i="1" s="1"/>
  <c r="AD172" i="1"/>
  <c r="AE172" i="1" s="1"/>
  <c r="AC172" i="1"/>
  <c r="W213" i="1"/>
  <c r="AA213" i="1" s="1"/>
  <c r="AD213" i="1"/>
  <c r="AE213" i="1" s="1"/>
  <c r="AC213" i="1"/>
  <c r="W221" i="1"/>
  <c r="AA221" i="1" s="1"/>
  <c r="AD221" i="1"/>
  <c r="AC221" i="1"/>
  <c r="R88" i="1"/>
  <c r="P88" i="1" s="1"/>
  <c r="S88" i="1" s="1"/>
  <c r="M88" i="1" s="1"/>
  <c r="N88" i="1" s="1"/>
  <c r="R167" i="1"/>
  <c r="P167" i="1" s="1"/>
  <c r="S167" i="1" s="1"/>
  <c r="M167" i="1" s="1"/>
  <c r="N167" i="1" s="1"/>
  <c r="R132" i="1"/>
  <c r="P132" i="1" s="1"/>
  <c r="S132" i="1" s="1"/>
  <c r="M132" i="1" s="1"/>
  <c r="N132" i="1" s="1"/>
  <c r="R118" i="1"/>
  <c r="P118" i="1" s="1"/>
  <c r="S118" i="1" s="1"/>
  <c r="M118" i="1" s="1"/>
  <c r="N118" i="1" s="1"/>
  <c r="W90" i="1"/>
  <c r="AA90" i="1" s="1"/>
  <c r="AD90" i="1"/>
  <c r="AC90" i="1"/>
  <c r="W182" i="1"/>
  <c r="AA182" i="1" s="1"/>
  <c r="AD182" i="1"/>
  <c r="AE182" i="1" s="1"/>
  <c r="AC182" i="1"/>
  <c r="W209" i="1"/>
  <c r="AA209" i="1" s="1"/>
  <c r="AD209" i="1"/>
  <c r="AE209" i="1" s="1"/>
  <c r="AC209" i="1"/>
  <c r="R90" i="1"/>
  <c r="P90" i="1" s="1"/>
  <c r="S90" i="1" s="1"/>
  <c r="M90" i="1" s="1"/>
  <c r="N90" i="1" s="1"/>
  <c r="R170" i="1"/>
  <c r="P170" i="1" s="1"/>
  <c r="S170" i="1" s="1"/>
  <c r="M170" i="1" s="1"/>
  <c r="N170" i="1" s="1"/>
  <c r="R61" i="1"/>
  <c r="P61" i="1" s="1"/>
  <c r="S61" i="1" s="1"/>
  <c r="M61" i="1" s="1"/>
  <c r="N61" i="1" s="1"/>
  <c r="R109" i="1"/>
  <c r="P109" i="1" s="1"/>
  <c r="S109" i="1" s="1"/>
  <c r="M109" i="1" s="1"/>
  <c r="N109" i="1" s="1"/>
  <c r="AE78" i="1"/>
  <c r="W126" i="1"/>
  <c r="AA126" i="1" s="1"/>
  <c r="AD126" i="1"/>
  <c r="AE126" i="1" s="1"/>
  <c r="AC126" i="1"/>
  <c r="R43" i="1"/>
  <c r="P43" i="1" s="1"/>
  <c r="S43" i="1" s="1"/>
  <c r="M43" i="1" s="1"/>
  <c r="N43" i="1" s="1"/>
  <c r="AD171" i="1"/>
  <c r="AC171" i="1"/>
  <c r="W171" i="1"/>
  <c r="AA171" i="1" s="1"/>
  <c r="R171" i="1"/>
  <c r="P171" i="1" s="1"/>
  <c r="S171" i="1" s="1"/>
  <c r="M171" i="1" s="1"/>
  <c r="N171" i="1" s="1"/>
  <c r="R223" i="1"/>
  <c r="P223" i="1" s="1"/>
  <c r="S223" i="1" s="1"/>
  <c r="M223" i="1" s="1"/>
  <c r="N223" i="1" s="1"/>
  <c r="AE74" i="1"/>
  <c r="AD42" i="1"/>
  <c r="W42" i="1"/>
  <c r="AA42" i="1" s="1"/>
  <c r="AC42" i="1"/>
  <c r="R40" i="1"/>
  <c r="P40" i="1" s="1"/>
  <c r="S40" i="1" s="1"/>
  <c r="M40" i="1" s="1"/>
  <c r="N40" i="1" s="1"/>
  <c r="R32" i="1"/>
  <c r="P32" i="1" s="1"/>
  <c r="S32" i="1" s="1"/>
  <c r="M32" i="1" s="1"/>
  <c r="N32" i="1" s="1"/>
  <c r="AD210" i="1"/>
  <c r="AE210" i="1" s="1"/>
  <c r="W210" i="1"/>
  <c r="AA210" i="1" s="1"/>
  <c r="AC210" i="1"/>
  <c r="AD202" i="1"/>
  <c r="W202" i="1"/>
  <c r="AA202" i="1" s="1"/>
  <c r="AC202" i="1"/>
  <c r="R204" i="1"/>
  <c r="P204" i="1" s="1"/>
  <c r="S204" i="1" s="1"/>
  <c r="M204" i="1" s="1"/>
  <c r="N204" i="1" s="1"/>
  <c r="W106" i="1"/>
  <c r="AA106" i="1" s="1"/>
  <c r="AD106" i="1"/>
  <c r="AE106" i="1" s="1"/>
  <c r="AC106" i="1"/>
  <c r="AD173" i="1"/>
  <c r="AE173" i="1" s="1"/>
  <c r="W173" i="1"/>
  <c r="AA173" i="1" s="1"/>
  <c r="AC173" i="1"/>
  <c r="R173" i="1"/>
  <c r="P173" i="1" s="1"/>
  <c r="S173" i="1" s="1"/>
  <c r="M173" i="1" s="1"/>
  <c r="N173" i="1" s="1"/>
  <c r="R28" i="1"/>
  <c r="P28" i="1" s="1"/>
  <c r="S28" i="1" s="1"/>
  <c r="M28" i="1" s="1"/>
  <c r="N28" i="1" s="1"/>
  <c r="AE108" i="1"/>
  <c r="AD117" i="1"/>
  <c r="AE117" i="1" s="1"/>
  <c r="W117" i="1"/>
  <c r="AA117" i="1" s="1"/>
  <c r="AC117" i="1"/>
  <c r="R206" i="1"/>
  <c r="P206" i="1" s="1"/>
  <c r="S206" i="1" s="1"/>
  <c r="M206" i="1" s="1"/>
  <c r="N206" i="1" s="1"/>
  <c r="W36" i="1"/>
  <c r="AA36" i="1" s="1"/>
  <c r="AD36" i="1"/>
  <c r="AC36" i="1"/>
  <c r="R145" i="1"/>
  <c r="P145" i="1" s="1"/>
  <c r="S145" i="1" s="1"/>
  <c r="M145" i="1" s="1"/>
  <c r="N145" i="1" s="1"/>
  <c r="AD111" i="1"/>
  <c r="AE111" i="1" s="1"/>
  <c r="AC111" i="1"/>
  <c r="W111" i="1"/>
  <c r="AA111" i="1" s="1"/>
  <c r="R111" i="1"/>
  <c r="P111" i="1" s="1"/>
  <c r="S111" i="1" s="1"/>
  <c r="M111" i="1" s="1"/>
  <c r="N111" i="1" s="1"/>
  <c r="W24" i="1"/>
  <c r="AA24" i="1" s="1"/>
  <c r="AD24" i="1"/>
  <c r="AC24" i="1"/>
  <c r="R20" i="1"/>
  <c r="P20" i="1" s="1"/>
  <c r="S20" i="1" s="1"/>
  <c r="M20" i="1" s="1"/>
  <c r="N20" i="1" s="1"/>
  <c r="AE47" i="1"/>
  <c r="AE96" i="1" l="1"/>
  <c r="AE142" i="1"/>
  <c r="AE218" i="1"/>
  <c r="AE97" i="1"/>
  <c r="AE77" i="1"/>
  <c r="AE53" i="1"/>
  <c r="AE73" i="1"/>
  <c r="AE48" i="1"/>
  <c r="AE179" i="1"/>
  <c r="AE19" i="1"/>
  <c r="AE221" i="1"/>
  <c r="AE177" i="1"/>
  <c r="AE90" i="1"/>
  <c r="AE215" i="1"/>
  <c r="AE25" i="1"/>
  <c r="AE220" i="1"/>
  <c r="AE163" i="1"/>
  <c r="AE150" i="1"/>
  <c r="AE88" i="1"/>
  <c r="AE175" i="1"/>
  <c r="AE58" i="1"/>
  <c r="AE121" i="1"/>
  <c r="AE124" i="1"/>
  <c r="AE99" i="1"/>
  <c r="AE110" i="1"/>
  <c r="AE204" i="1"/>
  <c r="AE178" i="1"/>
  <c r="AE160" i="1"/>
  <c r="AE170" i="1"/>
  <c r="AE81" i="1"/>
  <c r="AE62" i="1"/>
  <c r="AE85" i="1"/>
  <c r="AE24" i="1"/>
  <c r="AE36" i="1"/>
  <c r="AE171" i="1"/>
  <c r="AE174" i="1"/>
  <c r="AE118" i="1"/>
  <c r="AE202" i="1"/>
  <c r="AE42" i="1"/>
  <c r="AE123" i="1"/>
  <c r="AE136" i="1"/>
  <c r="AE91" i="1"/>
  <c r="AE38" i="1"/>
  <c r="AE92" i="1"/>
  <c r="AE17" i="1"/>
  <c r="AE43" i="1"/>
  <c r="AE114" i="1"/>
  <c r="AE20" i="1"/>
  <c r="AE189" i="1"/>
  <c r="AE64" i="1"/>
  <c r="AE57" i="1"/>
  <c r="AE145" i="1"/>
  <c r="AE132" i="1"/>
  <c r="AE130" i="1"/>
  <c r="AE201" i="1"/>
  <c r="AE101" i="1"/>
  <c r="AE122" i="1"/>
  <c r="AE28" i="1"/>
  <c r="AE225" i="1"/>
  <c r="AE167" i="1"/>
  <c r="AE219" i="1"/>
  <c r="AE181" i="1"/>
  <c r="AE212" i="1"/>
  <c r="AE185" i="1"/>
  <c r="AE68" i="1"/>
  <c r="AE63" i="1"/>
  <c r="AE37" i="1"/>
  <c r="AE69" i="1"/>
</calcChain>
</file>

<file path=xl/sharedStrings.xml><?xml version="1.0" encoding="utf-8"?>
<sst xmlns="http://schemas.openxmlformats.org/spreadsheetml/2006/main" count="3165" uniqueCount="753">
  <si>
    <t>File opened</t>
  </si>
  <si>
    <t>2023-07-25 11:39:23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</si>
  <si>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</si>
  <si>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</si>
  <si>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</si>
  <si>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</si>
  <si>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</si>
  <si>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</si>
  <si>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</si>
  <si>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</si>
  <si>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</si>
  <si>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</si>
  <si>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</si>
  <si>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</si>
  <si>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</si>
  <si>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</si>
  <si>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</si>
  <si>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</si>
  <si>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</si>
  <si>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</si>
  <si>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</si>
  <si>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</si>
  <si>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</si>
  <si>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</si>
  <si>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</si>
  <si>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</si>
  <si>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</si>
  <si>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</si>
  <si>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</si>
  <si>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</si>
  <si>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</si>
  <si>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</si>
  <si>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</si>
  <si>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</si>
  <si>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11:39:23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</si>
  <si>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</si>
  <si>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</si>
  <si>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</si>
  <si>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</si>
  <si>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</si>
  <si>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</si>
  <si>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</si>
  <si>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</si>
  <si>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</si>
  <si>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</si>
  <si>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</si>
  <si>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</si>
  <si>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</si>
  <si>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</si>
  <si>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</si>
  <si>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</si>
  <si>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</si>
  <si>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</si>
  <si>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</si>
  <si>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</si>
  <si>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</si>
  <si>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</si>
  <si>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</si>
  <si>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</si>
  <si>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</si>
  <si>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</si>
  <si>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</si>
  <si>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</si>
  <si>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</si>
  <si>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</si>
  <si>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</si>
  <si>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</si>
  <si>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</si>
  <si>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</si>
  <si>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</si>
  <si>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</si>
  <si>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</si>
  <si>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</si>
  <si>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</si>
  <si>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</si>
  <si>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</si>
  <si>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</si>
  <si>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</si>
  <si>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</si>
  <si>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</si>
  <si>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</si>
  <si>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</si>
  <si>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</si>
  <si>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</si>
  <si>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</si>
  <si>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</si>
  <si>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</si>
  <si>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6.54938 89.3494 374.933 613.769 849.664 1063.48 1249.76 1429.91</t>
  </si>
  <si>
    <t>Fs_true</t>
  </si>
  <si>
    <t>-0.0309868 101.653 401.58 600.757 801.064 1000.98 1202.25 1400.63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</si>
  <si>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</si>
  <si>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</si>
  <si>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</si>
  <si>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</si>
  <si>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</si>
  <si>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</si>
  <si>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</si>
  <si>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</si>
  <si>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</si>
  <si>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</si>
  <si>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</si>
  <si>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</si>
  <si>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</si>
  <si>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</si>
  <si>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</si>
  <si>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</si>
  <si>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</si>
  <si>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</si>
  <si>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</si>
  <si>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</si>
  <si>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</si>
  <si>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</si>
  <si>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</si>
  <si>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</si>
  <si>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</si>
  <si>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</si>
  <si>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</si>
  <si>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</si>
  <si>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</si>
  <si>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</si>
  <si>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</si>
  <si>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</si>
  <si>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</si>
  <si>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</si>
  <si>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</si>
  <si>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</si>
  <si>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</si>
  <si>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</si>
  <si>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</si>
  <si>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</si>
  <si>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</si>
  <si>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</si>
  <si>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</si>
  <si>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</si>
  <si>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</si>
  <si>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</si>
  <si>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</si>
  <si>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</si>
  <si>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</si>
  <si>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</si>
  <si>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</si>
  <si>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</si>
  <si>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</si>
  <si>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</si>
  <si>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</si>
  <si>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</si>
  <si>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</si>
  <si>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</si>
  <si>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</si>
  <si>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</si>
  <si>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</si>
  <si>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</si>
  <si>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</si>
  <si>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</si>
  <si>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</si>
  <si>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</si>
  <si>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</si>
  <si>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</si>
  <si>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</si>
  <si>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</si>
  <si>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</si>
  <si>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</si>
  <si>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</si>
  <si>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</si>
  <si>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</si>
  <si>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</si>
  <si>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</si>
  <si>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</si>
  <si>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</si>
  <si>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</si>
  <si>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</si>
  <si>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</si>
  <si>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</si>
  <si>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</si>
  <si>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</si>
  <si>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</si>
  <si>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</si>
  <si>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</si>
  <si>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</si>
  <si>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</si>
  <si>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</si>
  <si>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</si>
  <si>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</si>
  <si>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</si>
  <si>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</si>
  <si>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</si>
  <si>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</si>
  <si>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</si>
  <si>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</si>
  <si>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</si>
  <si>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</si>
  <si>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</si>
  <si>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</si>
  <si>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</si>
  <si>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</si>
  <si>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</si>
  <si>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</si>
  <si>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</si>
  <si>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</si>
  <si>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</si>
  <si>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</si>
  <si>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</si>
  <si>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</si>
  <si>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</si>
  <si>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</si>
  <si>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</si>
  <si>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</si>
  <si>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</si>
  <si>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</si>
  <si>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</si>
  <si>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</si>
  <si>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</si>
  <si>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</si>
  <si>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</si>
  <si>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</si>
  <si>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</si>
  <si>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</si>
  <si>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</si>
  <si>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</si>
  <si>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</si>
  <si>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</si>
  <si>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</si>
  <si>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</si>
  <si>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</si>
  <si>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</si>
  <si>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</si>
  <si>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</si>
  <si>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</si>
  <si>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</si>
  <si>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</si>
  <si>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</si>
  <si>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</si>
  <si>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</si>
  <si>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</si>
  <si>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</si>
  <si>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</si>
  <si>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</si>
  <si>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</si>
  <si>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</si>
  <si>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</si>
  <si>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</si>
  <si>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</si>
  <si>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</si>
  <si>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</si>
  <si>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</si>
  <si>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</si>
  <si>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</si>
  <si>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</si>
  <si>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</si>
  <si>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</si>
  <si>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</si>
  <si>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</si>
  <si>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</si>
  <si>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</si>
  <si>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</si>
  <si>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</si>
  <si>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</si>
  <si>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</si>
  <si>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</si>
  <si>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</si>
  <si>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</si>
  <si>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</si>
  <si>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</si>
  <si>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</si>
  <si>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</si>
  <si>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</si>
  <si>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</si>
  <si>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</si>
  <si>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</si>
  <si>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</si>
  <si>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</si>
  <si>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</si>
  <si>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</si>
  <si>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</si>
  <si>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</si>
  <si>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</si>
  <si>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</si>
  <si>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</si>
  <si>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</si>
  <si>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</si>
  <si>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</si>
  <si>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</si>
  <si>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</si>
  <si>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</si>
  <si>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</si>
  <si>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</si>
  <si>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</si>
  <si>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</si>
  <si>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</si>
  <si>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</si>
  <si>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</si>
  <si>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</si>
  <si>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</si>
  <si>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</si>
  <si>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</si>
  <si>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</si>
  <si>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</si>
  <si>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</si>
  <si>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</si>
  <si>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</si>
  <si>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</si>
  <si>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</si>
  <si>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</si>
  <si>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</si>
  <si>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</si>
  <si>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</si>
  <si>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</si>
  <si>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</si>
  <si>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</si>
  <si>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</si>
  <si>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</si>
  <si>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</si>
  <si>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</si>
  <si>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</si>
  <si>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</si>
  <si>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</si>
  <si>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</si>
  <si>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</si>
  <si>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</si>
  <si>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</si>
  <si>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</si>
  <si>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</si>
  <si>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</si>
  <si>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</si>
  <si>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</si>
  <si>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</si>
  <si>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</si>
  <si>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</si>
  <si>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20230725 11:49:10</t>
  </si>
  <si>
    <t>11:49:10</t>
  </si>
  <si>
    <t>none</t>
  </si>
  <si>
    <t>0: Broadleaf</t>
  </si>
  <si>
    <t>11:42:00</t>
  </si>
  <si>
    <t>0/0</t>
  </si>
  <si>
    <t>00000000</t>
  </si>
  <si>
    <t>iiiiiiii</t>
  </si>
  <si>
    <t>off</t>
  </si>
  <si>
    <t>20230725 11:49:11</t>
  </si>
  <si>
    <t>11:49:11</t>
  </si>
  <si>
    <t>20230725 11:49:12</t>
  </si>
  <si>
    <t>11:49:12</t>
  </si>
  <si>
    <t>20230725 11:49:13</t>
  </si>
  <si>
    <t>11:49:13</t>
  </si>
  <si>
    <t>20230725 11:52:49</t>
  </si>
  <si>
    <t>11:52:49</t>
  </si>
  <si>
    <t>20230725 11:52:59</t>
  </si>
  <si>
    <t>11:52:59</t>
  </si>
  <si>
    <t>20230725 11:53:09</t>
  </si>
  <si>
    <t>11:53:09</t>
  </si>
  <si>
    <t>20230725 11:53:19</t>
  </si>
  <si>
    <t>11:53:19</t>
  </si>
  <si>
    <t>20230725 11:53:29</t>
  </si>
  <si>
    <t>11:53:29</t>
  </si>
  <si>
    <t>20230725 11:53:39</t>
  </si>
  <si>
    <t>11:53:39</t>
  </si>
  <si>
    <t>20230725 11:53:49</t>
  </si>
  <si>
    <t>11:53:49</t>
  </si>
  <si>
    <t>20230725 11:53:59</t>
  </si>
  <si>
    <t>11:53:59</t>
  </si>
  <si>
    <t>20230725 11:54:09</t>
  </si>
  <si>
    <t>11:54:09</t>
  </si>
  <si>
    <t>20230725 11:54:19</t>
  </si>
  <si>
    <t>11:54:19</t>
  </si>
  <si>
    <t>20230725 11:54:29</t>
  </si>
  <si>
    <t>11:54:29</t>
  </si>
  <si>
    <t>20230725 11:54:39</t>
  </si>
  <si>
    <t>11:54:39</t>
  </si>
  <si>
    <t>20230725 11:54:49</t>
  </si>
  <si>
    <t>11:54:49</t>
  </si>
  <si>
    <t>20230725 11:54:59</t>
  </si>
  <si>
    <t>11:54:59</t>
  </si>
  <si>
    <t>20230725 11:55:09</t>
  </si>
  <si>
    <t>11:55:09</t>
  </si>
  <si>
    <t>20230725 11:55:19</t>
  </si>
  <si>
    <t>11:55:19</t>
  </si>
  <si>
    <t>20230725 11:55:29</t>
  </si>
  <si>
    <t>11:55:29</t>
  </si>
  <si>
    <t>20230725 11:55:39</t>
  </si>
  <si>
    <t>11:55:39</t>
  </si>
  <si>
    <t>20230725 11:55:49</t>
  </si>
  <si>
    <t>11:55:49</t>
  </si>
  <si>
    <t>20230725 11:55:59</t>
  </si>
  <si>
    <t>11:55:59</t>
  </si>
  <si>
    <t>20230725 11:56:09</t>
  </si>
  <si>
    <t>11:56:09</t>
  </si>
  <si>
    <t>20230725 11:56:19</t>
  </si>
  <si>
    <t>11:56:19</t>
  </si>
  <si>
    <t>20230725 11:56:29</t>
  </si>
  <si>
    <t>11:56:29</t>
  </si>
  <si>
    <t>20230725 11:56:39</t>
  </si>
  <si>
    <t>11:56:39</t>
  </si>
  <si>
    <t>20230725 11:56:49</t>
  </si>
  <si>
    <t>11:56:49</t>
  </si>
  <si>
    <t>20230725 11:56:59</t>
  </si>
  <si>
    <t>11:56:59</t>
  </si>
  <si>
    <t>20230725 11:57:09</t>
  </si>
  <si>
    <t>11:57:09</t>
  </si>
  <si>
    <t>20230725 11:57:19</t>
  </si>
  <si>
    <t>11:57:19</t>
  </si>
  <si>
    <t>20230725 11:57:29</t>
  </si>
  <si>
    <t>11:57:29</t>
  </si>
  <si>
    <t>20230725 11:57:39</t>
  </si>
  <si>
    <t>11:57:39</t>
  </si>
  <si>
    <t>20230725 11:57:49</t>
  </si>
  <si>
    <t>11:57:49</t>
  </si>
  <si>
    <t>20230725 11:57:59</t>
  </si>
  <si>
    <t>11:57:59</t>
  </si>
  <si>
    <t>20230725 11:58:09</t>
  </si>
  <si>
    <t>11:58:09</t>
  </si>
  <si>
    <t>20230725 11:58:19</t>
  </si>
  <si>
    <t>11:58:19</t>
  </si>
  <si>
    <t>20230725 11:58:29</t>
  </si>
  <si>
    <t>11:58:29</t>
  </si>
  <si>
    <t>20230725 11:58:39</t>
  </si>
  <si>
    <t>11:58:39</t>
  </si>
  <si>
    <t>20230725 11:58:49</t>
  </si>
  <si>
    <t>11:58:49</t>
  </si>
  <si>
    <t>20230725 11:58:59</t>
  </si>
  <si>
    <t>11:58:59</t>
  </si>
  <si>
    <t>20230725 11:59:09</t>
  </si>
  <si>
    <t>11:59:09</t>
  </si>
  <si>
    <t>20230725 11:59:19</t>
  </si>
  <si>
    <t>11:59:19</t>
  </si>
  <si>
    <t>20230725 11:59:29</t>
  </si>
  <si>
    <t>11:59:29</t>
  </si>
  <si>
    <t>20230725 11:59:39</t>
  </si>
  <si>
    <t>11:59:39</t>
  </si>
  <si>
    <t>20230725 11:59:49</t>
  </si>
  <si>
    <t>11:59:49</t>
  </si>
  <si>
    <t>20230725 11:59:59</t>
  </si>
  <si>
    <t>11:59:59</t>
  </si>
  <si>
    <t>20230725 12:00:09</t>
  </si>
  <si>
    <t>12:00:09</t>
  </si>
  <si>
    <t>20230725 12:00:19</t>
  </si>
  <si>
    <t>12:00:19</t>
  </si>
  <si>
    <t>20230725 12:00:29</t>
  </si>
  <si>
    <t>12:00:29</t>
  </si>
  <si>
    <t>20230725 12:00:39</t>
  </si>
  <si>
    <t>12:00:39</t>
  </si>
  <si>
    <t>20230725 12:00:49</t>
  </si>
  <si>
    <t>12:00:49</t>
  </si>
  <si>
    <t>20230725 12:00:59</t>
  </si>
  <si>
    <t>12:00:59</t>
  </si>
  <si>
    <t>20230725 12:01:09</t>
  </si>
  <si>
    <t>12:01:09</t>
  </si>
  <si>
    <t>20230725 12:01:19</t>
  </si>
  <si>
    <t>12:01:19</t>
  </si>
  <si>
    <t>20230725 12:01:29</t>
  </si>
  <si>
    <t>12:01:29</t>
  </si>
  <si>
    <t>20230725 12:01:39</t>
  </si>
  <si>
    <t>12:01:39</t>
  </si>
  <si>
    <t>20230725 12:01:49</t>
  </si>
  <si>
    <t>12:01:49</t>
  </si>
  <si>
    <t>20230725 12:01:59</t>
  </si>
  <si>
    <t>12:01:59</t>
  </si>
  <si>
    <t>20230725 12:02:09</t>
  </si>
  <si>
    <t>12:02:09</t>
  </si>
  <si>
    <t>20230725 12:02:19</t>
  </si>
  <si>
    <t>12:02:19</t>
  </si>
  <si>
    <t>20230725 12:02:29</t>
  </si>
  <si>
    <t>12:02:29</t>
  </si>
  <si>
    <t>20230725 12:02:39</t>
  </si>
  <si>
    <t>12:02:39</t>
  </si>
  <si>
    <t>20230725 12:02:49</t>
  </si>
  <si>
    <t>12:02:49</t>
  </si>
  <si>
    <t>20230725 12:02:59</t>
  </si>
  <si>
    <t>12:02:59</t>
  </si>
  <si>
    <t>20230725 12:03:09</t>
  </si>
  <si>
    <t>12:03:09</t>
  </si>
  <si>
    <t>20230725 12:03:19</t>
  </si>
  <si>
    <t>12:03:19</t>
  </si>
  <si>
    <t>20230725 12:03:29</t>
  </si>
  <si>
    <t>12:03:29</t>
  </si>
  <si>
    <t>20230725 12:03:39</t>
  </si>
  <si>
    <t>12:03:39</t>
  </si>
  <si>
    <t>20230725 12:03:49</t>
  </si>
  <si>
    <t>12:03:49</t>
  </si>
  <si>
    <t>20230725 12:03:59</t>
  </si>
  <si>
    <t>12:03:59</t>
  </si>
  <si>
    <t>20230725 12:04:09</t>
  </si>
  <si>
    <t>12:04:09</t>
  </si>
  <si>
    <t>20230725 12:04:19</t>
  </si>
  <si>
    <t>12:04:19</t>
  </si>
  <si>
    <t>20230725 12:04:29</t>
  </si>
  <si>
    <t>12:04:29</t>
  </si>
  <si>
    <t>20230725 12:04:39</t>
  </si>
  <si>
    <t>12:04:39</t>
  </si>
  <si>
    <t>20230725 12:04:49</t>
  </si>
  <si>
    <t>12:04:49</t>
  </si>
  <si>
    <t>20230725 12:04:59</t>
  </si>
  <si>
    <t>12:04:59</t>
  </si>
  <si>
    <t>20230725 12:05:09</t>
  </si>
  <si>
    <t>12:05:09</t>
  </si>
  <si>
    <t>20230725 12:05:19</t>
  </si>
  <si>
    <t>12:05:19</t>
  </si>
  <si>
    <t>20230725 12:05:29</t>
  </si>
  <si>
    <t>12:05:29</t>
  </si>
  <si>
    <t>20230725 12:05:39</t>
  </si>
  <si>
    <t>12:05:39</t>
  </si>
  <si>
    <t>20230725 12:05:49</t>
  </si>
  <si>
    <t>12:05:49</t>
  </si>
  <si>
    <t>20230725 12:05:59</t>
  </si>
  <si>
    <t>12:05:59</t>
  </si>
  <si>
    <t>20230725 12:06:09</t>
  </si>
  <si>
    <t>12:06:09</t>
  </si>
  <si>
    <t>20230725 12:06:19</t>
  </si>
  <si>
    <t>12:06:19</t>
  </si>
  <si>
    <t>20230725 12:06:29</t>
  </si>
  <si>
    <t>12:06:29</t>
  </si>
  <si>
    <t>20230725 12:06:39</t>
  </si>
  <si>
    <t>12:06:39</t>
  </si>
  <si>
    <t>20230725 12:06:49</t>
  </si>
  <si>
    <t>12:06:49</t>
  </si>
  <si>
    <t>20230725 12:06:59</t>
  </si>
  <si>
    <t>12:06:59</t>
  </si>
  <si>
    <t>20230725 12:07:09</t>
  </si>
  <si>
    <t>12:07:09</t>
  </si>
  <si>
    <t>20230725 12:07:19</t>
  </si>
  <si>
    <t>12:07:19</t>
  </si>
  <si>
    <t>20230725 12:07:29</t>
  </si>
  <si>
    <t>12:07:29</t>
  </si>
  <si>
    <t>20230725 12:07:39</t>
  </si>
  <si>
    <t>12:07:39</t>
  </si>
  <si>
    <t>20230725 12:07:49</t>
  </si>
  <si>
    <t>12:07:49</t>
  </si>
  <si>
    <t>20230725 12:07:59</t>
  </si>
  <si>
    <t>12:07:59</t>
  </si>
  <si>
    <t>20230725 12:08:09</t>
  </si>
  <si>
    <t>12:08:09</t>
  </si>
  <si>
    <t>20230725 12:08:19</t>
  </si>
  <si>
    <t>12:08:19</t>
  </si>
  <si>
    <t>20230725 12:08:29</t>
  </si>
  <si>
    <t>12:08:29</t>
  </si>
  <si>
    <t>20230725 12:08:39</t>
  </si>
  <si>
    <t>12:08:39</t>
  </si>
  <si>
    <t>20230725 12:08:49</t>
  </si>
  <si>
    <t>12:08:49</t>
  </si>
  <si>
    <t>20230725 12:08:59</t>
  </si>
  <si>
    <t>12:08:59</t>
  </si>
  <si>
    <t>20230725 12:09:09</t>
  </si>
  <si>
    <t>12:09:09</t>
  </si>
  <si>
    <t>20230725 12:09:19</t>
  </si>
  <si>
    <t>12:09:19</t>
  </si>
  <si>
    <t>20230725 12:09:29</t>
  </si>
  <si>
    <t>12:09:29</t>
  </si>
  <si>
    <t>20230725 12:09:39</t>
  </si>
  <si>
    <t>12:09:39</t>
  </si>
  <si>
    <t>20230725 12:09:49</t>
  </si>
  <si>
    <t>12:09:49</t>
  </si>
  <si>
    <t>20230725 12:09:59</t>
  </si>
  <si>
    <t>12:09:59</t>
  </si>
  <si>
    <t>20230725 12:10:09</t>
  </si>
  <si>
    <t>12:10:09</t>
  </si>
  <si>
    <t>20230725 12:10:19</t>
  </si>
  <si>
    <t>12:10:19</t>
  </si>
  <si>
    <t>20230725 12:10:29</t>
  </si>
  <si>
    <t>12:10:29</t>
  </si>
  <si>
    <t>20230725 12:10:39</t>
  </si>
  <si>
    <t>12:10:39</t>
  </si>
  <si>
    <t>20230725 12:10:49</t>
  </si>
  <si>
    <t>12:10:49</t>
  </si>
  <si>
    <t>20230725 12:10:59</t>
  </si>
  <si>
    <t>12:10:59</t>
  </si>
  <si>
    <t>20230725 12:11:09</t>
  </si>
  <si>
    <t>12:11:09</t>
  </si>
  <si>
    <t>20230725 12:11:19</t>
  </si>
  <si>
    <t>12:11:19</t>
  </si>
  <si>
    <t>20230725 12:11:29</t>
  </si>
  <si>
    <t>12:11:29</t>
  </si>
  <si>
    <t>20230725 12:11:39</t>
  </si>
  <si>
    <t>12:11:39</t>
  </si>
  <si>
    <t>20230725 12:11:49</t>
  </si>
  <si>
    <t>12:11:49</t>
  </si>
  <si>
    <t>20230725 12:11:59</t>
  </si>
  <si>
    <t>12:11:59</t>
  </si>
  <si>
    <t>20230725 12:12:09</t>
  </si>
  <si>
    <t>12:12:09</t>
  </si>
  <si>
    <t>20230725 12:12:19</t>
  </si>
  <si>
    <t>12:12:19</t>
  </si>
  <si>
    <t>20230725 12:12:29</t>
  </si>
  <si>
    <t>12:12:29</t>
  </si>
  <si>
    <t>20230725 12:12:39</t>
  </si>
  <si>
    <t>12:12:39</t>
  </si>
  <si>
    <t>20230725 12:12:49</t>
  </si>
  <si>
    <t>12:12:49</t>
  </si>
  <si>
    <t>20230725 12:12:59</t>
  </si>
  <si>
    <t>12:12:59</t>
  </si>
  <si>
    <t>20230725 12:13:09</t>
  </si>
  <si>
    <t>12:13:09</t>
  </si>
  <si>
    <t>20230725 12:13:19</t>
  </si>
  <si>
    <t>12:13:19</t>
  </si>
  <si>
    <t>20230725 12:13:29</t>
  </si>
  <si>
    <t>12:13:29</t>
  </si>
  <si>
    <t>20230725 12:13:39</t>
  </si>
  <si>
    <t>12:13:39</t>
  </si>
  <si>
    <t>20230725 12:13:49</t>
  </si>
  <si>
    <t>12:13:49</t>
  </si>
  <si>
    <t>20230725 12:13:59</t>
  </si>
  <si>
    <t>12:13:59</t>
  </si>
  <si>
    <t>20230725 12:14:09</t>
  </si>
  <si>
    <t>12:14:09</t>
  </si>
  <si>
    <t>20230725 12:14:19</t>
  </si>
  <si>
    <t>12:14:19</t>
  </si>
  <si>
    <t>20230725 12:14:29</t>
  </si>
  <si>
    <t>12:14:29</t>
  </si>
  <si>
    <t>20230725 12:14:39</t>
  </si>
  <si>
    <t>12:14:39</t>
  </si>
  <si>
    <t>20230725 12:14:49</t>
  </si>
  <si>
    <t>12:14:49</t>
  </si>
  <si>
    <t>20230725 12:14:59</t>
  </si>
  <si>
    <t>12:14:59</t>
  </si>
  <si>
    <t>20230725 12:15:09</t>
  </si>
  <si>
    <t>12:15:09</t>
  </si>
  <si>
    <t>20230725 12:15:19</t>
  </si>
  <si>
    <t>12:15:19</t>
  </si>
  <si>
    <t>20230725 12:15:29</t>
  </si>
  <si>
    <t>12:15:29</t>
  </si>
  <si>
    <t>20230725 12:15:39</t>
  </si>
  <si>
    <t>12:15:39</t>
  </si>
  <si>
    <t>20230725 12:15:49</t>
  </si>
  <si>
    <t>12:15:49</t>
  </si>
  <si>
    <t>20230725 12:15:59</t>
  </si>
  <si>
    <t>12:15:59</t>
  </si>
  <si>
    <t>20230725 12:16:09</t>
  </si>
  <si>
    <t>12:16:09</t>
  </si>
  <si>
    <t>20230725 12:16:19</t>
  </si>
  <si>
    <t>12:16:19</t>
  </si>
  <si>
    <t>20230725 12:16:29</t>
  </si>
  <si>
    <t>12:16:29</t>
  </si>
  <si>
    <t>20230725 12:16:39</t>
  </si>
  <si>
    <t>12:16:39</t>
  </si>
  <si>
    <t>20230725 12:16:49</t>
  </si>
  <si>
    <t>12:16:49</t>
  </si>
  <si>
    <t>20230725 12:16:59</t>
  </si>
  <si>
    <t>12:16:59</t>
  </si>
  <si>
    <t>20230725 12:17:09</t>
  </si>
  <si>
    <t>12:17:09</t>
  </si>
  <si>
    <t>20230725 12:17:19</t>
  </si>
  <si>
    <t>12:17:19</t>
  </si>
  <si>
    <t>20230725 12:17:29</t>
  </si>
  <si>
    <t>12:17:29</t>
  </si>
  <si>
    <t>20230725 12:17:39</t>
  </si>
  <si>
    <t>12:17:39</t>
  </si>
  <si>
    <t>20230725 12:17:49</t>
  </si>
  <si>
    <t>12:17:49</t>
  </si>
  <si>
    <t>20230725 12:17:59</t>
  </si>
  <si>
    <t>12:17:59</t>
  </si>
  <si>
    <t>20230725 12:18:09</t>
  </si>
  <si>
    <t>12:18:09</t>
  </si>
  <si>
    <t>20230725 12:18:19</t>
  </si>
  <si>
    <t>12:18:19</t>
  </si>
  <si>
    <t>20230725 12:18:29</t>
  </si>
  <si>
    <t>12:18:29</t>
  </si>
  <si>
    <t>20230725 12:18:39</t>
  </si>
  <si>
    <t>12:18:39</t>
  </si>
  <si>
    <t>20230725 12:18:49</t>
  </si>
  <si>
    <t>12:18:49</t>
  </si>
  <si>
    <t>20230725 12:18:59</t>
  </si>
  <si>
    <t>12:18:59</t>
  </si>
  <si>
    <t>20230725 12:19:09</t>
  </si>
  <si>
    <t>12:19:09</t>
  </si>
  <si>
    <t>20230725 12:19:19</t>
  </si>
  <si>
    <t>12:19:19</t>
  </si>
  <si>
    <t>20230725 12:19:29</t>
  </si>
  <si>
    <t>12:19:29</t>
  </si>
  <si>
    <t>20230725 12:19:39</t>
  </si>
  <si>
    <t>12:19:39</t>
  </si>
  <si>
    <t>20230725 12:19:49</t>
  </si>
  <si>
    <t>12:19:49</t>
  </si>
  <si>
    <t>20230725 12:19:59</t>
  </si>
  <si>
    <t>12:19:59</t>
  </si>
  <si>
    <t>20230725 12:20:09</t>
  </si>
  <si>
    <t>12:20:09</t>
  </si>
  <si>
    <t>20230725 12:20:19</t>
  </si>
  <si>
    <t>12:20:19</t>
  </si>
  <si>
    <t>20230725 12:20:29</t>
  </si>
  <si>
    <t>12:20:29</t>
  </si>
  <si>
    <t>20230725 12:20:39</t>
  </si>
  <si>
    <t>12:20:39</t>
  </si>
  <si>
    <t>20230725 12:20:49</t>
  </si>
  <si>
    <t>12:20:49</t>
  </si>
  <si>
    <t>20230725 12:20:59</t>
  </si>
  <si>
    <t>12:20:59</t>
  </si>
  <si>
    <t>20230725 12:21:09</t>
  </si>
  <si>
    <t>12:21:09</t>
  </si>
  <si>
    <t>20230725 12:21:19</t>
  </si>
  <si>
    <t>12:21:19</t>
  </si>
  <si>
    <t>20230725 12:21:29</t>
  </si>
  <si>
    <t>12:21:29</t>
  </si>
  <si>
    <t>20230725 12:21:39</t>
  </si>
  <si>
    <t>12:21:39</t>
  </si>
  <si>
    <t>20230725 12:21:49</t>
  </si>
  <si>
    <t>12:21:49</t>
  </si>
  <si>
    <t>20230725 12:21:59</t>
  </si>
  <si>
    <t>12:21:59</t>
  </si>
  <si>
    <t>20230725 12:22:09</t>
  </si>
  <si>
    <t>12:22:09</t>
  </si>
  <si>
    <t>20230725 12:22:19</t>
  </si>
  <si>
    <t>12:22:19</t>
  </si>
  <si>
    <t>20230725 12:22:29</t>
  </si>
  <si>
    <t>12:22:29</t>
  </si>
  <si>
    <t>20230725 12:22:39</t>
  </si>
  <si>
    <t>12:22:39</t>
  </si>
  <si>
    <t>20230725 12:22:49</t>
  </si>
  <si>
    <t>12:22:49</t>
  </si>
  <si>
    <t>20230725 12:22:59</t>
  </si>
  <si>
    <t>12:22:59</t>
  </si>
  <si>
    <t>20230725 12:23:09</t>
  </si>
  <si>
    <t>12:23:09</t>
  </si>
  <si>
    <t>20230725 12:23:19</t>
  </si>
  <si>
    <t>12:23:19</t>
  </si>
  <si>
    <t>20230725 12:23:29</t>
  </si>
  <si>
    <t>12:23:29</t>
  </si>
  <si>
    <t>20230725 12:23:39</t>
  </si>
  <si>
    <t>12:23:39</t>
  </si>
  <si>
    <t>20230725 12:23:49</t>
  </si>
  <si>
    <t>12:23:49</t>
  </si>
  <si>
    <t>20230725 12:23:59</t>
  </si>
  <si>
    <t>12:23:59</t>
  </si>
  <si>
    <t>20230725 12:24:09</t>
  </si>
  <si>
    <t>12:24:09</t>
  </si>
  <si>
    <t>20230725 12:24:19</t>
  </si>
  <si>
    <t>12:24:19</t>
  </si>
  <si>
    <t>20230725 12:24:29</t>
  </si>
  <si>
    <t>12:24:29</t>
  </si>
  <si>
    <t>20230725 12:24:39</t>
  </si>
  <si>
    <t>12:24:39</t>
  </si>
  <si>
    <t>20230725 12:24:49</t>
  </si>
  <si>
    <t>12:24:49</t>
  </si>
  <si>
    <t>20230725 12:24:59</t>
  </si>
  <si>
    <t>12:24:59</t>
  </si>
  <si>
    <t>20230725 12:25:09</t>
  </si>
  <si>
    <t>12:25:09</t>
  </si>
  <si>
    <t>20230725 12:25:19</t>
  </si>
  <si>
    <t>12:25:19</t>
  </si>
  <si>
    <t>20230725 12:25:29</t>
  </si>
  <si>
    <t>12:25:29</t>
  </si>
  <si>
    <t>20230725 12:25:39</t>
  </si>
  <si>
    <t>12:25:39</t>
  </si>
  <si>
    <t>20230725 12:25:49</t>
  </si>
  <si>
    <t>12:25:49</t>
  </si>
  <si>
    <t>20230725 12:25:59</t>
  </si>
  <si>
    <t>12:25:59</t>
  </si>
  <si>
    <t>20230725 12:26:09</t>
  </si>
  <si>
    <t>12:26:09</t>
  </si>
  <si>
    <t>20230725 12:26:19</t>
  </si>
  <si>
    <t>12:26:19</t>
  </si>
  <si>
    <t>20230725 12:26:29</t>
  </si>
  <si>
    <t>12:26:29</t>
  </si>
  <si>
    <t>20230725 12:26:39</t>
  </si>
  <si>
    <t>12:26:39</t>
  </si>
  <si>
    <t>20230725 12:26:49</t>
  </si>
  <si>
    <t>12:26:49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</si>
</sst>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6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1690303750</v>
      </c>
      <c r="C17">
        <v>0</v>
      </c>
      <c r="D17" t="s">
        <v>328</v>
      </c>
      <c r="E17" t="s">
        <v>329</v>
      </c>
      <c r="F17" t="s">
        <v>330</v>
      </c>
      <c r="H17">
        <v>1690303750</v>
      </c>
      <c r="I17">
        <f t="shared" ref="I17:I80" si="0">(J17)/1000</f>
        <v>1.2388551177440401E-4</v>
      </c>
      <c r="J17">
        <f t="shared" ref="J17:J80" si="1">1000*AZ17*AH17*(AV17-AW17)/(100*AO17*(1000-AH17*AV17))</f>
        <v>0.123885511774404</v>
      </c>
      <c r="K17">
        <f t="shared" ref="K17:K80" si="2">AZ17*AH17*(AU17-AT17*(1000-AH17*AW17)/(1000-AH17*AV17))/(100*AO17)</f>
        <v>-0.94300187212076725</v>
      </c>
      <c r="L17">
        <f t="shared" ref="L17:L80" si="3">AT17 - IF(AH17&gt;1, K17*AO17*100/(AJ17*BH17), 0)</f>
        <v>809.23500000000001</v>
      </c>
      <c r="M17">
        <f t="shared" ref="M17:M80" si="4">((S17-I17/2)*L17-K17)/(S17+I17/2)</f>
        <v>947.64363611982014</v>
      </c>
      <c r="N17">
        <f t="shared" ref="N17:N80" si="5">M17*(BA17+BB17)/1000</f>
        <v>94.181071991129187</v>
      </c>
      <c r="O17">
        <f t="shared" ref="O17:O80" si="6">(AT17 - IF(AH17&gt;1, K17*AO17*100/(AJ17*BH17), 0))*(BA17+BB17)/1000</f>
        <v>80.425401372193505</v>
      </c>
      <c r="P17">
        <f t="shared" ref="P17:P80" si="7">2/((1/R17-1/Q17)+SIGN(R17)*SQRT((1/R17-1/Q17)*(1/R17-1/Q17) + 4*AP17/((AP17+1)*(AP17+1))*(2*1/R17*1/Q17-1/Q17*1/Q17)))</f>
        <v>9.6641401004178753E-3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2.1017135175784811</v>
      </c>
      <c r="R17">
        <f t="shared" ref="R17:R80" si="9">I17*(1000-(1000*0.61365*EXP(17.502*V17/(240.97+V17))/(BA17+BB17)+AV17)/2)/(1000*0.61365*EXP(17.502*V17/(240.97+V17))/(BA17+BB17)-AV17)</f>
        <v>9.6395203279212097E-3</v>
      </c>
      <c r="S17">
        <f t="shared" ref="S17:S80" si="10">1/((AP17+1)/(P17/1.6)+1/(Q17/1.37)) + AP17/((AP17+1)/(P17/1.6) + AP17/(Q17/1.37))</f>
        <v>6.0269069259378544E-3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26.921971652214239</v>
      </c>
      <c r="V17">
        <f t="shared" ref="V17:V80" si="13">($C$7*BD17+$D$7*BE17+$E$7*U17)</f>
        <v>26.921971652214239</v>
      </c>
      <c r="W17">
        <f t="shared" ref="W17:W80" si="14">0.61365*EXP(17.502*V17/(240.97+V17))</f>
        <v>3.5627898986451711</v>
      </c>
      <c r="X17">
        <f t="shared" ref="X17:X80" si="15">(Y17/Z17*100)</f>
        <v>65.043943184099646</v>
      </c>
      <c r="Y17">
        <f t="shared" ref="Y17:Y80" si="16">AV17*(BA17+BB17)/1000</f>
        <v>2.32334085339633</v>
      </c>
      <c r="Z17">
        <f t="shared" ref="Z17:Z80" si="17">0.61365*EXP(17.502*BC17/(240.97+BC17))</f>
        <v>3.5719557266391004</v>
      </c>
      <c r="AA17">
        <f t="shared" ref="AA17:AA80" si="18">(W17-AV17*(BA17+BB17)/1000)</f>
        <v>1.2394490452488411</v>
      </c>
      <c r="AB17">
        <f t="shared" ref="AB17:AB80" si="19">(-I17*44100)</f>
        <v>-5.4633510692512166</v>
      </c>
      <c r="AC17">
        <f t="shared" ref="AC17:AC80" si="20">2*29.3*Q17*0.92*(BC17-V17)</f>
        <v>4.9547532282573981</v>
      </c>
      <c r="AD17">
        <f t="shared" ref="AD17:AD80" si="21">2*0.95*0.0000000567*(((BC17+$B$7)+273)^4-(V17+273)^4)</f>
        <v>0.50848663837011421</v>
      </c>
      <c r="AE17">
        <f t="shared" ref="AE17:AE80" si="22">T17+AD17+AB17+AC17</f>
        <v>-1.112026237040098E-4</v>
      </c>
      <c r="AF17">
        <v>15</v>
      </c>
      <c r="AG17">
        <v>5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52567.775344340582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33</v>
      </c>
      <c r="AP17">
        <v>0.5</v>
      </c>
      <c r="AQ17" t="s">
        <v>331</v>
      </c>
      <c r="AR17">
        <v>2</v>
      </c>
      <c r="AS17">
        <v>1690303750</v>
      </c>
      <c r="AT17">
        <v>809.23500000000001</v>
      </c>
      <c r="AU17">
        <v>799.97299999999996</v>
      </c>
      <c r="AV17">
        <v>23.377300000000002</v>
      </c>
      <c r="AW17">
        <v>22.047599999999999</v>
      </c>
      <c r="AX17">
        <v>809.48299999999995</v>
      </c>
      <c r="AY17">
        <v>23.105399999999999</v>
      </c>
      <c r="AZ17">
        <v>300.267</v>
      </c>
      <c r="BA17">
        <v>99.284499999999994</v>
      </c>
      <c r="BB17">
        <v>9.9982100000000004E-2</v>
      </c>
      <c r="BC17">
        <v>26.965699999999998</v>
      </c>
      <c r="BD17">
        <v>26.999700000000001</v>
      </c>
      <c r="BE17">
        <v>26.783899999999999</v>
      </c>
      <c r="BF17">
        <v>0</v>
      </c>
      <c r="BG17">
        <v>0</v>
      </c>
      <c r="BH17">
        <v>10012.5</v>
      </c>
      <c r="BI17">
        <v>0.67633299999999996</v>
      </c>
      <c r="BJ17">
        <v>1.46753</v>
      </c>
      <c r="BK17">
        <v>9.2627600000000001</v>
      </c>
      <c r="BL17">
        <v>828.60599999999999</v>
      </c>
      <c r="BM17">
        <v>818.00800000000004</v>
      </c>
      <c r="BN17">
        <v>1.32969</v>
      </c>
      <c r="BO17">
        <v>799.97299999999996</v>
      </c>
      <c r="BP17">
        <v>22.047599999999999</v>
      </c>
      <c r="BQ17">
        <v>2.3210000000000002</v>
      </c>
      <c r="BR17">
        <v>2.1889799999999999</v>
      </c>
      <c r="BS17">
        <v>19.822900000000001</v>
      </c>
      <c r="BT17">
        <v>18.881900000000002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1690303320.5</v>
      </c>
      <c r="CC17" t="s">
        <v>332</v>
      </c>
      <c r="CD17">
        <v>1690303320.5</v>
      </c>
      <c r="CE17">
        <v>1690303310.0999999</v>
      </c>
      <c r="CF17">
        <v>8</v>
      </c>
      <c r="CG17">
        <v>7.3999999999999996E-2</v>
      </c>
      <c r="CH17">
        <v>-0.01</v>
      </c>
      <c r="CI17">
        <v>-0.24199999999999999</v>
      </c>
      <c r="CJ17">
        <v>0.27200000000000002</v>
      </c>
      <c r="CK17">
        <v>800</v>
      </c>
      <c r="CL17">
        <v>23</v>
      </c>
      <c r="CM17">
        <v>0.06</v>
      </c>
      <c r="CN17">
        <v>0.09</v>
      </c>
      <c r="CO17">
        <v>9.3018136585365863</v>
      </c>
      <c r="CP17">
        <v>3.9560905923343777E-2</v>
      </c>
      <c r="CQ17">
        <v>3.1634337068082552E-2</v>
      </c>
      <c r="CR17">
        <v>-1</v>
      </c>
      <c r="CS17">
        <v>1.329158536585366</v>
      </c>
      <c r="CT17">
        <v>-2.695191637629438E-3</v>
      </c>
      <c r="CU17">
        <v>1.2868330590376691E-3</v>
      </c>
      <c r="CV17">
        <v>-1</v>
      </c>
      <c r="CW17">
        <v>0</v>
      </c>
      <c r="CX17">
        <v>0</v>
      </c>
      <c r="CY17" t="s">
        <v>333</v>
      </c>
      <c r="CZ17">
        <v>2.3645999999999998</v>
      </c>
      <c r="DA17">
        <v>2.7137899999999999</v>
      </c>
      <c r="DB17">
        <v>0.14816399999999999</v>
      </c>
      <c r="DC17">
        <v>0.146672</v>
      </c>
      <c r="DD17">
        <v>0.111718</v>
      </c>
      <c r="DE17">
        <v>0.105907</v>
      </c>
      <c r="DF17">
        <v>31105.5</v>
      </c>
      <c r="DG17">
        <v>27509.3</v>
      </c>
      <c r="DH17">
        <v>31173.8</v>
      </c>
      <c r="DI17">
        <v>28090.6</v>
      </c>
      <c r="DJ17">
        <v>37598.1</v>
      </c>
      <c r="DK17">
        <v>35715.199999999997</v>
      </c>
      <c r="DL17">
        <v>44365.3</v>
      </c>
      <c r="DM17">
        <v>42580.7</v>
      </c>
      <c r="DN17">
        <v>1.43058</v>
      </c>
      <c r="DO17">
        <v>2.0628500000000001</v>
      </c>
      <c r="DP17">
        <v>7.4580300000000002E-2</v>
      </c>
      <c r="DQ17">
        <v>5.7898499999999999E-2</v>
      </c>
      <c r="DR17">
        <v>25.7788</v>
      </c>
      <c r="DS17">
        <v>25.835999999999999</v>
      </c>
      <c r="DT17">
        <v>56.1</v>
      </c>
      <c r="DU17">
        <v>29.2</v>
      </c>
      <c r="DV17">
        <v>22.9878</v>
      </c>
      <c r="DW17">
        <v>61.411200000000001</v>
      </c>
      <c r="DX17">
        <v>34.775599999999997</v>
      </c>
      <c r="DY17">
        <v>1</v>
      </c>
      <c r="DZ17">
        <v>-7.9743400000000006E-2</v>
      </c>
      <c r="EA17">
        <v>-1.4166799999999999</v>
      </c>
      <c r="EB17">
        <v>20.297899999999998</v>
      </c>
      <c r="EC17">
        <v>5.2409499999999998</v>
      </c>
      <c r="ED17">
        <v>12.039899999999999</v>
      </c>
      <c r="EE17">
        <v>5.0170500000000002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1.86893</v>
      </c>
      <c r="EL17">
        <v>1.8646199999999999</v>
      </c>
      <c r="EM17">
        <v>1.8692</v>
      </c>
      <c r="EN17">
        <v>1.8672500000000001</v>
      </c>
      <c r="EO17">
        <v>1.8633999999999999</v>
      </c>
      <c r="EP17">
        <v>1.8644700000000001</v>
      </c>
      <c r="EQ17">
        <v>1.87019</v>
      </c>
      <c r="ER17">
        <v>1.8694500000000001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-0.248</v>
      </c>
      <c r="FG17">
        <v>0.27189999999999998</v>
      </c>
      <c r="FH17">
        <v>0.30965466913576151</v>
      </c>
      <c r="FI17">
        <v>-6.1462078757559423E-4</v>
      </c>
      <c r="FJ17">
        <v>-1.8861989874597051E-7</v>
      </c>
      <c r="FK17">
        <v>1.1980462299894961E-10</v>
      </c>
      <c r="FL17">
        <v>0.27184999999999349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7.2</v>
      </c>
      <c r="FU17">
        <v>7.3</v>
      </c>
      <c r="FV17">
        <v>1.79321</v>
      </c>
      <c r="FW17">
        <v>2.5891099999999998</v>
      </c>
      <c r="FX17">
        <v>1.5490699999999999</v>
      </c>
      <c r="FY17">
        <v>2.3303199999999999</v>
      </c>
      <c r="FZ17">
        <v>1.50024</v>
      </c>
      <c r="GA17">
        <v>2.3046899999999999</v>
      </c>
      <c r="GB17">
        <v>33.715499999999999</v>
      </c>
      <c r="GC17">
        <v>24.017499999999998</v>
      </c>
      <c r="GD17">
        <v>19</v>
      </c>
      <c r="GE17">
        <v>264.363</v>
      </c>
      <c r="GF17">
        <v>606.47299999999996</v>
      </c>
      <c r="GG17">
        <v>28.3888</v>
      </c>
      <c r="GH17">
        <v>26.402000000000001</v>
      </c>
      <c r="GI17">
        <v>30.0001</v>
      </c>
      <c r="GJ17">
        <v>26.464500000000001</v>
      </c>
      <c r="GK17">
        <v>26.434100000000001</v>
      </c>
      <c r="GL17">
        <v>35.857599999999998</v>
      </c>
      <c r="GM17">
        <v>13.0046</v>
      </c>
      <c r="GN17">
        <v>100</v>
      </c>
      <c r="GO17">
        <v>28.387899999999998</v>
      </c>
      <c r="GP17">
        <v>800</v>
      </c>
      <c r="GQ17">
        <v>22.0444</v>
      </c>
      <c r="GR17">
        <v>99.745599999999996</v>
      </c>
      <c r="GS17">
        <v>99.606300000000005</v>
      </c>
    </row>
    <row r="18" spans="1:201" x14ac:dyDescent="0.25">
      <c r="A18">
        <v>2</v>
      </c>
      <c r="B18">
        <v>1690303750.5</v>
      </c>
      <c r="C18">
        <v>0.5</v>
      </c>
      <c r="D18" t="s">
        <v>328</v>
      </c>
      <c r="E18" t="s">
        <v>329</v>
      </c>
      <c r="F18" t="s">
        <v>330</v>
      </c>
      <c r="H18">
        <v>1690303750.5</v>
      </c>
      <c r="I18">
        <f t="shared" si="0"/>
        <v>1.237708008809538E-4</v>
      </c>
      <c r="J18">
        <f t="shared" si="1"/>
        <v>0.12377080088095381</v>
      </c>
      <c r="K18">
        <f t="shared" si="2"/>
        <v>-0.9425376266757165</v>
      </c>
      <c r="L18">
        <f t="shared" si="3"/>
        <v>809.24099999999999</v>
      </c>
      <c r="M18">
        <f t="shared" si="4"/>
        <v>947.72988653839354</v>
      </c>
      <c r="N18">
        <f t="shared" si="5"/>
        <v>94.189013419616501</v>
      </c>
      <c r="O18">
        <f t="shared" si="6"/>
        <v>80.425459291048796</v>
      </c>
      <c r="P18">
        <f t="shared" si="7"/>
        <v>9.654230351843077E-3</v>
      </c>
      <c r="Q18">
        <f t="shared" si="8"/>
        <v>2.1030523277373017</v>
      </c>
      <c r="R18">
        <f t="shared" si="9"/>
        <v>9.629676573097613E-3</v>
      </c>
      <c r="S18">
        <f t="shared" si="10"/>
        <v>6.0207486726299164E-3</v>
      </c>
      <c r="T18">
        <f t="shared" si="11"/>
        <v>0</v>
      </c>
      <c r="U18">
        <f t="shared" si="12"/>
        <v>26.922137370478254</v>
      </c>
      <c r="V18">
        <f t="shared" si="13"/>
        <v>26.922137370478254</v>
      </c>
      <c r="W18">
        <f t="shared" si="14"/>
        <v>3.5628245957863767</v>
      </c>
      <c r="X18">
        <f t="shared" si="15"/>
        <v>65.041456261597105</v>
      </c>
      <c r="Y18">
        <f t="shared" si="16"/>
        <v>2.3232656701885603</v>
      </c>
      <c r="Z18">
        <f t="shared" si="17"/>
        <v>3.5719767110446798</v>
      </c>
      <c r="AA18">
        <f t="shared" si="18"/>
        <v>1.2395589255978163</v>
      </c>
      <c r="AB18">
        <f t="shared" si="19"/>
        <v>-5.4582923188500629</v>
      </c>
      <c r="AC18">
        <f t="shared" si="20"/>
        <v>4.9504583292162705</v>
      </c>
      <c r="AD18">
        <f t="shared" si="21"/>
        <v>0.50772312091610361</v>
      </c>
      <c r="AE18">
        <f t="shared" si="22"/>
        <v>-1.1086871768917206E-4</v>
      </c>
      <c r="AF18">
        <v>15</v>
      </c>
      <c r="AG18">
        <v>5</v>
      </c>
      <c r="AH18">
        <f t="shared" si="23"/>
        <v>1</v>
      </c>
      <c r="AI18">
        <f t="shared" si="24"/>
        <v>0</v>
      </c>
      <c r="AJ18">
        <f t="shared" si="25"/>
        <v>52627.334495555253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33</v>
      </c>
      <c r="AP18">
        <v>0.5</v>
      </c>
      <c r="AQ18" t="s">
        <v>331</v>
      </c>
      <c r="AR18">
        <v>2</v>
      </c>
      <c r="AS18">
        <v>1690303750.5</v>
      </c>
      <c r="AT18">
        <v>809.24099999999999</v>
      </c>
      <c r="AU18">
        <v>799.97799999999995</v>
      </c>
      <c r="AV18">
        <v>23.3767</v>
      </c>
      <c r="AW18">
        <v>22.047499999999999</v>
      </c>
      <c r="AX18">
        <v>809.48900000000003</v>
      </c>
      <c r="AY18">
        <v>23.104900000000001</v>
      </c>
      <c r="AZ18">
        <v>300.10199999999998</v>
      </c>
      <c r="BA18">
        <v>99.283900000000003</v>
      </c>
      <c r="BB18">
        <v>9.99168E-2</v>
      </c>
      <c r="BC18">
        <v>26.965800000000002</v>
      </c>
      <c r="BD18">
        <v>27.000399999999999</v>
      </c>
      <c r="BE18">
        <v>26.7836</v>
      </c>
      <c r="BF18">
        <v>0</v>
      </c>
      <c r="BG18">
        <v>0</v>
      </c>
      <c r="BH18">
        <v>10024.4</v>
      </c>
      <c r="BI18">
        <v>0.67875700000000005</v>
      </c>
      <c r="BJ18">
        <v>1.47454</v>
      </c>
      <c r="BK18">
        <v>9.2628799999999991</v>
      </c>
      <c r="BL18">
        <v>828.61099999999999</v>
      </c>
      <c r="BM18">
        <v>818.01300000000003</v>
      </c>
      <c r="BN18">
        <v>1.3292299999999999</v>
      </c>
      <c r="BO18">
        <v>799.97799999999995</v>
      </c>
      <c r="BP18">
        <v>22.047499999999999</v>
      </c>
      <c r="BQ18">
        <v>2.3209300000000002</v>
      </c>
      <c r="BR18">
        <v>2.1889599999999998</v>
      </c>
      <c r="BS18">
        <v>19.822399999999998</v>
      </c>
      <c r="BT18">
        <v>18.881699999999999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1690303320.5</v>
      </c>
      <c r="CC18" t="s">
        <v>332</v>
      </c>
      <c r="CD18">
        <v>1690303320.5</v>
      </c>
      <c r="CE18">
        <v>1690303310.0999999</v>
      </c>
      <c r="CF18">
        <v>8</v>
      </c>
      <c r="CG18">
        <v>7.3999999999999996E-2</v>
      </c>
      <c r="CH18">
        <v>-0.01</v>
      </c>
      <c r="CI18">
        <v>-0.24199999999999999</v>
      </c>
      <c r="CJ18">
        <v>0.27200000000000002</v>
      </c>
      <c r="CK18">
        <v>800</v>
      </c>
      <c r="CL18">
        <v>23</v>
      </c>
      <c r="CM18">
        <v>0.06</v>
      </c>
      <c r="CN18">
        <v>0.09</v>
      </c>
      <c r="CO18">
        <v>9.2997668292682931</v>
      </c>
      <c r="CP18">
        <v>1.1610940766542279E-2</v>
      </c>
      <c r="CQ18">
        <v>3.2179640544235673E-2</v>
      </c>
      <c r="CR18">
        <v>-1</v>
      </c>
      <c r="CS18">
        <v>1.32911243902439</v>
      </c>
      <c r="CT18">
        <v>-6.5247386759424209E-4</v>
      </c>
      <c r="CU18">
        <v>1.243601733141371E-3</v>
      </c>
      <c r="CV18">
        <v>-1</v>
      </c>
      <c r="CW18">
        <v>0</v>
      </c>
      <c r="CX18">
        <v>0</v>
      </c>
      <c r="CY18" t="s">
        <v>333</v>
      </c>
      <c r="CZ18">
        <v>2.3640699999999999</v>
      </c>
      <c r="DA18">
        <v>2.71373</v>
      </c>
      <c r="DB18">
        <v>0.14816399999999999</v>
      </c>
      <c r="DC18">
        <v>0.146672</v>
      </c>
      <c r="DD18">
        <v>0.11171499999999999</v>
      </c>
      <c r="DE18">
        <v>0.105906</v>
      </c>
      <c r="DF18">
        <v>31105.5</v>
      </c>
      <c r="DG18">
        <v>27509.3</v>
      </c>
      <c r="DH18">
        <v>31173.8</v>
      </c>
      <c r="DI18">
        <v>28090.6</v>
      </c>
      <c r="DJ18">
        <v>37598.199999999997</v>
      </c>
      <c r="DK18">
        <v>35715.199999999997</v>
      </c>
      <c r="DL18">
        <v>44365.4</v>
      </c>
      <c r="DM18">
        <v>42580.6</v>
      </c>
      <c r="DN18">
        <v>1.4302699999999999</v>
      </c>
      <c r="DO18">
        <v>2.0629499999999998</v>
      </c>
      <c r="DP18">
        <v>7.4639899999999995E-2</v>
      </c>
      <c r="DQ18">
        <v>5.7890999999999998E-2</v>
      </c>
      <c r="DR18">
        <v>25.778600000000001</v>
      </c>
      <c r="DS18">
        <v>25.835799999999999</v>
      </c>
      <c r="DT18">
        <v>56.2</v>
      </c>
      <c r="DU18">
        <v>29.2</v>
      </c>
      <c r="DV18">
        <v>23.029599999999999</v>
      </c>
      <c r="DW18">
        <v>61.411200000000001</v>
      </c>
      <c r="DX18">
        <v>35.492800000000003</v>
      </c>
      <c r="DY18">
        <v>1</v>
      </c>
      <c r="DZ18">
        <v>-7.97205E-2</v>
      </c>
      <c r="EA18">
        <v>-1.4154199999999999</v>
      </c>
      <c r="EB18">
        <v>20.297899999999998</v>
      </c>
      <c r="EC18">
        <v>5.2408000000000001</v>
      </c>
      <c r="ED18">
        <v>12.039899999999999</v>
      </c>
      <c r="EE18">
        <v>5.0168999999999997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1.8689199999999999</v>
      </c>
      <c r="EL18">
        <v>1.8646199999999999</v>
      </c>
      <c r="EM18">
        <v>1.8692</v>
      </c>
      <c r="EN18">
        <v>1.8672500000000001</v>
      </c>
      <c r="EO18">
        <v>1.8633999999999999</v>
      </c>
      <c r="EP18">
        <v>1.8644700000000001</v>
      </c>
      <c r="EQ18">
        <v>1.87019</v>
      </c>
      <c r="ER18">
        <v>1.8694500000000001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-0.248</v>
      </c>
      <c r="FG18">
        <v>0.27179999999999999</v>
      </c>
      <c r="FH18">
        <v>0.30965466913576151</v>
      </c>
      <c r="FI18">
        <v>-6.1462078757559423E-4</v>
      </c>
      <c r="FJ18">
        <v>-1.8861989874597051E-7</v>
      </c>
      <c r="FK18">
        <v>1.1980462299894961E-10</v>
      </c>
      <c r="FL18">
        <v>0.27184999999999349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7.2</v>
      </c>
      <c r="FU18">
        <v>7.3</v>
      </c>
      <c r="FV18">
        <v>1.79321</v>
      </c>
      <c r="FW18">
        <v>2.5878899999999998</v>
      </c>
      <c r="FX18">
        <v>1.5490699999999999</v>
      </c>
      <c r="FY18">
        <v>2.3303199999999999</v>
      </c>
      <c r="FZ18">
        <v>1.50146</v>
      </c>
      <c r="GA18">
        <v>2.4194300000000002</v>
      </c>
      <c r="GB18">
        <v>33.715499999999999</v>
      </c>
      <c r="GC18">
        <v>24.026199999999999</v>
      </c>
      <c r="GD18">
        <v>19</v>
      </c>
      <c r="GE18">
        <v>264.24299999999999</v>
      </c>
      <c r="GF18">
        <v>606.56200000000001</v>
      </c>
      <c r="GG18">
        <v>28.388999999999999</v>
      </c>
      <c r="GH18">
        <v>26.402000000000001</v>
      </c>
      <c r="GI18">
        <v>30.0001</v>
      </c>
      <c r="GJ18">
        <v>26.4648</v>
      </c>
      <c r="GK18">
        <v>26.4344</v>
      </c>
      <c r="GL18">
        <v>35.856000000000002</v>
      </c>
      <c r="GM18">
        <v>13.0046</v>
      </c>
      <c r="GN18">
        <v>100</v>
      </c>
      <c r="GO18">
        <v>28.387899999999998</v>
      </c>
      <c r="GP18">
        <v>800</v>
      </c>
      <c r="GQ18">
        <v>22.0444</v>
      </c>
      <c r="GR18">
        <v>99.745599999999996</v>
      </c>
      <c r="GS18">
        <v>99.606200000000001</v>
      </c>
    </row>
    <row r="19" spans="1:201" x14ac:dyDescent="0.25">
      <c r="A19">
        <v>3</v>
      </c>
      <c r="B19">
        <v>1690303751.5</v>
      </c>
      <c r="C19">
        <v>1.5</v>
      </c>
      <c r="D19" t="s">
        <v>337</v>
      </c>
      <c r="E19" t="s">
        <v>338</v>
      </c>
      <c r="F19" t="s">
        <v>330</v>
      </c>
      <c r="H19">
        <v>1690303751.5</v>
      </c>
      <c r="I19">
        <f t="shared" si="0"/>
        <v>1.2378669082063041E-4</v>
      </c>
      <c r="J19">
        <f t="shared" si="1"/>
        <v>0.1237866908206304</v>
      </c>
      <c r="K19">
        <f t="shared" si="2"/>
        <v>-0.94619018377713338</v>
      </c>
      <c r="L19">
        <f t="shared" si="3"/>
        <v>809.26</v>
      </c>
      <c r="M19">
        <f t="shared" si="4"/>
        <v>948.32262365730799</v>
      </c>
      <c r="N19">
        <f t="shared" si="5"/>
        <v>94.247740956896649</v>
      </c>
      <c r="O19">
        <f t="shared" si="6"/>
        <v>80.427193176759999</v>
      </c>
      <c r="P19">
        <f t="shared" si="7"/>
        <v>9.6559159286059276E-3</v>
      </c>
      <c r="Q19">
        <f t="shared" si="8"/>
        <v>2.1036816276393862</v>
      </c>
      <c r="R19">
        <f t="shared" si="9"/>
        <v>9.6313609144304552E-3</v>
      </c>
      <c r="S19">
        <f t="shared" si="10"/>
        <v>6.0218014973424279E-3</v>
      </c>
      <c r="T19">
        <f t="shared" si="11"/>
        <v>0</v>
      </c>
      <c r="U19">
        <f t="shared" si="12"/>
        <v>26.921643592649538</v>
      </c>
      <c r="V19">
        <f t="shared" si="13"/>
        <v>26.921643592649538</v>
      </c>
      <c r="W19">
        <f t="shared" si="14"/>
        <v>3.562721212281966</v>
      </c>
      <c r="X19">
        <f t="shared" si="15"/>
        <v>65.042128973037961</v>
      </c>
      <c r="Y19">
        <f t="shared" si="16"/>
        <v>2.3232214564638003</v>
      </c>
      <c r="Z19">
        <f t="shared" si="17"/>
        <v>3.5718717900929255</v>
      </c>
      <c r="AA19">
        <f t="shared" si="18"/>
        <v>1.2394997558181657</v>
      </c>
      <c r="AB19">
        <f t="shared" si="19"/>
        <v>-5.4589930651898007</v>
      </c>
      <c r="AC19">
        <f t="shared" si="20"/>
        <v>4.9512339838606207</v>
      </c>
      <c r="AD19">
        <f t="shared" si="21"/>
        <v>0.5076482445761189</v>
      </c>
      <c r="AE19">
        <f t="shared" si="22"/>
        <v>-1.1083675306089447E-4</v>
      </c>
      <c r="AF19">
        <v>15</v>
      </c>
      <c r="AG19">
        <v>5</v>
      </c>
      <c r="AH19">
        <f t="shared" si="23"/>
        <v>1</v>
      </c>
      <c r="AI19">
        <f t="shared" si="24"/>
        <v>0</v>
      </c>
      <c r="AJ19">
        <f t="shared" si="25"/>
        <v>52655.441541622415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33</v>
      </c>
      <c r="AP19">
        <v>0.5</v>
      </c>
      <c r="AQ19" t="s">
        <v>331</v>
      </c>
      <c r="AR19">
        <v>2</v>
      </c>
      <c r="AS19">
        <v>1690303751.5</v>
      </c>
      <c r="AT19">
        <v>809.26</v>
      </c>
      <c r="AU19">
        <v>799.96100000000001</v>
      </c>
      <c r="AV19">
        <v>23.376300000000001</v>
      </c>
      <c r="AW19">
        <v>22.047499999999999</v>
      </c>
      <c r="AX19">
        <v>809.50800000000004</v>
      </c>
      <c r="AY19">
        <v>23.104500000000002</v>
      </c>
      <c r="AZ19">
        <v>300.23099999999999</v>
      </c>
      <c r="BA19">
        <v>99.283600000000007</v>
      </c>
      <c r="BB19">
        <v>0.100026</v>
      </c>
      <c r="BC19">
        <v>26.965299999999999</v>
      </c>
      <c r="BD19">
        <v>27.000399999999999</v>
      </c>
      <c r="BE19">
        <v>26.782699999999998</v>
      </c>
      <c r="BF19">
        <v>0</v>
      </c>
      <c r="BG19">
        <v>0</v>
      </c>
      <c r="BH19">
        <v>10030</v>
      </c>
      <c r="BI19">
        <v>0.69087900000000002</v>
      </c>
      <c r="BJ19">
        <v>1.4885600000000001</v>
      </c>
      <c r="BK19">
        <v>9.2988300000000006</v>
      </c>
      <c r="BL19">
        <v>828.63</v>
      </c>
      <c r="BM19">
        <v>817.99599999999998</v>
      </c>
      <c r="BN19">
        <v>1.3287899999999999</v>
      </c>
      <c r="BO19">
        <v>799.96100000000001</v>
      </c>
      <c r="BP19">
        <v>22.047499999999999</v>
      </c>
      <c r="BQ19">
        <v>2.3208799999999998</v>
      </c>
      <c r="BR19">
        <v>2.1889599999999998</v>
      </c>
      <c r="BS19">
        <v>19.822099999999999</v>
      </c>
      <c r="BT19">
        <v>18.881699999999999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1690303320.5</v>
      </c>
      <c r="CC19" t="s">
        <v>332</v>
      </c>
      <c r="CD19">
        <v>1690303320.5</v>
      </c>
      <c r="CE19">
        <v>1690303310.0999999</v>
      </c>
      <c r="CF19">
        <v>8</v>
      </c>
      <c r="CG19">
        <v>7.3999999999999996E-2</v>
      </c>
      <c r="CH19">
        <v>-0.01</v>
      </c>
      <c r="CI19">
        <v>-0.24199999999999999</v>
      </c>
      <c r="CJ19">
        <v>0.27200000000000002</v>
      </c>
      <c r="CK19">
        <v>800</v>
      </c>
      <c r="CL19">
        <v>23</v>
      </c>
      <c r="CM19">
        <v>0.06</v>
      </c>
      <c r="CN19">
        <v>0.09</v>
      </c>
      <c r="CO19">
        <v>9.2997668292682931</v>
      </c>
      <c r="CP19">
        <v>1.1610940766542279E-2</v>
      </c>
      <c r="CQ19">
        <v>3.2179640544235673E-2</v>
      </c>
      <c r="CR19">
        <v>-1</v>
      </c>
      <c r="CS19">
        <v>1.32911243902439</v>
      </c>
      <c r="CT19">
        <v>-6.5247386759424209E-4</v>
      </c>
      <c r="CU19">
        <v>1.243601733141371E-3</v>
      </c>
      <c r="CV19">
        <v>-1</v>
      </c>
      <c r="CW19">
        <v>0</v>
      </c>
      <c r="CX19">
        <v>0</v>
      </c>
      <c r="CY19" t="s">
        <v>333</v>
      </c>
      <c r="CZ19">
        <v>2.3644799999999999</v>
      </c>
      <c r="DA19">
        <v>2.7138399999999998</v>
      </c>
      <c r="DB19">
        <v>0.14816599999999999</v>
      </c>
      <c r="DC19">
        <v>0.14666899999999999</v>
      </c>
      <c r="DD19">
        <v>0.11171300000000001</v>
      </c>
      <c r="DE19">
        <v>0.105906</v>
      </c>
      <c r="DF19">
        <v>31105.4</v>
      </c>
      <c r="DG19">
        <v>27509.4</v>
      </c>
      <c r="DH19">
        <v>31173.8</v>
      </c>
      <c r="DI19">
        <v>28090.6</v>
      </c>
      <c r="DJ19">
        <v>37598.400000000001</v>
      </c>
      <c r="DK19">
        <v>35715.199999999997</v>
      </c>
      <c r="DL19">
        <v>44365.4</v>
      </c>
      <c r="DM19">
        <v>42580.7</v>
      </c>
      <c r="DN19">
        <v>1.4305300000000001</v>
      </c>
      <c r="DO19">
        <v>2.06297</v>
      </c>
      <c r="DP19">
        <v>7.4669700000000006E-2</v>
      </c>
      <c r="DQ19">
        <v>5.7831399999999998E-2</v>
      </c>
      <c r="DR19">
        <v>25.777999999999999</v>
      </c>
      <c r="DS19">
        <v>25.835799999999999</v>
      </c>
      <c r="DT19">
        <v>56.2</v>
      </c>
      <c r="DU19">
        <v>29.2</v>
      </c>
      <c r="DV19">
        <v>23.028600000000001</v>
      </c>
      <c r="DW19">
        <v>61.551200000000001</v>
      </c>
      <c r="DX19">
        <v>34.927900000000001</v>
      </c>
      <c r="DY19">
        <v>1</v>
      </c>
      <c r="DZ19">
        <v>-7.9728099999999996E-2</v>
      </c>
      <c r="EA19">
        <v>-1.4129499999999999</v>
      </c>
      <c r="EB19">
        <v>20.297899999999998</v>
      </c>
      <c r="EC19">
        <v>5.2406499999999996</v>
      </c>
      <c r="ED19">
        <v>12.039899999999999</v>
      </c>
      <c r="EE19">
        <v>5.0167999999999999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1.86893</v>
      </c>
      <c r="EL19">
        <v>1.8646199999999999</v>
      </c>
      <c r="EM19">
        <v>1.8692</v>
      </c>
      <c r="EN19">
        <v>1.86724</v>
      </c>
      <c r="EO19">
        <v>1.8633999999999999</v>
      </c>
      <c r="EP19">
        <v>1.8644700000000001</v>
      </c>
      <c r="EQ19">
        <v>1.8702000000000001</v>
      </c>
      <c r="ER19">
        <v>1.8694500000000001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-0.248</v>
      </c>
      <c r="FG19">
        <v>0.27179999999999999</v>
      </c>
      <c r="FH19">
        <v>0.30965466913576151</v>
      </c>
      <c r="FI19">
        <v>-6.1462078757559423E-4</v>
      </c>
      <c r="FJ19">
        <v>-1.8861989874597051E-7</v>
      </c>
      <c r="FK19">
        <v>1.1980462299894961E-10</v>
      </c>
      <c r="FL19">
        <v>0.27184999999999349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7.2</v>
      </c>
      <c r="FU19">
        <v>7.4</v>
      </c>
      <c r="FV19">
        <v>1.79321</v>
      </c>
      <c r="FW19">
        <v>2.5964399999999999</v>
      </c>
      <c r="FX19">
        <v>1.5490699999999999</v>
      </c>
      <c r="FY19">
        <v>2.3303199999999999</v>
      </c>
      <c r="FZ19">
        <v>1.50146</v>
      </c>
      <c r="GA19">
        <v>2.2863799999999999</v>
      </c>
      <c r="GB19">
        <v>33.715499999999999</v>
      </c>
      <c r="GC19">
        <v>24.017499999999998</v>
      </c>
      <c r="GD19">
        <v>19</v>
      </c>
      <c r="GE19">
        <v>264.34699999999998</v>
      </c>
      <c r="GF19">
        <v>606.58900000000006</v>
      </c>
      <c r="GG19">
        <v>28.389299999999999</v>
      </c>
      <c r="GH19">
        <v>26.402000000000001</v>
      </c>
      <c r="GI19">
        <v>30.0001</v>
      </c>
      <c r="GJ19">
        <v>26.465299999999999</v>
      </c>
      <c r="GK19">
        <v>26.434999999999999</v>
      </c>
      <c r="GL19">
        <v>35.857700000000001</v>
      </c>
      <c r="GM19">
        <v>13.0046</v>
      </c>
      <c r="GN19">
        <v>100</v>
      </c>
      <c r="GO19">
        <v>28.388500000000001</v>
      </c>
      <c r="GP19">
        <v>800</v>
      </c>
      <c r="GQ19">
        <v>22.0444</v>
      </c>
      <c r="GR19">
        <v>99.745699999999999</v>
      </c>
      <c r="GS19">
        <v>99.606300000000005</v>
      </c>
    </row>
    <row r="20" spans="1:201" x14ac:dyDescent="0.25">
      <c r="A20">
        <v>4</v>
      </c>
      <c r="B20">
        <v>1690303752</v>
      </c>
      <c r="C20">
        <v>2</v>
      </c>
      <c r="D20" t="s">
        <v>339</v>
      </c>
      <c r="E20" t="s">
        <v>340</v>
      </c>
      <c r="F20" t="s">
        <v>330</v>
      </c>
      <c r="H20">
        <v>1690303752</v>
      </c>
      <c r="I20">
        <f t="shared" si="0"/>
        <v>1.2379225744643148E-4</v>
      </c>
      <c r="J20">
        <f t="shared" si="1"/>
        <v>0.12379225744643149</v>
      </c>
      <c r="K20">
        <f t="shared" si="2"/>
        <v>-0.94662284781898343</v>
      </c>
      <c r="L20">
        <f t="shared" si="3"/>
        <v>809.24900000000002</v>
      </c>
      <c r="M20">
        <f t="shared" si="4"/>
        <v>948.36403802458983</v>
      </c>
      <c r="N20">
        <f t="shared" si="5"/>
        <v>94.252677581124104</v>
      </c>
      <c r="O20">
        <f t="shared" si="6"/>
        <v>80.426800280958588</v>
      </c>
      <c r="P20">
        <f t="shared" si="7"/>
        <v>9.657189506760467E-3</v>
      </c>
      <c r="Q20">
        <f t="shared" si="8"/>
        <v>2.103691897724814</v>
      </c>
      <c r="R20">
        <f t="shared" si="9"/>
        <v>9.6326281432071986E-3</v>
      </c>
      <c r="S20">
        <f t="shared" si="10"/>
        <v>6.0225940837806205E-3</v>
      </c>
      <c r="T20">
        <f t="shared" si="11"/>
        <v>0</v>
      </c>
      <c r="U20">
        <f t="shared" si="12"/>
        <v>26.921141802449235</v>
      </c>
      <c r="V20">
        <f t="shared" si="13"/>
        <v>26.921141802449235</v>
      </c>
      <c r="W20">
        <f t="shared" si="14"/>
        <v>3.5626161538900853</v>
      </c>
      <c r="X20">
        <f t="shared" si="15"/>
        <v>65.043771173540719</v>
      </c>
      <c r="Y20">
        <f t="shared" si="16"/>
        <v>2.3232118709664</v>
      </c>
      <c r="Z20">
        <f t="shared" si="17"/>
        <v>3.5717668718314779</v>
      </c>
      <c r="AA20">
        <f t="shared" si="18"/>
        <v>1.2394042829236853</v>
      </c>
      <c r="AB20">
        <f t="shared" si="19"/>
        <v>-5.4592385533876282</v>
      </c>
      <c r="AC20">
        <f t="shared" si="20"/>
        <v>4.9514611897798195</v>
      </c>
      <c r="AD20">
        <f t="shared" si="21"/>
        <v>0.5076665181341502</v>
      </c>
      <c r="AE20">
        <f t="shared" si="22"/>
        <v>-1.1084547365847186E-4</v>
      </c>
      <c r="AF20">
        <v>15</v>
      </c>
      <c r="AG20">
        <v>5</v>
      </c>
      <c r="AH20">
        <f t="shared" si="23"/>
        <v>1</v>
      </c>
      <c r="AI20">
        <f t="shared" si="24"/>
        <v>0</v>
      </c>
      <c r="AJ20">
        <f t="shared" si="25"/>
        <v>52656.006630269032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33</v>
      </c>
      <c r="AP20">
        <v>0.5</v>
      </c>
      <c r="AQ20" t="s">
        <v>331</v>
      </c>
      <c r="AR20">
        <v>2</v>
      </c>
      <c r="AS20">
        <v>1690303752</v>
      </c>
      <c r="AT20">
        <v>809.24900000000002</v>
      </c>
      <c r="AU20">
        <v>799.94500000000005</v>
      </c>
      <c r="AV20">
        <v>23.376000000000001</v>
      </c>
      <c r="AW20">
        <v>22.0471</v>
      </c>
      <c r="AX20">
        <v>809.49699999999996</v>
      </c>
      <c r="AY20">
        <v>23.104099999999999</v>
      </c>
      <c r="AZ20">
        <v>300.22199999999998</v>
      </c>
      <c r="BA20">
        <v>99.284499999999994</v>
      </c>
      <c r="BB20">
        <v>9.9991399999999994E-2</v>
      </c>
      <c r="BC20">
        <v>26.9648</v>
      </c>
      <c r="BD20">
        <v>26.998899999999999</v>
      </c>
      <c r="BE20">
        <v>26.781400000000001</v>
      </c>
      <c r="BF20">
        <v>0</v>
      </c>
      <c r="BG20">
        <v>0</v>
      </c>
      <c r="BH20">
        <v>10030</v>
      </c>
      <c r="BI20">
        <v>0.69694</v>
      </c>
      <c r="BJ20">
        <v>1.49556</v>
      </c>
      <c r="BK20">
        <v>9.3041999999999998</v>
      </c>
      <c r="BL20">
        <v>828.61900000000003</v>
      </c>
      <c r="BM20">
        <v>817.97900000000004</v>
      </c>
      <c r="BN20">
        <v>1.32883</v>
      </c>
      <c r="BO20">
        <v>799.94500000000005</v>
      </c>
      <c r="BP20">
        <v>22.0471</v>
      </c>
      <c r="BQ20">
        <v>2.3208700000000002</v>
      </c>
      <c r="BR20">
        <v>2.1889400000000001</v>
      </c>
      <c r="BS20">
        <v>19.821999999999999</v>
      </c>
      <c r="BT20">
        <v>18.881599999999999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1690303320.5</v>
      </c>
      <c r="CC20" t="s">
        <v>332</v>
      </c>
      <c r="CD20">
        <v>1690303320.5</v>
      </c>
      <c r="CE20">
        <v>1690303310.0999999</v>
      </c>
      <c r="CF20">
        <v>8</v>
      </c>
      <c r="CG20">
        <v>7.3999999999999996E-2</v>
      </c>
      <c r="CH20">
        <v>-0.01</v>
      </c>
      <c r="CI20">
        <v>-0.24199999999999999</v>
      </c>
      <c r="CJ20">
        <v>0.27200000000000002</v>
      </c>
      <c r="CK20">
        <v>800</v>
      </c>
      <c r="CL20">
        <v>23</v>
      </c>
      <c r="CM20">
        <v>0.06</v>
      </c>
      <c r="CN20">
        <v>0.09</v>
      </c>
      <c r="CO20">
        <v>9.2961470000000013</v>
      </c>
      <c r="CP20">
        <v>4.7232495309561223E-2</v>
      </c>
      <c r="CQ20">
        <v>3.1747373686653223E-2</v>
      </c>
      <c r="CR20">
        <v>-1</v>
      </c>
      <c r="CS20">
        <v>1.3290617499999999</v>
      </c>
      <c r="CT20">
        <v>-2.0296435272156301E-4</v>
      </c>
      <c r="CU20">
        <v>1.24448762046876E-3</v>
      </c>
      <c r="CV20">
        <v>-1</v>
      </c>
      <c r="CW20">
        <v>0</v>
      </c>
      <c r="CX20">
        <v>0</v>
      </c>
      <c r="CY20" t="s">
        <v>333</v>
      </c>
      <c r="CZ20">
        <v>2.3644599999999998</v>
      </c>
      <c r="DA20">
        <v>2.7138100000000001</v>
      </c>
      <c r="DB20">
        <v>0.14816599999999999</v>
      </c>
      <c r="DC20">
        <v>0.14666899999999999</v>
      </c>
      <c r="DD20">
        <v>0.11171300000000001</v>
      </c>
      <c r="DE20">
        <v>0.105906</v>
      </c>
      <c r="DF20">
        <v>31105.4</v>
      </c>
      <c r="DG20">
        <v>27509.5</v>
      </c>
      <c r="DH20">
        <v>31173.8</v>
      </c>
      <c r="DI20">
        <v>28090.6</v>
      </c>
      <c r="DJ20">
        <v>37598.400000000001</v>
      </c>
      <c r="DK20">
        <v>35715.199999999997</v>
      </c>
      <c r="DL20">
        <v>44365.5</v>
      </c>
      <c r="DM20">
        <v>42580.7</v>
      </c>
      <c r="DN20">
        <v>1.43045</v>
      </c>
      <c r="DO20">
        <v>2.06297</v>
      </c>
      <c r="DP20">
        <v>7.45952E-2</v>
      </c>
      <c r="DQ20">
        <v>5.77569E-2</v>
      </c>
      <c r="DR20">
        <v>25.777699999999999</v>
      </c>
      <c r="DS20">
        <v>25.835799999999999</v>
      </c>
      <c r="DT20">
        <v>56.2</v>
      </c>
      <c r="DU20">
        <v>29.2</v>
      </c>
      <c r="DV20">
        <v>23.0303</v>
      </c>
      <c r="DW20">
        <v>61.211199999999998</v>
      </c>
      <c r="DX20">
        <v>34.996000000000002</v>
      </c>
      <c r="DY20">
        <v>1</v>
      </c>
      <c r="DZ20">
        <v>-7.9707799999999995E-2</v>
      </c>
      <c r="EA20">
        <v>-1.41205</v>
      </c>
      <c r="EB20">
        <v>20.297899999999998</v>
      </c>
      <c r="EC20">
        <v>5.2406499999999996</v>
      </c>
      <c r="ED20">
        <v>12.039899999999999</v>
      </c>
      <c r="EE20">
        <v>5.0167999999999999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1.86893</v>
      </c>
      <c r="EL20">
        <v>1.8646199999999999</v>
      </c>
      <c r="EM20">
        <v>1.8692</v>
      </c>
      <c r="EN20">
        <v>1.86724</v>
      </c>
      <c r="EO20">
        <v>1.8633999999999999</v>
      </c>
      <c r="EP20">
        <v>1.8644700000000001</v>
      </c>
      <c r="EQ20">
        <v>1.8702000000000001</v>
      </c>
      <c r="ER20">
        <v>1.8694500000000001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-0.248</v>
      </c>
      <c r="FG20">
        <v>0.27189999999999998</v>
      </c>
      <c r="FH20">
        <v>0.30965466913576151</v>
      </c>
      <c r="FI20">
        <v>-6.1462078757559423E-4</v>
      </c>
      <c r="FJ20">
        <v>-1.8861989874597051E-7</v>
      </c>
      <c r="FK20">
        <v>1.1980462299894961E-10</v>
      </c>
      <c r="FL20">
        <v>0.27184999999999349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7.2</v>
      </c>
      <c r="FU20">
        <v>7.4</v>
      </c>
      <c r="FV20">
        <v>1.79321</v>
      </c>
      <c r="FW20">
        <v>2.5817899999999998</v>
      </c>
      <c r="FX20">
        <v>1.5490699999999999</v>
      </c>
      <c r="FY20">
        <v>2.3303199999999999</v>
      </c>
      <c r="FZ20">
        <v>1.50146</v>
      </c>
      <c r="GA20">
        <v>2.3779300000000001</v>
      </c>
      <c r="GB20">
        <v>33.715499999999999</v>
      </c>
      <c r="GC20">
        <v>24.026199999999999</v>
      </c>
      <c r="GD20">
        <v>19</v>
      </c>
      <c r="GE20">
        <v>264.31700000000001</v>
      </c>
      <c r="GF20">
        <v>606.59299999999996</v>
      </c>
      <c r="GG20">
        <v>28.389399999999998</v>
      </c>
      <c r="GH20">
        <v>26.402000000000001</v>
      </c>
      <c r="GI20">
        <v>30.0001</v>
      </c>
      <c r="GJ20">
        <v>26.465599999999998</v>
      </c>
      <c r="GK20">
        <v>26.435300000000002</v>
      </c>
      <c r="GL20">
        <v>35.856699999999996</v>
      </c>
      <c r="GM20">
        <v>13.0046</v>
      </c>
      <c r="GN20">
        <v>100</v>
      </c>
      <c r="GO20">
        <v>28.388500000000001</v>
      </c>
      <c r="GP20">
        <v>800</v>
      </c>
      <c r="GQ20">
        <v>22.0444</v>
      </c>
      <c r="GR20">
        <v>99.745800000000003</v>
      </c>
      <c r="GS20">
        <v>99.606300000000005</v>
      </c>
    </row>
    <row r="21" spans="1:201" x14ac:dyDescent="0.25">
      <c r="A21">
        <v>5</v>
      </c>
      <c r="B21">
        <v>1690303753.5</v>
      </c>
      <c r="C21">
        <v>3.5</v>
      </c>
      <c r="D21" t="s">
        <v>341</v>
      </c>
      <c r="E21" t="s">
        <v>342</v>
      </c>
      <c r="F21" t="s">
        <v>330</v>
      </c>
      <c r="H21">
        <v>1690303753.5</v>
      </c>
      <c r="I21">
        <f t="shared" si="0"/>
        <v>1.2364964822829142E-4</v>
      </c>
      <c r="J21">
        <f t="shared" si="1"/>
        <v>0.12364964822829143</v>
      </c>
      <c r="K21">
        <f t="shared" si="2"/>
        <v>-0.95236757150748352</v>
      </c>
      <c r="L21">
        <f t="shared" si="3"/>
        <v>809.27599999999995</v>
      </c>
      <c r="M21">
        <f t="shared" si="4"/>
        <v>949.464639949255</v>
      </c>
      <c r="N21">
        <f t="shared" si="5"/>
        <v>94.361186741225623</v>
      </c>
      <c r="O21">
        <f t="shared" si="6"/>
        <v>80.428739047378812</v>
      </c>
      <c r="P21">
        <f t="shared" si="7"/>
        <v>9.6496002630406703E-3</v>
      </c>
      <c r="Q21">
        <f t="shared" si="8"/>
        <v>2.099721576839543</v>
      </c>
      <c r="R21">
        <f t="shared" si="9"/>
        <v>9.6250311929683956E-3</v>
      </c>
      <c r="S21">
        <f t="shared" si="10"/>
        <v>6.017846674920278E-3</v>
      </c>
      <c r="T21">
        <f t="shared" si="11"/>
        <v>0</v>
      </c>
      <c r="U21">
        <f t="shared" si="12"/>
        <v>26.918517216461783</v>
      </c>
      <c r="V21">
        <f t="shared" si="13"/>
        <v>26.918517216461783</v>
      </c>
      <c r="W21">
        <f t="shared" si="14"/>
        <v>3.5620666958261147</v>
      </c>
      <c r="X21">
        <f t="shared" si="15"/>
        <v>65.051156813887985</v>
      </c>
      <c r="Y21">
        <f t="shared" si="16"/>
        <v>2.3231207942088905</v>
      </c>
      <c r="Z21">
        <f t="shared" si="17"/>
        <v>3.5712213402374422</v>
      </c>
      <c r="AA21">
        <f t="shared" si="18"/>
        <v>1.2389459016172242</v>
      </c>
      <c r="AB21">
        <f t="shared" si="19"/>
        <v>-5.4529494868676514</v>
      </c>
      <c r="AC21">
        <f t="shared" si="20"/>
        <v>4.9448993809910089</v>
      </c>
      <c r="AD21">
        <f t="shared" si="21"/>
        <v>0.50793913745322716</v>
      </c>
      <c r="AE21">
        <f t="shared" si="22"/>
        <v>-1.1096842341551394E-4</v>
      </c>
      <c r="AF21">
        <v>15</v>
      </c>
      <c r="AG21">
        <v>5</v>
      </c>
      <c r="AH21">
        <f t="shared" si="23"/>
        <v>1</v>
      </c>
      <c r="AI21">
        <f t="shared" si="24"/>
        <v>0</v>
      </c>
      <c r="AJ21">
        <f t="shared" si="25"/>
        <v>52479.79366286163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33</v>
      </c>
      <c r="AP21">
        <v>0.5</v>
      </c>
      <c r="AQ21" t="s">
        <v>331</v>
      </c>
      <c r="AR21">
        <v>2</v>
      </c>
      <c r="AS21">
        <v>1690303753.5</v>
      </c>
      <c r="AT21">
        <v>809.27599999999995</v>
      </c>
      <c r="AU21">
        <v>799.90599999999995</v>
      </c>
      <c r="AV21">
        <v>23.375299999999999</v>
      </c>
      <c r="AW21">
        <v>22.047699999999999</v>
      </c>
      <c r="AX21">
        <v>809.524</v>
      </c>
      <c r="AY21">
        <v>23.1035</v>
      </c>
      <c r="AZ21">
        <v>300.17</v>
      </c>
      <c r="BA21">
        <v>99.283600000000007</v>
      </c>
      <c r="BB21">
        <v>9.9971299999999999E-2</v>
      </c>
      <c r="BC21">
        <v>26.962199999999999</v>
      </c>
      <c r="BD21">
        <v>26.992899999999999</v>
      </c>
      <c r="BE21">
        <v>26.784099999999999</v>
      </c>
      <c r="BF21">
        <v>0</v>
      </c>
      <c r="BG21">
        <v>0</v>
      </c>
      <c r="BH21">
        <v>9995</v>
      </c>
      <c r="BI21">
        <v>0.68845500000000004</v>
      </c>
      <c r="BJ21">
        <v>1.5137799999999999</v>
      </c>
      <c r="BK21">
        <v>9.37012</v>
      </c>
      <c r="BL21">
        <v>828.64599999999996</v>
      </c>
      <c r="BM21">
        <v>817.93899999999996</v>
      </c>
      <c r="BN21">
        <v>1.32759</v>
      </c>
      <c r="BO21">
        <v>799.90599999999995</v>
      </c>
      <c r="BP21">
        <v>22.047699999999999</v>
      </c>
      <c r="BQ21">
        <v>2.3207900000000001</v>
      </c>
      <c r="BR21">
        <v>2.1889799999999999</v>
      </c>
      <c r="BS21">
        <v>19.821400000000001</v>
      </c>
      <c r="BT21">
        <v>18.881900000000002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1690303320.5</v>
      </c>
      <c r="CC21" t="s">
        <v>332</v>
      </c>
      <c r="CD21">
        <v>1690303320.5</v>
      </c>
      <c r="CE21">
        <v>1690303310.0999999</v>
      </c>
      <c r="CF21">
        <v>8</v>
      </c>
      <c r="CG21">
        <v>7.3999999999999996E-2</v>
      </c>
      <c r="CH21">
        <v>-0.01</v>
      </c>
      <c r="CI21">
        <v>-0.24199999999999999</v>
      </c>
      <c r="CJ21">
        <v>0.27200000000000002</v>
      </c>
      <c r="CK21">
        <v>800</v>
      </c>
      <c r="CL21">
        <v>23</v>
      </c>
      <c r="CM21">
        <v>0.06</v>
      </c>
      <c r="CN21">
        <v>0.09</v>
      </c>
      <c r="CO21">
        <v>9.2972426829268286</v>
      </c>
      <c r="CP21">
        <v>0.1032397212543769</v>
      </c>
      <c r="CQ21">
        <v>3.2327825515459638E-2</v>
      </c>
      <c r="CR21">
        <v>-1</v>
      </c>
      <c r="CS21">
        <v>1.3290353658536589</v>
      </c>
      <c r="CT21">
        <v>-1.4841114982569301E-3</v>
      </c>
      <c r="CU21">
        <v>1.2419950464552529E-3</v>
      </c>
      <c r="CV21">
        <v>-1</v>
      </c>
      <c r="CW21">
        <v>0</v>
      </c>
      <c r="CX21">
        <v>0</v>
      </c>
      <c r="CY21" t="s">
        <v>333</v>
      </c>
      <c r="CZ21">
        <v>2.3643000000000001</v>
      </c>
      <c r="DA21">
        <v>2.7137600000000002</v>
      </c>
      <c r="DB21">
        <v>0.14816799999999999</v>
      </c>
      <c r="DC21">
        <v>0.14666199999999999</v>
      </c>
      <c r="DD21">
        <v>0.11171</v>
      </c>
      <c r="DE21">
        <v>0.105907</v>
      </c>
      <c r="DF21">
        <v>31105.4</v>
      </c>
      <c r="DG21">
        <v>27509.599999999999</v>
      </c>
      <c r="DH21">
        <v>31173.9</v>
      </c>
      <c r="DI21">
        <v>28090.5</v>
      </c>
      <c r="DJ21">
        <v>37598.6</v>
      </c>
      <c r="DK21">
        <v>35715.1</v>
      </c>
      <c r="DL21">
        <v>44365.5</v>
      </c>
      <c r="DM21">
        <v>42580.5</v>
      </c>
      <c r="DN21">
        <v>1.43018</v>
      </c>
      <c r="DO21">
        <v>2.0630199999999999</v>
      </c>
      <c r="DP21">
        <v>7.4274800000000002E-2</v>
      </c>
      <c r="DQ21">
        <v>5.7920800000000001E-2</v>
      </c>
      <c r="DR21">
        <v>25.777000000000001</v>
      </c>
      <c r="DS21">
        <v>25.835799999999999</v>
      </c>
      <c r="DT21">
        <v>56.2</v>
      </c>
      <c r="DU21">
        <v>29.2</v>
      </c>
      <c r="DV21">
        <v>23.0303</v>
      </c>
      <c r="DW21">
        <v>61.711199999999998</v>
      </c>
      <c r="DX21">
        <v>35.027999999999999</v>
      </c>
      <c r="DY21">
        <v>1</v>
      </c>
      <c r="DZ21">
        <v>-7.9697699999999996E-2</v>
      </c>
      <c r="EA21">
        <v>-1.41083</v>
      </c>
      <c r="EB21">
        <v>20.297899999999998</v>
      </c>
      <c r="EC21">
        <v>5.2409499999999998</v>
      </c>
      <c r="ED21">
        <v>12.039899999999999</v>
      </c>
      <c r="EE21">
        <v>5.01675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1.8689199999999999</v>
      </c>
      <c r="EL21">
        <v>1.86463</v>
      </c>
      <c r="EM21">
        <v>1.8692</v>
      </c>
      <c r="EN21">
        <v>1.86724</v>
      </c>
      <c r="EO21">
        <v>1.8633999999999999</v>
      </c>
      <c r="EP21">
        <v>1.8644700000000001</v>
      </c>
      <c r="EQ21">
        <v>1.8702099999999999</v>
      </c>
      <c r="ER21">
        <v>1.8694500000000001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-0.248</v>
      </c>
      <c r="FG21">
        <v>0.27179999999999999</v>
      </c>
      <c r="FH21">
        <v>0.30965466913576151</v>
      </c>
      <c r="FI21">
        <v>-6.1462078757559423E-4</v>
      </c>
      <c r="FJ21">
        <v>-1.8861989874597051E-7</v>
      </c>
      <c r="FK21">
        <v>1.1980462299894961E-10</v>
      </c>
      <c r="FL21">
        <v>0.27184999999999349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7.2</v>
      </c>
      <c r="FU21">
        <v>7.4</v>
      </c>
      <c r="FV21">
        <v>1.79321</v>
      </c>
      <c r="FW21">
        <v>2.5891099999999998</v>
      </c>
      <c r="FX21">
        <v>1.5490699999999999</v>
      </c>
      <c r="FY21">
        <v>2.3303199999999999</v>
      </c>
      <c r="FZ21">
        <v>1.50146</v>
      </c>
      <c r="GA21">
        <v>2.34253</v>
      </c>
      <c r="GB21">
        <v>33.715499999999999</v>
      </c>
      <c r="GC21">
        <v>24.017499999999998</v>
      </c>
      <c r="GD21">
        <v>19</v>
      </c>
      <c r="GE21">
        <v>264.20600000000002</v>
      </c>
      <c r="GF21">
        <v>606.64499999999998</v>
      </c>
      <c r="GG21">
        <v>28.389500000000002</v>
      </c>
      <c r="GH21">
        <v>26.402200000000001</v>
      </c>
      <c r="GI21">
        <v>30.0001</v>
      </c>
      <c r="GJ21">
        <v>26.465800000000002</v>
      </c>
      <c r="GK21">
        <v>26.4361</v>
      </c>
      <c r="GL21">
        <v>35.860199999999999</v>
      </c>
      <c r="GM21">
        <v>13.0046</v>
      </c>
      <c r="GN21">
        <v>100</v>
      </c>
      <c r="GO21">
        <v>28.388500000000001</v>
      </c>
      <c r="GP21">
        <v>800</v>
      </c>
      <c r="GQ21">
        <v>22.0444</v>
      </c>
      <c r="GR21">
        <v>99.745900000000006</v>
      </c>
      <c r="GS21">
        <v>99.605999999999995</v>
      </c>
    </row>
    <row r="22" spans="1:201" x14ac:dyDescent="0.25">
      <c r="A22">
        <v>6</v>
      </c>
      <c r="B22">
        <v>1690303969.5</v>
      </c>
      <c r="C22">
        <v>219.5</v>
      </c>
      <c r="D22" t="s">
        <v>343</v>
      </c>
      <c r="E22" t="s">
        <v>344</v>
      </c>
      <c r="F22" t="s">
        <v>330</v>
      </c>
      <c r="H22">
        <v>1690303969.5</v>
      </c>
      <c r="I22">
        <f t="shared" si="0"/>
        <v>1.2379321332267596E-4</v>
      </c>
      <c r="J22">
        <f t="shared" si="1"/>
        <v>0.12379321332267597</v>
      </c>
      <c r="K22">
        <f t="shared" si="2"/>
        <v>-0.94597808741081557</v>
      </c>
      <c r="L22">
        <f t="shared" si="3"/>
        <v>809.24699999999996</v>
      </c>
      <c r="M22">
        <f t="shared" si="4"/>
        <v>1013.7617908209842</v>
      </c>
      <c r="N22">
        <f t="shared" si="5"/>
        <v>100.75951690859813</v>
      </c>
      <c r="O22">
        <f t="shared" si="6"/>
        <v>80.432442333123007</v>
      </c>
      <c r="P22">
        <f t="shared" si="7"/>
        <v>6.5276315055595125E-3</v>
      </c>
      <c r="Q22">
        <f t="shared" si="8"/>
        <v>2.0975451800757945</v>
      </c>
      <c r="R22">
        <f t="shared" si="9"/>
        <v>6.5163668650185394E-3</v>
      </c>
      <c r="S22">
        <f t="shared" si="10"/>
        <v>4.0737397329588323E-3</v>
      </c>
      <c r="T22">
        <f t="shared" si="11"/>
        <v>276.06806060539253</v>
      </c>
      <c r="U22">
        <f t="shared" si="12"/>
        <v>29.550796988026313</v>
      </c>
      <c r="V22">
        <f t="shared" si="13"/>
        <v>29.550796988026313</v>
      </c>
      <c r="W22">
        <f t="shared" si="14"/>
        <v>4.1517504394568592</v>
      </c>
      <c r="X22">
        <f t="shared" si="15"/>
        <v>63.523699586490011</v>
      </c>
      <c r="Y22">
        <f t="shared" si="16"/>
        <v>2.3251000661496999</v>
      </c>
      <c r="Z22">
        <f t="shared" si="17"/>
        <v>3.6602088374654325</v>
      </c>
      <c r="AA22">
        <f t="shared" si="18"/>
        <v>1.8266503733071593</v>
      </c>
      <c r="AB22">
        <f t="shared" si="19"/>
        <v>-5.4592807075300094</v>
      </c>
      <c r="AC22">
        <f t="shared" si="20"/>
        <v>-245.27637351536032</v>
      </c>
      <c r="AD22">
        <f t="shared" si="21"/>
        <v>-25.608109968403834</v>
      </c>
      <c r="AE22">
        <f t="shared" si="22"/>
        <v>-0.27570358590162414</v>
      </c>
      <c r="AF22">
        <v>14</v>
      </c>
      <c r="AG22">
        <v>5</v>
      </c>
      <c r="AH22">
        <f t="shared" si="23"/>
        <v>1</v>
      </c>
      <c r="AI22">
        <f t="shared" si="24"/>
        <v>0</v>
      </c>
      <c r="AJ22">
        <f t="shared" si="25"/>
        <v>52310.131295966981</v>
      </c>
      <c r="AK22">
        <f t="shared" si="26"/>
        <v>1799.69</v>
      </c>
      <c r="AL22">
        <f t="shared" si="27"/>
        <v>1498.8552953458</v>
      </c>
      <c r="AM22">
        <f t="shared" si="28"/>
        <v>0.83284081999999993</v>
      </c>
      <c r="AN22">
        <f t="shared" si="29"/>
        <v>0.15339756325000001</v>
      </c>
      <c r="AO22">
        <v>33</v>
      </c>
      <c r="AP22">
        <v>0.5</v>
      </c>
      <c r="AQ22" t="s">
        <v>331</v>
      </c>
      <c r="AR22">
        <v>2</v>
      </c>
      <c r="AS22">
        <v>1690303969.5</v>
      </c>
      <c r="AT22">
        <v>809.24699999999996</v>
      </c>
      <c r="AU22">
        <v>799.95</v>
      </c>
      <c r="AV22">
        <v>23.3933</v>
      </c>
      <c r="AW22">
        <v>22.064399999999999</v>
      </c>
      <c r="AX22">
        <v>809.495</v>
      </c>
      <c r="AY22">
        <v>23.121500000000001</v>
      </c>
      <c r="AZ22">
        <v>300.21899999999999</v>
      </c>
      <c r="BA22">
        <v>99.291700000000006</v>
      </c>
      <c r="BB22">
        <v>0.100009</v>
      </c>
      <c r="BC22">
        <v>27.381799999999998</v>
      </c>
      <c r="BD22">
        <v>28.712399999999999</v>
      </c>
      <c r="BE22">
        <v>28.290800000000001</v>
      </c>
      <c r="BF22">
        <v>0</v>
      </c>
      <c r="BG22">
        <v>0</v>
      </c>
      <c r="BH22">
        <v>9975</v>
      </c>
      <c r="BI22">
        <v>1075.92</v>
      </c>
      <c r="BJ22">
        <v>1.56985</v>
      </c>
      <c r="BK22">
        <v>9.2972400000000004</v>
      </c>
      <c r="BL22">
        <v>828.63099999999997</v>
      </c>
      <c r="BM22">
        <v>817.99800000000005</v>
      </c>
      <c r="BN22">
        <v>1.3289500000000001</v>
      </c>
      <c r="BO22">
        <v>799.95</v>
      </c>
      <c r="BP22">
        <v>22.064399999999999</v>
      </c>
      <c r="BQ22">
        <v>2.3227699999999998</v>
      </c>
      <c r="BR22">
        <v>2.1908099999999999</v>
      </c>
      <c r="BS22">
        <v>19.8352</v>
      </c>
      <c r="BT22">
        <v>18.895299999999999</v>
      </c>
      <c r="BU22">
        <v>1799.69</v>
      </c>
      <c r="BV22">
        <v>0.91000300000000001</v>
      </c>
      <c r="BW22">
        <v>3.4000099999999998E-2</v>
      </c>
      <c r="BX22">
        <v>2.20015E-2</v>
      </c>
      <c r="BY22">
        <v>3.3995900000000003E-2</v>
      </c>
      <c r="BZ22">
        <v>26</v>
      </c>
      <c r="CA22">
        <v>33522.699999999997</v>
      </c>
      <c r="CB22">
        <v>1690303320.5</v>
      </c>
      <c r="CC22" t="s">
        <v>332</v>
      </c>
      <c r="CD22">
        <v>1690303320.5</v>
      </c>
      <c r="CE22">
        <v>1690303310.0999999</v>
      </c>
      <c r="CF22">
        <v>8</v>
      </c>
      <c r="CG22">
        <v>7.3999999999999996E-2</v>
      </c>
      <c r="CH22">
        <v>-0.01</v>
      </c>
      <c r="CI22">
        <v>-0.24199999999999999</v>
      </c>
      <c r="CJ22">
        <v>0.27200000000000002</v>
      </c>
      <c r="CK22">
        <v>800</v>
      </c>
      <c r="CL22">
        <v>23</v>
      </c>
      <c r="CM22">
        <v>0.06</v>
      </c>
      <c r="CN22">
        <v>0.09</v>
      </c>
      <c r="CO22">
        <v>9.6867999999999999</v>
      </c>
      <c r="CP22">
        <v>-0.33376264808362482</v>
      </c>
      <c r="CQ22">
        <v>6.0119692605870793E-2</v>
      </c>
      <c r="CR22">
        <v>-1</v>
      </c>
      <c r="CS22">
        <v>1.282419756097561</v>
      </c>
      <c r="CT22">
        <v>7.7764808362369015E-2</v>
      </c>
      <c r="CU22">
        <v>9.5143584656918502E-3</v>
      </c>
      <c r="CV22">
        <v>-1</v>
      </c>
      <c r="CW22">
        <v>0</v>
      </c>
      <c r="CX22">
        <v>0</v>
      </c>
      <c r="CY22" t="s">
        <v>333</v>
      </c>
      <c r="CZ22">
        <v>2.3643999999999998</v>
      </c>
      <c r="DA22">
        <v>2.7137799999999999</v>
      </c>
      <c r="DB22">
        <v>0.14815900000000001</v>
      </c>
      <c r="DC22">
        <v>0.14666199999999999</v>
      </c>
      <c r="DD22">
        <v>0.111766</v>
      </c>
      <c r="DE22">
        <v>0.105958</v>
      </c>
      <c r="DF22">
        <v>31103.8</v>
      </c>
      <c r="DG22">
        <v>27507.5</v>
      </c>
      <c r="DH22">
        <v>31172.1</v>
      </c>
      <c r="DI22">
        <v>28088.5</v>
      </c>
      <c r="DJ22">
        <v>37594</v>
      </c>
      <c r="DK22">
        <v>35710.699999999997</v>
      </c>
      <c r="DL22">
        <v>44362.8</v>
      </c>
      <c r="DM22">
        <v>42577.8</v>
      </c>
      <c r="DN22">
        <v>1.43265</v>
      </c>
      <c r="DO22">
        <v>2.0618300000000001</v>
      </c>
      <c r="DP22">
        <v>0.178233</v>
      </c>
      <c r="DQ22">
        <v>0.14801300000000001</v>
      </c>
      <c r="DR22">
        <v>25.7988</v>
      </c>
      <c r="DS22">
        <v>25.8705</v>
      </c>
      <c r="DT22">
        <v>56.8</v>
      </c>
      <c r="DU22">
        <v>29.1</v>
      </c>
      <c r="DV22">
        <v>23.138100000000001</v>
      </c>
      <c r="DW22">
        <v>62.011200000000002</v>
      </c>
      <c r="DX22">
        <v>34.855800000000002</v>
      </c>
      <c r="DY22">
        <v>1</v>
      </c>
      <c r="DZ22">
        <v>-7.6100100000000004E-2</v>
      </c>
      <c r="EA22">
        <v>0.20286999999999999</v>
      </c>
      <c r="EB22">
        <v>20.186699999999998</v>
      </c>
      <c r="EC22">
        <v>5.2411000000000003</v>
      </c>
      <c r="ED22">
        <v>12.039899999999999</v>
      </c>
      <c r="EE22">
        <v>5.01715</v>
      </c>
      <c r="EF22">
        <v>3.2879999999999998</v>
      </c>
      <c r="EG22">
        <v>9999</v>
      </c>
      <c r="EH22">
        <v>9999</v>
      </c>
      <c r="EI22">
        <v>9999</v>
      </c>
      <c r="EJ22">
        <v>999.9</v>
      </c>
      <c r="EK22">
        <v>1.8689</v>
      </c>
      <c r="EL22">
        <v>1.8646199999999999</v>
      </c>
      <c r="EM22">
        <v>1.8691599999999999</v>
      </c>
      <c r="EN22">
        <v>1.8672299999999999</v>
      </c>
      <c r="EO22">
        <v>1.8633999999999999</v>
      </c>
      <c r="EP22">
        <v>1.8644700000000001</v>
      </c>
      <c r="EQ22">
        <v>1.8701399999999999</v>
      </c>
      <c r="ER22">
        <v>1.8694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-0.248</v>
      </c>
      <c r="FG22">
        <v>0.27179999999999999</v>
      </c>
      <c r="FH22">
        <v>0.30965466913576151</v>
      </c>
      <c r="FI22">
        <v>-6.1462078757559423E-4</v>
      </c>
      <c r="FJ22">
        <v>-1.8861989874597051E-7</v>
      </c>
      <c r="FK22">
        <v>1.1980462299894961E-10</v>
      </c>
      <c r="FL22">
        <v>0.27184999999999349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10.8</v>
      </c>
      <c r="FU22">
        <v>11</v>
      </c>
      <c r="FV22">
        <v>1.79443</v>
      </c>
      <c r="FW22">
        <v>2.5891099999999998</v>
      </c>
      <c r="FX22">
        <v>1.5490699999999999</v>
      </c>
      <c r="FY22">
        <v>2.3290999999999999</v>
      </c>
      <c r="FZ22">
        <v>1.50146</v>
      </c>
      <c r="GA22">
        <v>2.2961399999999998</v>
      </c>
      <c r="GB22">
        <v>33.738100000000003</v>
      </c>
      <c r="GC22">
        <v>23.982399999999998</v>
      </c>
      <c r="GD22">
        <v>19</v>
      </c>
      <c r="GE22">
        <v>265.42899999999997</v>
      </c>
      <c r="GF22">
        <v>606.24599999999998</v>
      </c>
      <c r="GG22">
        <v>28.330300000000001</v>
      </c>
      <c r="GH22">
        <v>26.448899999999998</v>
      </c>
      <c r="GI22">
        <v>30.000299999999999</v>
      </c>
      <c r="GJ22">
        <v>26.519100000000002</v>
      </c>
      <c r="GK22">
        <v>26.4892</v>
      </c>
      <c r="GL22">
        <v>35.886000000000003</v>
      </c>
      <c r="GM22">
        <v>12.176299999999999</v>
      </c>
      <c r="GN22">
        <v>100</v>
      </c>
      <c r="GO22">
        <v>28.029199999999999</v>
      </c>
      <c r="GP22">
        <v>800</v>
      </c>
      <c r="GQ22">
        <v>22.157299999999999</v>
      </c>
      <c r="GR22">
        <v>99.740099999999998</v>
      </c>
      <c r="GS22">
        <v>99.599299999999999</v>
      </c>
    </row>
    <row r="23" spans="1:201" x14ac:dyDescent="0.25">
      <c r="A23">
        <v>7</v>
      </c>
      <c r="B23">
        <v>1690303979.5</v>
      </c>
      <c r="C23">
        <v>229.5</v>
      </c>
      <c r="D23" t="s">
        <v>345</v>
      </c>
      <c r="E23" t="s">
        <v>346</v>
      </c>
      <c r="F23" t="s">
        <v>330</v>
      </c>
      <c r="H23">
        <v>1690303979.5</v>
      </c>
      <c r="I23">
        <f t="shared" si="0"/>
        <v>1.0693086819253136E-4</v>
      </c>
      <c r="J23">
        <f t="shared" si="1"/>
        <v>0.10693086819253135</v>
      </c>
      <c r="K23">
        <f t="shared" si="2"/>
        <v>-0.83608868998524666</v>
      </c>
      <c r="L23">
        <f t="shared" si="3"/>
        <v>808.03899999999999</v>
      </c>
      <c r="M23">
        <f t="shared" si="4"/>
        <v>1023.2640457433231</v>
      </c>
      <c r="N23">
        <f t="shared" si="5"/>
        <v>101.69963355079035</v>
      </c>
      <c r="O23">
        <f t="shared" si="6"/>
        <v>80.308958901269307</v>
      </c>
      <c r="P23">
        <f t="shared" si="7"/>
        <v>5.4945062227741053E-3</v>
      </c>
      <c r="Q23">
        <f t="shared" si="8"/>
        <v>2.0973564666124718</v>
      </c>
      <c r="R23">
        <f t="shared" si="9"/>
        <v>5.4865220388460789E-3</v>
      </c>
      <c r="S23">
        <f t="shared" si="10"/>
        <v>3.429792639296797E-3</v>
      </c>
      <c r="T23">
        <f t="shared" si="11"/>
        <v>276.10846347340652</v>
      </c>
      <c r="U23">
        <f t="shared" si="12"/>
        <v>29.769525734276748</v>
      </c>
      <c r="V23">
        <f t="shared" si="13"/>
        <v>29.769525734276748</v>
      </c>
      <c r="W23">
        <f t="shared" si="14"/>
        <v>4.2043731624467933</v>
      </c>
      <c r="X23">
        <f t="shared" si="15"/>
        <v>62.897764425583389</v>
      </c>
      <c r="Y23">
        <f t="shared" si="16"/>
        <v>2.33102398668193</v>
      </c>
      <c r="Z23">
        <f t="shared" si="17"/>
        <v>3.7060522070539541</v>
      </c>
      <c r="AA23">
        <f t="shared" si="18"/>
        <v>1.8733491757648633</v>
      </c>
      <c r="AB23">
        <f t="shared" si="19"/>
        <v>-4.7156512872906324</v>
      </c>
      <c r="AC23">
        <f t="shared" si="20"/>
        <v>-245.93599281961198</v>
      </c>
      <c r="AD23">
        <f t="shared" si="21"/>
        <v>-25.734453249924975</v>
      </c>
      <c r="AE23">
        <f t="shared" si="22"/>
        <v>-0.27763388342106055</v>
      </c>
      <c r="AF23">
        <v>15</v>
      </c>
      <c r="AG23">
        <v>5</v>
      </c>
      <c r="AH23">
        <f t="shared" si="23"/>
        <v>1</v>
      </c>
      <c r="AI23">
        <f t="shared" si="24"/>
        <v>0</v>
      </c>
      <c r="AJ23">
        <f t="shared" si="25"/>
        <v>52264.671694284494</v>
      </c>
      <c r="AK23">
        <f t="shared" si="26"/>
        <v>1799.95</v>
      </c>
      <c r="AL23">
        <f t="shared" si="27"/>
        <v>1499.0710095818999</v>
      </c>
      <c r="AM23">
        <f t="shared" si="28"/>
        <v>0.83284036199999989</v>
      </c>
      <c r="AN23">
        <f t="shared" si="29"/>
        <v>0.15339785187000002</v>
      </c>
      <c r="AO23">
        <v>33</v>
      </c>
      <c r="AP23">
        <v>0.5</v>
      </c>
      <c r="AQ23" t="s">
        <v>331</v>
      </c>
      <c r="AR23">
        <v>2</v>
      </c>
      <c r="AS23">
        <v>1690303979.5</v>
      </c>
      <c r="AT23">
        <v>808.03899999999999</v>
      </c>
      <c r="AU23">
        <v>799.79499999999996</v>
      </c>
      <c r="AV23">
        <v>23.453900000000001</v>
      </c>
      <c r="AW23">
        <v>22.305599999999998</v>
      </c>
      <c r="AX23">
        <v>808.28599999999994</v>
      </c>
      <c r="AY23">
        <v>23.182099999999998</v>
      </c>
      <c r="AZ23">
        <v>300.09199999999998</v>
      </c>
      <c r="BA23">
        <v>99.287599999999998</v>
      </c>
      <c r="BB23">
        <v>9.9878700000000001E-2</v>
      </c>
      <c r="BC23">
        <v>27.5945</v>
      </c>
      <c r="BD23">
        <v>29.801100000000002</v>
      </c>
      <c r="BE23">
        <v>29.065000000000001</v>
      </c>
      <c r="BF23">
        <v>0</v>
      </c>
      <c r="BG23">
        <v>0</v>
      </c>
      <c r="BH23">
        <v>9973.75</v>
      </c>
      <c r="BI23">
        <v>1079.02</v>
      </c>
      <c r="BJ23">
        <v>1.56985</v>
      </c>
      <c r="BK23">
        <v>8.2446300000000008</v>
      </c>
      <c r="BL23">
        <v>827.44600000000003</v>
      </c>
      <c r="BM23">
        <v>818.04200000000003</v>
      </c>
      <c r="BN23">
        <v>1.1483099999999999</v>
      </c>
      <c r="BO23">
        <v>799.79499999999996</v>
      </c>
      <c r="BP23">
        <v>22.305599999999998</v>
      </c>
      <c r="BQ23">
        <v>2.3286799999999999</v>
      </c>
      <c r="BR23">
        <v>2.2146699999999999</v>
      </c>
      <c r="BS23">
        <v>19.876200000000001</v>
      </c>
      <c r="BT23">
        <v>19.0688</v>
      </c>
      <c r="BU23">
        <v>1799.95</v>
      </c>
      <c r="BV23">
        <v>0.90999399999999997</v>
      </c>
      <c r="BW23">
        <v>3.4000200000000001E-2</v>
      </c>
      <c r="BX23">
        <v>2.20051E-2</v>
      </c>
      <c r="BY23">
        <v>3.4001099999999999E-2</v>
      </c>
      <c r="BZ23">
        <v>26</v>
      </c>
      <c r="CA23">
        <v>33527.300000000003</v>
      </c>
      <c r="CB23">
        <v>1690303320.5</v>
      </c>
      <c r="CC23" t="s">
        <v>332</v>
      </c>
      <c r="CD23">
        <v>1690303320.5</v>
      </c>
      <c r="CE23">
        <v>1690303310.0999999</v>
      </c>
      <c r="CF23">
        <v>8</v>
      </c>
      <c r="CG23">
        <v>7.3999999999999996E-2</v>
      </c>
      <c r="CH23">
        <v>-0.01</v>
      </c>
      <c r="CI23">
        <v>-0.24199999999999999</v>
      </c>
      <c r="CJ23">
        <v>0.27200000000000002</v>
      </c>
      <c r="CK23">
        <v>800</v>
      </c>
      <c r="CL23">
        <v>23</v>
      </c>
      <c r="CM23">
        <v>0.06</v>
      </c>
      <c r="CN23">
        <v>0.09</v>
      </c>
      <c r="CO23">
        <v>9.2161907500000009</v>
      </c>
      <c r="CP23">
        <v>-4.8585290431519983</v>
      </c>
      <c r="CQ23">
        <v>0.48528075828528122</v>
      </c>
      <c r="CR23">
        <v>-1</v>
      </c>
      <c r="CS23">
        <v>1.29501025</v>
      </c>
      <c r="CT23">
        <v>-4.6516660412762742E-2</v>
      </c>
      <c r="CU23">
        <v>3.824564664687341E-2</v>
      </c>
      <c r="CV23">
        <v>-1</v>
      </c>
      <c r="CW23">
        <v>0</v>
      </c>
      <c r="CX23">
        <v>0</v>
      </c>
      <c r="CY23" t="s">
        <v>333</v>
      </c>
      <c r="CZ23">
        <v>2.3640099999999999</v>
      </c>
      <c r="DA23">
        <v>2.7136499999999999</v>
      </c>
      <c r="DB23">
        <v>0.148006</v>
      </c>
      <c r="DC23">
        <v>0.14664099999999999</v>
      </c>
      <c r="DD23">
        <v>0.111966</v>
      </c>
      <c r="DE23">
        <v>0.106764</v>
      </c>
      <c r="DF23">
        <v>31108.5</v>
      </c>
      <c r="DG23">
        <v>27506.400000000001</v>
      </c>
      <c r="DH23">
        <v>31171.200000000001</v>
      </c>
      <c r="DI23">
        <v>28086.7</v>
      </c>
      <c r="DJ23">
        <v>37584.300000000003</v>
      </c>
      <c r="DK23">
        <v>35676.400000000001</v>
      </c>
      <c r="DL23">
        <v>44361.4</v>
      </c>
      <c r="DM23">
        <v>42575.3</v>
      </c>
      <c r="DN23">
        <v>1.4289700000000001</v>
      </c>
      <c r="DO23">
        <v>2.0625</v>
      </c>
      <c r="DP23">
        <v>0.24255399999999999</v>
      </c>
      <c r="DQ23">
        <v>0.19372300000000001</v>
      </c>
      <c r="DR23">
        <v>25.839600000000001</v>
      </c>
      <c r="DS23">
        <v>25.8994</v>
      </c>
      <c r="DT23">
        <v>56.8</v>
      </c>
      <c r="DU23">
        <v>29.1</v>
      </c>
      <c r="DV23">
        <v>23.1417</v>
      </c>
      <c r="DW23">
        <v>62.181199999999997</v>
      </c>
      <c r="DX23">
        <v>35.616999999999997</v>
      </c>
      <c r="DY23">
        <v>1</v>
      </c>
      <c r="DZ23">
        <v>-5.9438499999999998E-2</v>
      </c>
      <c r="EA23">
        <v>8.6009700000000002</v>
      </c>
      <c r="EB23">
        <v>19.889199999999999</v>
      </c>
      <c r="EC23">
        <v>5.24125</v>
      </c>
      <c r="ED23">
        <v>12.039899999999999</v>
      </c>
      <c r="EE23">
        <v>5.0167000000000002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1.8646100000000001</v>
      </c>
      <c r="EM23">
        <v>1.8691599999999999</v>
      </c>
      <c r="EN23">
        <v>1.8672299999999999</v>
      </c>
      <c r="EO23">
        <v>1.86337</v>
      </c>
      <c r="EP23">
        <v>1.8644700000000001</v>
      </c>
      <c r="EQ23">
        <v>1.8701300000000001</v>
      </c>
      <c r="ER23">
        <v>1.8693599999999999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-0.247</v>
      </c>
      <c r="FG23">
        <v>0.27179999999999999</v>
      </c>
      <c r="FH23">
        <v>0.30965466913576151</v>
      </c>
      <c r="FI23">
        <v>-6.1462078757559423E-4</v>
      </c>
      <c r="FJ23">
        <v>-1.8861989874597051E-7</v>
      </c>
      <c r="FK23">
        <v>1.1980462299894961E-10</v>
      </c>
      <c r="FL23">
        <v>0.27184999999999349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11</v>
      </c>
      <c r="FU23">
        <v>11.2</v>
      </c>
      <c r="FV23">
        <v>1.79565</v>
      </c>
      <c r="FW23">
        <v>2.5939899999999998</v>
      </c>
      <c r="FX23">
        <v>1.5490699999999999</v>
      </c>
      <c r="FY23">
        <v>2.3290999999999999</v>
      </c>
      <c r="FZ23">
        <v>1.50146</v>
      </c>
      <c r="GA23">
        <v>2.34863</v>
      </c>
      <c r="GB23">
        <v>33.738100000000003</v>
      </c>
      <c r="GC23">
        <v>23.8598</v>
      </c>
      <c r="GD23">
        <v>19</v>
      </c>
      <c r="GE23">
        <v>263.94499999999999</v>
      </c>
      <c r="GF23">
        <v>606.86699999999996</v>
      </c>
      <c r="GG23">
        <v>26.152999999999999</v>
      </c>
      <c r="GH23">
        <v>26.4511</v>
      </c>
      <c r="GI23">
        <v>30.0075</v>
      </c>
      <c r="GJ23">
        <v>26.5214</v>
      </c>
      <c r="GK23">
        <v>26.493099999999998</v>
      </c>
      <c r="GL23">
        <v>35.899500000000003</v>
      </c>
      <c r="GM23">
        <v>9.3064499999999999</v>
      </c>
      <c r="GN23">
        <v>100</v>
      </c>
      <c r="GO23">
        <v>24.113499999999998</v>
      </c>
      <c r="GP23">
        <v>800</v>
      </c>
      <c r="GQ23">
        <v>22.6632</v>
      </c>
      <c r="GR23">
        <v>99.737099999999998</v>
      </c>
      <c r="GS23">
        <v>99.593199999999996</v>
      </c>
    </row>
    <row r="24" spans="1:201" x14ac:dyDescent="0.25">
      <c r="A24">
        <v>8</v>
      </c>
      <c r="B24">
        <v>1690303989.5</v>
      </c>
      <c r="C24">
        <v>239.5</v>
      </c>
      <c r="D24" t="s">
        <v>347</v>
      </c>
      <c r="E24" t="s">
        <v>348</v>
      </c>
      <c r="F24" t="s">
        <v>330</v>
      </c>
      <c r="H24">
        <v>1690303989.5</v>
      </c>
      <c r="I24">
        <f t="shared" si="0"/>
        <v>6.6651587382451647E-5</v>
      </c>
      <c r="J24">
        <f t="shared" si="1"/>
        <v>6.6651587382451652E-2</v>
      </c>
      <c r="K24">
        <f t="shared" si="2"/>
        <v>-0.71262099676736368</v>
      </c>
      <c r="L24">
        <f t="shared" si="3"/>
        <v>807.101</v>
      </c>
      <c r="M24">
        <f t="shared" si="4"/>
        <v>1105.8884677738708</v>
      </c>
      <c r="N24">
        <f t="shared" si="5"/>
        <v>109.91425923559891</v>
      </c>
      <c r="O24">
        <f t="shared" si="6"/>
        <v>80.217771618404001</v>
      </c>
      <c r="P24">
        <f t="shared" si="7"/>
        <v>3.4774191834728066E-3</v>
      </c>
      <c r="Q24">
        <f t="shared" si="8"/>
        <v>2.0975257876702296</v>
      </c>
      <c r="R24">
        <f t="shared" si="9"/>
        <v>3.4742195332014593E-3</v>
      </c>
      <c r="S24">
        <f t="shared" si="10"/>
        <v>2.1716744322152173E-3</v>
      </c>
      <c r="T24">
        <f t="shared" si="11"/>
        <v>276.10536673298157</v>
      </c>
      <c r="U24">
        <f t="shared" si="12"/>
        <v>29.575503750345089</v>
      </c>
      <c r="V24">
        <f t="shared" si="13"/>
        <v>29.575503750345089</v>
      </c>
      <c r="W24">
        <f t="shared" si="14"/>
        <v>4.1576655920150802</v>
      </c>
      <c r="X24">
        <f t="shared" si="15"/>
        <v>63.176873337933479</v>
      </c>
      <c r="Y24">
        <f t="shared" si="16"/>
        <v>2.3129743560868001</v>
      </c>
      <c r="Z24">
        <f t="shared" si="17"/>
        <v>3.6611092538794794</v>
      </c>
      <c r="AA24">
        <f t="shared" si="18"/>
        <v>1.8446912359282801</v>
      </c>
      <c r="AB24">
        <f t="shared" si="19"/>
        <v>-2.9393350035661174</v>
      </c>
      <c r="AC24">
        <f t="shared" si="20"/>
        <v>-247.59304767076097</v>
      </c>
      <c r="AD24">
        <f t="shared" si="21"/>
        <v>-25.853946171975352</v>
      </c>
      <c r="AE24">
        <f t="shared" si="22"/>
        <v>-0.28096211332086796</v>
      </c>
      <c r="AF24">
        <v>16</v>
      </c>
      <c r="AG24">
        <v>5</v>
      </c>
      <c r="AH24">
        <f t="shared" si="23"/>
        <v>1</v>
      </c>
      <c r="AI24">
        <f t="shared" si="24"/>
        <v>0</v>
      </c>
      <c r="AJ24">
        <f t="shared" si="25"/>
        <v>52308.504291841025</v>
      </c>
      <c r="AK24">
        <f t="shared" si="26"/>
        <v>1799.94</v>
      </c>
      <c r="AL24">
        <f t="shared" si="27"/>
        <v>1499.0629457694599</v>
      </c>
      <c r="AM24">
        <f t="shared" si="28"/>
        <v>0.83284050899999995</v>
      </c>
      <c r="AN24">
        <f t="shared" si="29"/>
        <v>0.15339698363999998</v>
      </c>
      <c r="AO24">
        <v>33</v>
      </c>
      <c r="AP24">
        <v>0.5</v>
      </c>
      <c r="AQ24" t="s">
        <v>331</v>
      </c>
      <c r="AR24">
        <v>2</v>
      </c>
      <c r="AS24">
        <v>1690303989.5</v>
      </c>
      <c r="AT24">
        <v>807.101</v>
      </c>
      <c r="AU24">
        <v>799.85699999999997</v>
      </c>
      <c r="AV24">
        <v>23.271699999999999</v>
      </c>
      <c r="AW24">
        <v>22.555900000000001</v>
      </c>
      <c r="AX24">
        <v>807.34799999999996</v>
      </c>
      <c r="AY24">
        <v>22.9999</v>
      </c>
      <c r="AZ24">
        <v>300.12799999999999</v>
      </c>
      <c r="BA24">
        <v>99.29</v>
      </c>
      <c r="BB24">
        <v>0.100004</v>
      </c>
      <c r="BC24">
        <v>27.385999999999999</v>
      </c>
      <c r="BD24">
        <v>29.931999999999999</v>
      </c>
      <c r="BE24">
        <v>29.009799999999998</v>
      </c>
      <c r="BF24">
        <v>0</v>
      </c>
      <c r="BG24">
        <v>0</v>
      </c>
      <c r="BH24">
        <v>9975</v>
      </c>
      <c r="BI24">
        <v>1080.29</v>
      </c>
      <c r="BJ24">
        <v>1.56985</v>
      </c>
      <c r="BK24">
        <v>7.2446299999999999</v>
      </c>
      <c r="BL24">
        <v>826.33199999999999</v>
      </c>
      <c r="BM24">
        <v>818.31500000000005</v>
      </c>
      <c r="BN24">
        <v>0.71584899999999996</v>
      </c>
      <c r="BO24">
        <v>799.85699999999997</v>
      </c>
      <c r="BP24">
        <v>22.555900000000001</v>
      </c>
      <c r="BQ24">
        <v>2.3106499999999999</v>
      </c>
      <c r="BR24">
        <v>2.2395700000000001</v>
      </c>
      <c r="BS24">
        <v>19.750800000000002</v>
      </c>
      <c r="BT24">
        <v>19.248200000000001</v>
      </c>
      <c r="BU24">
        <v>1799.94</v>
      </c>
      <c r="BV24">
        <v>0.91000999999999999</v>
      </c>
      <c r="BW24">
        <v>3.4000200000000001E-2</v>
      </c>
      <c r="BX24">
        <v>2.1993700000000001E-2</v>
      </c>
      <c r="BY24">
        <v>3.3996600000000002E-2</v>
      </c>
      <c r="BZ24">
        <v>26</v>
      </c>
      <c r="CA24">
        <v>33527.4</v>
      </c>
      <c r="CB24">
        <v>1690303320.5</v>
      </c>
      <c r="CC24" t="s">
        <v>332</v>
      </c>
      <c r="CD24">
        <v>1690303320.5</v>
      </c>
      <c r="CE24">
        <v>1690303310.0999999</v>
      </c>
      <c r="CF24">
        <v>8</v>
      </c>
      <c r="CG24">
        <v>7.3999999999999996E-2</v>
      </c>
      <c r="CH24">
        <v>-0.01</v>
      </c>
      <c r="CI24">
        <v>-0.24199999999999999</v>
      </c>
      <c r="CJ24">
        <v>0.27200000000000002</v>
      </c>
      <c r="CK24">
        <v>800</v>
      </c>
      <c r="CL24">
        <v>23</v>
      </c>
      <c r="CM24">
        <v>0.06</v>
      </c>
      <c r="CN24">
        <v>0.09</v>
      </c>
      <c r="CO24">
        <v>8.31036675</v>
      </c>
      <c r="CP24">
        <v>-5.7255670919324793</v>
      </c>
      <c r="CQ24">
        <v>0.55243322496654523</v>
      </c>
      <c r="CR24">
        <v>-1</v>
      </c>
      <c r="CS24">
        <v>1.1440994499999999</v>
      </c>
      <c r="CT24">
        <v>-1.816886994371484</v>
      </c>
      <c r="CU24">
        <v>0.17972864237287689</v>
      </c>
      <c r="CV24">
        <v>-1</v>
      </c>
      <c r="CW24">
        <v>0</v>
      </c>
      <c r="CX24">
        <v>0</v>
      </c>
      <c r="CY24" t="s">
        <v>333</v>
      </c>
      <c r="CZ24">
        <v>2.3641100000000002</v>
      </c>
      <c r="DA24">
        <v>2.7137699999999998</v>
      </c>
      <c r="DB24">
        <v>0.147893</v>
      </c>
      <c r="DC24">
        <v>0.14665800000000001</v>
      </c>
      <c r="DD24">
        <v>0.11135100000000001</v>
      </c>
      <c r="DE24">
        <v>0.10760400000000001</v>
      </c>
      <c r="DF24">
        <v>31109.8</v>
      </c>
      <c r="DG24">
        <v>27503.7</v>
      </c>
      <c r="DH24">
        <v>31168.5</v>
      </c>
      <c r="DI24">
        <v>28084.5</v>
      </c>
      <c r="DJ24">
        <v>37607.5</v>
      </c>
      <c r="DK24">
        <v>35640.300000000003</v>
      </c>
      <c r="DL24">
        <v>44357.8</v>
      </c>
      <c r="DM24">
        <v>42572.3</v>
      </c>
      <c r="DN24">
        <v>1.4275</v>
      </c>
      <c r="DO24">
        <v>2.0624699999999998</v>
      </c>
      <c r="DP24">
        <v>0.24740400000000001</v>
      </c>
      <c r="DQ24">
        <v>0.188388</v>
      </c>
      <c r="DR24">
        <v>25.8919</v>
      </c>
      <c r="DS24">
        <v>25.9313</v>
      </c>
      <c r="DT24">
        <v>56.8</v>
      </c>
      <c r="DU24">
        <v>29.1</v>
      </c>
      <c r="DV24">
        <v>23.1435</v>
      </c>
      <c r="DW24">
        <v>62.3812</v>
      </c>
      <c r="DX24">
        <v>35.9696</v>
      </c>
      <c r="DY24">
        <v>1</v>
      </c>
      <c r="DZ24">
        <v>-5.0002499999999998E-2</v>
      </c>
      <c r="EA24">
        <v>9.2810500000000005</v>
      </c>
      <c r="EB24">
        <v>19.865500000000001</v>
      </c>
      <c r="EC24">
        <v>5.2408000000000001</v>
      </c>
      <c r="ED24">
        <v>12.039899999999999</v>
      </c>
      <c r="EE24">
        <v>5.0170500000000002</v>
      </c>
      <c r="EF24">
        <v>3.2879499999999999</v>
      </c>
      <c r="EG24">
        <v>9999</v>
      </c>
      <c r="EH24">
        <v>9999</v>
      </c>
      <c r="EI24">
        <v>9999</v>
      </c>
      <c r="EJ24">
        <v>999.9</v>
      </c>
      <c r="EK24">
        <v>1.8689</v>
      </c>
      <c r="EL24">
        <v>1.8646199999999999</v>
      </c>
      <c r="EM24">
        <v>1.86917</v>
      </c>
      <c r="EN24">
        <v>1.8672200000000001</v>
      </c>
      <c r="EO24">
        <v>1.8633599999999999</v>
      </c>
      <c r="EP24">
        <v>1.8644400000000001</v>
      </c>
      <c r="EQ24">
        <v>1.8701300000000001</v>
      </c>
      <c r="ER24">
        <v>1.8693599999999999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-0.247</v>
      </c>
      <c r="FG24">
        <v>0.27179999999999999</v>
      </c>
      <c r="FH24">
        <v>0.30965466913576151</v>
      </c>
      <c r="FI24">
        <v>-6.1462078757559423E-4</v>
      </c>
      <c r="FJ24">
        <v>-1.8861989874597051E-7</v>
      </c>
      <c r="FK24">
        <v>1.1980462299894961E-10</v>
      </c>
      <c r="FL24">
        <v>0.27184999999999349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11.2</v>
      </c>
      <c r="FU24">
        <v>11.3</v>
      </c>
      <c r="FV24">
        <v>1.79565</v>
      </c>
      <c r="FW24">
        <v>2.5891099999999998</v>
      </c>
      <c r="FX24">
        <v>1.5490699999999999</v>
      </c>
      <c r="FY24">
        <v>2.3290999999999999</v>
      </c>
      <c r="FZ24">
        <v>1.50146</v>
      </c>
      <c r="GA24">
        <v>2.3877000000000002</v>
      </c>
      <c r="GB24">
        <v>33.738100000000003</v>
      </c>
      <c r="GC24">
        <v>23.868600000000001</v>
      </c>
      <c r="GD24">
        <v>19</v>
      </c>
      <c r="GE24">
        <v>263.34500000000003</v>
      </c>
      <c r="GF24">
        <v>606.87900000000002</v>
      </c>
      <c r="GG24">
        <v>23.523299999999999</v>
      </c>
      <c r="GH24">
        <v>26.4541</v>
      </c>
      <c r="GI24">
        <v>30.003</v>
      </c>
      <c r="GJ24">
        <v>26.5214</v>
      </c>
      <c r="GK24">
        <v>26.495799999999999</v>
      </c>
      <c r="GL24">
        <v>35.908799999999999</v>
      </c>
      <c r="GM24">
        <v>7.37791</v>
      </c>
      <c r="GN24">
        <v>100</v>
      </c>
      <c r="GO24">
        <v>20.376999999999999</v>
      </c>
      <c r="GP24">
        <v>800</v>
      </c>
      <c r="GQ24">
        <v>22.860299999999999</v>
      </c>
      <c r="GR24">
        <v>99.728700000000003</v>
      </c>
      <c r="GS24">
        <v>99.585999999999999</v>
      </c>
    </row>
    <row r="25" spans="1:201" x14ac:dyDescent="0.25">
      <c r="A25">
        <v>9</v>
      </c>
      <c r="B25">
        <v>1690303999.5</v>
      </c>
      <c r="C25">
        <v>249.5</v>
      </c>
      <c r="D25" t="s">
        <v>349</v>
      </c>
      <c r="E25" t="s">
        <v>350</v>
      </c>
      <c r="F25" t="s">
        <v>330</v>
      </c>
      <c r="H25">
        <v>1690303999.5</v>
      </c>
      <c r="I25">
        <f t="shared" si="0"/>
        <v>1.7322320624074607E-5</v>
      </c>
      <c r="J25">
        <f t="shared" si="1"/>
        <v>1.7322320624074607E-2</v>
      </c>
      <c r="K25">
        <f t="shared" si="2"/>
        <v>-0.54007733359991117</v>
      </c>
      <c r="L25">
        <f t="shared" si="3"/>
        <v>805.673</v>
      </c>
      <c r="M25">
        <f t="shared" si="4"/>
        <v>1706.7710462334846</v>
      </c>
      <c r="N25">
        <f t="shared" si="5"/>
        <v>169.63046312143774</v>
      </c>
      <c r="O25">
        <f t="shared" si="6"/>
        <v>80.073237951883002</v>
      </c>
      <c r="P25">
        <f t="shared" si="7"/>
        <v>9.2052102562844088E-4</v>
      </c>
      <c r="Q25">
        <f t="shared" si="8"/>
        <v>2.0984109358671015</v>
      </c>
      <c r="R25">
        <f t="shared" si="9"/>
        <v>9.2029674586605644E-4</v>
      </c>
      <c r="S25">
        <f t="shared" si="10"/>
        <v>5.7520561176109541E-4</v>
      </c>
      <c r="T25">
        <f t="shared" si="11"/>
        <v>276.10784600055905</v>
      </c>
      <c r="U25">
        <f t="shared" si="12"/>
        <v>29.292534946658737</v>
      </c>
      <c r="V25">
        <f t="shared" si="13"/>
        <v>29.292534946658737</v>
      </c>
      <c r="W25">
        <f t="shared" si="14"/>
        <v>4.0903565774754123</v>
      </c>
      <c r="X25">
        <f t="shared" si="15"/>
        <v>63.370732837401611</v>
      </c>
      <c r="Y25">
        <f t="shared" si="16"/>
        <v>2.2795946117186001</v>
      </c>
      <c r="Z25">
        <f t="shared" si="17"/>
        <v>3.5972356790754612</v>
      </c>
      <c r="AA25">
        <f t="shared" si="18"/>
        <v>1.8107619657568121</v>
      </c>
      <c r="AB25">
        <f t="shared" si="19"/>
        <v>-0.76391433952169019</v>
      </c>
      <c r="AC25">
        <f t="shared" si="20"/>
        <v>-249.64688817642795</v>
      </c>
      <c r="AD25">
        <f t="shared" si="21"/>
        <v>-25.981887400498081</v>
      </c>
      <c r="AE25">
        <f t="shared" si="22"/>
        <v>-0.28484391588864355</v>
      </c>
      <c r="AF25">
        <v>16</v>
      </c>
      <c r="AG25">
        <v>5</v>
      </c>
      <c r="AH25">
        <f t="shared" si="23"/>
        <v>1</v>
      </c>
      <c r="AI25">
        <f t="shared" si="24"/>
        <v>0</v>
      </c>
      <c r="AJ25">
        <f t="shared" si="25"/>
        <v>52400.046117584287</v>
      </c>
      <c r="AK25">
        <f t="shared" si="26"/>
        <v>1799.95</v>
      </c>
      <c r="AL25">
        <f t="shared" si="27"/>
        <v>1499.0692006321499</v>
      </c>
      <c r="AM25">
        <f t="shared" si="28"/>
        <v>0.83283935699999989</v>
      </c>
      <c r="AN25">
        <f t="shared" si="29"/>
        <v>0.15339750882000003</v>
      </c>
      <c r="AO25">
        <v>33</v>
      </c>
      <c r="AP25">
        <v>0.5</v>
      </c>
      <c r="AQ25" t="s">
        <v>331</v>
      </c>
      <c r="AR25">
        <v>2</v>
      </c>
      <c r="AS25">
        <v>1690303999.5</v>
      </c>
      <c r="AT25">
        <v>805.673</v>
      </c>
      <c r="AU25">
        <v>799.88800000000003</v>
      </c>
      <c r="AV25">
        <v>22.936599999999999</v>
      </c>
      <c r="AW25">
        <v>22.750499999999999</v>
      </c>
      <c r="AX25">
        <v>805.91899999999998</v>
      </c>
      <c r="AY25">
        <v>22.6647</v>
      </c>
      <c r="AZ25">
        <v>300.12099999999998</v>
      </c>
      <c r="BA25">
        <v>99.286799999999999</v>
      </c>
      <c r="BB25">
        <v>9.9971000000000004E-2</v>
      </c>
      <c r="BC25">
        <v>27.085799999999999</v>
      </c>
      <c r="BD25">
        <v>29.659600000000001</v>
      </c>
      <c r="BE25">
        <v>28.698</v>
      </c>
      <c r="BF25">
        <v>0</v>
      </c>
      <c r="BG25">
        <v>0</v>
      </c>
      <c r="BH25">
        <v>9983.1200000000008</v>
      </c>
      <c r="BI25">
        <v>1080.45</v>
      </c>
      <c r="BJ25">
        <v>1.56985</v>
      </c>
      <c r="BK25">
        <v>5.7849700000000004</v>
      </c>
      <c r="BL25">
        <v>824.58600000000001</v>
      </c>
      <c r="BM25">
        <v>818.51</v>
      </c>
      <c r="BN25">
        <v>0.18609600000000001</v>
      </c>
      <c r="BO25">
        <v>799.88800000000003</v>
      </c>
      <c r="BP25">
        <v>22.750499999999999</v>
      </c>
      <c r="BQ25">
        <v>2.2772999999999999</v>
      </c>
      <c r="BR25">
        <v>2.2588200000000001</v>
      </c>
      <c r="BS25">
        <v>19.5167</v>
      </c>
      <c r="BT25">
        <v>19.3857</v>
      </c>
      <c r="BU25">
        <v>1799.95</v>
      </c>
      <c r="BV25">
        <v>0.90999200000000002</v>
      </c>
      <c r="BW25">
        <v>3.3999599999999998E-2</v>
      </c>
      <c r="BX25">
        <v>2.2001099999999999E-2</v>
      </c>
      <c r="BY25">
        <v>3.4007200000000001E-2</v>
      </c>
      <c r="BZ25">
        <v>26</v>
      </c>
      <c r="CA25">
        <v>33527.4</v>
      </c>
      <c r="CB25">
        <v>1690303320.5</v>
      </c>
      <c r="CC25" t="s">
        <v>332</v>
      </c>
      <c r="CD25">
        <v>1690303320.5</v>
      </c>
      <c r="CE25">
        <v>1690303310.0999999</v>
      </c>
      <c r="CF25">
        <v>8</v>
      </c>
      <c r="CG25">
        <v>7.3999999999999996E-2</v>
      </c>
      <c r="CH25">
        <v>-0.01</v>
      </c>
      <c r="CI25">
        <v>-0.24199999999999999</v>
      </c>
      <c r="CJ25">
        <v>0.27200000000000002</v>
      </c>
      <c r="CK25">
        <v>800</v>
      </c>
      <c r="CL25">
        <v>23</v>
      </c>
      <c r="CM25">
        <v>0.06</v>
      </c>
      <c r="CN25">
        <v>0.09</v>
      </c>
      <c r="CO25">
        <v>7.3434841463414653</v>
      </c>
      <c r="CP25">
        <v>-6.7622851567944267</v>
      </c>
      <c r="CQ25">
        <v>0.67105345239816105</v>
      </c>
      <c r="CR25">
        <v>-1</v>
      </c>
      <c r="CS25">
        <v>0.77138129268292666</v>
      </c>
      <c r="CT25">
        <v>-2.913667254355397</v>
      </c>
      <c r="CU25">
        <v>0.28849838838111341</v>
      </c>
      <c r="CV25">
        <v>-1</v>
      </c>
      <c r="CW25">
        <v>0</v>
      </c>
      <c r="CX25">
        <v>0</v>
      </c>
      <c r="CY25" t="s">
        <v>333</v>
      </c>
      <c r="CZ25">
        <v>2.3641100000000002</v>
      </c>
      <c r="DA25">
        <v>2.7137500000000001</v>
      </c>
      <c r="DB25">
        <v>0.147706</v>
      </c>
      <c r="DC25">
        <v>0.14665900000000001</v>
      </c>
      <c r="DD25">
        <v>0.11020199999999999</v>
      </c>
      <c r="DE25">
        <v>0.108248</v>
      </c>
      <c r="DF25">
        <v>31116.7</v>
      </c>
      <c r="DG25">
        <v>27504.400000000001</v>
      </c>
      <c r="DH25">
        <v>31168.6</v>
      </c>
      <c r="DI25">
        <v>28085.3</v>
      </c>
      <c r="DJ25">
        <v>37657.199999999997</v>
      </c>
      <c r="DK25">
        <v>35615.1</v>
      </c>
      <c r="DL25">
        <v>44358.5</v>
      </c>
      <c r="DM25">
        <v>42573.1</v>
      </c>
      <c r="DN25">
        <v>1.4268700000000001</v>
      </c>
      <c r="DO25">
        <v>2.0627</v>
      </c>
      <c r="DP25">
        <v>0.22815199999999999</v>
      </c>
      <c r="DQ25">
        <v>0.16880000000000001</v>
      </c>
      <c r="DR25">
        <v>25.933199999999999</v>
      </c>
      <c r="DS25">
        <v>25.938800000000001</v>
      </c>
      <c r="DT25">
        <v>56.8</v>
      </c>
      <c r="DU25">
        <v>29.1</v>
      </c>
      <c r="DV25">
        <v>23.1419</v>
      </c>
      <c r="DW25">
        <v>62.581200000000003</v>
      </c>
      <c r="DX25">
        <v>35.568899999999999</v>
      </c>
      <c r="DY25">
        <v>1</v>
      </c>
      <c r="DZ25">
        <v>-5.10315E-2</v>
      </c>
      <c r="EA25">
        <v>9.2810500000000005</v>
      </c>
      <c r="EB25">
        <v>19.877199999999998</v>
      </c>
      <c r="EC25">
        <v>5.2408000000000001</v>
      </c>
      <c r="ED25">
        <v>12.039899999999999</v>
      </c>
      <c r="EE25">
        <v>5.01675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1.8646199999999999</v>
      </c>
      <c r="EM25">
        <v>1.8691899999999999</v>
      </c>
      <c r="EN25">
        <v>1.8672299999999999</v>
      </c>
      <c r="EO25">
        <v>1.86337</v>
      </c>
      <c r="EP25">
        <v>1.8644700000000001</v>
      </c>
      <c r="EQ25">
        <v>1.8701399999999999</v>
      </c>
      <c r="ER25">
        <v>1.8694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-0.246</v>
      </c>
      <c r="FG25">
        <v>0.27189999999999998</v>
      </c>
      <c r="FH25">
        <v>0.30965466913576151</v>
      </c>
      <c r="FI25">
        <v>-6.1462078757559423E-4</v>
      </c>
      <c r="FJ25">
        <v>-1.8861989874597051E-7</v>
      </c>
      <c r="FK25">
        <v>1.1980462299894961E-10</v>
      </c>
      <c r="FL25">
        <v>0.27184999999999349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11.3</v>
      </c>
      <c r="FU25">
        <v>11.5</v>
      </c>
      <c r="FV25">
        <v>1.79688</v>
      </c>
      <c r="FW25">
        <v>2.5866699999999998</v>
      </c>
      <c r="FX25">
        <v>1.5490699999999999</v>
      </c>
      <c r="FY25">
        <v>2.3303199999999999</v>
      </c>
      <c r="FZ25">
        <v>1.50146</v>
      </c>
      <c r="GA25">
        <v>2.3962400000000001</v>
      </c>
      <c r="GB25">
        <v>33.738100000000003</v>
      </c>
      <c r="GC25">
        <v>23.877400000000002</v>
      </c>
      <c r="GD25">
        <v>19</v>
      </c>
      <c r="GE25">
        <v>263.08300000000003</v>
      </c>
      <c r="GF25">
        <v>607.096</v>
      </c>
      <c r="GG25">
        <v>21.7134</v>
      </c>
      <c r="GH25">
        <v>26.461600000000001</v>
      </c>
      <c r="GI25">
        <v>30</v>
      </c>
      <c r="GJ25">
        <v>26.519100000000002</v>
      </c>
      <c r="GK25">
        <v>26.498000000000001</v>
      </c>
      <c r="GL25">
        <v>35.918799999999997</v>
      </c>
      <c r="GM25">
        <v>5.76518</v>
      </c>
      <c r="GN25">
        <v>100</v>
      </c>
      <c r="GO25">
        <v>20.372299999999999</v>
      </c>
      <c r="GP25">
        <v>800</v>
      </c>
      <c r="GQ25">
        <v>22.972200000000001</v>
      </c>
      <c r="GR25">
        <v>99.729699999999994</v>
      </c>
      <c r="GS25">
        <v>99.588099999999997</v>
      </c>
    </row>
    <row r="26" spans="1:201" x14ac:dyDescent="0.25">
      <c r="A26">
        <v>10</v>
      </c>
      <c r="B26">
        <v>1690304009.5</v>
      </c>
      <c r="C26">
        <v>259.5</v>
      </c>
      <c r="D26" t="s">
        <v>351</v>
      </c>
      <c r="E26" t="s">
        <v>352</v>
      </c>
      <c r="F26" t="s">
        <v>330</v>
      </c>
      <c r="H26">
        <v>1690304009.5</v>
      </c>
      <c r="I26">
        <f t="shared" si="0"/>
        <v>-2.9347439294332565E-5</v>
      </c>
      <c r="J26">
        <f t="shared" si="1"/>
        <v>-2.9347439294332565E-2</v>
      </c>
      <c r="K26">
        <f t="shared" si="2"/>
        <v>-0.32640697363272397</v>
      </c>
      <c r="L26">
        <f t="shared" si="3"/>
        <v>803.80399999999997</v>
      </c>
      <c r="M26">
        <f t="shared" si="4"/>
        <v>455.62489294452524</v>
      </c>
      <c r="N26">
        <f t="shared" si="5"/>
        <v>45.281558275461222</v>
      </c>
      <c r="O26">
        <f t="shared" si="6"/>
        <v>79.884787314463992</v>
      </c>
      <c r="P26">
        <f t="shared" si="7"/>
        <v>-1.584304672079585E-3</v>
      </c>
      <c r="Q26">
        <f t="shared" si="8"/>
        <v>2.0985150984363461</v>
      </c>
      <c r="R26">
        <f t="shared" si="9"/>
        <v>-1.5849694698858875E-3</v>
      </c>
      <c r="S26">
        <f t="shared" si="10"/>
        <v>-9.9054616757455983E-4</v>
      </c>
      <c r="T26">
        <f t="shared" si="11"/>
        <v>276.10973158644185</v>
      </c>
      <c r="U26">
        <f t="shared" si="12"/>
        <v>29.005774525551615</v>
      </c>
      <c r="V26">
        <f t="shared" si="13"/>
        <v>29.005774525551615</v>
      </c>
      <c r="W26">
        <f t="shared" si="14"/>
        <v>4.023116825448847</v>
      </c>
      <c r="X26">
        <f t="shared" si="15"/>
        <v>63.417602183297504</v>
      </c>
      <c r="Y26">
        <f t="shared" si="16"/>
        <v>2.2409171406512001</v>
      </c>
      <c r="Z26">
        <f t="shared" si="17"/>
        <v>3.5335885676885423</v>
      </c>
      <c r="AA26">
        <f t="shared" si="18"/>
        <v>1.7821996847976469</v>
      </c>
      <c r="AB26">
        <f t="shared" si="19"/>
        <v>1.2942220728800662</v>
      </c>
      <c r="AC26">
        <f t="shared" si="20"/>
        <v>-251.58705559023193</v>
      </c>
      <c r="AD26">
        <f t="shared" si="21"/>
        <v>-26.105584858371966</v>
      </c>
      <c r="AE26">
        <f t="shared" si="22"/>
        <v>-0.288686789281968</v>
      </c>
      <c r="AF26">
        <v>16</v>
      </c>
      <c r="AG26">
        <v>5</v>
      </c>
      <c r="AH26">
        <f t="shared" si="23"/>
        <v>1</v>
      </c>
      <c r="AI26">
        <f t="shared" si="24"/>
        <v>0</v>
      </c>
      <c r="AJ26">
        <f t="shared" si="25"/>
        <v>52457.704309989822</v>
      </c>
      <c r="AK26">
        <f t="shared" si="26"/>
        <v>1799.97</v>
      </c>
      <c r="AL26">
        <f t="shared" si="27"/>
        <v>1499.0887949703301</v>
      </c>
      <c r="AM26">
        <f t="shared" si="28"/>
        <v>0.83284098900000003</v>
      </c>
      <c r="AN26">
        <f t="shared" si="29"/>
        <v>0.15339685194000002</v>
      </c>
      <c r="AO26">
        <v>33</v>
      </c>
      <c r="AP26">
        <v>0.5</v>
      </c>
      <c r="AQ26" t="s">
        <v>331</v>
      </c>
      <c r="AR26">
        <v>2</v>
      </c>
      <c r="AS26">
        <v>1690304009.5</v>
      </c>
      <c r="AT26">
        <v>803.80399999999997</v>
      </c>
      <c r="AU26">
        <v>799.95699999999999</v>
      </c>
      <c r="AV26">
        <v>22.548200000000001</v>
      </c>
      <c r="AW26">
        <v>22.863499999999998</v>
      </c>
      <c r="AX26">
        <v>804.048</v>
      </c>
      <c r="AY26">
        <v>22.276299999999999</v>
      </c>
      <c r="AZ26">
        <v>300.23099999999999</v>
      </c>
      <c r="BA26">
        <v>99.2834</v>
      </c>
      <c r="BB26">
        <v>0.10001599999999999</v>
      </c>
      <c r="BC26">
        <v>26.782</v>
      </c>
      <c r="BD26">
        <v>29.3855</v>
      </c>
      <c r="BE26">
        <v>28.362100000000002</v>
      </c>
      <c r="BF26">
        <v>0</v>
      </c>
      <c r="BG26">
        <v>0</v>
      </c>
      <c r="BH26">
        <v>9984.3799999999992</v>
      </c>
      <c r="BI26">
        <v>1080</v>
      </c>
      <c r="BJ26">
        <v>1.56985</v>
      </c>
      <c r="BK26">
        <v>3.8471099999999998</v>
      </c>
      <c r="BL26">
        <v>822.346</v>
      </c>
      <c r="BM26">
        <v>818.67399999999998</v>
      </c>
      <c r="BN26">
        <v>-0.31528899999999999</v>
      </c>
      <c r="BO26">
        <v>799.95699999999999</v>
      </c>
      <c r="BP26">
        <v>22.863499999999998</v>
      </c>
      <c r="BQ26">
        <v>2.2386599999999999</v>
      </c>
      <c r="BR26">
        <v>2.2699600000000002</v>
      </c>
      <c r="BS26">
        <v>19.241700000000002</v>
      </c>
      <c r="BT26">
        <v>19.4648</v>
      </c>
      <c r="BU26">
        <v>1799.97</v>
      </c>
      <c r="BV26">
        <v>0.91001600000000005</v>
      </c>
      <c r="BW26">
        <v>3.39975E-2</v>
      </c>
      <c r="BX26">
        <v>2.19927E-2</v>
      </c>
      <c r="BY26">
        <v>3.3994200000000002E-2</v>
      </c>
      <c r="BZ26">
        <v>26</v>
      </c>
      <c r="CA26">
        <v>33528</v>
      </c>
      <c r="CB26">
        <v>1690303320.5</v>
      </c>
      <c r="CC26" t="s">
        <v>332</v>
      </c>
      <c r="CD26">
        <v>1690303320.5</v>
      </c>
      <c r="CE26">
        <v>1690303310.0999999</v>
      </c>
      <c r="CF26">
        <v>8</v>
      </c>
      <c r="CG26">
        <v>7.3999999999999996E-2</v>
      </c>
      <c r="CH26">
        <v>-0.01</v>
      </c>
      <c r="CI26">
        <v>-0.24199999999999999</v>
      </c>
      <c r="CJ26">
        <v>0.27200000000000002</v>
      </c>
      <c r="CK26">
        <v>800</v>
      </c>
      <c r="CL26">
        <v>23</v>
      </c>
      <c r="CM26">
        <v>0.06</v>
      </c>
      <c r="CN26">
        <v>0.09</v>
      </c>
      <c r="CO26">
        <v>5.8441652499999996</v>
      </c>
      <c r="CP26">
        <v>-9.9804408630394299</v>
      </c>
      <c r="CQ26">
        <v>0.96340033857682306</v>
      </c>
      <c r="CR26">
        <v>-1</v>
      </c>
      <c r="CS26">
        <v>0.23182461774999999</v>
      </c>
      <c r="CT26">
        <v>-3.058338420000001</v>
      </c>
      <c r="CU26">
        <v>0.29431011256762962</v>
      </c>
      <c r="CV26">
        <v>-1</v>
      </c>
      <c r="CW26">
        <v>0</v>
      </c>
      <c r="CX26">
        <v>0</v>
      </c>
      <c r="CY26" t="s">
        <v>333</v>
      </c>
      <c r="CZ26">
        <v>2.3644599999999998</v>
      </c>
      <c r="DA26">
        <v>2.7137899999999999</v>
      </c>
      <c r="DB26">
        <v>0.14746300000000001</v>
      </c>
      <c r="DC26">
        <v>0.14666199999999999</v>
      </c>
      <c r="DD26">
        <v>0.108862</v>
      </c>
      <c r="DE26">
        <v>0.10861800000000001</v>
      </c>
      <c r="DF26">
        <v>31126.400000000001</v>
      </c>
      <c r="DG26">
        <v>27505.1</v>
      </c>
      <c r="DH26">
        <v>31169.4</v>
      </c>
      <c r="DI26">
        <v>28086.2</v>
      </c>
      <c r="DJ26">
        <v>37715.4</v>
      </c>
      <c r="DK26">
        <v>35601.5</v>
      </c>
      <c r="DL26">
        <v>44359.5</v>
      </c>
      <c r="DM26">
        <v>42574.5</v>
      </c>
      <c r="DN26">
        <v>1.4267000000000001</v>
      </c>
      <c r="DO26">
        <v>2.0626199999999999</v>
      </c>
      <c r="DP26">
        <v>0.21021799999999999</v>
      </c>
      <c r="DQ26">
        <v>0.149757</v>
      </c>
      <c r="DR26">
        <v>25.9513</v>
      </c>
      <c r="DS26">
        <v>25.913599999999999</v>
      </c>
      <c r="DT26">
        <v>56.8</v>
      </c>
      <c r="DU26">
        <v>29.1</v>
      </c>
      <c r="DV26">
        <v>23.1432</v>
      </c>
      <c r="DW26">
        <v>62.391100000000002</v>
      </c>
      <c r="DX26">
        <v>34.843800000000002</v>
      </c>
      <c r="DY26">
        <v>1</v>
      </c>
      <c r="DZ26">
        <v>-5.1999499999999997E-2</v>
      </c>
      <c r="EA26">
        <v>9.2810500000000005</v>
      </c>
      <c r="EB26">
        <v>19.886199999999999</v>
      </c>
      <c r="EC26">
        <v>5.2408000000000001</v>
      </c>
      <c r="ED26">
        <v>12.039899999999999</v>
      </c>
      <c r="EE26">
        <v>5.0172499999999998</v>
      </c>
      <c r="EF26">
        <v>3.2879999999999998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1.8646199999999999</v>
      </c>
      <c r="EM26">
        <v>1.8691899999999999</v>
      </c>
      <c r="EN26">
        <v>1.8672200000000001</v>
      </c>
      <c r="EO26">
        <v>1.8633999999999999</v>
      </c>
      <c r="EP26">
        <v>1.8644700000000001</v>
      </c>
      <c r="EQ26">
        <v>1.8701300000000001</v>
      </c>
      <c r="ER26">
        <v>1.86937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-0.24399999999999999</v>
      </c>
      <c r="FG26">
        <v>0.27189999999999998</v>
      </c>
      <c r="FH26">
        <v>0.30965466913576151</v>
      </c>
      <c r="FI26">
        <v>-6.1462078757559423E-4</v>
      </c>
      <c r="FJ26">
        <v>-1.8861989874597051E-7</v>
      </c>
      <c r="FK26">
        <v>1.1980462299894961E-10</v>
      </c>
      <c r="FL26">
        <v>0.27184999999999349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11.5</v>
      </c>
      <c r="FU26">
        <v>11.7</v>
      </c>
      <c r="FV26">
        <v>1.79688</v>
      </c>
      <c r="FW26">
        <v>2.5842299999999998</v>
      </c>
      <c r="FX26">
        <v>1.5490699999999999</v>
      </c>
      <c r="FY26">
        <v>2.3290999999999999</v>
      </c>
      <c r="FZ26">
        <v>1.50146</v>
      </c>
      <c r="GA26">
        <v>2.3730500000000001</v>
      </c>
      <c r="GB26">
        <v>33.760599999999997</v>
      </c>
      <c r="GC26">
        <v>23.877400000000002</v>
      </c>
      <c r="GD26">
        <v>19</v>
      </c>
      <c r="GE26">
        <v>263.02100000000002</v>
      </c>
      <c r="GF26">
        <v>607.07100000000003</v>
      </c>
      <c r="GG26">
        <v>20.318200000000001</v>
      </c>
      <c r="GH26">
        <v>26.472799999999999</v>
      </c>
      <c r="GI26">
        <v>29.999600000000001</v>
      </c>
      <c r="GJ26">
        <v>26.5214</v>
      </c>
      <c r="GK26">
        <v>26.5014</v>
      </c>
      <c r="GL26">
        <v>35.926699999999997</v>
      </c>
      <c r="GM26">
        <v>4.7690599999999996</v>
      </c>
      <c r="GN26">
        <v>100</v>
      </c>
      <c r="GO26">
        <v>20.203700000000001</v>
      </c>
      <c r="GP26">
        <v>800</v>
      </c>
      <c r="GQ26">
        <v>23.113099999999999</v>
      </c>
      <c r="GR26">
        <v>99.732100000000003</v>
      </c>
      <c r="GS26">
        <v>99.591499999999996</v>
      </c>
    </row>
    <row r="27" spans="1:201" x14ac:dyDescent="0.25">
      <c r="A27">
        <v>11</v>
      </c>
      <c r="B27">
        <v>1690304019.5</v>
      </c>
      <c r="C27">
        <v>269.5</v>
      </c>
      <c r="D27" t="s">
        <v>353</v>
      </c>
      <c r="E27" t="s">
        <v>354</v>
      </c>
      <c r="F27" t="s">
        <v>330</v>
      </c>
      <c r="H27">
        <v>1690304019.5</v>
      </c>
      <c r="I27">
        <f t="shared" si="0"/>
        <v>-8.3010427632421722E-5</v>
      </c>
      <c r="J27">
        <f t="shared" si="1"/>
        <v>-8.3010427632421724E-2</v>
      </c>
      <c r="K27">
        <f t="shared" si="2"/>
        <v>-0.11683408478907437</v>
      </c>
      <c r="L27">
        <f t="shared" si="3"/>
        <v>802.14599999999996</v>
      </c>
      <c r="M27">
        <f t="shared" si="4"/>
        <v>737.89139005090726</v>
      </c>
      <c r="N27">
        <f t="shared" si="5"/>
        <v>73.332652827115197</v>
      </c>
      <c r="O27">
        <f t="shared" si="6"/>
        <v>79.718363607143999</v>
      </c>
      <c r="P27">
        <f t="shared" si="7"/>
        <v>-4.4963534282683008E-3</v>
      </c>
      <c r="Q27">
        <f t="shared" si="8"/>
        <v>2.1011122900727184</v>
      </c>
      <c r="R27">
        <f t="shared" si="9"/>
        <v>-4.5017059339638576E-3</v>
      </c>
      <c r="S27">
        <f t="shared" si="10"/>
        <v>-2.8130847902010929E-3</v>
      </c>
      <c r="T27">
        <f t="shared" si="11"/>
        <v>276.11178506421658</v>
      </c>
      <c r="U27">
        <f t="shared" si="12"/>
        <v>28.745624799631273</v>
      </c>
      <c r="V27">
        <f t="shared" si="13"/>
        <v>28.745624799631273</v>
      </c>
      <c r="W27">
        <f t="shared" si="14"/>
        <v>3.962952645763568</v>
      </c>
      <c r="X27">
        <f t="shared" si="15"/>
        <v>62.912836497336855</v>
      </c>
      <c r="Y27">
        <f t="shared" si="16"/>
        <v>2.1870856775480001</v>
      </c>
      <c r="Z27">
        <f t="shared" si="17"/>
        <v>3.4763742970650844</v>
      </c>
      <c r="AA27">
        <f t="shared" si="18"/>
        <v>1.7758669682155679</v>
      </c>
      <c r="AB27">
        <f t="shared" si="19"/>
        <v>3.660759858589798</v>
      </c>
      <c r="AC27">
        <f t="shared" si="20"/>
        <v>-253.82980066754664</v>
      </c>
      <c r="AD27">
        <f t="shared" si="21"/>
        <v>-26.235345472847786</v>
      </c>
      <c r="AE27">
        <f t="shared" si="22"/>
        <v>-0.29260121758807145</v>
      </c>
      <c r="AF27">
        <v>17</v>
      </c>
      <c r="AG27">
        <v>6</v>
      </c>
      <c r="AH27">
        <f t="shared" si="23"/>
        <v>1</v>
      </c>
      <c r="AI27">
        <f t="shared" si="24"/>
        <v>0</v>
      </c>
      <c r="AJ27">
        <f t="shared" si="25"/>
        <v>52621.816617791577</v>
      </c>
      <c r="AK27">
        <f t="shared" si="26"/>
        <v>1799.97</v>
      </c>
      <c r="AL27">
        <f t="shared" si="27"/>
        <v>1499.08743419301</v>
      </c>
      <c r="AM27">
        <f t="shared" si="28"/>
        <v>0.83284023299999999</v>
      </c>
      <c r="AN27">
        <f t="shared" si="29"/>
        <v>0.15339799277999999</v>
      </c>
      <c r="AO27">
        <v>33</v>
      </c>
      <c r="AP27">
        <v>0.5</v>
      </c>
      <c r="AQ27" t="s">
        <v>331</v>
      </c>
      <c r="AR27">
        <v>2</v>
      </c>
      <c r="AS27">
        <v>1690304019.5</v>
      </c>
      <c r="AT27">
        <v>802.14599999999996</v>
      </c>
      <c r="AU27">
        <v>800.13</v>
      </c>
      <c r="AV27">
        <v>22.007000000000001</v>
      </c>
      <c r="AW27">
        <v>22.8993</v>
      </c>
      <c r="AX27">
        <v>802.38900000000001</v>
      </c>
      <c r="AY27">
        <v>21.735199999999999</v>
      </c>
      <c r="AZ27">
        <v>300.24200000000002</v>
      </c>
      <c r="BA27">
        <v>99.281400000000005</v>
      </c>
      <c r="BB27">
        <v>9.9963999999999997E-2</v>
      </c>
      <c r="BC27">
        <v>26.504799999999999</v>
      </c>
      <c r="BD27">
        <v>29.077999999999999</v>
      </c>
      <c r="BE27">
        <v>28.0032</v>
      </c>
      <c r="BF27">
        <v>0</v>
      </c>
      <c r="BG27">
        <v>0</v>
      </c>
      <c r="BH27">
        <v>10007.5</v>
      </c>
      <c r="BI27">
        <v>1079.03</v>
      </c>
      <c r="BJ27">
        <v>1.5306</v>
      </c>
      <c r="BK27">
        <v>2.0158700000000001</v>
      </c>
      <c r="BL27">
        <v>820.19600000000003</v>
      </c>
      <c r="BM27">
        <v>818.88199999999995</v>
      </c>
      <c r="BN27">
        <v>-0.892239</v>
      </c>
      <c r="BO27">
        <v>800.13</v>
      </c>
      <c r="BP27">
        <v>22.8993</v>
      </c>
      <c r="BQ27">
        <v>2.1848900000000002</v>
      </c>
      <c r="BR27">
        <v>2.2734700000000001</v>
      </c>
      <c r="BS27">
        <v>18.851900000000001</v>
      </c>
      <c r="BT27">
        <v>19.489699999999999</v>
      </c>
      <c r="BU27">
        <v>1799.97</v>
      </c>
      <c r="BV27">
        <v>0.909995</v>
      </c>
      <c r="BW27">
        <v>3.4005300000000002E-2</v>
      </c>
      <c r="BX27">
        <v>2.20079E-2</v>
      </c>
      <c r="BY27">
        <v>3.3991800000000003E-2</v>
      </c>
      <c r="BZ27">
        <v>26</v>
      </c>
      <c r="CA27">
        <v>33527.699999999997</v>
      </c>
      <c r="CB27">
        <v>1690303320.5</v>
      </c>
      <c r="CC27" t="s">
        <v>332</v>
      </c>
      <c r="CD27">
        <v>1690303320.5</v>
      </c>
      <c r="CE27">
        <v>1690303310.0999999</v>
      </c>
      <c r="CF27">
        <v>8</v>
      </c>
      <c r="CG27">
        <v>7.3999999999999996E-2</v>
      </c>
      <c r="CH27">
        <v>-0.01</v>
      </c>
      <c r="CI27">
        <v>-0.24199999999999999</v>
      </c>
      <c r="CJ27">
        <v>0.27200000000000002</v>
      </c>
      <c r="CK27">
        <v>800</v>
      </c>
      <c r="CL27">
        <v>23</v>
      </c>
      <c r="CM27">
        <v>0.06</v>
      </c>
      <c r="CN27">
        <v>0.09</v>
      </c>
      <c r="CO27">
        <v>3.9968270731707332</v>
      </c>
      <c r="CP27">
        <v>-11.53050857142857</v>
      </c>
      <c r="CQ27">
        <v>1.137551779787958</v>
      </c>
      <c r="CR27">
        <v>-1</v>
      </c>
      <c r="CS27">
        <v>-0.30600688512195118</v>
      </c>
      <c r="CT27">
        <v>-3.2572644399303141</v>
      </c>
      <c r="CU27">
        <v>0.32148663099585162</v>
      </c>
      <c r="CV27">
        <v>-1</v>
      </c>
      <c r="CW27">
        <v>0</v>
      </c>
      <c r="CX27">
        <v>0</v>
      </c>
      <c r="CY27" t="s">
        <v>333</v>
      </c>
      <c r="CZ27">
        <v>2.3644500000000002</v>
      </c>
      <c r="DA27">
        <v>2.7137600000000002</v>
      </c>
      <c r="DB27">
        <v>0.14724499999999999</v>
      </c>
      <c r="DC27">
        <v>0.14668100000000001</v>
      </c>
      <c r="DD27">
        <v>0.10698299999999999</v>
      </c>
      <c r="DE27">
        <v>0.108735</v>
      </c>
      <c r="DF27">
        <v>31134.6</v>
      </c>
      <c r="DG27">
        <v>27504.5</v>
      </c>
      <c r="DH27">
        <v>31169.8</v>
      </c>
      <c r="DI27">
        <v>28086.2</v>
      </c>
      <c r="DJ27">
        <v>37796.300000000003</v>
      </c>
      <c r="DK27">
        <v>35596.9</v>
      </c>
      <c r="DL27">
        <v>44360.2</v>
      </c>
      <c r="DM27">
        <v>42574.5</v>
      </c>
      <c r="DN27">
        <v>1.4258500000000001</v>
      </c>
      <c r="DO27">
        <v>2.06243</v>
      </c>
      <c r="DP27">
        <v>0.19164400000000001</v>
      </c>
      <c r="DQ27">
        <v>0.13092899999999999</v>
      </c>
      <c r="DR27">
        <v>25.946400000000001</v>
      </c>
      <c r="DS27">
        <v>25.861799999999999</v>
      </c>
      <c r="DT27">
        <v>56.9</v>
      </c>
      <c r="DU27">
        <v>29.1</v>
      </c>
      <c r="DV27">
        <v>23.185300000000002</v>
      </c>
      <c r="DW27">
        <v>62.6511</v>
      </c>
      <c r="DX27">
        <v>35.012</v>
      </c>
      <c r="DY27">
        <v>1</v>
      </c>
      <c r="DZ27">
        <v>-5.2456799999999998E-2</v>
      </c>
      <c r="EA27">
        <v>9.2711900000000007</v>
      </c>
      <c r="EB27">
        <v>19.893599999999999</v>
      </c>
      <c r="EC27">
        <v>5.2409499999999998</v>
      </c>
      <c r="ED27">
        <v>12.039899999999999</v>
      </c>
      <c r="EE27">
        <v>5.0172499999999998</v>
      </c>
      <c r="EF27">
        <v>3.2879700000000001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1.8692</v>
      </c>
      <c r="EN27">
        <v>1.8672200000000001</v>
      </c>
      <c r="EO27">
        <v>1.8633900000000001</v>
      </c>
      <c r="EP27">
        <v>1.8644700000000001</v>
      </c>
      <c r="EQ27">
        <v>1.8701399999999999</v>
      </c>
      <c r="ER27">
        <v>1.86938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-0.24299999999999999</v>
      </c>
      <c r="FG27">
        <v>0.27179999999999999</v>
      </c>
      <c r="FH27">
        <v>0.30965466913576151</v>
      </c>
      <c r="FI27">
        <v>-6.1462078757559423E-4</v>
      </c>
      <c r="FJ27">
        <v>-1.8861989874597051E-7</v>
      </c>
      <c r="FK27">
        <v>1.1980462299894961E-10</v>
      </c>
      <c r="FL27">
        <v>0.27184999999999349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11.7</v>
      </c>
      <c r="FU27">
        <v>11.8</v>
      </c>
      <c r="FV27">
        <v>1.79688</v>
      </c>
      <c r="FW27">
        <v>2.5964399999999999</v>
      </c>
      <c r="FX27">
        <v>1.5490699999999999</v>
      </c>
      <c r="FY27">
        <v>2.3290999999999999</v>
      </c>
      <c r="FZ27">
        <v>1.50146</v>
      </c>
      <c r="GA27">
        <v>2.2802699999999998</v>
      </c>
      <c r="GB27">
        <v>33.760599999999997</v>
      </c>
      <c r="GC27">
        <v>23.842300000000002</v>
      </c>
      <c r="GD27">
        <v>19</v>
      </c>
      <c r="GE27">
        <v>262.68599999999998</v>
      </c>
      <c r="GF27">
        <v>606.94000000000005</v>
      </c>
      <c r="GG27">
        <v>19.217700000000001</v>
      </c>
      <c r="GH27">
        <v>26.488099999999999</v>
      </c>
      <c r="GI27">
        <v>29.999700000000001</v>
      </c>
      <c r="GJ27">
        <v>26.523599999999998</v>
      </c>
      <c r="GK27">
        <v>26.5047</v>
      </c>
      <c r="GL27">
        <v>35.925800000000002</v>
      </c>
      <c r="GM27">
        <v>6.8208099999999998</v>
      </c>
      <c r="GN27">
        <v>100</v>
      </c>
      <c r="GO27">
        <v>20.360900000000001</v>
      </c>
      <c r="GP27">
        <v>800</v>
      </c>
      <c r="GQ27">
        <v>22.303100000000001</v>
      </c>
      <c r="GR27">
        <v>99.733599999999996</v>
      </c>
      <c r="GS27">
        <v>99.591499999999996</v>
      </c>
    </row>
    <row r="28" spans="1:201" x14ac:dyDescent="0.25">
      <c r="A28">
        <v>12</v>
      </c>
      <c r="B28">
        <v>1690304029.5</v>
      </c>
      <c r="C28">
        <v>279.5</v>
      </c>
      <c r="D28" t="s">
        <v>355</v>
      </c>
      <c r="E28" t="s">
        <v>356</v>
      </c>
      <c r="F28" t="s">
        <v>330</v>
      </c>
      <c r="H28">
        <v>1690304029.5</v>
      </c>
      <c r="I28">
        <f t="shared" si="0"/>
        <v>-8.537191822064876E-5</v>
      </c>
      <c r="J28">
        <f t="shared" si="1"/>
        <v>-8.5371918220648754E-2</v>
      </c>
      <c r="K28">
        <f t="shared" si="2"/>
        <v>1.1553608440171808E-3</v>
      </c>
      <c r="L28">
        <f t="shared" si="3"/>
        <v>800.80799999999999</v>
      </c>
      <c r="M28">
        <f t="shared" si="4"/>
        <v>778.17854387644559</v>
      </c>
      <c r="N28">
        <f t="shared" si="5"/>
        <v>77.336967283777952</v>
      </c>
      <c r="O28">
        <f t="shared" si="6"/>
        <v>79.585928684280006</v>
      </c>
      <c r="P28">
        <f t="shared" si="7"/>
        <v>-4.6788680132690136E-3</v>
      </c>
      <c r="Q28">
        <f t="shared" si="8"/>
        <v>2.105143313237412</v>
      </c>
      <c r="R28">
        <f t="shared" si="9"/>
        <v>-4.6846530616604888E-3</v>
      </c>
      <c r="S28">
        <f t="shared" si="10"/>
        <v>-2.9273878188655358E-3</v>
      </c>
      <c r="T28">
        <f t="shared" si="11"/>
        <v>276.10896657883399</v>
      </c>
      <c r="U28">
        <f t="shared" si="12"/>
        <v>28.529783416547286</v>
      </c>
      <c r="V28">
        <f t="shared" si="13"/>
        <v>28.529783416547286</v>
      </c>
      <c r="W28">
        <f t="shared" si="14"/>
        <v>3.9136326360224261</v>
      </c>
      <c r="X28">
        <f t="shared" si="15"/>
        <v>62.857315407973736</v>
      </c>
      <c r="Y28">
        <f t="shared" si="16"/>
        <v>2.1578423731409999</v>
      </c>
      <c r="Z28">
        <f t="shared" si="17"/>
        <v>3.4329216243735217</v>
      </c>
      <c r="AA28">
        <f t="shared" si="18"/>
        <v>1.7557902628814261</v>
      </c>
      <c r="AB28">
        <f t="shared" si="19"/>
        <v>3.7649015935306105</v>
      </c>
      <c r="AC28">
        <f t="shared" si="20"/>
        <v>-254.01700074666621</v>
      </c>
      <c r="AD28">
        <f t="shared" si="21"/>
        <v>-26.148363119068037</v>
      </c>
      <c r="AE28">
        <f t="shared" si="22"/>
        <v>-0.29149569336965442</v>
      </c>
      <c r="AF28">
        <v>14</v>
      </c>
      <c r="AG28">
        <v>5</v>
      </c>
      <c r="AH28">
        <f t="shared" si="23"/>
        <v>1</v>
      </c>
      <c r="AI28">
        <f t="shared" si="24"/>
        <v>0</v>
      </c>
      <c r="AJ28">
        <f t="shared" si="25"/>
        <v>52839.217229777547</v>
      </c>
      <c r="AK28">
        <f t="shared" si="26"/>
        <v>1799.96</v>
      </c>
      <c r="AL28">
        <f t="shared" si="27"/>
        <v>1499.0792713869998</v>
      </c>
      <c r="AM28">
        <f t="shared" si="28"/>
        <v>0.83284032499999994</v>
      </c>
      <c r="AN28">
        <f t="shared" si="29"/>
        <v>0.15339727914999998</v>
      </c>
      <c r="AO28">
        <v>33</v>
      </c>
      <c r="AP28">
        <v>0.5</v>
      </c>
      <c r="AQ28" t="s">
        <v>331</v>
      </c>
      <c r="AR28">
        <v>2</v>
      </c>
      <c r="AS28">
        <v>1690304029.5</v>
      </c>
      <c r="AT28">
        <v>800.80799999999999</v>
      </c>
      <c r="AU28">
        <v>800.06899999999996</v>
      </c>
      <c r="AV28">
        <v>21.712599999999998</v>
      </c>
      <c r="AW28">
        <v>22.6309</v>
      </c>
      <c r="AX28">
        <v>801.05100000000004</v>
      </c>
      <c r="AY28">
        <v>21.4407</v>
      </c>
      <c r="AZ28">
        <v>300.13099999999997</v>
      </c>
      <c r="BA28">
        <v>99.2821</v>
      </c>
      <c r="BB28">
        <v>9.9934999999999996E-2</v>
      </c>
      <c r="BC28">
        <v>26.291599999999999</v>
      </c>
      <c r="BD28">
        <v>28.873899999999999</v>
      </c>
      <c r="BE28">
        <v>27.760200000000001</v>
      </c>
      <c r="BF28">
        <v>0</v>
      </c>
      <c r="BG28">
        <v>0</v>
      </c>
      <c r="BH28">
        <v>10043.1</v>
      </c>
      <c r="BI28">
        <v>1077.75</v>
      </c>
      <c r="BJ28">
        <v>1.6091</v>
      </c>
      <c r="BK28">
        <v>0.73968500000000004</v>
      </c>
      <c r="BL28">
        <v>818.58199999999999</v>
      </c>
      <c r="BM28">
        <v>818.59400000000005</v>
      </c>
      <c r="BN28">
        <v>-0.91832499999999995</v>
      </c>
      <c r="BO28">
        <v>800.06899999999996</v>
      </c>
      <c r="BP28">
        <v>22.6309</v>
      </c>
      <c r="BQ28">
        <v>2.1556700000000002</v>
      </c>
      <c r="BR28">
        <v>2.2468400000000002</v>
      </c>
      <c r="BS28">
        <v>18.636600000000001</v>
      </c>
      <c r="BT28">
        <v>19.3003</v>
      </c>
      <c r="BU28">
        <v>1799.96</v>
      </c>
      <c r="BV28">
        <v>0.91000300000000001</v>
      </c>
      <c r="BW28">
        <v>3.3994999999999997E-2</v>
      </c>
      <c r="BX28">
        <v>2.1999000000000001E-2</v>
      </c>
      <c r="BY28">
        <v>3.4002900000000003E-2</v>
      </c>
      <c r="BZ28">
        <v>26</v>
      </c>
      <c r="CA28">
        <v>33527.800000000003</v>
      </c>
      <c r="CB28">
        <v>1690303320.5</v>
      </c>
      <c r="CC28" t="s">
        <v>332</v>
      </c>
      <c r="CD28">
        <v>1690303320.5</v>
      </c>
      <c r="CE28">
        <v>1690303310.0999999</v>
      </c>
      <c r="CF28">
        <v>8</v>
      </c>
      <c r="CG28">
        <v>7.3999999999999996E-2</v>
      </c>
      <c r="CH28">
        <v>-0.01</v>
      </c>
      <c r="CI28">
        <v>-0.24199999999999999</v>
      </c>
      <c r="CJ28">
        <v>0.27200000000000002</v>
      </c>
      <c r="CK28">
        <v>800</v>
      </c>
      <c r="CL28">
        <v>23</v>
      </c>
      <c r="CM28">
        <v>0.06</v>
      </c>
      <c r="CN28">
        <v>0.09</v>
      </c>
      <c r="CO28">
        <v>2.4364819512195122</v>
      </c>
      <c r="CP28">
        <v>-9.3672819512195105</v>
      </c>
      <c r="CQ28">
        <v>0.93055648091440568</v>
      </c>
      <c r="CR28">
        <v>-1</v>
      </c>
      <c r="CS28">
        <v>-0.7636377560975609</v>
      </c>
      <c r="CT28">
        <v>-2.8422463902439019</v>
      </c>
      <c r="CU28">
        <v>0.28682835777013271</v>
      </c>
      <c r="CV28">
        <v>-1</v>
      </c>
      <c r="CW28">
        <v>0</v>
      </c>
      <c r="CX28">
        <v>0</v>
      </c>
      <c r="CY28" t="s">
        <v>333</v>
      </c>
      <c r="CZ28">
        <v>2.3640699999999999</v>
      </c>
      <c r="DA28">
        <v>2.7137600000000002</v>
      </c>
      <c r="DB28">
        <v>0.14707500000000001</v>
      </c>
      <c r="DC28">
        <v>0.14666999999999999</v>
      </c>
      <c r="DD28">
        <v>0.10595400000000001</v>
      </c>
      <c r="DE28">
        <v>0.10784299999999999</v>
      </c>
      <c r="DF28">
        <v>31143.200000000001</v>
      </c>
      <c r="DG28">
        <v>27506.3</v>
      </c>
      <c r="DH28">
        <v>31172.3</v>
      </c>
      <c r="DI28">
        <v>28087.7</v>
      </c>
      <c r="DJ28">
        <v>37842.9</v>
      </c>
      <c r="DK28">
        <v>35634.300000000003</v>
      </c>
      <c r="DL28">
        <v>44363.3</v>
      </c>
      <c r="DM28">
        <v>42576.7</v>
      </c>
      <c r="DN28">
        <v>1.4305300000000001</v>
      </c>
      <c r="DO28">
        <v>2.0618300000000001</v>
      </c>
      <c r="DP28">
        <v>0.18071400000000001</v>
      </c>
      <c r="DQ28">
        <v>0.120379</v>
      </c>
      <c r="DR28">
        <v>25.920400000000001</v>
      </c>
      <c r="DS28">
        <v>25.790800000000001</v>
      </c>
      <c r="DT28">
        <v>56.9</v>
      </c>
      <c r="DU28">
        <v>29.1</v>
      </c>
      <c r="DV28">
        <v>23.184799999999999</v>
      </c>
      <c r="DW28">
        <v>62.101100000000002</v>
      </c>
      <c r="DX28">
        <v>35.953499999999998</v>
      </c>
      <c r="DY28">
        <v>1</v>
      </c>
      <c r="DZ28">
        <v>-6.8996399999999999E-2</v>
      </c>
      <c r="EA28">
        <v>3.99579</v>
      </c>
      <c r="EB28">
        <v>20.136600000000001</v>
      </c>
      <c r="EC28">
        <v>5.2404999999999999</v>
      </c>
      <c r="ED28">
        <v>12.039899999999999</v>
      </c>
      <c r="EE28">
        <v>5.0171999999999999</v>
      </c>
      <c r="EF28">
        <v>3.2879999999999998</v>
      </c>
      <c r="EG28">
        <v>9999</v>
      </c>
      <c r="EH28">
        <v>9999</v>
      </c>
      <c r="EI28">
        <v>9999</v>
      </c>
      <c r="EJ28">
        <v>999.9</v>
      </c>
      <c r="EK28">
        <v>1.8689199999999999</v>
      </c>
      <c r="EL28">
        <v>1.8646199999999999</v>
      </c>
      <c r="EM28">
        <v>1.8692</v>
      </c>
      <c r="EN28">
        <v>1.8672500000000001</v>
      </c>
      <c r="EO28">
        <v>1.8633999999999999</v>
      </c>
      <c r="EP28">
        <v>1.8644799999999999</v>
      </c>
      <c r="EQ28">
        <v>1.87018</v>
      </c>
      <c r="ER28">
        <v>1.8694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-0.24299999999999999</v>
      </c>
      <c r="FG28">
        <v>0.27189999999999998</v>
      </c>
      <c r="FH28">
        <v>0.30965466913576151</v>
      </c>
      <c r="FI28">
        <v>-6.1462078757559423E-4</v>
      </c>
      <c r="FJ28">
        <v>-1.8861989874597051E-7</v>
      </c>
      <c r="FK28">
        <v>1.1980462299894961E-10</v>
      </c>
      <c r="FL28">
        <v>0.27184999999999349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11.8</v>
      </c>
      <c r="FU28">
        <v>12</v>
      </c>
      <c r="FV28">
        <v>1.79688</v>
      </c>
      <c r="FW28">
        <v>2.5927699999999998</v>
      </c>
      <c r="FX28">
        <v>1.5490699999999999</v>
      </c>
      <c r="FY28">
        <v>2.3290999999999999</v>
      </c>
      <c r="FZ28">
        <v>1.50146</v>
      </c>
      <c r="GA28">
        <v>2.34863</v>
      </c>
      <c r="GB28">
        <v>33.760599999999997</v>
      </c>
      <c r="GC28">
        <v>23.9649</v>
      </c>
      <c r="GD28">
        <v>19</v>
      </c>
      <c r="GE28">
        <v>264.61500000000001</v>
      </c>
      <c r="GF28">
        <v>606.46699999999998</v>
      </c>
      <c r="GG28">
        <v>19.677499999999998</v>
      </c>
      <c r="GH28">
        <v>26.506799999999998</v>
      </c>
      <c r="GI28">
        <v>29.993099999999998</v>
      </c>
      <c r="GJ28">
        <v>26.5319</v>
      </c>
      <c r="GK28">
        <v>26.508099999999999</v>
      </c>
      <c r="GL28">
        <v>35.916600000000003</v>
      </c>
      <c r="GM28">
        <v>9.0652000000000008</v>
      </c>
      <c r="GN28">
        <v>100</v>
      </c>
      <c r="GO28">
        <v>20.067399999999999</v>
      </c>
      <c r="GP28">
        <v>800</v>
      </c>
      <c r="GQ28">
        <v>22.572600000000001</v>
      </c>
      <c r="GR28">
        <v>99.740899999999996</v>
      </c>
      <c r="GS28">
        <v>99.596599999999995</v>
      </c>
    </row>
    <row r="29" spans="1:201" x14ac:dyDescent="0.25">
      <c r="A29">
        <v>13</v>
      </c>
      <c r="B29">
        <v>1690304039.5</v>
      </c>
      <c r="C29">
        <v>289.5</v>
      </c>
      <c r="D29" t="s">
        <v>357</v>
      </c>
      <c r="E29" t="s">
        <v>358</v>
      </c>
      <c r="F29" t="s">
        <v>330</v>
      </c>
      <c r="H29">
        <v>1690304039.5</v>
      </c>
      <c r="I29">
        <f t="shared" si="0"/>
        <v>-4.9960522873634597E-5</v>
      </c>
      <c r="J29">
        <f t="shared" si="1"/>
        <v>-4.9960522873634595E-2</v>
      </c>
      <c r="K29">
        <f t="shared" si="2"/>
        <v>9.6504286965986855E-2</v>
      </c>
      <c r="L29">
        <f t="shared" si="3"/>
        <v>799.41200000000003</v>
      </c>
      <c r="M29">
        <f t="shared" si="4"/>
        <v>831.06667260914526</v>
      </c>
      <c r="N29">
        <f t="shared" si="5"/>
        <v>82.593341478177365</v>
      </c>
      <c r="O29">
        <f t="shared" si="6"/>
        <v>79.447426390548003</v>
      </c>
      <c r="P29">
        <f t="shared" si="7"/>
        <v>-2.8173472478175672E-3</v>
      </c>
      <c r="Q29">
        <f t="shared" si="8"/>
        <v>2.0982903912242872</v>
      </c>
      <c r="R29">
        <f t="shared" si="9"/>
        <v>-2.8194505064888424E-3</v>
      </c>
      <c r="S29">
        <f t="shared" si="10"/>
        <v>-1.7619674714608158E-3</v>
      </c>
      <c r="T29">
        <f t="shared" si="11"/>
        <v>276.10961644236085</v>
      </c>
      <c r="U29">
        <f t="shared" si="12"/>
        <v>28.431387614986257</v>
      </c>
      <c r="V29">
        <f t="shared" si="13"/>
        <v>28.431387614986257</v>
      </c>
      <c r="W29">
        <f t="shared" si="14"/>
        <v>3.8913273150424792</v>
      </c>
      <c r="X29">
        <f t="shared" si="15"/>
        <v>63.9716614593572</v>
      </c>
      <c r="Y29">
        <f t="shared" si="16"/>
        <v>2.1841055679672001</v>
      </c>
      <c r="Z29">
        <f t="shared" si="17"/>
        <v>3.4141767122225164</v>
      </c>
      <c r="AA29">
        <f t="shared" si="18"/>
        <v>1.7072217470752791</v>
      </c>
      <c r="AB29">
        <f t="shared" si="19"/>
        <v>2.2032590587272858</v>
      </c>
      <c r="AC29">
        <f t="shared" si="20"/>
        <v>-252.54576695348348</v>
      </c>
      <c r="AD29">
        <f t="shared" si="21"/>
        <v>-26.0569396617704</v>
      </c>
      <c r="AE29">
        <f t="shared" si="22"/>
        <v>-0.28983111416573593</v>
      </c>
      <c r="AF29">
        <v>15</v>
      </c>
      <c r="AG29">
        <v>5</v>
      </c>
      <c r="AH29">
        <f t="shared" si="23"/>
        <v>1</v>
      </c>
      <c r="AI29">
        <f t="shared" si="24"/>
        <v>0</v>
      </c>
      <c r="AJ29">
        <f t="shared" si="25"/>
        <v>52549.912093744395</v>
      </c>
      <c r="AK29">
        <f t="shared" si="26"/>
        <v>1799.97</v>
      </c>
      <c r="AL29">
        <f t="shared" si="27"/>
        <v>1499.0865504077401</v>
      </c>
      <c r="AM29">
        <f t="shared" si="28"/>
        <v>0.83283974199999999</v>
      </c>
      <c r="AN29">
        <f t="shared" si="29"/>
        <v>0.15339678796999998</v>
      </c>
      <c r="AO29">
        <v>33</v>
      </c>
      <c r="AP29">
        <v>0.5</v>
      </c>
      <c r="AQ29" t="s">
        <v>331</v>
      </c>
      <c r="AR29">
        <v>2</v>
      </c>
      <c r="AS29">
        <v>1690304039.5</v>
      </c>
      <c r="AT29">
        <v>799.41200000000003</v>
      </c>
      <c r="AU29">
        <v>800.03399999999999</v>
      </c>
      <c r="AV29">
        <v>21.976800000000001</v>
      </c>
      <c r="AW29">
        <v>22.514099999999999</v>
      </c>
      <c r="AX29">
        <v>799.65300000000002</v>
      </c>
      <c r="AY29">
        <v>21.704999999999998</v>
      </c>
      <c r="AZ29">
        <v>300.10500000000002</v>
      </c>
      <c r="BA29">
        <v>99.282399999999996</v>
      </c>
      <c r="BB29">
        <v>9.9929000000000004E-2</v>
      </c>
      <c r="BC29">
        <v>26.198899999999998</v>
      </c>
      <c r="BD29">
        <v>28.808199999999999</v>
      </c>
      <c r="BE29">
        <v>27.6129</v>
      </c>
      <c r="BF29">
        <v>0</v>
      </c>
      <c r="BG29">
        <v>0</v>
      </c>
      <c r="BH29">
        <v>9982.5</v>
      </c>
      <c r="BI29">
        <v>1076.68</v>
      </c>
      <c r="BJ29">
        <v>1.5838699999999999</v>
      </c>
      <c r="BK29">
        <v>-0.62231400000000003</v>
      </c>
      <c r="BL29">
        <v>817.375</v>
      </c>
      <c r="BM29">
        <v>818.46100000000001</v>
      </c>
      <c r="BN29">
        <v>-0.537273</v>
      </c>
      <c r="BO29">
        <v>800.03399999999999</v>
      </c>
      <c r="BP29">
        <v>22.514099999999999</v>
      </c>
      <c r="BQ29">
        <v>2.1819099999999998</v>
      </c>
      <c r="BR29">
        <v>2.2352500000000002</v>
      </c>
      <c r="BS29">
        <v>18.830100000000002</v>
      </c>
      <c r="BT29">
        <v>19.217199999999998</v>
      </c>
      <c r="BU29">
        <v>1799.97</v>
      </c>
      <c r="BV29">
        <v>0.91001100000000001</v>
      </c>
      <c r="BW29">
        <v>3.40045E-2</v>
      </c>
      <c r="BX29">
        <v>2.1992100000000001E-2</v>
      </c>
      <c r="BY29">
        <v>3.3992300000000003E-2</v>
      </c>
      <c r="BZ29">
        <v>26</v>
      </c>
      <c r="CA29">
        <v>33527.9</v>
      </c>
      <c r="CB29">
        <v>1690303320.5</v>
      </c>
      <c r="CC29" t="s">
        <v>332</v>
      </c>
      <c r="CD29">
        <v>1690303320.5</v>
      </c>
      <c r="CE29">
        <v>1690303310.0999999</v>
      </c>
      <c r="CF29">
        <v>8</v>
      </c>
      <c r="CG29">
        <v>7.3999999999999996E-2</v>
      </c>
      <c r="CH29">
        <v>-0.01</v>
      </c>
      <c r="CI29">
        <v>-0.24199999999999999</v>
      </c>
      <c r="CJ29">
        <v>0.27200000000000002</v>
      </c>
      <c r="CK29">
        <v>800</v>
      </c>
      <c r="CL29">
        <v>23</v>
      </c>
      <c r="CM29">
        <v>0.06</v>
      </c>
      <c r="CN29">
        <v>0.09</v>
      </c>
      <c r="CO29">
        <v>0.85753982499999992</v>
      </c>
      <c r="CP29">
        <v>-8.0697884060037541</v>
      </c>
      <c r="CQ29">
        <v>0.7783062450692535</v>
      </c>
      <c r="CR29">
        <v>-1</v>
      </c>
      <c r="CS29">
        <v>-0.85275817499999995</v>
      </c>
      <c r="CT29">
        <v>1.770520176360229</v>
      </c>
      <c r="CU29">
        <v>0.2056015798848452</v>
      </c>
      <c r="CV29">
        <v>-1</v>
      </c>
      <c r="CW29">
        <v>0</v>
      </c>
      <c r="CX29">
        <v>0</v>
      </c>
      <c r="CY29" t="s">
        <v>333</v>
      </c>
      <c r="CZ29">
        <v>2.3639700000000001</v>
      </c>
      <c r="DA29">
        <v>2.7136999999999998</v>
      </c>
      <c r="DB29">
        <v>0.14690300000000001</v>
      </c>
      <c r="DC29">
        <v>0.14666000000000001</v>
      </c>
      <c r="DD29">
        <v>0.106873</v>
      </c>
      <c r="DE29">
        <v>0.107451</v>
      </c>
      <c r="DF29">
        <v>31149.1</v>
      </c>
      <c r="DG29">
        <v>27506.6</v>
      </c>
      <c r="DH29">
        <v>31171.9</v>
      </c>
      <c r="DI29">
        <v>28087.8</v>
      </c>
      <c r="DJ29">
        <v>37803.300000000003</v>
      </c>
      <c r="DK29">
        <v>35650</v>
      </c>
      <c r="DL29">
        <v>44362.9</v>
      </c>
      <c r="DM29">
        <v>42576.7</v>
      </c>
      <c r="DN29">
        <v>1.42808</v>
      </c>
      <c r="DO29">
        <v>2.0615199999999998</v>
      </c>
      <c r="DP29">
        <v>0.17896999999999999</v>
      </c>
      <c r="DQ29">
        <v>0.11616899999999999</v>
      </c>
      <c r="DR29">
        <v>25.882999999999999</v>
      </c>
      <c r="DS29">
        <v>25.712</v>
      </c>
      <c r="DT29">
        <v>56.9</v>
      </c>
      <c r="DU29">
        <v>29.1</v>
      </c>
      <c r="DV29">
        <v>23.183299999999999</v>
      </c>
      <c r="DW29">
        <v>62.481099999999998</v>
      </c>
      <c r="DX29">
        <v>35.929499999999997</v>
      </c>
      <c r="DY29">
        <v>1</v>
      </c>
      <c r="DZ29">
        <v>-6.0909600000000001E-2</v>
      </c>
      <c r="EA29">
        <v>6.0151500000000002</v>
      </c>
      <c r="EB29">
        <v>20.068200000000001</v>
      </c>
      <c r="EC29">
        <v>5.2406499999999996</v>
      </c>
      <c r="ED29">
        <v>12.039899999999999</v>
      </c>
      <c r="EE29">
        <v>5.0171000000000001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1.8689100000000001</v>
      </c>
      <c r="EL29">
        <v>1.8646199999999999</v>
      </c>
      <c r="EM29">
        <v>1.8692</v>
      </c>
      <c r="EN29">
        <v>1.8672299999999999</v>
      </c>
      <c r="EO29">
        <v>1.8633999999999999</v>
      </c>
      <c r="EP29">
        <v>1.8644700000000001</v>
      </c>
      <c r="EQ29">
        <v>1.87019</v>
      </c>
      <c r="ER29">
        <v>1.8694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-0.24099999999999999</v>
      </c>
      <c r="FG29">
        <v>0.27179999999999999</v>
      </c>
      <c r="FH29">
        <v>0.30965466913576151</v>
      </c>
      <c r="FI29">
        <v>-6.1462078757559423E-4</v>
      </c>
      <c r="FJ29">
        <v>-1.8861989874597051E-7</v>
      </c>
      <c r="FK29">
        <v>1.1980462299894961E-10</v>
      </c>
      <c r="FL29">
        <v>0.27184999999999349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12</v>
      </c>
      <c r="FU29">
        <v>12.2</v>
      </c>
      <c r="FV29">
        <v>1.79688</v>
      </c>
      <c r="FW29">
        <v>2.5866699999999998</v>
      </c>
      <c r="FX29">
        <v>1.5490699999999999</v>
      </c>
      <c r="FY29">
        <v>2.3290999999999999</v>
      </c>
      <c r="FZ29">
        <v>1.50146</v>
      </c>
      <c r="GA29">
        <v>2.3986800000000001</v>
      </c>
      <c r="GB29">
        <v>33.783200000000001</v>
      </c>
      <c r="GC29">
        <v>23.947399999999998</v>
      </c>
      <c r="GD29">
        <v>19</v>
      </c>
      <c r="GE29">
        <v>263.68700000000001</v>
      </c>
      <c r="GF29">
        <v>606.28200000000004</v>
      </c>
      <c r="GG29">
        <v>19.396699999999999</v>
      </c>
      <c r="GH29">
        <v>26.526700000000002</v>
      </c>
      <c r="GI29">
        <v>30.002500000000001</v>
      </c>
      <c r="GJ29">
        <v>26.548400000000001</v>
      </c>
      <c r="GK29">
        <v>26.514199999999999</v>
      </c>
      <c r="GL29">
        <v>35.918100000000003</v>
      </c>
      <c r="GM29">
        <v>9.0652000000000008</v>
      </c>
      <c r="GN29">
        <v>100</v>
      </c>
      <c r="GO29">
        <v>19.315999999999999</v>
      </c>
      <c r="GP29">
        <v>800</v>
      </c>
      <c r="GQ29">
        <v>22.421800000000001</v>
      </c>
      <c r="GR29">
        <v>99.74</v>
      </c>
      <c r="GS29">
        <v>99.596800000000002</v>
      </c>
    </row>
    <row r="30" spans="1:201" x14ac:dyDescent="0.25">
      <c r="A30">
        <v>14</v>
      </c>
      <c r="B30">
        <v>1690304049.5</v>
      </c>
      <c r="C30">
        <v>299.5</v>
      </c>
      <c r="D30" t="s">
        <v>359</v>
      </c>
      <c r="E30" t="s">
        <v>360</v>
      </c>
      <c r="F30" t="s">
        <v>330</v>
      </c>
      <c r="H30">
        <v>1690304049.5</v>
      </c>
      <c r="I30">
        <f t="shared" si="0"/>
        <v>-5.3385392849152024E-5</v>
      </c>
      <c r="J30">
        <f t="shared" si="1"/>
        <v>-5.3385392849152023E-2</v>
      </c>
      <c r="K30">
        <f t="shared" si="2"/>
        <v>0.17161112931599803</v>
      </c>
      <c r="L30">
        <f t="shared" si="3"/>
        <v>798.65899999999999</v>
      </c>
      <c r="M30">
        <f t="shared" si="4"/>
        <v>865.51778380115979</v>
      </c>
      <c r="N30">
        <f t="shared" si="5"/>
        <v>86.013330419221205</v>
      </c>
      <c r="O30">
        <f t="shared" si="6"/>
        <v>79.369045610582802</v>
      </c>
      <c r="P30">
        <f t="shared" si="7"/>
        <v>-3.0416925473898877E-3</v>
      </c>
      <c r="Q30">
        <f t="shared" si="8"/>
        <v>2.1070004213869202</v>
      </c>
      <c r="R30">
        <f t="shared" si="9"/>
        <v>-3.0441341211604606E-3</v>
      </c>
      <c r="S30">
        <f t="shared" si="10"/>
        <v>-1.9023643027583756E-3</v>
      </c>
      <c r="T30">
        <f t="shared" si="11"/>
        <v>276.11326146278418</v>
      </c>
      <c r="U30">
        <f t="shared" si="12"/>
        <v>28.310979713160297</v>
      </c>
      <c r="V30">
        <f t="shared" si="13"/>
        <v>28.310979713160297</v>
      </c>
      <c r="W30">
        <f t="shared" si="14"/>
        <v>3.8641830085736566</v>
      </c>
      <c r="X30">
        <f t="shared" si="15"/>
        <v>64.113999859319847</v>
      </c>
      <c r="Y30">
        <f t="shared" si="16"/>
        <v>2.1743285889624797</v>
      </c>
      <c r="Z30">
        <f t="shared" si="17"/>
        <v>3.3913475898141323</v>
      </c>
      <c r="AA30">
        <f t="shared" si="18"/>
        <v>1.6898544196111769</v>
      </c>
      <c r="AB30">
        <f t="shared" si="19"/>
        <v>2.3542958246476045</v>
      </c>
      <c r="AC30">
        <f t="shared" si="20"/>
        <v>-252.80940107615766</v>
      </c>
      <c r="AD30">
        <f t="shared" si="21"/>
        <v>-25.945974097338524</v>
      </c>
      <c r="AE30">
        <f t="shared" si="22"/>
        <v>-0.28781788606440273</v>
      </c>
      <c r="AF30">
        <v>15</v>
      </c>
      <c r="AG30">
        <v>5</v>
      </c>
      <c r="AH30">
        <f t="shared" si="23"/>
        <v>1</v>
      </c>
      <c r="AI30">
        <f t="shared" si="24"/>
        <v>0</v>
      </c>
      <c r="AJ30">
        <f t="shared" si="25"/>
        <v>52958.632549830203</v>
      </c>
      <c r="AK30">
        <f t="shared" si="26"/>
        <v>1799.98</v>
      </c>
      <c r="AL30">
        <f t="shared" si="27"/>
        <v>1499.0962773896199</v>
      </c>
      <c r="AM30">
        <f t="shared" si="28"/>
        <v>0.83284051899999989</v>
      </c>
      <c r="AN30">
        <f t="shared" si="29"/>
        <v>0.15339796078999998</v>
      </c>
      <c r="AO30">
        <v>33</v>
      </c>
      <c r="AP30">
        <v>0.5</v>
      </c>
      <c r="AQ30" t="s">
        <v>331</v>
      </c>
      <c r="AR30">
        <v>2</v>
      </c>
      <c r="AS30">
        <v>1690304049.5</v>
      </c>
      <c r="AT30">
        <v>798.65899999999999</v>
      </c>
      <c r="AU30">
        <v>800.077</v>
      </c>
      <c r="AV30">
        <v>21.8794</v>
      </c>
      <c r="AW30">
        <v>22.453499999999998</v>
      </c>
      <c r="AX30">
        <v>798.9</v>
      </c>
      <c r="AY30">
        <v>21.607500000000002</v>
      </c>
      <c r="AZ30">
        <v>300.15199999999999</v>
      </c>
      <c r="BA30">
        <v>99.277900000000002</v>
      </c>
      <c r="BB30">
        <v>9.99892E-2</v>
      </c>
      <c r="BC30">
        <v>26.0854</v>
      </c>
      <c r="BD30">
        <v>28.6282</v>
      </c>
      <c r="BE30">
        <v>27.518999999999998</v>
      </c>
      <c r="BF30">
        <v>0</v>
      </c>
      <c r="BG30">
        <v>0</v>
      </c>
      <c r="BH30">
        <v>10060</v>
      </c>
      <c r="BI30">
        <v>1075.3800000000001</v>
      </c>
      <c r="BJ30">
        <v>1.56985</v>
      </c>
      <c r="BK30">
        <v>-1.4174800000000001</v>
      </c>
      <c r="BL30">
        <v>816.524</v>
      </c>
      <c r="BM30">
        <v>818.45399999999995</v>
      </c>
      <c r="BN30">
        <v>-0.57415000000000005</v>
      </c>
      <c r="BO30">
        <v>800.077</v>
      </c>
      <c r="BP30">
        <v>22.453499999999998</v>
      </c>
      <c r="BQ30">
        <v>2.1721400000000002</v>
      </c>
      <c r="BR30">
        <v>2.2291400000000001</v>
      </c>
      <c r="BS30">
        <v>18.758299999999998</v>
      </c>
      <c r="BT30">
        <v>19.173300000000001</v>
      </c>
      <c r="BU30">
        <v>1799.98</v>
      </c>
      <c r="BV30">
        <v>0.90999200000000002</v>
      </c>
      <c r="BW30">
        <v>3.3995499999999998E-2</v>
      </c>
      <c r="BX30">
        <v>2.2007200000000001E-2</v>
      </c>
      <c r="BY30">
        <v>3.4005500000000001E-2</v>
      </c>
      <c r="BZ30">
        <v>26</v>
      </c>
      <c r="CA30">
        <v>33527.9</v>
      </c>
      <c r="CB30">
        <v>1690303320.5</v>
      </c>
      <c r="CC30" t="s">
        <v>332</v>
      </c>
      <c r="CD30">
        <v>1690303320.5</v>
      </c>
      <c r="CE30">
        <v>1690303310.0999999</v>
      </c>
      <c r="CF30">
        <v>8</v>
      </c>
      <c r="CG30">
        <v>7.3999999999999996E-2</v>
      </c>
      <c r="CH30">
        <v>-0.01</v>
      </c>
      <c r="CI30">
        <v>-0.24199999999999999</v>
      </c>
      <c r="CJ30">
        <v>0.27200000000000002</v>
      </c>
      <c r="CK30">
        <v>800</v>
      </c>
      <c r="CL30">
        <v>23</v>
      </c>
      <c r="CM30">
        <v>0.06</v>
      </c>
      <c r="CN30">
        <v>0.09</v>
      </c>
      <c r="CO30">
        <v>-0.39746582499999988</v>
      </c>
      <c r="CP30">
        <v>-6.5852562934333996</v>
      </c>
      <c r="CQ30">
        <v>0.63862436364294062</v>
      </c>
      <c r="CR30">
        <v>-1</v>
      </c>
      <c r="CS30">
        <v>-0.62342587500000002</v>
      </c>
      <c r="CT30">
        <v>0.76680766604127593</v>
      </c>
      <c r="CU30">
        <v>0.1093134489068448</v>
      </c>
      <c r="CV30">
        <v>-1</v>
      </c>
      <c r="CW30">
        <v>0</v>
      </c>
      <c r="CX30">
        <v>0</v>
      </c>
      <c r="CY30" t="s">
        <v>333</v>
      </c>
      <c r="CZ30">
        <v>2.36409</v>
      </c>
      <c r="DA30">
        <v>2.7138300000000002</v>
      </c>
      <c r="DB30">
        <v>0.14679900000000001</v>
      </c>
      <c r="DC30">
        <v>0.14665500000000001</v>
      </c>
      <c r="DD30">
        <v>0.106526</v>
      </c>
      <c r="DE30">
        <v>0.107242</v>
      </c>
      <c r="DF30">
        <v>31150.9</v>
      </c>
      <c r="DG30">
        <v>27504.400000000001</v>
      </c>
      <c r="DH30">
        <v>31170.1</v>
      </c>
      <c r="DI30">
        <v>28085.5</v>
      </c>
      <c r="DJ30">
        <v>37815.800000000003</v>
      </c>
      <c r="DK30">
        <v>35655.5</v>
      </c>
      <c r="DL30">
        <v>44360.1</v>
      </c>
      <c r="DM30">
        <v>42573.2</v>
      </c>
      <c r="DN30">
        <v>1.4291799999999999</v>
      </c>
      <c r="DO30">
        <v>2.0609799999999998</v>
      </c>
      <c r="DP30">
        <v>0.170462</v>
      </c>
      <c r="DQ30">
        <v>0.114977</v>
      </c>
      <c r="DR30">
        <v>25.8415</v>
      </c>
      <c r="DS30">
        <v>25.6374</v>
      </c>
      <c r="DT30">
        <v>56.9</v>
      </c>
      <c r="DU30">
        <v>29.1</v>
      </c>
      <c r="DV30">
        <v>23.185600000000001</v>
      </c>
      <c r="DW30">
        <v>61.7211</v>
      </c>
      <c r="DX30">
        <v>35.228400000000001</v>
      </c>
      <c r="DY30">
        <v>1</v>
      </c>
      <c r="DZ30">
        <v>-6.1887699999999997E-2</v>
      </c>
      <c r="EA30">
        <v>4.5629299999999997</v>
      </c>
      <c r="EB30">
        <v>20.121600000000001</v>
      </c>
      <c r="EC30">
        <v>5.2403500000000003</v>
      </c>
      <c r="ED30">
        <v>12.039899999999999</v>
      </c>
      <c r="EE30">
        <v>5.0172999999999996</v>
      </c>
      <c r="EF30">
        <v>3.2879999999999998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1.8646199999999999</v>
      </c>
      <c r="EM30">
        <v>1.8692</v>
      </c>
      <c r="EN30">
        <v>1.8672299999999999</v>
      </c>
      <c r="EO30">
        <v>1.8633999999999999</v>
      </c>
      <c r="EP30">
        <v>1.8644700000000001</v>
      </c>
      <c r="EQ30">
        <v>1.87015</v>
      </c>
      <c r="ER30">
        <v>1.86941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-0.24099999999999999</v>
      </c>
      <c r="FG30">
        <v>0.27189999999999998</v>
      </c>
      <c r="FH30">
        <v>0.30965466913576151</v>
      </c>
      <c r="FI30">
        <v>-6.1462078757559423E-4</v>
      </c>
      <c r="FJ30">
        <v>-1.8861989874597051E-7</v>
      </c>
      <c r="FK30">
        <v>1.1980462299894961E-10</v>
      </c>
      <c r="FL30">
        <v>0.27184999999999349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12.2</v>
      </c>
      <c r="FU30">
        <v>12.3</v>
      </c>
      <c r="FV30">
        <v>1.79565</v>
      </c>
      <c r="FW30">
        <v>2.5842299999999998</v>
      </c>
      <c r="FX30">
        <v>1.5490699999999999</v>
      </c>
      <c r="FY30">
        <v>2.3290999999999999</v>
      </c>
      <c r="FZ30">
        <v>1.50146</v>
      </c>
      <c r="GA30">
        <v>2.4084500000000002</v>
      </c>
      <c r="GB30">
        <v>33.783200000000001</v>
      </c>
      <c r="GC30">
        <v>23.9649</v>
      </c>
      <c r="GD30">
        <v>19</v>
      </c>
      <c r="GE30">
        <v>264.16800000000001</v>
      </c>
      <c r="GF30">
        <v>605.89099999999996</v>
      </c>
      <c r="GG30">
        <v>19.271100000000001</v>
      </c>
      <c r="GH30">
        <v>26.545200000000001</v>
      </c>
      <c r="GI30">
        <v>29.999600000000001</v>
      </c>
      <c r="GJ30">
        <v>26.557300000000001</v>
      </c>
      <c r="GK30">
        <v>26.520800000000001</v>
      </c>
      <c r="GL30">
        <v>35.911799999999999</v>
      </c>
      <c r="GM30">
        <v>10.4315</v>
      </c>
      <c r="GN30">
        <v>100</v>
      </c>
      <c r="GO30">
        <v>19.4131</v>
      </c>
      <c r="GP30">
        <v>800</v>
      </c>
      <c r="GQ30">
        <v>22.249099999999999</v>
      </c>
      <c r="GR30">
        <v>99.733800000000002</v>
      </c>
      <c r="GS30">
        <v>99.5886</v>
      </c>
    </row>
    <row r="31" spans="1:201" x14ac:dyDescent="0.25">
      <c r="A31">
        <v>15</v>
      </c>
      <c r="B31">
        <v>1690304059.5</v>
      </c>
      <c r="C31">
        <v>309.5</v>
      </c>
      <c r="D31" t="s">
        <v>361</v>
      </c>
      <c r="E31" t="s">
        <v>362</v>
      </c>
      <c r="F31" t="s">
        <v>330</v>
      </c>
      <c r="H31">
        <v>1690304059.5</v>
      </c>
      <c r="I31">
        <f t="shared" si="0"/>
        <v>-3.3129208860497874E-5</v>
      </c>
      <c r="J31">
        <f t="shared" si="1"/>
        <v>-3.3129208860497875E-2</v>
      </c>
      <c r="K31">
        <f t="shared" si="2"/>
        <v>0.23156048581922886</v>
      </c>
      <c r="L31">
        <f t="shared" si="3"/>
        <v>797.86699999999996</v>
      </c>
      <c r="M31">
        <f t="shared" si="4"/>
        <v>966.59024705601462</v>
      </c>
      <c r="N31">
        <f t="shared" si="5"/>
        <v>96.059888380596988</v>
      </c>
      <c r="O31">
        <f t="shared" si="6"/>
        <v>79.2921459698116</v>
      </c>
      <c r="P31">
        <f t="shared" si="7"/>
        <v>-1.91788634738923E-3</v>
      </c>
      <c r="Q31">
        <f t="shared" si="8"/>
        <v>2.0991159890175832</v>
      </c>
      <c r="R31">
        <f t="shared" si="9"/>
        <v>-1.9188603832459832E-3</v>
      </c>
      <c r="S31">
        <f t="shared" si="10"/>
        <v>-1.1992001873961536E-3</v>
      </c>
      <c r="T31">
        <f t="shared" si="11"/>
        <v>276.11282397764518</v>
      </c>
      <c r="U31">
        <f t="shared" si="12"/>
        <v>28.226474626421801</v>
      </c>
      <c r="V31">
        <f t="shared" si="13"/>
        <v>28.226474626421801</v>
      </c>
      <c r="W31">
        <f t="shared" si="14"/>
        <v>3.8452312735426597</v>
      </c>
      <c r="X31">
        <f t="shared" si="15"/>
        <v>64.648732181017067</v>
      </c>
      <c r="Y31">
        <f t="shared" si="16"/>
        <v>2.1814540259528803</v>
      </c>
      <c r="Z31">
        <f t="shared" si="17"/>
        <v>3.3743183390585112</v>
      </c>
      <c r="AA31">
        <f t="shared" si="18"/>
        <v>1.6637772475897794</v>
      </c>
      <c r="AB31">
        <f t="shared" si="19"/>
        <v>1.4609981107479562</v>
      </c>
      <c r="AC31">
        <f t="shared" si="20"/>
        <v>-251.93070875379678</v>
      </c>
      <c r="AD31">
        <f t="shared" si="21"/>
        <v>-25.930922047629124</v>
      </c>
      <c r="AE31">
        <f t="shared" si="22"/>
        <v>-0.2878087130327458</v>
      </c>
      <c r="AF31">
        <v>15</v>
      </c>
      <c r="AG31">
        <v>5</v>
      </c>
      <c r="AH31">
        <f t="shared" si="23"/>
        <v>1</v>
      </c>
      <c r="AI31">
        <f t="shared" si="24"/>
        <v>0</v>
      </c>
      <c r="AJ31">
        <f t="shared" si="25"/>
        <v>52621.555857026979</v>
      </c>
      <c r="AK31">
        <f t="shared" si="26"/>
        <v>1799.98</v>
      </c>
      <c r="AL31">
        <f t="shared" si="27"/>
        <v>1499.0926144303198</v>
      </c>
      <c r="AM31">
        <f t="shared" si="28"/>
        <v>0.83283848399999993</v>
      </c>
      <c r="AN31">
        <f t="shared" si="29"/>
        <v>0.15339771773999999</v>
      </c>
      <c r="AO31">
        <v>33</v>
      </c>
      <c r="AP31">
        <v>0.5</v>
      </c>
      <c r="AQ31" t="s">
        <v>331</v>
      </c>
      <c r="AR31">
        <v>2</v>
      </c>
      <c r="AS31">
        <v>1690304059.5</v>
      </c>
      <c r="AT31">
        <v>797.86699999999996</v>
      </c>
      <c r="AU31">
        <v>800.12199999999996</v>
      </c>
      <c r="AV31">
        <v>21.950600000000001</v>
      </c>
      <c r="AW31">
        <v>22.306799999999999</v>
      </c>
      <c r="AX31">
        <v>798.10799999999995</v>
      </c>
      <c r="AY31">
        <v>21.678799999999999</v>
      </c>
      <c r="AZ31">
        <v>300.18700000000001</v>
      </c>
      <c r="BA31">
        <v>99.280199999999994</v>
      </c>
      <c r="BB31">
        <v>9.9954799999999996E-2</v>
      </c>
      <c r="BC31">
        <v>26.000299999999999</v>
      </c>
      <c r="BD31">
        <v>28.583200000000001</v>
      </c>
      <c r="BE31">
        <v>27.431799999999999</v>
      </c>
      <c r="BF31">
        <v>0</v>
      </c>
      <c r="BG31">
        <v>0</v>
      </c>
      <c r="BH31">
        <v>9990</v>
      </c>
      <c r="BI31">
        <v>1074.1099999999999</v>
      </c>
      <c r="BJ31">
        <v>1.58667</v>
      </c>
      <c r="BK31">
        <v>-2.2541500000000001</v>
      </c>
      <c r="BL31">
        <v>815.774</v>
      </c>
      <c r="BM31">
        <v>818.37699999999995</v>
      </c>
      <c r="BN31">
        <v>-0.35613800000000001</v>
      </c>
      <c r="BO31">
        <v>800.12199999999996</v>
      </c>
      <c r="BP31">
        <v>22.306799999999999</v>
      </c>
      <c r="BQ31">
        <v>2.1792600000000002</v>
      </c>
      <c r="BR31">
        <v>2.21462</v>
      </c>
      <c r="BS31">
        <v>18.810700000000001</v>
      </c>
      <c r="BT31">
        <v>19.0685</v>
      </c>
      <c r="BU31">
        <v>1799.98</v>
      </c>
      <c r="BV31">
        <v>0.90998299999999999</v>
      </c>
      <c r="BW31">
        <v>3.4007999999999997E-2</v>
      </c>
      <c r="BX31">
        <v>2.20022E-2</v>
      </c>
      <c r="BY31">
        <v>3.4007000000000003E-2</v>
      </c>
      <c r="BZ31">
        <v>26</v>
      </c>
      <c r="CA31">
        <v>33528</v>
      </c>
      <c r="CB31">
        <v>1690303320.5</v>
      </c>
      <c r="CC31" t="s">
        <v>332</v>
      </c>
      <c r="CD31">
        <v>1690303320.5</v>
      </c>
      <c r="CE31">
        <v>1690303310.0999999</v>
      </c>
      <c r="CF31">
        <v>8</v>
      </c>
      <c r="CG31">
        <v>7.3999999999999996E-2</v>
      </c>
      <c r="CH31">
        <v>-0.01</v>
      </c>
      <c r="CI31">
        <v>-0.24199999999999999</v>
      </c>
      <c r="CJ31">
        <v>0.27200000000000002</v>
      </c>
      <c r="CK31">
        <v>800</v>
      </c>
      <c r="CL31">
        <v>23</v>
      </c>
      <c r="CM31">
        <v>0.06</v>
      </c>
      <c r="CN31">
        <v>0.09</v>
      </c>
      <c r="CO31">
        <v>-1.287163414634146</v>
      </c>
      <c r="CP31">
        <v>-4.7199803623693377</v>
      </c>
      <c r="CQ31">
        <v>0.46616867343939222</v>
      </c>
      <c r="CR31">
        <v>-1</v>
      </c>
      <c r="CS31">
        <v>-0.53598607317073166</v>
      </c>
      <c r="CT31">
        <v>0.35118924041811778</v>
      </c>
      <c r="CU31">
        <v>5.3439714157530342E-2</v>
      </c>
      <c r="CV31">
        <v>-1</v>
      </c>
      <c r="CW31">
        <v>0</v>
      </c>
      <c r="CX31">
        <v>0</v>
      </c>
      <c r="CY31" t="s">
        <v>333</v>
      </c>
      <c r="CZ31">
        <v>2.3641800000000002</v>
      </c>
      <c r="DA31">
        <v>2.71374</v>
      </c>
      <c r="DB31">
        <v>0.146703</v>
      </c>
      <c r="DC31">
        <v>0.14665900000000001</v>
      </c>
      <c r="DD31">
        <v>0.10677399999999999</v>
      </c>
      <c r="DE31">
        <v>0.106751</v>
      </c>
      <c r="DF31">
        <v>31153.7</v>
      </c>
      <c r="DG31">
        <v>27503.3</v>
      </c>
      <c r="DH31">
        <v>31169.3</v>
      </c>
      <c r="DI31">
        <v>28084.6</v>
      </c>
      <c r="DJ31">
        <v>37804</v>
      </c>
      <c r="DK31">
        <v>35674</v>
      </c>
      <c r="DL31">
        <v>44358.8</v>
      </c>
      <c r="DM31">
        <v>42571.8</v>
      </c>
      <c r="DN31">
        <v>1.4290799999999999</v>
      </c>
      <c r="DO31">
        <v>2.0605500000000001</v>
      </c>
      <c r="DP31">
        <v>0.17036499999999999</v>
      </c>
      <c r="DQ31">
        <v>0.114061</v>
      </c>
      <c r="DR31">
        <v>25.797899999999998</v>
      </c>
      <c r="DS31">
        <v>25.565000000000001</v>
      </c>
      <c r="DT31">
        <v>56.9</v>
      </c>
      <c r="DU31">
        <v>29.1</v>
      </c>
      <c r="DV31">
        <v>23.178999999999998</v>
      </c>
      <c r="DW31">
        <v>61.6511</v>
      </c>
      <c r="DX31">
        <v>34.8157</v>
      </c>
      <c r="DY31">
        <v>1</v>
      </c>
      <c r="DZ31">
        <v>-6.1948700000000002E-2</v>
      </c>
      <c r="EA31">
        <v>4.6673499999999999</v>
      </c>
      <c r="EB31">
        <v>20.118099999999998</v>
      </c>
      <c r="EC31">
        <v>5.2406499999999996</v>
      </c>
      <c r="ED31">
        <v>12.039899999999999</v>
      </c>
      <c r="EE31">
        <v>5.0170000000000003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1.8646199999999999</v>
      </c>
      <c r="EM31">
        <v>1.8692</v>
      </c>
      <c r="EN31">
        <v>1.86724</v>
      </c>
      <c r="EO31">
        <v>1.8633999999999999</v>
      </c>
      <c r="EP31">
        <v>1.8644700000000001</v>
      </c>
      <c r="EQ31">
        <v>1.87018</v>
      </c>
      <c r="ER31">
        <v>1.8693900000000001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-0.24099999999999999</v>
      </c>
      <c r="FG31">
        <v>0.27179999999999999</v>
      </c>
      <c r="FH31">
        <v>0.30965466913576151</v>
      </c>
      <c r="FI31">
        <v>-6.1462078757559423E-4</v>
      </c>
      <c r="FJ31">
        <v>-1.8861989874597051E-7</v>
      </c>
      <c r="FK31">
        <v>1.1980462299894961E-10</v>
      </c>
      <c r="FL31">
        <v>0.27184999999999349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12.3</v>
      </c>
      <c r="FU31">
        <v>12.5</v>
      </c>
      <c r="FV31">
        <v>1.79565</v>
      </c>
      <c r="FW31">
        <v>2.5854499999999998</v>
      </c>
      <c r="FX31">
        <v>1.5490699999999999</v>
      </c>
      <c r="FY31">
        <v>2.3290999999999999</v>
      </c>
      <c r="FZ31">
        <v>1.50024</v>
      </c>
      <c r="GA31">
        <v>2.36938</v>
      </c>
      <c r="GB31">
        <v>33.783200000000001</v>
      </c>
      <c r="GC31">
        <v>23.9649</v>
      </c>
      <c r="GD31">
        <v>19</v>
      </c>
      <c r="GE31">
        <v>264.178</v>
      </c>
      <c r="GF31">
        <v>605.60699999999997</v>
      </c>
      <c r="GG31">
        <v>19.3231</v>
      </c>
      <c r="GH31">
        <v>26.564800000000002</v>
      </c>
      <c r="GI31">
        <v>30.000499999999999</v>
      </c>
      <c r="GJ31">
        <v>26.569600000000001</v>
      </c>
      <c r="GK31">
        <v>26.5274</v>
      </c>
      <c r="GL31">
        <v>35.905500000000004</v>
      </c>
      <c r="GM31">
        <v>11.3469</v>
      </c>
      <c r="GN31">
        <v>100</v>
      </c>
      <c r="GO31">
        <v>19.319400000000002</v>
      </c>
      <c r="GP31">
        <v>800</v>
      </c>
      <c r="GQ31">
        <v>22.1205</v>
      </c>
      <c r="GR31">
        <v>99.731099999999998</v>
      </c>
      <c r="GS31">
        <v>99.585400000000007</v>
      </c>
    </row>
    <row r="32" spans="1:201" x14ac:dyDescent="0.25">
      <c r="A32">
        <v>16</v>
      </c>
      <c r="B32">
        <v>1690304069.5</v>
      </c>
      <c r="C32">
        <v>319.5</v>
      </c>
      <c r="D32" t="s">
        <v>363</v>
      </c>
      <c r="E32" t="s">
        <v>364</v>
      </c>
      <c r="F32" t="s">
        <v>330</v>
      </c>
      <c r="H32">
        <v>1690304069.5</v>
      </c>
      <c r="I32">
        <f t="shared" si="0"/>
        <v>-1.6386984929297245E-5</v>
      </c>
      <c r="J32">
        <f t="shared" si="1"/>
        <v>-1.6386984929297244E-2</v>
      </c>
      <c r="K32">
        <f t="shared" si="2"/>
        <v>0.26555877195989347</v>
      </c>
      <c r="L32">
        <f t="shared" si="3"/>
        <v>797.16099999999994</v>
      </c>
      <c r="M32">
        <f t="shared" si="4"/>
        <v>1210.7860762399355</v>
      </c>
      <c r="N32">
        <f t="shared" si="5"/>
        <v>120.32836618923666</v>
      </c>
      <c r="O32">
        <f t="shared" si="6"/>
        <v>79.222153774396304</v>
      </c>
      <c r="P32">
        <f t="shared" si="7"/>
        <v>-9.6339323397743313E-4</v>
      </c>
      <c r="Q32">
        <f t="shared" si="8"/>
        <v>2.0977012470734246</v>
      </c>
      <c r="R32">
        <f t="shared" si="9"/>
        <v>-9.6363910691682931E-4</v>
      </c>
      <c r="S32">
        <f t="shared" si="10"/>
        <v>-6.0225234646268575E-4</v>
      </c>
      <c r="T32">
        <f t="shared" si="11"/>
        <v>276.11051768733995</v>
      </c>
      <c r="U32">
        <f t="shared" si="12"/>
        <v>28.134474045411405</v>
      </c>
      <c r="V32">
        <f t="shared" si="13"/>
        <v>28.134474045411405</v>
      </c>
      <c r="W32">
        <f t="shared" si="14"/>
        <v>3.8246907808112822</v>
      </c>
      <c r="X32">
        <f t="shared" si="15"/>
        <v>65.114337815520571</v>
      </c>
      <c r="Y32">
        <f t="shared" si="16"/>
        <v>2.1858016345006899</v>
      </c>
      <c r="Z32">
        <f t="shared" si="17"/>
        <v>3.3568668711542742</v>
      </c>
      <c r="AA32">
        <f t="shared" si="18"/>
        <v>1.6388891463105923</v>
      </c>
      <c r="AB32">
        <f t="shared" si="19"/>
        <v>0.72266603538200846</v>
      </c>
      <c r="AC32">
        <f t="shared" si="20"/>
        <v>-251.26324763149483</v>
      </c>
      <c r="AD32">
        <f t="shared" si="21"/>
        <v>-25.856437735862158</v>
      </c>
      <c r="AE32">
        <f t="shared" si="22"/>
        <v>-0.28650164463502392</v>
      </c>
      <c r="AF32">
        <v>15</v>
      </c>
      <c r="AG32">
        <v>5</v>
      </c>
      <c r="AH32">
        <f t="shared" si="23"/>
        <v>1</v>
      </c>
      <c r="AI32">
        <f t="shared" si="24"/>
        <v>0</v>
      </c>
      <c r="AJ32">
        <f t="shared" si="25"/>
        <v>52573.938587584948</v>
      </c>
      <c r="AK32">
        <f t="shared" si="26"/>
        <v>1799.97</v>
      </c>
      <c r="AL32">
        <f t="shared" si="27"/>
        <v>1499.08727939559</v>
      </c>
      <c r="AM32">
        <f t="shared" si="28"/>
        <v>0.83284014699999998</v>
      </c>
      <c r="AN32">
        <f t="shared" si="29"/>
        <v>0.15339728867000002</v>
      </c>
      <c r="AO32">
        <v>33</v>
      </c>
      <c r="AP32">
        <v>0.5</v>
      </c>
      <c r="AQ32" t="s">
        <v>331</v>
      </c>
      <c r="AR32">
        <v>2</v>
      </c>
      <c r="AS32">
        <v>1690304069.5</v>
      </c>
      <c r="AT32">
        <v>797.16099999999994</v>
      </c>
      <c r="AU32">
        <v>799.93700000000001</v>
      </c>
      <c r="AV32">
        <v>21.994299999999999</v>
      </c>
      <c r="AW32">
        <v>22.170500000000001</v>
      </c>
      <c r="AX32">
        <v>797.4</v>
      </c>
      <c r="AY32">
        <v>21.7225</v>
      </c>
      <c r="AZ32">
        <v>300.15699999999998</v>
      </c>
      <c r="BA32">
        <v>99.280500000000004</v>
      </c>
      <c r="BB32">
        <v>9.9868299999999993E-2</v>
      </c>
      <c r="BC32">
        <v>25.912700000000001</v>
      </c>
      <c r="BD32">
        <v>28.534099999999999</v>
      </c>
      <c r="BE32">
        <v>27.346699999999998</v>
      </c>
      <c r="BF32">
        <v>0</v>
      </c>
      <c r="BG32">
        <v>0</v>
      </c>
      <c r="BH32">
        <v>9977.5</v>
      </c>
      <c r="BI32">
        <v>1072.92</v>
      </c>
      <c r="BJ32">
        <v>1.6119000000000001</v>
      </c>
      <c r="BK32">
        <v>-2.7758799999999999</v>
      </c>
      <c r="BL32">
        <v>815.08799999999997</v>
      </c>
      <c r="BM32">
        <v>818.07399999999996</v>
      </c>
      <c r="BN32">
        <v>-0.17616799999999999</v>
      </c>
      <c r="BO32">
        <v>799.93700000000001</v>
      </c>
      <c r="BP32">
        <v>22.170500000000001</v>
      </c>
      <c r="BQ32">
        <v>2.1836099999999998</v>
      </c>
      <c r="BR32">
        <v>2.2010999999999998</v>
      </c>
      <c r="BS32">
        <v>18.842500000000001</v>
      </c>
      <c r="BT32">
        <v>18.970300000000002</v>
      </c>
      <c r="BU32">
        <v>1799.97</v>
      </c>
      <c r="BV32">
        <v>0.91000199999999998</v>
      </c>
      <c r="BW32">
        <v>3.4000900000000001E-2</v>
      </c>
      <c r="BX32">
        <v>2.1997599999999999E-2</v>
      </c>
      <c r="BY32">
        <v>3.39999E-2</v>
      </c>
      <c r="BZ32">
        <v>26</v>
      </c>
      <c r="CA32">
        <v>33527.9</v>
      </c>
      <c r="CB32">
        <v>1690303320.5</v>
      </c>
      <c r="CC32" t="s">
        <v>332</v>
      </c>
      <c r="CD32">
        <v>1690303320.5</v>
      </c>
      <c r="CE32">
        <v>1690303310.0999999</v>
      </c>
      <c r="CF32">
        <v>8</v>
      </c>
      <c r="CG32">
        <v>7.3999999999999996E-2</v>
      </c>
      <c r="CH32">
        <v>-0.01</v>
      </c>
      <c r="CI32">
        <v>-0.24199999999999999</v>
      </c>
      <c r="CJ32">
        <v>0.27200000000000002</v>
      </c>
      <c r="CK32">
        <v>800</v>
      </c>
      <c r="CL32">
        <v>23</v>
      </c>
      <c r="CM32">
        <v>0.06</v>
      </c>
      <c r="CN32">
        <v>0.09</v>
      </c>
      <c r="CO32">
        <v>-2.1461914634146342</v>
      </c>
      <c r="CP32">
        <v>-4.4914770731707332</v>
      </c>
      <c r="CQ32">
        <v>0.44519743943646528</v>
      </c>
      <c r="CR32">
        <v>-1</v>
      </c>
      <c r="CS32">
        <v>-0.37934624390243898</v>
      </c>
      <c r="CT32">
        <v>1.2857574982578399</v>
      </c>
      <c r="CU32">
        <v>0.1270882895698662</v>
      </c>
      <c r="CV32">
        <v>-1</v>
      </c>
      <c r="CW32">
        <v>0</v>
      </c>
      <c r="CX32">
        <v>0</v>
      </c>
      <c r="CY32" t="s">
        <v>333</v>
      </c>
      <c r="CZ32">
        <v>2.3640699999999999</v>
      </c>
      <c r="DA32">
        <v>2.7136399999999998</v>
      </c>
      <c r="DB32">
        <v>0.14661399999999999</v>
      </c>
      <c r="DC32">
        <v>0.14663200000000001</v>
      </c>
      <c r="DD32">
        <v>0.10692400000000001</v>
      </c>
      <c r="DE32">
        <v>0.106292</v>
      </c>
      <c r="DF32">
        <v>31156</v>
      </c>
      <c r="DG32">
        <v>27502.799999999999</v>
      </c>
      <c r="DH32">
        <v>31168.5</v>
      </c>
      <c r="DI32">
        <v>28083.200000000001</v>
      </c>
      <c r="DJ32">
        <v>37796.699999999997</v>
      </c>
      <c r="DK32">
        <v>35690.699999999997</v>
      </c>
      <c r="DL32">
        <v>44357.599999999999</v>
      </c>
      <c r="DM32">
        <v>42569.9</v>
      </c>
      <c r="DN32">
        <v>1.42913</v>
      </c>
      <c r="DO32">
        <v>2.06</v>
      </c>
      <c r="DP32">
        <v>0.170179</v>
      </c>
      <c r="DQ32">
        <v>0.11324099999999999</v>
      </c>
      <c r="DR32">
        <v>25.7516</v>
      </c>
      <c r="DS32">
        <v>25.492999999999999</v>
      </c>
      <c r="DT32">
        <v>56.9</v>
      </c>
      <c r="DU32">
        <v>29.1</v>
      </c>
      <c r="DV32">
        <v>23.183</v>
      </c>
      <c r="DW32">
        <v>61.821100000000001</v>
      </c>
      <c r="DX32">
        <v>35.408700000000003</v>
      </c>
      <c r="DY32">
        <v>1</v>
      </c>
      <c r="DZ32">
        <v>-6.1349099999999997E-2</v>
      </c>
      <c r="EA32">
        <v>4.2188600000000003</v>
      </c>
      <c r="EB32">
        <v>20.131399999999999</v>
      </c>
      <c r="EC32">
        <v>5.2401999999999997</v>
      </c>
      <c r="ED32">
        <v>12.039899999999999</v>
      </c>
      <c r="EE32">
        <v>5.0172499999999998</v>
      </c>
      <c r="EF32">
        <v>3.2879999999999998</v>
      </c>
      <c r="EG32">
        <v>9999</v>
      </c>
      <c r="EH32">
        <v>9999</v>
      </c>
      <c r="EI32">
        <v>9999</v>
      </c>
      <c r="EJ32">
        <v>999.9</v>
      </c>
      <c r="EK32">
        <v>1.8689</v>
      </c>
      <c r="EL32">
        <v>1.8646199999999999</v>
      </c>
      <c r="EM32">
        <v>1.8691899999999999</v>
      </c>
      <c r="EN32">
        <v>1.8672299999999999</v>
      </c>
      <c r="EO32">
        <v>1.8633999999999999</v>
      </c>
      <c r="EP32">
        <v>1.8644700000000001</v>
      </c>
      <c r="EQ32">
        <v>1.8701700000000001</v>
      </c>
      <c r="ER32">
        <v>1.8694200000000001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-0.23899999999999999</v>
      </c>
      <c r="FG32">
        <v>0.27179999999999999</v>
      </c>
      <c r="FH32">
        <v>0.30965466913576151</v>
      </c>
      <c r="FI32">
        <v>-6.1462078757559423E-4</v>
      </c>
      <c r="FJ32">
        <v>-1.8861989874597051E-7</v>
      </c>
      <c r="FK32">
        <v>1.1980462299894961E-10</v>
      </c>
      <c r="FL32">
        <v>0.27184999999999349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12.5</v>
      </c>
      <c r="FU32">
        <v>12.7</v>
      </c>
      <c r="FV32">
        <v>1.79565</v>
      </c>
      <c r="FW32">
        <v>2.5964399999999999</v>
      </c>
      <c r="FX32">
        <v>1.5490699999999999</v>
      </c>
      <c r="FY32">
        <v>2.3290999999999999</v>
      </c>
      <c r="FZ32">
        <v>1.50146</v>
      </c>
      <c r="GA32">
        <v>2.3034699999999999</v>
      </c>
      <c r="GB32">
        <v>33.783200000000001</v>
      </c>
      <c r="GC32">
        <v>23.956199999999999</v>
      </c>
      <c r="GD32">
        <v>19</v>
      </c>
      <c r="GE32">
        <v>264.24299999999999</v>
      </c>
      <c r="GF32">
        <v>605.22400000000005</v>
      </c>
      <c r="GG32">
        <v>19.309899999999999</v>
      </c>
      <c r="GH32">
        <v>26.5822</v>
      </c>
      <c r="GI32">
        <v>30.0001</v>
      </c>
      <c r="GJ32">
        <v>26.5807</v>
      </c>
      <c r="GK32">
        <v>26.534700000000001</v>
      </c>
      <c r="GL32">
        <v>35.905700000000003</v>
      </c>
      <c r="GM32">
        <v>12.1823</v>
      </c>
      <c r="GN32">
        <v>100</v>
      </c>
      <c r="GO32">
        <v>19.365600000000001</v>
      </c>
      <c r="GP32">
        <v>800</v>
      </c>
      <c r="GQ32">
        <v>22.010300000000001</v>
      </c>
      <c r="GR32">
        <v>99.728399999999993</v>
      </c>
      <c r="GS32">
        <v>99.580799999999996</v>
      </c>
    </row>
    <row r="33" spans="1:201" x14ac:dyDescent="0.25">
      <c r="A33">
        <v>17</v>
      </c>
      <c r="B33">
        <v>1690304079.5</v>
      </c>
      <c r="C33">
        <v>329.5</v>
      </c>
      <c r="D33" t="s">
        <v>365</v>
      </c>
      <c r="E33" t="s">
        <v>366</v>
      </c>
      <c r="F33" t="s">
        <v>330</v>
      </c>
      <c r="H33">
        <v>1690304079.5</v>
      </c>
      <c r="I33">
        <f t="shared" si="0"/>
        <v>2.5940646559427791E-6</v>
      </c>
      <c r="J33">
        <f t="shared" si="1"/>
        <v>2.5940646559427789E-3</v>
      </c>
      <c r="K33">
        <f t="shared" si="2"/>
        <v>0.32853662587968929</v>
      </c>
      <c r="L33">
        <f t="shared" si="3"/>
        <v>796.48099999999999</v>
      </c>
      <c r="M33">
        <f t="shared" si="4"/>
        <v>-2569.6475771293076</v>
      </c>
      <c r="N33">
        <f t="shared" si="5"/>
        <v>-255.36526850120305</v>
      </c>
      <c r="O33">
        <f t="shared" si="6"/>
        <v>79.152326658089308</v>
      </c>
      <c r="P33">
        <f t="shared" si="7"/>
        <v>1.5507344696747015E-4</v>
      </c>
      <c r="Q33">
        <f t="shared" si="8"/>
        <v>2.1010010096635079</v>
      </c>
      <c r="R33">
        <f t="shared" si="9"/>
        <v>1.550670884351633E-4</v>
      </c>
      <c r="S33">
        <f t="shared" si="10"/>
        <v>9.6917501524702458E-5</v>
      </c>
      <c r="T33">
        <f t="shared" si="11"/>
        <v>276.11289373495725</v>
      </c>
      <c r="U33">
        <f t="shared" si="12"/>
        <v>28.050069983703541</v>
      </c>
      <c r="V33">
        <f t="shared" si="13"/>
        <v>28.050069983703541</v>
      </c>
      <c r="W33">
        <f t="shared" si="14"/>
        <v>3.8059305819669098</v>
      </c>
      <c r="X33">
        <f t="shared" si="15"/>
        <v>65.638200657907333</v>
      </c>
      <c r="Y33">
        <f t="shared" si="16"/>
        <v>2.1936599349522004</v>
      </c>
      <c r="Z33">
        <f t="shared" si="17"/>
        <v>3.3420476383639772</v>
      </c>
      <c r="AA33">
        <f t="shared" si="18"/>
        <v>1.6122706470147095</v>
      </c>
      <c r="AB33">
        <f t="shared" si="19"/>
        <v>-0.11439825132707655</v>
      </c>
      <c r="AC33">
        <f t="shared" si="20"/>
        <v>-250.55932314551345</v>
      </c>
      <c r="AD33">
        <f t="shared" si="21"/>
        <v>-25.723029019632143</v>
      </c>
      <c r="AE33">
        <f t="shared" si="22"/>
        <v>-0.28385668151543086</v>
      </c>
      <c r="AF33">
        <v>15</v>
      </c>
      <c r="AG33">
        <v>5</v>
      </c>
      <c r="AH33">
        <f t="shared" si="23"/>
        <v>1</v>
      </c>
      <c r="AI33">
        <f t="shared" si="24"/>
        <v>0</v>
      </c>
      <c r="AJ33">
        <f t="shared" si="25"/>
        <v>52734.181485249384</v>
      </c>
      <c r="AK33">
        <f t="shared" si="26"/>
        <v>1799.99</v>
      </c>
      <c r="AL33">
        <f t="shared" si="27"/>
        <v>1499.1059449873699</v>
      </c>
      <c r="AM33">
        <f t="shared" si="28"/>
        <v>0.83284126299999994</v>
      </c>
      <c r="AN33">
        <f t="shared" si="29"/>
        <v>0.15339690428000002</v>
      </c>
      <c r="AO33">
        <v>33</v>
      </c>
      <c r="AP33">
        <v>0.5</v>
      </c>
      <c r="AQ33" t="s">
        <v>331</v>
      </c>
      <c r="AR33">
        <v>2</v>
      </c>
      <c r="AS33">
        <v>1690304079.5</v>
      </c>
      <c r="AT33">
        <v>796.48099999999999</v>
      </c>
      <c r="AU33">
        <v>800.11699999999996</v>
      </c>
      <c r="AV33">
        <v>22.074000000000002</v>
      </c>
      <c r="AW33">
        <v>22.046099999999999</v>
      </c>
      <c r="AX33">
        <v>796.72</v>
      </c>
      <c r="AY33">
        <v>21.802199999999999</v>
      </c>
      <c r="AZ33">
        <v>300.05200000000002</v>
      </c>
      <c r="BA33">
        <v>99.277600000000007</v>
      </c>
      <c r="BB33">
        <v>9.9945300000000001E-2</v>
      </c>
      <c r="BC33">
        <v>25.838000000000001</v>
      </c>
      <c r="BD33">
        <v>28.438600000000001</v>
      </c>
      <c r="BE33">
        <v>27.254799999999999</v>
      </c>
      <c r="BF33">
        <v>0</v>
      </c>
      <c r="BG33">
        <v>0</v>
      </c>
      <c r="BH33">
        <v>10006.9</v>
      </c>
      <c r="BI33">
        <v>1071.72</v>
      </c>
      <c r="BJ33">
        <v>1.62592</v>
      </c>
      <c r="BK33">
        <v>-3.6364700000000001</v>
      </c>
      <c r="BL33">
        <v>814.45899999999995</v>
      </c>
      <c r="BM33">
        <v>818.154</v>
      </c>
      <c r="BN33">
        <v>2.7904499999999999E-2</v>
      </c>
      <c r="BO33">
        <v>800.11699999999996</v>
      </c>
      <c r="BP33">
        <v>22.046099999999999</v>
      </c>
      <c r="BQ33">
        <v>2.1914600000000002</v>
      </c>
      <c r="BR33">
        <v>2.1886899999999998</v>
      </c>
      <c r="BS33">
        <v>18.899999999999999</v>
      </c>
      <c r="BT33">
        <v>18.8797</v>
      </c>
      <c r="BU33">
        <v>1799.99</v>
      </c>
      <c r="BV33">
        <v>0.91001699999999996</v>
      </c>
      <c r="BW33">
        <v>3.3995200000000003E-2</v>
      </c>
      <c r="BX33">
        <v>2.19939E-2</v>
      </c>
      <c r="BY33">
        <v>3.3994200000000002E-2</v>
      </c>
      <c r="BZ33">
        <v>26</v>
      </c>
      <c r="CA33">
        <v>33528.199999999997</v>
      </c>
      <c r="CB33">
        <v>1690303320.5</v>
      </c>
      <c r="CC33" t="s">
        <v>332</v>
      </c>
      <c r="CD33">
        <v>1690303320.5</v>
      </c>
      <c r="CE33">
        <v>1690303310.0999999</v>
      </c>
      <c r="CF33">
        <v>8</v>
      </c>
      <c r="CG33">
        <v>7.3999999999999996E-2</v>
      </c>
      <c r="CH33">
        <v>-0.01</v>
      </c>
      <c r="CI33">
        <v>-0.24199999999999999</v>
      </c>
      <c r="CJ33">
        <v>0.27200000000000002</v>
      </c>
      <c r="CK33">
        <v>800</v>
      </c>
      <c r="CL33">
        <v>23</v>
      </c>
      <c r="CM33">
        <v>0.06</v>
      </c>
      <c r="CN33">
        <v>0.09</v>
      </c>
      <c r="CO33">
        <v>-2.8544437500000002</v>
      </c>
      <c r="CP33">
        <v>-4.140682063789864</v>
      </c>
      <c r="CQ33">
        <v>0.40262292182442561</v>
      </c>
      <c r="CR33">
        <v>-1</v>
      </c>
      <c r="CS33">
        <v>-0.18502447975</v>
      </c>
      <c r="CT33">
        <v>1.0941819384990621</v>
      </c>
      <c r="CU33">
        <v>0.10547983073460029</v>
      </c>
      <c r="CV33">
        <v>-1</v>
      </c>
      <c r="CW33">
        <v>0</v>
      </c>
      <c r="CX33">
        <v>0</v>
      </c>
      <c r="CY33" t="s">
        <v>333</v>
      </c>
      <c r="CZ33">
        <v>2.3637100000000002</v>
      </c>
      <c r="DA33">
        <v>2.71374</v>
      </c>
      <c r="DB33">
        <v>0.14652399999999999</v>
      </c>
      <c r="DC33">
        <v>0.146645</v>
      </c>
      <c r="DD33">
        <v>0.107195</v>
      </c>
      <c r="DE33">
        <v>0.105869</v>
      </c>
      <c r="DF33">
        <v>31158.2</v>
      </c>
      <c r="DG33">
        <v>27501.4</v>
      </c>
      <c r="DH33">
        <v>31167.5</v>
      </c>
      <c r="DI33">
        <v>28082.3</v>
      </c>
      <c r="DJ33">
        <v>37783.599999999999</v>
      </c>
      <c r="DK33">
        <v>35706.800000000003</v>
      </c>
      <c r="DL33">
        <v>44355.9</v>
      </c>
      <c r="DM33">
        <v>42568.800000000003</v>
      </c>
      <c r="DN33">
        <v>1.4294</v>
      </c>
      <c r="DO33">
        <v>2.0594199999999998</v>
      </c>
      <c r="DP33">
        <v>0.16733999999999999</v>
      </c>
      <c r="DQ33">
        <v>0.111774</v>
      </c>
      <c r="DR33">
        <v>25.702300000000001</v>
      </c>
      <c r="DS33">
        <v>25.425000000000001</v>
      </c>
      <c r="DT33">
        <v>56.9</v>
      </c>
      <c r="DU33">
        <v>29.1</v>
      </c>
      <c r="DV33">
        <v>23.187899999999999</v>
      </c>
      <c r="DW33">
        <v>61.9011</v>
      </c>
      <c r="DX33">
        <v>35.985599999999998</v>
      </c>
      <c r="DY33">
        <v>1</v>
      </c>
      <c r="DZ33">
        <v>-6.03963E-2</v>
      </c>
      <c r="EA33">
        <v>4.0035800000000004</v>
      </c>
      <c r="EB33">
        <v>20.136800000000001</v>
      </c>
      <c r="EC33">
        <v>5.2401999999999997</v>
      </c>
      <c r="ED33">
        <v>12.039899999999999</v>
      </c>
      <c r="EE33">
        <v>5.0172499999999998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1.8689100000000001</v>
      </c>
      <c r="EL33">
        <v>1.8646199999999999</v>
      </c>
      <c r="EM33">
        <v>1.8691899999999999</v>
      </c>
      <c r="EN33">
        <v>1.8672599999999999</v>
      </c>
      <c r="EO33">
        <v>1.8633999999999999</v>
      </c>
      <c r="EP33">
        <v>1.8644700000000001</v>
      </c>
      <c r="EQ33">
        <v>1.8702000000000001</v>
      </c>
      <c r="ER33">
        <v>1.8694299999999999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-0.23899999999999999</v>
      </c>
      <c r="FG33">
        <v>0.27179999999999999</v>
      </c>
      <c r="FH33">
        <v>0.30965466913576151</v>
      </c>
      <c r="FI33">
        <v>-6.1462078757559423E-4</v>
      </c>
      <c r="FJ33">
        <v>-1.8861989874597051E-7</v>
      </c>
      <c r="FK33">
        <v>1.1980462299894961E-10</v>
      </c>
      <c r="FL33">
        <v>0.27184999999999349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12.7</v>
      </c>
      <c r="FU33">
        <v>12.8</v>
      </c>
      <c r="FV33">
        <v>1.79565</v>
      </c>
      <c r="FW33">
        <v>2.5915499999999998</v>
      </c>
      <c r="FX33">
        <v>1.5490699999999999</v>
      </c>
      <c r="FY33">
        <v>2.3290999999999999</v>
      </c>
      <c r="FZ33">
        <v>1.50146</v>
      </c>
      <c r="GA33">
        <v>2.34375</v>
      </c>
      <c r="GB33">
        <v>33.805700000000002</v>
      </c>
      <c r="GC33">
        <v>23.9649</v>
      </c>
      <c r="GD33">
        <v>19</v>
      </c>
      <c r="GE33">
        <v>264.39999999999998</v>
      </c>
      <c r="GF33">
        <v>604.81899999999996</v>
      </c>
      <c r="GG33">
        <v>19.368099999999998</v>
      </c>
      <c r="GH33">
        <v>26.597899999999999</v>
      </c>
      <c r="GI33">
        <v>30.000499999999999</v>
      </c>
      <c r="GJ33">
        <v>26.591899999999999</v>
      </c>
      <c r="GK33">
        <v>26.541899999999998</v>
      </c>
      <c r="GL33">
        <v>35.896099999999997</v>
      </c>
      <c r="GM33">
        <v>13.047499999999999</v>
      </c>
      <c r="GN33">
        <v>100</v>
      </c>
      <c r="GO33">
        <v>19.402699999999999</v>
      </c>
      <c r="GP33">
        <v>800</v>
      </c>
      <c r="GQ33">
        <v>21.858899999999998</v>
      </c>
      <c r="GR33">
        <v>99.724800000000002</v>
      </c>
      <c r="GS33">
        <v>99.5779</v>
      </c>
    </row>
    <row r="34" spans="1:201" x14ac:dyDescent="0.25">
      <c r="A34">
        <v>18</v>
      </c>
      <c r="B34">
        <v>1690304089.5</v>
      </c>
      <c r="C34">
        <v>339.5</v>
      </c>
      <c r="D34" t="s">
        <v>367</v>
      </c>
      <c r="E34" t="s">
        <v>368</v>
      </c>
      <c r="F34" t="s">
        <v>330</v>
      </c>
      <c r="H34">
        <v>1690304089.5</v>
      </c>
      <c r="I34">
        <f t="shared" si="0"/>
        <v>2.6350071719605007E-5</v>
      </c>
      <c r="J34">
        <f t="shared" si="1"/>
        <v>2.6350071719605007E-2</v>
      </c>
      <c r="K34">
        <f t="shared" si="2"/>
        <v>0.37529901672519494</v>
      </c>
      <c r="L34">
        <f t="shared" si="3"/>
        <v>795.678</v>
      </c>
      <c r="M34">
        <f t="shared" si="4"/>
        <v>404.65820863609656</v>
      </c>
      <c r="N34">
        <f t="shared" si="5"/>
        <v>40.216404516160082</v>
      </c>
      <c r="O34">
        <f t="shared" si="6"/>
        <v>79.077373520885985</v>
      </c>
      <c r="P34">
        <f t="shared" si="7"/>
        <v>1.6009639394966371E-3</v>
      </c>
      <c r="Q34">
        <f t="shared" si="8"/>
        <v>2.0993690682350712</v>
      </c>
      <c r="R34">
        <f t="shared" si="9"/>
        <v>1.6002859809553839E-3</v>
      </c>
      <c r="S34">
        <f t="shared" si="10"/>
        <v>1.0002396245815709E-3</v>
      </c>
      <c r="T34">
        <f t="shared" si="11"/>
        <v>276.11284166124648</v>
      </c>
      <c r="U34">
        <f t="shared" si="12"/>
        <v>27.980256797585284</v>
      </c>
      <c r="V34">
        <f t="shared" si="13"/>
        <v>27.980256797585284</v>
      </c>
      <c r="W34">
        <f t="shared" si="14"/>
        <v>3.790474159758964</v>
      </c>
      <c r="X34">
        <f t="shared" si="15"/>
        <v>66.176177119371303</v>
      </c>
      <c r="Y34">
        <f t="shared" si="16"/>
        <v>2.2033849241084997</v>
      </c>
      <c r="Z34">
        <f t="shared" si="17"/>
        <v>3.3295742063400602</v>
      </c>
      <c r="AA34">
        <f t="shared" si="18"/>
        <v>1.5870892356504642</v>
      </c>
      <c r="AB34">
        <f t="shared" si="19"/>
        <v>-1.1620381628345808</v>
      </c>
      <c r="AC34">
        <f t="shared" si="20"/>
        <v>-249.60489615433104</v>
      </c>
      <c r="AD34">
        <f t="shared" si="21"/>
        <v>-25.627920684465053</v>
      </c>
      <c r="AE34">
        <f t="shared" si="22"/>
        <v>-0.28201334038419645</v>
      </c>
      <c r="AF34">
        <v>14</v>
      </c>
      <c r="AG34">
        <v>5</v>
      </c>
      <c r="AH34">
        <f t="shared" si="23"/>
        <v>1</v>
      </c>
      <c r="AI34">
        <f t="shared" si="24"/>
        <v>0</v>
      </c>
      <c r="AJ34">
        <f t="shared" si="25"/>
        <v>52672.618438278565</v>
      </c>
      <c r="AK34">
        <f t="shared" si="26"/>
        <v>1799.99</v>
      </c>
      <c r="AL34">
        <f t="shared" si="27"/>
        <v>1499.1032846021499</v>
      </c>
      <c r="AM34">
        <f t="shared" si="28"/>
        <v>0.83283978499999989</v>
      </c>
      <c r="AN34">
        <f t="shared" si="29"/>
        <v>0.15339687534999999</v>
      </c>
      <c r="AO34">
        <v>33</v>
      </c>
      <c r="AP34">
        <v>0.5</v>
      </c>
      <c r="AQ34" t="s">
        <v>331</v>
      </c>
      <c r="AR34">
        <v>2</v>
      </c>
      <c r="AS34">
        <v>1690304089.5</v>
      </c>
      <c r="AT34">
        <v>795.678</v>
      </c>
      <c r="AU34">
        <v>800.03499999999997</v>
      </c>
      <c r="AV34">
        <v>22.170500000000001</v>
      </c>
      <c r="AW34">
        <v>21.8872</v>
      </c>
      <c r="AX34">
        <v>795.91700000000003</v>
      </c>
      <c r="AY34">
        <v>21.898599999999998</v>
      </c>
      <c r="AZ34">
        <v>300.13200000000001</v>
      </c>
      <c r="BA34">
        <v>99.283699999999996</v>
      </c>
      <c r="BB34">
        <v>9.9936999999999998E-2</v>
      </c>
      <c r="BC34">
        <v>25.774899999999999</v>
      </c>
      <c r="BD34">
        <v>28.306799999999999</v>
      </c>
      <c r="BE34">
        <v>27.2073</v>
      </c>
      <c r="BF34">
        <v>0</v>
      </c>
      <c r="BG34">
        <v>0</v>
      </c>
      <c r="BH34">
        <v>9991.8799999999992</v>
      </c>
      <c r="BI34">
        <v>1070.57</v>
      </c>
      <c r="BJ34">
        <v>1.56985</v>
      </c>
      <c r="BK34">
        <v>-4.3571200000000001</v>
      </c>
      <c r="BL34">
        <v>813.71900000000005</v>
      </c>
      <c r="BM34">
        <v>817.93799999999999</v>
      </c>
      <c r="BN34">
        <v>0.28325499999999998</v>
      </c>
      <c r="BO34">
        <v>800.03499999999997</v>
      </c>
      <c r="BP34">
        <v>21.8872</v>
      </c>
      <c r="BQ34">
        <v>2.2011599999999998</v>
      </c>
      <c r="BR34">
        <v>2.1730399999999999</v>
      </c>
      <c r="BS34">
        <v>18.970800000000001</v>
      </c>
      <c r="BT34">
        <v>18.764900000000001</v>
      </c>
      <c r="BU34">
        <v>1799.99</v>
      </c>
      <c r="BV34">
        <v>0.91001100000000001</v>
      </c>
      <c r="BW34">
        <v>3.4007299999999997E-2</v>
      </c>
      <c r="BX34">
        <v>2.1992999999999999E-2</v>
      </c>
      <c r="BY34">
        <v>3.3988699999999997E-2</v>
      </c>
      <c r="BZ34">
        <v>26</v>
      </c>
      <c r="CA34">
        <v>33528.300000000003</v>
      </c>
      <c r="CB34">
        <v>1690303320.5</v>
      </c>
      <c r="CC34" t="s">
        <v>332</v>
      </c>
      <c r="CD34">
        <v>1690303320.5</v>
      </c>
      <c r="CE34">
        <v>1690303310.0999999</v>
      </c>
      <c r="CF34">
        <v>8</v>
      </c>
      <c r="CG34">
        <v>7.3999999999999996E-2</v>
      </c>
      <c r="CH34">
        <v>-0.01</v>
      </c>
      <c r="CI34">
        <v>-0.24199999999999999</v>
      </c>
      <c r="CJ34">
        <v>0.27200000000000002</v>
      </c>
      <c r="CK34">
        <v>800</v>
      </c>
      <c r="CL34">
        <v>23</v>
      </c>
      <c r="CM34">
        <v>0.06</v>
      </c>
      <c r="CN34">
        <v>0.09</v>
      </c>
      <c r="CO34">
        <v>-3.574825121951219</v>
      </c>
      <c r="CP34">
        <v>-4.4609443902439043</v>
      </c>
      <c r="CQ34">
        <v>0.44272578161095821</v>
      </c>
      <c r="CR34">
        <v>-1</v>
      </c>
      <c r="CS34">
        <v>2.5953036829268292E-2</v>
      </c>
      <c r="CT34">
        <v>1.394337661254355</v>
      </c>
      <c r="CU34">
        <v>0.1377158366238016</v>
      </c>
      <c r="CV34">
        <v>-1</v>
      </c>
      <c r="CW34">
        <v>0</v>
      </c>
      <c r="CX34">
        <v>0</v>
      </c>
      <c r="CY34" t="s">
        <v>333</v>
      </c>
      <c r="CZ34">
        <v>2.3639600000000001</v>
      </c>
      <c r="DA34">
        <v>2.7137199999999999</v>
      </c>
      <c r="DB34">
        <v>0.14643200000000001</v>
      </c>
      <c r="DC34">
        <v>0.14663799999999999</v>
      </c>
      <c r="DD34">
        <v>0.107534</v>
      </c>
      <c r="DE34">
        <v>0.105336</v>
      </c>
      <c r="DF34">
        <v>31161.5</v>
      </c>
      <c r="DG34">
        <v>27500.9</v>
      </c>
      <c r="DH34">
        <v>31167.4</v>
      </c>
      <c r="DI34">
        <v>28081.599999999999</v>
      </c>
      <c r="DJ34">
        <v>37769.1</v>
      </c>
      <c r="DK34">
        <v>35727.1</v>
      </c>
      <c r="DL34">
        <v>44355.8</v>
      </c>
      <c r="DM34">
        <v>42567.7</v>
      </c>
      <c r="DN34">
        <v>1.42963</v>
      </c>
      <c r="DO34">
        <v>2.0590000000000002</v>
      </c>
      <c r="DP34">
        <v>0.162303</v>
      </c>
      <c r="DQ34">
        <v>0.112914</v>
      </c>
      <c r="DR34">
        <v>25.6524</v>
      </c>
      <c r="DS34">
        <v>25.358599999999999</v>
      </c>
      <c r="DT34">
        <v>57</v>
      </c>
      <c r="DU34">
        <v>29.1</v>
      </c>
      <c r="DV34">
        <v>23.225000000000001</v>
      </c>
      <c r="DW34">
        <v>61.4711</v>
      </c>
      <c r="DX34">
        <v>35.749200000000002</v>
      </c>
      <c r="DY34">
        <v>1</v>
      </c>
      <c r="DZ34">
        <v>-6.0139699999999997E-2</v>
      </c>
      <c r="EA34">
        <v>3.7554099999999999</v>
      </c>
      <c r="EB34">
        <v>20.142800000000001</v>
      </c>
      <c r="EC34">
        <v>5.2397499999999999</v>
      </c>
      <c r="ED34">
        <v>12.039899999999999</v>
      </c>
      <c r="EE34">
        <v>5.0167000000000002</v>
      </c>
      <c r="EF34">
        <v>3.2879499999999999</v>
      </c>
      <c r="EG34">
        <v>9999</v>
      </c>
      <c r="EH34">
        <v>9999</v>
      </c>
      <c r="EI34">
        <v>9999</v>
      </c>
      <c r="EJ34">
        <v>999.9</v>
      </c>
      <c r="EK34">
        <v>1.8689100000000001</v>
      </c>
      <c r="EL34">
        <v>1.8646199999999999</v>
      </c>
      <c r="EM34">
        <v>1.8692</v>
      </c>
      <c r="EN34">
        <v>1.86724</v>
      </c>
      <c r="EO34">
        <v>1.8633999999999999</v>
      </c>
      <c r="EP34">
        <v>1.8644700000000001</v>
      </c>
      <c r="EQ34">
        <v>1.8701700000000001</v>
      </c>
      <c r="ER34">
        <v>1.8694299999999999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-0.23899999999999999</v>
      </c>
      <c r="FG34">
        <v>0.27189999999999998</v>
      </c>
      <c r="FH34">
        <v>0.30965466913576151</v>
      </c>
      <c r="FI34">
        <v>-6.1462078757559423E-4</v>
      </c>
      <c r="FJ34">
        <v>-1.8861989874597051E-7</v>
      </c>
      <c r="FK34">
        <v>1.1980462299894961E-10</v>
      </c>
      <c r="FL34">
        <v>0.27184999999999349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12.8</v>
      </c>
      <c r="FU34">
        <v>13</v>
      </c>
      <c r="FV34">
        <v>1.79565</v>
      </c>
      <c r="FW34">
        <v>2.5878899999999998</v>
      </c>
      <c r="FX34">
        <v>1.5490699999999999</v>
      </c>
      <c r="FY34">
        <v>2.3290999999999999</v>
      </c>
      <c r="FZ34">
        <v>1.50146</v>
      </c>
      <c r="GA34">
        <v>2.4060100000000002</v>
      </c>
      <c r="GB34">
        <v>33.805700000000002</v>
      </c>
      <c r="GC34">
        <v>23.973700000000001</v>
      </c>
      <c r="GD34">
        <v>19</v>
      </c>
      <c r="GE34">
        <v>264.536</v>
      </c>
      <c r="GF34">
        <v>604.54700000000003</v>
      </c>
      <c r="GG34">
        <v>19.442</v>
      </c>
      <c r="GH34">
        <v>26.611799999999999</v>
      </c>
      <c r="GI34">
        <v>30.0002</v>
      </c>
      <c r="GJ34">
        <v>26.603100000000001</v>
      </c>
      <c r="GK34">
        <v>26.549600000000002</v>
      </c>
      <c r="GL34">
        <v>35.891599999999997</v>
      </c>
      <c r="GM34">
        <v>13.9337</v>
      </c>
      <c r="GN34">
        <v>100</v>
      </c>
      <c r="GO34">
        <v>19.472799999999999</v>
      </c>
      <c r="GP34">
        <v>800</v>
      </c>
      <c r="GQ34">
        <v>21.783100000000001</v>
      </c>
      <c r="GR34">
        <v>99.724599999999995</v>
      </c>
      <c r="GS34">
        <v>99.575400000000002</v>
      </c>
    </row>
    <row r="35" spans="1:201" x14ac:dyDescent="0.25">
      <c r="A35">
        <v>19</v>
      </c>
      <c r="B35">
        <v>1690304099.5</v>
      </c>
      <c r="C35">
        <v>349.5</v>
      </c>
      <c r="D35" t="s">
        <v>369</v>
      </c>
      <c r="E35" t="s">
        <v>370</v>
      </c>
      <c r="F35" t="s">
        <v>330</v>
      </c>
      <c r="H35">
        <v>1690304099.5</v>
      </c>
      <c r="I35">
        <f t="shared" si="0"/>
        <v>4.5048578151537658E-5</v>
      </c>
      <c r="J35">
        <f t="shared" si="1"/>
        <v>4.5048578151537656E-2</v>
      </c>
      <c r="K35">
        <f t="shared" si="2"/>
        <v>0.44849494633317344</v>
      </c>
      <c r="L35">
        <f t="shared" si="3"/>
        <v>794.74</v>
      </c>
      <c r="M35">
        <f t="shared" si="4"/>
        <v>519.31585927245044</v>
      </c>
      <c r="N35">
        <f t="shared" si="5"/>
        <v>51.615611931744915</v>
      </c>
      <c r="O35">
        <f t="shared" si="6"/>
        <v>78.990446169128006</v>
      </c>
      <c r="P35">
        <f t="shared" si="7"/>
        <v>2.7790993624393205E-3</v>
      </c>
      <c r="Q35">
        <f t="shared" si="8"/>
        <v>2.0976859658833513</v>
      </c>
      <c r="R35">
        <f t="shared" si="9"/>
        <v>2.7770555073559264E-3</v>
      </c>
      <c r="S35">
        <f t="shared" si="10"/>
        <v>1.7358431948129964E-3</v>
      </c>
      <c r="T35">
        <f t="shared" si="11"/>
        <v>276.11485075608482</v>
      </c>
      <c r="U35">
        <f t="shared" si="12"/>
        <v>27.921569923471818</v>
      </c>
      <c r="V35">
        <f t="shared" si="13"/>
        <v>27.921569923471818</v>
      </c>
      <c r="W35">
        <f t="shared" si="14"/>
        <v>3.7775234654423344</v>
      </c>
      <c r="X35">
        <f t="shared" si="15"/>
        <v>66.701924231366576</v>
      </c>
      <c r="Y35">
        <f t="shared" si="16"/>
        <v>2.2138177276056403</v>
      </c>
      <c r="Z35">
        <f t="shared" si="17"/>
        <v>3.3189713087236439</v>
      </c>
      <c r="AA35">
        <f t="shared" si="18"/>
        <v>1.5637057378366941</v>
      </c>
      <c r="AB35">
        <f t="shared" si="19"/>
        <v>-1.9866422964828108</v>
      </c>
      <c r="AC35">
        <f t="shared" si="20"/>
        <v>-248.85212459886353</v>
      </c>
      <c r="AD35">
        <f t="shared" si="21"/>
        <v>-25.556744839445219</v>
      </c>
      <c r="AE35">
        <f t="shared" si="22"/>
        <v>-0.28066097870674866</v>
      </c>
      <c r="AF35">
        <v>14</v>
      </c>
      <c r="AG35">
        <v>5</v>
      </c>
      <c r="AH35">
        <f t="shared" si="23"/>
        <v>1</v>
      </c>
      <c r="AI35">
        <f t="shared" si="24"/>
        <v>0</v>
      </c>
      <c r="AJ35">
        <f t="shared" si="25"/>
        <v>52607.215530325935</v>
      </c>
      <c r="AK35">
        <f t="shared" si="26"/>
        <v>1799.99</v>
      </c>
      <c r="AL35">
        <f t="shared" si="27"/>
        <v>1499.10335120178</v>
      </c>
      <c r="AM35">
        <f t="shared" si="28"/>
        <v>0.83283982200000006</v>
      </c>
      <c r="AN35">
        <f t="shared" si="29"/>
        <v>0.15339799152</v>
      </c>
      <c r="AO35">
        <v>33</v>
      </c>
      <c r="AP35">
        <v>0.5</v>
      </c>
      <c r="AQ35" t="s">
        <v>331</v>
      </c>
      <c r="AR35">
        <v>2</v>
      </c>
      <c r="AS35">
        <v>1690304099.5</v>
      </c>
      <c r="AT35">
        <v>794.74</v>
      </c>
      <c r="AU35">
        <v>800.06399999999996</v>
      </c>
      <c r="AV35">
        <v>22.273700000000002</v>
      </c>
      <c r="AW35">
        <v>21.7895</v>
      </c>
      <c r="AX35">
        <v>794.97799999999995</v>
      </c>
      <c r="AY35">
        <v>22.001899999999999</v>
      </c>
      <c r="AZ35">
        <v>300.18400000000003</v>
      </c>
      <c r="BA35">
        <v>99.291600000000003</v>
      </c>
      <c r="BB35">
        <v>9.9957199999999996E-2</v>
      </c>
      <c r="BC35">
        <v>25.7211</v>
      </c>
      <c r="BD35">
        <v>28.1799</v>
      </c>
      <c r="BE35">
        <v>27.178799999999999</v>
      </c>
      <c r="BF35">
        <v>0</v>
      </c>
      <c r="BG35">
        <v>0</v>
      </c>
      <c r="BH35">
        <v>9976.25</v>
      </c>
      <c r="BI35">
        <v>1069.45</v>
      </c>
      <c r="BJ35">
        <v>1.5670500000000001</v>
      </c>
      <c r="BK35">
        <v>-5.3234899999999996</v>
      </c>
      <c r="BL35">
        <v>812.846</v>
      </c>
      <c r="BM35">
        <v>817.88499999999999</v>
      </c>
      <c r="BN35">
        <v>0.48419200000000001</v>
      </c>
      <c r="BO35">
        <v>800.06399999999996</v>
      </c>
      <c r="BP35">
        <v>21.7895</v>
      </c>
      <c r="BQ35">
        <v>2.2115900000000002</v>
      </c>
      <c r="BR35">
        <v>2.1635200000000001</v>
      </c>
      <c r="BS35">
        <v>19.046500000000002</v>
      </c>
      <c r="BT35">
        <v>18.694700000000001</v>
      </c>
      <c r="BU35">
        <v>1799.99</v>
      </c>
      <c r="BV35">
        <v>0.90999300000000005</v>
      </c>
      <c r="BW35">
        <v>3.4005599999999997E-2</v>
      </c>
      <c r="BX35">
        <v>2.20086E-2</v>
      </c>
      <c r="BY35">
        <v>3.3992399999999999E-2</v>
      </c>
      <c r="BZ35">
        <v>26</v>
      </c>
      <c r="CA35">
        <v>33528</v>
      </c>
      <c r="CB35">
        <v>1690303320.5</v>
      </c>
      <c r="CC35" t="s">
        <v>332</v>
      </c>
      <c r="CD35">
        <v>1690303320.5</v>
      </c>
      <c r="CE35">
        <v>1690303310.0999999</v>
      </c>
      <c r="CF35">
        <v>8</v>
      </c>
      <c r="CG35">
        <v>7.3999999999999996E-2</v>
      </c>
      <c r="CH35">
        <v>-0.01</v>
      </c>
      <c r="CI35">
        <v>-0.24199999999999999</v>
      </c>
      <c r="CJ35">
        <v>0.27200000000000002</v>
      </c>
      <c r="CK35">
        <v>800</v>
      </c>
      <c r="CL35">
        <v>23</v>
      </c>
      <c r="CM35">
        <v>0.06</v>
      </c>
      <c r="CN35">
        <v>0.09</v>
      </c>
      <c r="CO35">
        <v>-4.3566109756097564</v>
      </c>
      <c r="CP35">
        <v>-4.9336154006968602</v>
      </c>
      <c r="CQ35">
        <v>0.49020889155047548</v>
      </c>
      <c r="CR35">
        <v>-1</v>
      </c>
      <c r="CS35">
        <v>0.25354550487804878</v>
      </c>
      <c r="CT35">
        <v>1.332662954006969</v>
      </c>
      <c r="CU35">
        <v>0.1318653660786285</v>
      </c>
      <c r="CV35">
        <v>-1</v>
      </c>
      <c r="CW35">
        <v>0</v>
      </c>
      <c r="CX35">
        <v>0</v>
      </c>
      <c r="CY35" t="s">
        <v>333</v>
      </c>
      <c r="CZ35">
        <v>2.3641299999999998</v>
      </c>
      <c r="DA35">
        <v>2.71373</v>
      </c>
      <c r="DB35">
        <v>0.14632600000000001</v>
      </c>
      <c r="DC35">
        <v>0.146648</v>
      </c>
      <c r="DD35">
        <v>0.10789799999999999</v>
      </c>
      <c r="DE35">
        <v>0.105013</v>
      </c>
      <c r="DF35">
        <v>31163.8</v>
      </c>
      <c r="DG35">
        <v>27499.9</v>
      </c>
      <c r="DH35">
        <v>31166</v>
      </c>
      <c r="DI35">
        <v>28081</v>
      </c>
      <c r="DJ35">
        <v>37751.699999999997</v>
      </c>
      <c r="DK35">
        <v>35739.300000000003</v>
      </c>
      <c r="DL35">
        <v>44353.599999999999</v>
      </c>
      <c r="DM35">
        <v>42566.8</v>
      </c>
      <c r="DN35">
        <v>1.4298</v>
      </c>
      <c r="DO35">
        <v>2.0586199999999999</v>
      </c>
      <c r="DP35">
        <v>0.15748999999999999</v>
      </c>
      <c r="DQ35">
        <v>0.11494</v>
      </c>
      <c r="DR35">
        <v>25.6038</v>
      </c>
      <c r="DS35">
        <v>25.296700000000001</v>
      </c>
      <c r="DT35">
        <v>57</v>
      </c>
      <c r="DU35">
        <v>29.1</v>
      </c>
      <c r="DV35">
        <v>23.2209</v>
      </c>
      <c r="DW35">
        <v>61.6111</v>
      </c>
      <c r="DX35">
        <v>34.931899999999999</v>
      </c>
      <c r="DY35">
        <v>1</v>
      </c>
      <c r="DZ35">
        <v>-5.9392800000000003E-2</v>
      </c>
      <c r="EA35">
        <v>3.5678000000000001</v>
      </c>
      <c r="EB35">
        <v>20.147500000000001</v>
      </c>
      <c r="EC35">
        <v>5.2394499999999997</v>
      </c>
      <c r="ED35">
        <v>12.039899999999999</v>
      </c>
      <c r="EE35">
        <v>5.0164499999999999</v>
      </c>
      <c r="EF35">
        <v>3.2879999999999998</v>
      </c>
      <c r="EG35">
        <v>9999</v>
      </c>
      <c r="EH35">
        <v>9999</v>
      </c>
      <c r="EI35">
        <v>9999</v>
      </c>
      <c r="EJ35">
        <v>999.9</v>
      </c>
      <c r="EK35">
        <v>1.8689100000000001</v>
      </c>
      <c r="EL35">
        <v>1.8646199999999999</v>
      </c>
      <c r="EM35">
        <v>1.8692</v>
      </c>
      <c r="EN35">
        <v>1.8672599999999999</v>
      </c>
      <c r="EO35">
        <v>1.8633999999999999</v>
      </c>
      <c r="EP35">
        <v>1.8644700000000001</v>
      </c>
      <c r="EQ35">
        <v>1.87018</v>
      </c>
      <c r="ER35">
        <v>1.8694299999999999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-0.23799999999999999</v>
      </c>
      <c r="FG35">
        <v>0.27179999999999999</v>
      </c>
      <c r="FH35">
        <v>0.30965466913576151</v>
      </c>
      <c r="FI35">
        <v>-6.1462078757559423E-4</v>
      </c>
      <c r="FJ35">
        <v>-1.8861989874597051E-7</v>
      </c>
      <c r="FK35">
        <v>1.1980462299894961E-10</v>
      </c>
      <c r="FL35">
        <v>0.27184999999999349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13</v>
      </c>
      <c r="FU35">
        <v>13.2</v>
      </c>
      <c r="FV35">
        <v>1.79443</v>
      </c>
      <c r="FW35">
        <v>2.5891099999999998</v>
      </c>
      <c r="FX35">
        <v>1.5490699999999999</v>
      </c>
      <c r="FY35">
        <v>2.3290999999999999</v>
      </c>
      <c r="FZ35">
        <v>1.50146</v>
      </c>
      <c r="GA35">
        <v>2.3742700000000001</v>
      </c>
      <c r="GB35">
        <v>33.805700000000002</v>
      </c>
      <c r="GC35">
        <v>23.973700000000001</v>
      </c>
      <c r="GD35">
        <v>19</v>
      </c>
      <c r="GE35">
        <v>264.65199999999999</v>
      </c>
      <c r="GF35">
        <v>604.31299999999999</v>
      </c>
      <c r="GG35">
        <v>19.5185</v>
      </c>
      <c r="GH35">
        <v>26.624099999999999</v>
      </c>
      <c r="GI35">
        <v>30.000399999999999</v>
      </c>
      <c r="GJ35">
        <v>26.6143</v>
      </c>
      <c r="GK35">
        <v>26.556899999999999</v>
      </c>
      <c r="GL35">
        <v>35.889600000000002</v>
      </c>
      <c r="GM35">
        <v>14.782500000000001</v>
      </c>
      <c r="GN35">
        <v>100</v>
      </c>
      <c r="GO35">
        <v>19.5456</v>
      </c>
      <c r="GP35">
        <v>800</v>
      </c>
      <c r="GQ35">
        <v>21.606400000000001</v>
      </c>
      <c r="GR35">
        <v>99.719800000000006</v>
      </c>
      <c r="GS35">
        <v>99.5732</v>
      </c>
    </row>
    <row r="36" spans="1:201" x14ac:dyDescent="0.25">
      <c r="A36">
        <v>20</v>
      </c>
      <c r="B36">
        <v>1690304109.5</v>
      </c>
      <c r="C36">
        <v>359.5</v>
      </c>
      <c r="D36" t="s">
        <v>371</v>
      </c>
      <c r="E36" t="s">
        <v>372</v>
      </c>
      <c r="F36" t="s">
        <v>330</v>
      </c>
      <c r="H36">
        <v>1690304109.5</v>
      </c>
      <c r="I36">
        <f t="shared" si="0"/>
        <v>6.9664106960949676E-5</v>
      </c>
      <c r="J36">
        <f t="shared" si="1"/>
        <v>6.966410696094967E-2</v>
      </c>
      <c r="K36">
        <f t="shared" si="2"/>
        <v>0.51702764105864629</v>
      </c>
      <c r="L36">
        <f t="shared" si="3"/>
        <v>793.87599999999998</v>
      </c>
      <c r="M36">
        <f t="shared" si="4"/>
        <v>586.58228847310465</v>
      </c>
      <c r="N36">
        <f t="shared" si="5"/>
        <v>58.292626184880106</v>
      </c>
      <c r="O36">
        <f t="shared" si="6"/>
        <v>78.892796142224</v>
      </c>
      <c r="P36">
        <f t="shared" si="7"/>
        <v>4.3661416086547625E-3</v>
      </c>
      <c r="Q36">
        <f t="shared" si="8"/>
        <v>2.0986507833046701</v>
      </c>
      <c r="R36">
        <f t="shared" si="9"/>
        <v>4.361101484834832E-3</v>
      </c>
      <c r="S36">
        <f t="shared" si="10"/>
        <v>2.7261407682257913E-3</v>
      </c>
      <c r="T36">
        <f t="shared" si="11"/>
        <v>276.11456254168604</v>
      </c>
      <c r="U36">
        <f t="shared" si="12"/>
        <v>27.859345876703152</v>
      </c>
      <c r="V36">
        <f t="shared" si="13"/>
        <v>27.859345876703152</v>
      </c>
      <c r="W36">
        <f t="shared" si="14"/>
        <v>3.7638343897710018</v>
      </c>
      <c r="X36">
        <f t="shared" si="15"/>
        <v>67.225132740899127</v>
      </c>
      <c r="Y36">
        <f t="shared" si="16"/>
        <v>2.2242200235508003</v>
      </c>
      <c r="Z36">
        <f t="shared" si="17"/>
        <v>3.3086138068681059</v>
      </c>
      <c r="AA36">
        <f t="shared" si="18"/>
        <v>1.5396143662202015</v>
      </c>
      <c r="AB36">
        <f t="shared" si="19"/>
        <v>-3.0721871169778807</v>
      </c>
      <c r="AC36">
        <f t="shared" si="20"/>
        <v>-247.88900847267715</v>
      </c>
      <c r="AD36">
        <f t="shared" si="21"/>
        <v>-25.431499853076556</v>
      </c>
      <c r="AE36">
        <f t="shared" si="22"/>
        <v>-0.27813290104555222</v>
      </c>
      <c r="AF36">
        <v>14</v>
      </c>
      <c r="AG36">
        <v>5</v>
      </c>
      <c r="AH36">
        <f t="shared" si="23"/>
        <v>1</v>
      </c>
      <c r="AI36">
        <f t="shared" si="24"/>
        <v>0</v>
      </c>
      <c r="AJ36">
        <f t="shared" si="25"/>
        <v>52659.203555539112</v>
      </c>
      <c r="AK36">
        <f t="shared" si="26"/>
        <v>1799.99</v>
      </c>
      <c r="AL36">
        <f t="shared" si="27"/>
        <v>1499.1013226130499</v>
      </c>
      <c r="AM36">
        <f t="shared" si="28"/>
        <v>0.83283869499999996</v>
      </c>
      <c r="AN36">
        <f t="shared" si="29"/>
        <v>0.15339783140000002</v>
      </c>
      <c r="AO36">
        <v>33</v>
      </c>
      <c r="AP36">
        <v>0.5</v>
      </c>
      <c r="AQ36" t="s">
        <v>331</v>
      </c>
      <c r="AR36">
        <v>2</v>
      </c>
      <c r="AS36">
        <v>1690304109.5</v>
      </c>
      <c r="AT36">
        <v>793.87599999999998</v>
      </c>
      <c r="AU36">
        <v>800.16700000000003</v>
      </c>
      <c r="AV36">
        <v>22.381699999999999</v>
      </c>
      <c r="AW36">
        <v>21.633099999999999</v>
      </c>
      <c r="AX36">
        <v>794.11400000000003</v>
      </c>
      <c r="AY36">
        <v>22.1098</v>
      </c>
      <c r="AZ36">
        <v>300.22199999999998</v>
      </c>
      <c r="BA36">
        <v>99.276700000000005</v>
      </c>
      <c r="BB36">
        <v>0.100024</v>
      </c>
      <c r="BC36">
        <v>25.668399999999998</v>
      </c>
      <c r="BD36">
        <v>28.232099999999999</v>
      </c>
      <c r="BE36">
        <v>27.105799999999999</v>
      </c>
      <c r="BF36">
        <v>0</v>
      </c>
      <c r="BG36">
        <v>0</v>
      </c>
      <c r="BH36">
        <v>9986.25</v>
      </c>
      <c r="BI36">
        <v>1068.46</v>
      </c>
      <c r="BJ36">
        <v>1.62592</v>
      </c>
      <c r="BK36">
        <v>-6.2901600000000002</v>
      </c>
      <c r="BL36">
        <v>812.05200000000002</v>
      </c>
      <c r="BM36">
        <v>817.85900000000004</v>
      </c>
      <c r="BN36">
        <v>0.74850700000000003</v>
      </c>
      <c r="BO36">
        <v>800.16700000000003</v>
      </c>
      <c r="BP36">
        <v>21.633099999999999</v>
      </c>
      <c r="BQ36">
        <v>2.2219799999999998</v>
      </c>
      <c r="BR36">
        <v>2.1476700000000002</v>
      </c>
      <c r="BS36">
        <v>19.121600000000001</v>
      </c>
      <c r="BT36">
        <v>18.577200000000001</v>
      </c>
      <c r="BU36">
        <v>1799.99</v>
      </c>
      <c r="BV36">
        <v>0.90998199999999996</v>
      </c>
      <c r="BW36">
        <v>3.4000900000000001E-2</v>
      </c>
      <c r="BX36">
        <v>2.2005500000000001E-2</v>
      </c>
      <c r="BY36">
        <v>3.4011199999999998E-2</v>
      </c>
      <c r="BZ36">
        <v>26</v>
      </c>
      <c r="CA36">
        <v>33528</v>
      </c>
      <c r="CB36">
        <v>1690303320.5</v>
      </c>
      <c r="CC36" t="s">
        <v>332</v>
      </c>
      <c r="CD36">
        <v>1690303320.5</v>
      </c>
      <c r="CE36">
        <v>1690303310.0999999</v>
      </c>
      <c r="CF36">
        <v>8</v>
      </c>
      <c r="CG36">
        <v>7.3999999999999996E-2</v>
      </c>
      <c r="CH36">
        <v>-0.01</v>
      </c>
      <c r="CI36">
        <v>-0.24199999999999999</v>
      </c>
      <c r="CJ36">
        <v>0.27200000000000002</v>
      </c>
      <c r="CK36">
        <v>800</v>
      </c>
      <c r="CL36">
        <v>23</v>
      </c>
      <c r="CM36">
        <v>0.06</v>
      </c>
      <c r="CN36">
        <v>0.09</v>
      </c>
      <c r="CO36">
        <v>-5.2470931707317066</v>
      </c>
      <c r="CP36">
        <v>-5.7666974216027853</v>
      </c>
      <c r="CQ36">
        <v>0.56965889044721851</v>
      </c>
      <c r="CR36">
        <v>-1</v>
      </c>
      <c r="CS36">
        <v>0.48390843902439018</v>
      </c>
      <c r="CT36">
        <v>1.397394710801394</v>
      </c>
      <c r="CU36">
        <v>0.13840634577691679</v>
      </c>
      <c r="CV36">
        <v>-1</v>
      </c>
      <c r="CW36">
        <v>0</v>
      </c>
      <c r="CX36">
        <v>0</v>
      </c>
      <c r="CY36" t="s">
        <v>333</v>
      </c>
      <c r="CZ36">
        <v>2.3642300000000001</v>
      </c>
      <c r="DA36">
        <v>2.7138</v>
      </c>
      <c r="DB36">
        <v>0.14619799999999999</v>
      </c>
      <c r="DC36">
        <v>0.14663399999999999</v>
      </c>
      <c r="DD36">
        <v>0.108254</v>
      </c>
      <c r="DE36">
        <v>0.104465</v>
      </c>
      <c r="DF36">
        <v>31167.200000000001</v>
      </c>
      <c r="DG36">
        <v>27499.4</v>
      </c>
      <c r="DH36">
        <v>31164.7</v>
      </c>
      <c r="DI36">
        <v>28080</v>
      </c>
      <c r="DJ36">
        <v>37734.9</v>
      </c>
      <c r="DK36">
        <v>35760.199999999997</v>
      </c>
      <c r="DL36">
        <v>44351.7</v>
      </c>
      <c r="DM36">
        <v>42565.599999999999</v>
      </c>
      <c r="DN36">
        <v>1.43005</v>
      </c>
      <c r="DO36">
        <v>2.0585300000000002</v>
      </c>
      <c r="DP36">
        <v>0.16358500000000001</v>
      </c>
      <c r="DQ36">
        <v>0.114076</v>
      </c>
      <c r="DR36">
        <v>25.5564</v>
      </c>
      <c r="DS36">
        <v>25.2377</v>
      </c>
      <c r="DT36">
        <v>57</v>
      </c>
      <c r="DU36">
        <v>29.1</v>
      </c>
      <c r="DV36">
        <v>23.2239</v>
      </c>
      <c r="DW36">
        <v>61.391100000000002</v>
      </c>
      <c r="DX36">
        <v>34.915900000000001</v>
      </c>
      <c r="DY36">
        <v>1</v>
      </c>
      <c r="DZ36">
        <v>-5.8587399999999998E-2</v>
      </c>
      <c r="EA36">
        <v>3.4036200000000001</v>
      </c>
      <c r="EB36">
        <v>20.151399999999999</v>
      </c>
      <c r="EC36">
        <v>5.2397499999999999</v>
      </c>
      <c r="ED36">
        <v>12.039899999999999</v>
      </c>
      <c r="EE36">
        <v>5.016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1.8689199999999999</v>
      </c>
      <c r="EL36">
        <v>1.86463</v>
      </c>
      <c r="EM36">
        <v>1.8692</v>
      </c>
      <c r="EN36">
        <v>1.8672500000000001</v>
      </c>
      <c r="EO36">
        <v>1.8633999999999999</v>
      </c>
      <c r="EP36">
        <v>1.8644700000000001</v>
      </c>
      <c r="EQ36">
        <v>1.8701700000000001</v>
      </c>
      <c r="ER36">
        <v>1.86947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-0.23799999999999999</v>
      </c>
      <c r="FG36">
        <v>0.27189999999999998</v>
      </c>
      <c r="FH36">
        <v>0.30965466913576151</v>
      </c>
      <c r="FI36">
        <v>-6.1462078757559423E-4</v>
      </c>
      <c r="FJ36">
        <v>-1.8861989874597051E-7</v>
      </c>
      <c r="FK36">
        <v>1.1980462299894961E-10</v>
      </c>
      <c r="FL36">
        <v>0.27184999999999349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13.2</v>
      </c>
      <c r="FU36">
        <v>13.3</v>
      </c>
      <c r="FV36">
        <v>1.79443</v>
      </c>
      <c r="FW36">
        <v>2.5964399999999999</v>
      </c>
      <c r="FX36">
        <v>1.5490699999999999</v>
      </c>
      <c r="FY36">
        <v>2.3290999999999999</v>
      </c>
      <c r="FZ36">
        <v>1.50146</v>
      </c>
      <c r="GA36">
        <v>2.3022499999999999</v>
      </c>
      <c r="GB36">
        <v>33.805700000000002</v>
      </c>
      <c r="GC36">
        <v>23.9649</v>
      </c>
      <c r="GD36">
        <v>19</v>
      </c>
      <c r="GE36">
        <v>264.79300000000001</v>
      </c>
      <c r="GF36">
        <v>604.31299999999999</v>
      </c>
      <c r="GG36">
        <v>19.5961</v>
      </c>
      <c r="GH36">
        <v>26.634899999999998</v>
      </c>
      <c r="GI36">
        <v>30.000499999999999</v>
      </c>
      <c r="GJ36">
        <v>26.623799999999999</v>
      </c>
      <c r="GK36">
        <v>26.5641</v>
      </c>
      <c r="GL36">
        <v>35.879199999999997</v>
      </c>
      <c r="GM36">
        <v>15.959899999999999</v>
      </c>
      <c r="GN36">
        <v>100</v>
      </c>
      <c r="GO36">
        <v>19.619499999999999</v>
      </c>
      <c r="GP36">
        <v>800</v>
      </c>
      <c r="GQ36">
        <v>21.410599999999999</v>
      </c>
      <c r="GR36">
        <v>99.715599999999995</v>
      </c>
      <c r="GS36">
        <v>99.570099999999996</v>
      </c>
    </row>
    <row r="37" spans="1:201" x14ac:dyDescent="0.25">
      <c r="A37">
        <v>21</v>
      </c>
      <c r="B37">
        <v>1690304119.5</v>
      </c>
      <c r="C37">
        <v>369.5</v>
      </c>
      <c r="D37" t="s">
        <v>373</v>
      </c>
      <c r="E37" t="s">
        <v>374</v>
      </c>
      <c r="F37" t="s">
        <v>330</v>
      </c>
      <c r="H37">
        <v>1690304119.5</v>
      </c>
      <c r="I37">
        <f t="shared" si="0"/>
        <v>9.6814831588481126E-5</v>
      </c>
      <c r="J37">
        <f t="shared" si="1"/>
        <v>9.6814831588481129E-2</v>
      </c>
      <c r="K37">
        <f t="shared" si="2"/>
        <v>0.58640435222321285</v>
      </c>
      <c r="L37">
        <f t="shared" si="3"/>
        <v>792.83</v>
      </c>
      <c r="M37">
        <f t="shared" si="4"/>
        <v>622.44738574974372</v>
      </c>
      <c r="N37">
        <f t="shared" si="5"/>
        <v>61.856655078907117</v>
      </c>
      <c r="O37">
        <f t="shared" si="6"/>
        <v>78.788686351600006</v>
      </c>
      <c r="P37">
        <f t="shared" si="7"/>
        <v>6.1586450530640479E-3</v>
      </c>
      <c r="Q37">
        <f t="shared" si="8"/>
        <v>2.09779636272062</v>
      </c>
      <c r="R37">
        <f t="shared" si="9"/>
        <v>6.1486180704328521E-3</v>
      </c>
      <c r="S37">
        <f t="shared" si="10"/>
        <v>3.8437857992802888E-3</v>
      </c>
      <c r="T37">
        <f t="shared" si="11"/>
        <v>276.11416589588964</v>
      </c>
      <c r="U37">
        <f t="shared" si="12"/>
        <v>27.802638461554892</v>
      </c>
      <c r="V37">
        <f t="shared" si="13"/>
        <v>27.802638461554892</v>
      </c>
      <c r="W37">
        <f t="shared" si="14"/>
        <v>3.7513966712386115</v>
      </c>
      <c r="X37">
        <f t="shared" si="15"/>
        <v>67.705882687251474</v>
      </c>
      <c r="Y37">
        <f t="shared" si="16"/>
        <v>2.2337556036040001</v>
      </c>
      <c r="Z37">
        <f t="shared" si="17"/>
        <v>3.2992046111003588</v>
      </c>
      <c r="AA37">
        <f t="shared" si="18"/>
        <v>1.5176410676346115</v>
      </c>
      <c r="AB37">
        <f t="shared" si="19"/>
        <v>-4.2695340730520179</v>
      </c>
      <c r="AC37">
        <f t="shared" si="20"/>
        <v>-246.80330850306325</v>
      </c>
      <c r="AD37">
        <f t="shared" si="21"/>
        <v>-25.317156040280629</v>
      </c>
      <c r="AE37">
        <f t="shared" si="22"/>
        <v>-0.27583272050625851</v>
      </c>
      <c r="AF37">
        <v>14</v>
      </c>
      <c r="AG37">
        <v>5</v>
      </c>
      <c r="AH37">
        <f t="shared" si="23"/>
        <v>1</v>
      </c>
      <c r="AI37">
        <f t="shared" si="24"/>
        <v>0</v>
      </c>
      <c r="AJ37">
        <f t="shared" si="25"/>
        <v>52629.553238118358</v>
      </c>
      <c r="AK37">
        <f t="shared" si="26"/>
        <v>1799.99</v>
      </c>
      <c r="AL37">
        <f t="shared" si="27"/>
        <v>1499.1035978004097</v>
      </c>
      <c r="AM37">
        <f t="shared" si="28"/>
        <v>0.83283995899999985</v>
      </c>
      <c r="AN37">
        <f t="shared" si="29"/>
        <v>0.15339761104000002</v>
      </c>
      <c r="AO37">
        <v>33</v>
      </c>
      <c r="AP37">
        <v>0.5</v>
      </c>
      <c r="AQ37" t="s">
        <v>331</v>
      </c>
      <c r="AR37">
        <v>2</v>
      </c>
      <c r="AS37">
        <v>1690304119.5</v>
      </c>
      <c r="AT37">
        <v>792.83</v>
      </c>
      <c r="AU37">
        <v>800.11900000000003</v>
      </c>
      <c r="AV37">
        <v>22.477699999999999</v>
      </c>
      <c r="AW37">
        <v>21.4375</v>
      </c>
      <c r="AX37">
        <v>793.06700000000001</v>
      </c>
      <c r="AY37">
        <v>22.2059</v>
      </c>
      <c r="AZ37">
        <v>300.238</v>
      </c>
      <c r="BA37">
        <v>99.276399999999995</v>
      </c>
      <c r="BB37">
        <v>0.10012</v>
      </c>
      <c r="BC37">
        <v>25.6204</v>
      </c>
      <c r="BD37">
        <v>28.220199999999998</v>
      </c>
      <c r="BE37">
        <v>27.043600000000001</v>
      </c>
      <c r="BF37">
        <v>0</v>
      </c>
      <c r="BG37">
        <v>0</v>
      </c>
      <c r="BH37">
        <v>9978.75</v>
      </c>
      <c r="BI37">
        <v>1067.3900000000001</v>
      </c>
      <c r="BJ37">
        <v>1.62592</v>
      </c>
      <c r="BK37">
        <v>-7.28925</v>
      </c>
      <c r="BL37">
        <v>811.06100000000004</v>
      </c>
      <c r="BM37">
        <v>817.64800000000002</v>
      </c>
      <c r="BN37">
        <v>1.0401800000000001</v>
      </c>
      <c r="BO37">
        <v>800.11900000000003</v>
      </c>
      <c r="BP37">
        <v>21.4375</v>
      </c>
      <c r="BQ37">
        <v>2.2315100000000001</v>
      </c>
      <c r="BR37">
        <v>2.1282399999999999</v>
      </c>
      <c r="BS37">
        <v>19.190300000000001</v>
      </c>
      <c r="BT37">
        <v>18.432200000000002</v>
      </c>
      <c r="BU37">
        <v>1799.99</v>
      </c>
      <c r="BV37">
        <v>0.90999399999999997</v>
      </c>
      <c r="BW37">
        <v>3.3996499999999999E-2</v>
      </c>
      <c r="BX37">
        <v>2.20027E-2</v>
      </c>
      <c r="BY37">
        <v>3.4006799999999997E-2</v>
      </c>
      <c r="BZ37">
        <v>26</v>
      </c>
      <c r="CA37">
        <v>33528.199999999997</v>
      </c>
      <c r="CB37">
        <v>1690303320.5</v>
      </c>
      <c r="CC37" t="s">
        <v>332</v>
      </c>
      <c r="CD37">
        <v>1690303320.5</v>
      </c>
      <c r="CE37">
        <v>1690303310.0999999</v>
      </c>
      <c r="CF37">
        <v>8</v>
      </c>
      <c r="CG37">
        <v>7.3999999999999996E-2</v>
      </c>
      <c r="CH37">
        <v>-0.01</v>
      </c>
      <c r="CI37">
        <v>-0.24199999999999999</v>
      </c>
      <c r="CJ37">
        <v>0.27200000000000002</v>
      </c>
      <c r="CK37">
        <v>800</v>
      </c>
      <c r="CL37">
        <v>23</v>
      </c>
      <c r="CM37">
        <v>0.06</v>
      </c>
      <c r="CN37">
        <v>0.09</v>
      </c>
      <c r="CO37">
        <v>-6.21346243902439</v>
      </c>
      <c r="CP37">
        <v>-5.8158585365853703</v>
      </c>
      <c r="CQ37">
        <v>0.5745062315643289</v>
      </c>
      <c r="CR37">
        <v>-1</v>
      </c>
      <c r="CS37">
        <v>0.73971753658536588</v>
      </c>
      <c r="CT37">
        <v>1.6574598606271771</v>
      </c>
      <c r="CU37">
        <v>0.16347959448589619</v>
      </c>
      <c r="CV37">
        <v>-1</v>
      </c>
      <c r="CW37">
        <v>0</v>
      </c>
      <c r="CX37">
        <v>0</v>
      </c>
      <c r="CY37" t="s">
        <v>333</v>
      </c>
      <c r="CZ37">
        <v>2.3643000000000001</v>
      </c>
      <c r="DA37">
        <v>2.7138900000000001</v>
      </c>
      <c r="DB37">
        <v>0.146067</v>
      </c>
      <c r="DC37">
        <v>0.146622</v>
      </c>
      <c r="DD37">
        <v>0.108583</v>
      </c>
      <c r="DE37">
        <v>0.103798</v>
      </c>
      <c r="DF37">
        <v>31171.599999999999</v>
      </c>
      <c r="DG37">
        <v>27499.200000000001</v>
      </c>
      <c r="DH37">
        <v>31164.400000000001</v>
      </c>
      <c r="DI37">
        <v>28079.5</v>
      </c>
      <c r="DJ37">
        <v>37720.300000000003</v>
      </c>
      <c r="DK37">
        <v>35786.199999999997</v>
      </c>
      <c r="DL37">
        <v>44351.1</v>
      </c>
      <c r="DM37">
        <v>42564.800000000003</v>
      </c>
      <c r="DN37">
        <v>1.4302699999999999</v>
      </c>
      <c r="DO37">
        <v>2.0573700000000001</v>
      </c>
      <c r="DP37">
        <v>0.16567100000000001</v>
      </c>
      <c r="DQ37">
        <v>0.11359900000000001</v>
      </c>
      <c r="DR37">
        <v>25.510200000000001</v>
      </c>
      <c r="DS37">
        <v>25.183199999999999</v>
      </c>
      <c r="DT37">
        <v>57</v>
      </c>
      <c r="DU37">
        <v>29.1</v>
      </c>
      <c r="DV37">
        <v>23.225100000000001</v>
      </c>
      <c r="DW37">
        <v>61.261099999999999</v>
      </c>
      <c r="DX37">
        <v>35.7532</v>
      </c>
      <c r="DY37">
        <v>1</v>
      </c>
      <c r="DZ37">
        <v>-5.8224100000000001E-2</v>
      </c>
      <c r="EA37">
        <v>3.2682099999999998</v>
      </c>
      <c r="EB37">
        <v>20.154199999999999</v>
      </c>
      <c r="EC37">
        <v>5.2391500000000004</v>
      </c>
      <c r="ED37">
        <v>12.039899999999999</v>
      </c>
      <c r="EE37">
        <v>5.0156499999999999</v>
      </c>
      <c r="EF37">
        <v>3.2879700000000001</v>
      </c>
      <c r="EG37">
        <v>9999</v>
      </c>
      <c r="EH37">
        <v>9999</v>
      </c>
      <c r="EI37">
        <v>9999</v>
      </c>
      <c r="EJ37">
        <v>999.9</v>
      </c>
      <c r="EK37">
        <v>1.8689100000000001</v>
      </c>
      <c r="EL37">
        <v>1.8646199999999999</v>
      </c>
      <c r="EM37">
        <v>1.8692</v>
      </c>
      <c r="EN37">
        <v>1.8672500000000001</v>
      </c>
      <c r="EO37">
        <v>1.8633999999999999</v>
      </c>
      <c r="EP37">
        <v>1.8644700000000001</v>
      </c>
      <c r="EQ37">
        <v>1.87018</v>
      </c>
      <c r="ER37">
        <v>1.8694599999999999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-0.23699999999999999</v>
      </c>
      <c r="FG37">
        <v>0.27179999999999999</v>
      </c>
      <c r="FH37">
        <v>0.30965466913576151</v>
      </c>
      <c r="FI37">
        <v>-6.1462078757559423E-4</v>
      </c>
      <c r="FJ37">
        <v>-1.8861989874597051E-7</v>
      </c>
      <c r="FK37">
        <v>1.1980462299894961E-10</v>
      </c>
      <c r="FL37">
        <v>0.27184999999999349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13.3</v>
      </c>
      <c r="FU37">
        <v>13.5</v>
      </c>
      <c r="FV37">
        <v>1.79443</v>
      </c>
      <c r="FW37">
        <v>2.5939899999999998</v>
      </c>
      <c r="FX37">
        <v>1.5490699999999999</v>
      </c>
      <c r="FY37">
        <v>2.3290999999999999</v>
      </c>
      <c r="FZ37">
        <v>1.50146</v>
      </c>
      <c r="GA37">
        <v>2.35229</v>
      </c>
      <c r="GB37">
        <v>33.828299999999999</v>
      </c>
      <c r="GC37">
        <v>23.9649</v>
      </c>
      <c r="GD37">
        <v>19</v>
      </c>
      <c r="GE37">
        <v>264.92</v>
      </c>
      <c r="GF37">
        <v>603.41999999999996</v>
      </c>
      <c r="GG37">
        <v>19.668500000000002</v>
      </c>
      <c r="GH37">
        <v>26.643000000000001</v>
      </c>
      <c r="GI37">
        <v>30.000299999999999</v>
      </c>
      <c r="GJ37">
        <v>26.6327</v>
      </c>
      <c r="GK37">
        <v>26.571300000000001</v>
      </c>
      <c r="GL37">
        <v>35.8705</v>
      </c>
      <c r="GM37">
        <v>17.1568</v>
      </c>
      <c r="GN37">
        <v>100</v>
      </c>
      <c r="GO37">
        <v>19.689299999999999</v>
      </c>
      <c r="GP37">
        <v>800</v>
      </c>
      <c r="GQ37">
        <v>21.203700000000001</v>
      </c>
      <c r="GR37">
        <v>99.714299999999994</v>
      </c>
      <c r="GS37">
        <v>99.568200000000004</v>
      </c>
    </row>
    <row r="38" spans="1:201" x14ac:dyDescent="0.25">
      <c r="A38">
        <v>22</v>
      </c>
      <c r="B38">
        <v>1690304129.5</v>
      </c>
      <c r="C38">
        <v>379.5</v>
      </c>
      <c r="D38" t="s">
        <v>375</v>
      </c>
      <c r="E38" t="s">
        <v>376</v>
      </c>
      <c r="F38" t="s">
        <v>330</v>
      </c>
      <c r="H38">
        <v>1690304129.5</v>
      </c>
      <c r="I38">
        <f t="shared" si="0"/>
        <v>1.2581919290517108E-4</v>
      </c>
      <c r="J38">
        <f t="shared" si="1"/>
        <v>0.12581919290517107</v>
      </c>
      <c r="K38">
        <f t="shared" si="2"/>
        <v>0.66426655617899599</v>
      </c>
      <c r="L38">
        <f t="shared" si="3"/>
        <v>791.71</v>
      </c>
      <c r="M38">
        <f t="shared" si="4"/>
        <v>642.65618296618209</v>
      </c>
      <c r="N38">
        <f t="shared" si="5"/>
        <v>63.863858570555983</v>
      </c>
      <c r="O38">
        <f t="shared" si="6"/>
        <v>78.676058534950002</v>
      </c>
      <c r="P38">
        <f t="shared" si="7"/>
        <v>8.1139856489439981E-3</v>
      </c>
      <c r="Q38">
        <f t="shared" si="8"/>
        <v>2.1010369798622794</v>
      </c>
      <c r="R38">
        <f t="shared" si="9"/>
        <v>8.0966173523120306E-3</v>
      </c>
      <c r="S38">
        <f t="shared" si="10"/>
        <v>5.0619431889050437E-3</v>
      </c>
      <c r="T38">
        <f t="shared" si="11"/>
        <v>276.11380784187872</v>
      </c>
      <c r="U38">
        <f t="shared" si="12"/>
        <v>27.748208357369066</v>
      </c>
      <c r="V38">
        <f t="shared" si="13"/>
        <v>27.748208357369066</v>
      </c>
      <c r="W38">
        <f t="shared" si="14"/>
        <v>3.7394921847900098</v>
      </c>
      <c r="X38">
        <f t="shared" si="15"/>
        <v>68.11326465952628</v>
      </c>
      <c r="Y38">
        <f t="shared" si="16"/>
        <v>2.2417076909944997</v>
      </c>
      <c r="Z38">
        <f t="shared" si="17"/>
        <v>3.2911470360435522</v>
      </c>
      <c r="AA38">
        <f t="shared" si="18"/>
        <v>1.49778449379551</v>
      </c>
      <c r="AB38">
        <f t="shared" si="19"/>
        <v>-5.5486264071180447</v>
      </c>
      <c r="AC38">
        <f t="shared" si="20"/>
        <v>-245.68597482136354</v>
      </c>
      <c r="AD38">
        <f t="shared" si="21"/>
        <v>-25.151621887467222</v>
      </c>
      <c r="AE38">
        <f t="shared" si="22"/>
        <v>-0.27241527407008448</v>
      </c>
      <c r="AF38">
        <v>14</v>
      </c>
      <c r="AG38">
        <v>5</v>
      </c>
      <c r="AH38">
        <f t="shared" si="23"/>
        <v>1</v>
      </c>
      <c r="AI38">
        <f t="shared" si="24"/>
        <v>0</v>
      </c>
      <c r="AJ38">
        <f t="shared" si="25"/>
        <v>52781.436016659049</v>
      </c>
      <c r="AK38">
        <f t="shared" si="26"/>
        <v>1799.99</v>
      </c>
      <c r="AL38">
        <f t="shared" si="27"/>
        <v>1499.1057181886299</v>
      </c>
      <c r="AM38">
        <f t="shared" si="28"/>
        <v>0.83284113699999995</v>
      </c>
      <c r="AN38">
        <f t="shared" si="29"/>
        <v>0.15339741211999997</v>
      </c>
      <c r="AO38">
        <v>33</v>
      </c>
      <c r="AP38">
        <v>0.5</v>
      </c>
      <c r="AQ38" t="s">
        <v>331</v>
      </c>
      <c r="AR38">
        <v>2</v>
      </c>
      <c r="AS38">
        <v>1690304129.5</v>
      </c>
      <c r="AT38">
        <v>791.71</v>
      </c>
      <c r="AU38">
        <v>800.10900000000004</v>
      </c>
      <c r="AV38">
        <v>22.5581</v>
      </c>
      <c r="AW38">
        <v>21.2059</v>
      </c>
      <c r="AX38">
        <v>791.94600000000003</v>
      </c>
      <c r="AY38">
        <v>22.286300000000001</v>
      </c>
      <c r="AZ38">
        <v>300.13099999999997</v>
      </c>
      <c r="BA38">
        <v>99.274799999999999</v>
      </c>
      <c r="BB38">
        <v>0.100045</v>
      </c>
      <c r="BC38">
        <v>25.5792</v>
      </c>
      <c r="BD38">
        <v>28.1738</v>
      </c>
      <c r="BE38">
        <v>27.027699999999999</v>
      </c>
      <c r="BF38">
        <v>0</v>
      </c>
      <c r="BG38">
        <v>0</v>
      </c>
      <c r="BH38">
        <v>10007.5</v>
      </c>
      <c r="BI38">
        <v>1066.4000000000001</v>
      </c>
      <c r="BJ38">
        <v>1.4016500000000001</v>
      </c>
      <c r="BK38">
        <v>-8.39893</v>
      </c>
      <c r="BL38">
        <v>809.98199999999997</v>
      </c>
      <c r="BM38">
        <v>817.44399999999996</v>
      </c>
      <c r="BN38">
        <v>1.35223</v>
      </c>
      <c r="BO38">
        <v>800.10900000000004</v>
      </c>
      <c r="BP38">
        <v>21.2059</v>
      </c>
      <c r="BQ38">
        <v>2.2394500000000002</v>
      </c>
      <c r="BR38">
        <v>2.10521</v>
      </c>
      <c r="BS38">
        <v>19.247399999999999</v>
      </c>
      <c r="BT38">
        <v>18.258600000000001</v>
      </c>
      <c r="BU38">
        <v>1799.99</v>
      </c>
      <c r="BV38">
        <v>0.91000499999999995</v>
      </c>
      <c r="BW38">
        <v>3.3992500000000002E-2</v>
      </c>
      <c r="BX38">
        <v>2.2000100000000002E-2</v>
      </c>
      <c r="BY38">
        <v>3.40028E-2</v>
      </c>
      <c r="BZ38">
        <v>26</v>
      </c>
      <c r="CA38">
        <v>33528.199999999997</v>
      </c>
      <c r="CB38">
        <v>1690303320.5</v>
      </c>
      <c r="CC38" t="s">
        <v>332</v>
      </c>
      <c r="CD38">
        <v>1690303320.5</v>
      </c>
      <c r="CE38">
        <v>1690303310.0999999</v>
      </c>
      <c r="CF38">
        <v>8</v>
      </c>
      <c r="CG38">
        <v>7.3999999999999996E-2</v>
      </c>
      <c r="CH38">
        <v>-0.01</v>
      </c>
      <c r="CI38">
        <v>-0.24199999999999999</v>
      </c>
      <c r="CJ38">
        <v>0.27200000000000002</v>
      </c>
      <c r="CK38">
        <v>800</v>
      </c>
      <c r="CL38">
        <v>23</v>
      </c>
      <c r="CM38">
        <v>0.06</v>
      </c>
      <c r="CN38">
        <v>0.09</v>
      </c>
      <c r="CO38">
        <v>-7.2347153658536572</v>
      </c>
      <c r="CP38">
        <v>-6.4001790940766643</v>
      </c>
      <c r="CQ38">
        <v>0.63186685641408835</v>
      </c>
      <c r="CR38">
        <v>-1</v>
      </c>
      <c r="CS38">
        <v>1.025598756097561</v>
      </c>
      <c r="CT38">
        <v>1.776364703832753</v>
      </c>
      <c r="CU38">
        <v>0.17518848432067291</v>
      </c>
      <c r="CV38">
        <v>-1</v>
      </c>
      <c r="CW38">
        <v>0</v>
      </c>
      <c r="CX38">
        <v>0</v>
      </c>
      <c r="CY38" t="s">
        <v>333</v>
      </c>
      <c r="CZ38">
        <v>2.3639100000000002</v>
      </c>
      <c r="DA38">
        <v>2.7138399999999998</v>
      </c>
      <c r="DB38">
        <v>0.145926</v>
      </c>
      <c r="DC38">
        <v>0.14661099999999999</v>
      </c>
      <c r="DD38">
        <v>0.108857</v>
      </c>
      <c r="DE38">
        <v>0.103003</v>
      </c>
      <c r="DF38">
        <v>31176.3</v>
      </c>
      <c r="DG38">
        <v>27499.1</v>
      </c>
      <c r="DH38">
        <v>31163.9</v>
      </c>
      <c r="DI38">
        <v>28079</v>
      </c>
      <c r="DJ38">
        <v>37707.800000000003</v>
      </c>
      <c r="DK38">
        <v>35817.599999999999</v>
      </c>
      <c r="DL38">
        <v>44350.2</v>
      </c>
      <c r="DM38">
        <v>42564.3</v>
      </c>
      <c r="DN38">
        <v>1.4300999999999999</v>
      </c>
      <c r="DO38">
        <v>2.0570499999999998</v>
      </c>
      <c r="DP38">
        <v>0.16558200000000001</v>
      </c>
      <c r="DQ38">
        <v>0.11575199999999999</v>
      </c>
      <c r="DR38">
        <v>25.4651</v>
      </c>
      <c r="DS38">
        <v>25.131900000000002</v>
      </c>
      <c r="DT38">
        <v>57</v>
      </c>
      <c r="DU38">
        <v>29.1</v>
      </c>
      <c r="DV38">
        <v>23.224299999999999</v>
      </c>
      <c r="DW38">
        <v>61.221200000000003</v>
      </c>
      <c r="DX38">
        <v>36.185899999999997</v>
      </c>
      <c r="DY38">
        <v>1</v>
      </c>
      <c r="DZ38">
        <v>-5.7421199999999999E-2</v>
      </c>
      <c r="EA38">
        <v>3.18425</v>
      </c>
      <c r="EB38">
        <v>20.155899999999999</v>
      </c>
      <c r="EC38">
        <v>5.2398999999999996</v>
      </c>
      <c r="ED38">
        <v>12.039899999999999</v>
      </c>
      <c r="EE38">
        <v>5.0156000000000001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1.8689100000000001</v>
      </c>
      <c r="EL38">
        <v>1.86463</v>
      </c>
      <c r="EM38">
        <v>1.8692</v>
      </c>
      <c r="EN38">
        <v>1.8672599999999999</v>
      </c>
      <c r="EO38">
        <v>1.8633999999999999</v>
      </c>
      <c r="EP38">
        <v>1.8644799999999999</v>
      </c>
      <c r="EQ38">
        <v>1.8702000000000001</v>
      </c>
      <c r="ER38">
        <v>1.86948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-0.23599999999999999</v>
      </c>
      <c r="FG38">
        <v>0.27179999999999999</v>
      </c>
      <c r="FH38">
        <v>0.30965466913576151</v>
      </c>
      <c r="FI38">
        <v>-6.1462078757559423E-4</v>
      </c>
      <c r="FJ38">
        <v>-1.8861989874597051E-7</v>
      </c>
      <c r="FK38">
        <v>1.1980462299894961E-10</v>
      </c>
      <c r="FL38">
        <v>0.27184999999999349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13.5</v>
      </c>
      <c r="FU38">
        <v>13.7</v>
      </c>
      <c r="FV38">
        <v>1.79321</v>
      </c>
      <c r="FW38">
        <v>2.5927699999999998</v>
      </c>
      <c r="FX38">
        <v>1.5490699999999999</v>
      </c>
      <c r="FY38">
        <v>2.3290999999999999</v>
      </c>
      <c r="FZ38">
        <v>1.50146</v>
      </c>
      <c r="GA38">
        <v>2.3986800000000001</v>
      </c>
      <c r="GB38">
        <v>33.828299999999999</v>
      </c>
      <c r="GC38">
        <v>23.973700000000001</v>
      </c>
      <c r="GD38">
        <v>19</v>
      </c>
      <c r="GE38">
        <v>264.88299999999998</v>
      </c>
      <c r="GF38">
        <v>603.21500000000003</v>
      </c>
      <c r="GG38">
        <v>19.7303</v>
      </c>
      <c r="GH38">
        <v>26.650400000000001</v>
      </c>
      <c r="GI38">
        <v>30.000399999999999</v>
      </c>
      <c r="GJ38">
        <v>26.640999999999998</v>
      </c>
      <c r="GK38">
        <v>26.577400000000001</v>
      </c>
      <c r="GL38">
        <v>35.863100000000003</v>
      </c>
      <c r="GM38">
        <v>18.587599999999998</v>
      </c>
      <c r="GN38">
        <v>100</v>
      </c>
      <c r="GO38">
        <v>19.745899999999999</v>
      </c>
      <c r="GP38">
        <v>800</v>
      </c>
      <c r="GQ38">
        <v>20.990300000000001</v>
      </c>
      <c r="GR38">
        <v>99.712500000000006</v>
      </c>
      <c r="GS38">
        <v>99.566900000000004</v>
      </c>
    </row>
    <row r="39" spans="1:201" x14ac:dyDescent="0.25">
      <c r="A39">
        <v>23</v>
      </c>
      <c r="B39">
        <v>1690304139.5</v>
      </c>
      <c r="C39">
        <v>389.5</v>
      </c>
      <c r="D39" t="s">
        <v>377</v>
      </c>
      <c r="E39" t="s">
        <v>378</v>
      </c>
      <c r="F39" t="s">
        <v>330</v>
      </c>
      <c r="H39">
        <v>1690304139.5</v>
      </c>
      <c r="I39">
        <f t="shared" si="0"/>
        <v>1.5831604898034808E-4</v>
      </c>
      <c r="J39">
        <f t="shared" si="1"/>
        <v>0.15831604898034807</v>
      </c>
      <c r="K39">
        <f t="shared" si="2"/>
        <v>0.75424885400698138</v>
      </c>
      <c r="L39">
        <f t="shared" si="3"/>
        <v>790.54200000000003</v>
      </c>
      <c r="M39">
        <f t="shared" si="4"/>
        <v>655.85604295928533</v>
      </c>
      <c r="N39">
        <f t="shared" si="5"/>
        <v>65.174595644621419</v>
      </c>
      <c r="O39">
        <f t="shared" si="6"/>
        <v>78.558787013095809</v>
      </c>
      <c r="P39">
        <f t="shared" si="7"/>
        <v>1.0344395989560809E-2</v>
      </c>
      <c r="Q39">
        <f t="shared" si="8"/>
        <v>2.1001014864906717</v>
      </c>
      <c r="R39">
        <f t="shared" si="9"/>
        <v>1.0316172152714171E-2</v>
      </c>
      <c r="S39">
        <f t="shared" si="10"/>
        <v>6.4501369318812965E-3</v>
      </c>
      <c r="T39">
        <f t="shared" si="11"/>
        <v>276.11342277001808</v>
      </c>
      <c r="U39">
        <f t="shared" si="12"/>
        <v>27.691381629760652</v>
      </c>
      <c r="V39">
        <f t="shared" si="13"/>
        <v>27.691381629760652</v>
      </c>
      <c r="W39">
        <f t="shared" si="14"/>
        <v>3.7270987145593568</v>
      </c>
      <c r="X39">
        <f t="shared" si="15"/>
        <v>68.49015503330132</v>
      </c>
      <c r="Y39">
        <f t="shared" si="16"/>
        <v>2.2479239825628996</v>
      </c>
      <c r="Z39">
        <f t="shared" si="17"/>
        <v>3.2821125627032282</v>
      </c>
      <c r="AA39">
        <f t="shared" si="18"/>
        <v>1.4791747319964572</v>
      </c>
      <c r="AB39">
        <f t="shared" si="19"/>
        <v>-6.9817377600333499</v>
      </c>
      <c r="AC39">
        <f t="shared" si="20"/>
        <v>-244.38473919587852</v>
      </c>
      <c r="AD39">
        <f t="shared" si="21"/>
        <v>-25.016633517954705</v>
      </c>
      <c r="AE39">
        <f t="shared" si="22"/>
        <v>-0.26968770384851837</v>
      </c>
      <c r="AF39">
        <v>14</v>
      </c>
      <c r="AG39">
        <v>5</v>
      </c>
      <c r="AH39">
        <f t="shared" si="23"/>
        <v>1</v>
      </c>
      <c r="AI39">
        <f t="shared" si="24"/>
        <v>0</v>
      </c>
      <c r="AJ39">
        <f t="shared" si="25"/>
        <v>52747.798627800643</v>
      </c>
      <c r="AK39">
        <f t="shared" si="26"/>
        <v>1799.99</v>
      </c>
      <c r="AL39">
        <f t="shared" si="27"/>
        <v>1499.1011498140101</v>
      </c>
      <c r="AM39">
        <f t="shared" si="28"/>
        <v>0.83283859900000001</v>
      </c>
      <c r="AN39">
        <f t="shared" si="29"/>
        <v>0.15339719818999997</v>
      </c>
      <c r="AO39">
        <v>33</v>
      </c>
      <c r="AP39">
        <v>0.5</v>
      </c>
      <c r="AQ39" t="s">
        <v>331</v>
      </c>
      <c r="AR39">
        <v>2</v>
      </c>
      <c r="AS39">
        <v>1690304139.5</v>
      </c>
      <c r="AT39">
        <v>790.54200000000003</v>
      </c>
      <c r="AU39">
        <v>800.21100000000001</v>
      </c>
      <c r="AV39">
        <v>22.620999999999999</v>
      </c>
      <c r="AW39">
        <v>20.919699999999999</v>
      </c>
      <c r="AX39">
        <v>790.77700000000004</v>
      </c>
      <c r="AY39">
        <v>22.3491</v>
      </c>
      <c r="AZ39">
        <v>300.13799999999998</v>
      </c>
      <c r="BA39">
        <v>99.273399999999995</v>
      </c>
      <c r="BB39">
        <v>9.9924899999999997E-2</v>
      </c>
      <c r="BC39">
        <v>25.532900000000001</v>
      </c>
      <c r="BD39">
        <v>28.115200000000002</v>
      </c>
      <c r="BE39">
        <v>27.0091</v>
      </c>
      <c r="BF39">
        <v>0</v>
      </c>
      <c r="BG39">
        <v>0</v>
      </c>
      <c r="BH39">
        <v>9999.3799999999992</v>
      </c>
      <c r="BI39">
        <v>1065.33</v>
      </c>
      <c r="BJ39">
        <v>1.7268399999999999</v>
      </c>
      <c r="BK39">
        <v>-9.6689500000000006</v>
      </c>
      <c r="BL39">
        <v>808.83799999999997</v>
      </c>
      <c r="BM39">
        <v>817.30799999999999</v>
      </c>
      <c r="BN39">
        <v>1.7012700000000001</v>
      </c>
      <c r="BO39">
        <v>800.21100000000001</v>
      </c>
      <c r="BP39">
        <v>20.919699999999999</v>
      </c>
      <c r="BQ39">
        <v>2.24566</v>
      </c>
      <c r="BR39">
        <v>2.0767699999999998</v>
      </c>
      <c r="BS39">
        <v>19.291799999999999</v>
      </c>
      <c r="BT39">
        <v>18.042100000000001</v>
      </c>
      <c r="BU39">
        <v>1799.99</v>
      </c>
      <c r="BV39">
        <v>0.90999600000000003</v>
      </c>
      <c r="BW39">
        <v>3.4008099999999999E-2</v>
      </c>
      <c r="BX39">
        <v>2.1997200000000001E-2</v>
      </c>
      <c r="BY39">
        <v>3.3998300000000002E-2</v>
      </c>
      <c r="BZ39">
        <v>26</v>
      </c>
      <c r="CA39">
        <v>33528.199999999997</v>
      </c>
      <c r="CB39">
        <v>1690303320.5</v>
      </c>
      <c r="CC39" t="s">
        <v>332</v>
      </c>
      <c r="CD39">
        <v>1690303320.5</v>
      </c>
      <c r="CE39">
        <v>1690303310.0999999</v>
      </c>
      <c r="CF39">
        <v>8</v>
      </c>
      <c r="CG39">
        <v>7.3999999999999996E-2</v>
      </c>
      <c r="CH39">
        <v>-0.01</v>
      </c>
      <c r="CI39">
        <v>-0.24199999999999999</v>
      </c>
      <c r="CJ39">
        <v>0.27200000000000002</v>
      </c>
      <c r="CK39">
        <v>800</v>
      </c>
      <c r="CL39">
        <v>23</v>
      </c>
      <c r="CM39">
        <v>0.06</v>
      </c>
      <c r="CN39">
        <v>0.09</v>
      </c>
      <c r="CO39">
        <v>-8.3645341463414624</v>
      </c>
      <c r="CP39">
        <v>-7.0869970034843339</v>
      </c>
      <c r="CQ39">
        <v>0.69938078199175102</v>
      </c>
      <c r="CR39">
        <v>-1</v>
      </c>
      <c r="CS39">
        <v>1.332354634146341</v>
      </c>
      <c r="CT39">
        <v>1.9035119163763059</v>
      </c>
      <c r="CU39">
        <v>0.1879822299346606</v>
      </c>
      <c r="CV39">
        <v>-1</v>
      </c>
      <c r="CW39">
        <v>0</v>
      </c>
      <c r="CX39">
        <v>0</v>
      </c>
      <c r="CY39" t="s">
        <v>333</v>
      </c>
      <c r="CZ39">
        <v>2.3639199999999998</v>
      </c>
      <c r="DA39">
        <v>2.7137099999999998</v>
      </c>
      <c r="DB39">
        <v>0.14577799999999999</v>
      </c>
      <c r="DC39">
        <v>0.14661399999999999</v>
      </c>
      <c r="DD39">
        <v>0.10907</v>
      </c>
      <c r="DE39">
        <v>0.102018</v>
      </c>
      <c r="DF39">
        <v>31180.9</v>
      </c>
      <c r="DG39">
        <v>27498.7</v>
      </c>
      <c r="DH39">
        <v>31163.1</v>
      </c>
      <c r="DI39">
        <v>28078.7</v>
      </c>
      <c r="DJ39">
        <v>37697.699999999997</v>
      </c>
      <c r="DK39">
        <v>35856.699999999997</v>
      </c>
      <c r="DL39">
        <v>44349</v>
      </c>
      <c r="DM39">
        <v>42564</v>
      </c>
      <c r="DN39">
        <v>1.43015</v>
      </c>
      <c r="DO39">
        <v>2.0564499999999999</v>
      </c>
      <c r="DP39">
        <v>0.16450100000000001</v>
      </c>
      <c r="DQ39">
        <v>0.117421</v>
      </c>
      <c r="DR39">
        <v>25.4239</v>
      </c>
      <c r="DS39">
        <v>25.085899999999999</v>
      </c>
      <c r="DT39">
        <v>57</v>
      </c>
      <c r="DU39">
        <v>29.1</v>
      </c>
      <c r="DV39">
        <v>23.226500000000001</v>
      </c>
      <c r="DW39">
        <v>61.241199999999999</v>
      </c>
      <c r="DX39">
        <v>35.368600000000001</v>
      </c>
      <c r="DY39">
        <v>1</v>
      </c>
      <c r="DZ39">
        <v>-5.7085900000000002E-2</v>
      </c>
      <c r="EA39">
        <v>3.1115599999999999</v>
      </c>
      <c r="EB39">
        <v>20.1572</v>
      </c>
      <c r="EC39">
        <v>5.2404999999999999</v>
      </c>
      <c r="ED39">
        <v>12.039899999999999</v>
      </c>
      <c r="EE39">
        <v>5.0159000000000002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1.86463</v>
      </c>
      <c r="EM39">
        <v>1.8692</v>
      </c>
      <c r="EN39">
        <v>1.86724</v>
      </c>
      <c r="EO39">
        <v>1.8633999999999999</v>
      </c>
      <c r="EP39">
        <v>1.8644700000000001</v>
      </c>
      <c r="EQ39">
        <v>1.8702099999999999</v>
      </c>
      <c r="ER39">
        <v>1.86947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-0.23499999999999999</v>
      </c>
      <c r="FG39">
        <v>0.27189999999999998</v>
      </c>
      <c r="FH39">
        <v>0.30965466913576151</v>
      </c>
      <c r="FI39">
        <v>-6.1462078757559423E-4</v>
      </c>
      <c r="FJ39">
        <v>-1.8861989874597051E-7</v>
      </c>
      <c r="FK39">
        <v>1.1980462299894961E-10</v>
      </c>
      <c r="FL39">
        <v>0.27184999999999349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13.7</v>
      </c>
      <c r="FU39">
        <v>13.8</v>
      </c>
      <c r="FV39">
        <v>1.79321</v>
      </c>
      <c r="FW39">
        <v>2.5903299999999998</v>
      </c>
      <c r="FX39">
        <v>1.5490699999999999</v>
      </c>
      <c r="FY39">
        <v>2.3290999999999999</v>
      </c>
      <c r="FZ39">
        <v>1.50146</v>
      </c>
      <c r="GA39">
        <v>2.4157700000000002</v>
      </c>
      <c r="GB39">
        <v>33.828299999999999</v>
      </c>
      <c r="GC39">
        <v>23.982399999999998</v>
      </c>
      <c r="GD39">
        <v>19</v>
      </c>
      <c r="GE39">
        <v>264.93299999999999</v>
      </c>
      <c r="GF39">
        <v>602.77700000000004</v>
      </c>
      <c r="GG39">
        <v>19.779299999999999</v>
      </c>
      <c r="GH39">
        <v>26.655999999999999</v>
      </c>
      <c r="GI39">
        <v>30.0002</v>
      </c>
      <c r="GJ39">
        <v>26.648399999999999</v>
      </c>
      <c r="GK39">
        <v>26.583500000000001</v>
      </c>
      <c r="GL39">
        <v>35.850099999999998</v>
      </c>
      <c r="GM39">
        <v>19.994700000000002</v>
      </c>
      <c r="GN39">
        <v>100</v>
      </c>
      <c r="GO39">
        <v>19.791699999999999</v>
      </c>
      <c r="GP39">
        <v>800</v>
      </c>
      <c r="GQ39">
        <v>20.680399999999999</v>
      </c>
      <c r="GR39">
        <v>99.71</v>
      </c>
      <c r="GS39">
        <v>99.566100000000006</v>
      </c>
    </row>
    <row r="40" spans="1:201" x14ac:dyDescent="0.25">
      <c r="A40">
        <v>24</v>
      </c>
      <c r="B40">
        <v>1690304149.5</v>
      </c>
      <c r="C40">
        <v>399.5</v>
      </c>
      <c r="D40" t="s">
        <v>379</v>
      </c>
      <c r="E40" t="s">
        <v>380</v>
      </c>
      <c r="F40" t="s">
        <v>330</v>
      </c>
      <c r="H40">
        <v>1690304149.5</v>
      </c>
      <c r="I40">
        <f t="shared" si="0"/>
        <v>1.8725318709837417E-4</v>
      </c>
      <c r="J40">
        <f t="shared" si="1"/>
        <v>0.18725318709837416</v>
      </c>
      <c r="K40">
        <f t="shared" si="2"/>
        <v>0.84350297075261149</v>
      </c>
      <c r="L40">
        <f t="shared" si="3"/>
        <v>789.30600000000004</v>
      </c>
      <c r="M40">
        <f t="shared" si="4"/>
        <v>662.26053883534689</v>
      </c>
      <c r="N40">
        <f t="shared" si="5"/>
        <v>65.812566880289069</v>
      </c>
      <c r="O40">
        <f t="shared" si="6"/>
        <v>78.437791273758009</v>
      </c>
      <c r="P40">
        <f t="shared" si="7"/>
        <v>1.236917087323074E-2</v>
      </c>
      <c r="Q40">
        <f t="shared" si="8"/>
        <v>2.097999473987759</v>
      </c>
      <c r="R40">
        <f t="shared" si="9"/>
        <v>1.2328799827939638E-2</v>
      </c>
      <c r="S40">
        <f t="shared" si="10"/>
        <v>7.7091160291387212E-3</v>
      </c>
      <c r="T40">
        <f t="shared" si="11"/>
        <v>276.1130749579504</v>
      </c>
      <c r="U40">
        <f t="shared" si="12"/>
        <v>27.636990207070706</v>
      </c>
      <c r="V40">
        <f t="shared" si="13"/>
        <v>27.636990207070706</v>
      </c>
      <c r="W40">
        <f t="shared" si="14"/>
        <v>3.7152699513114262</v>
      </c>
      <c r="X40">
        <f t="shared" si="15"/>
        <v>68.779528024677916</v>
      </c>
      <c r="Y40">
        <f t="shared" si="16"/>
        <v>2.2512359413934</v>
      </c>
      <c r="Z40">
        <f t="shared" si="17"/>
        <v>3.2731192057404965</v>
      </c>
      <c r="AA40">
        <f t="shared" si="18"/>
        <v>1.4640340099180262</v>
      </c>
      <c r="AB40">
        <f t="shared" si="19"/>
        <v>-8.2578655510383001</v>
      </c>
      <c r="AC40">
        <f t="shared" si="20"/>
        <v>-243.21362198153491</v>
      </c>
      <c r="AD40">
        <f t="shared" si="21"/>
        <v>-24.90914456426049</v>
      </c>
      <c r="AE40">
        <f t="shared" si="22"/>
        <v>-0.26755713888329069</v>
      </c>
      <c r="AF40">
        <v>14</v>
      </c>
      <c r="AG40">
        <v>5</v>
      </c>
      <c r="AH40">
        <f t="shared" si="23"/>
        <v>1</v>
      </c>
      <c r="AI40">
        <f t="shared" si="24"/>
        <v>0</v>
      </c>
      <c r="AJ40">
        <f t="shared" si="25"/>
        <v>52662.171623740702</v>
      </c>
      <c r="AK40">
        <f t="shared" si="26"/>
        <v>1799.99</v>
      </c>
      <c r="AL40">
        <f t="shared" si="27"/>
        <v>1499.1029804038401</v>
      </c>
      <c r="AM40">
        <f t="shared" si="28"/>
        <v>0.832839616</v>
      </c>
      <c r="AN40">
        <f t="shared" si="29"/>
        <v>0.15339700496</v>
      </c>
      <c r="AO40">
        <v>33</v>
      </c>
      <c r="AP40">
        <v>0.5</v>
      </c>
      <c r="AQ40" t="s">
        <v>331</v>
      </c>
      <c r="AR40">
        <v>2</v>
      </c>
      <c r="AS40">
        <v>1690304149.5</v>
      </c>
      <c r="AT40">
        <v>789.30600000000004</v>
      </c>
      <c r="AU40">
        <v>800.20100000000002</v>
      </c>
      <c r="AV40">
        <v>22.6538</v>
      </c>
      <c r="AW40">
        <v>20.642399999999999</v>
      </c>
      <c r="AX40">
        <v>789.54</v>
      </c>
      <c r="AY40">
        <v>22.381900000000002</v>
      </c>
      <c r="AZ40">
        <v>300.25700000000001</v>
      </c>
      <c r="BA40">
        <v>99.275599999999997</v>
      </c>
      <c r="BB40">
        <v>0.10004300000000001</v>
      </c>
      <c r="BC40">
        <v>25.486699999999999</v>
      </c>
      <c r="BD40">
        <v>28.08</v>
      </c>
      <c r="BE40">
        <v>26.943000000000001</v>
      </c>
      <c r="BF40">
        <v>0</v>
      </c>
      <c r="BG40">
        <v>0</v>
      </c>
      <c r="BH40">
        <v>9980.6200000000008</v>
      </c>
      <c r="BI40">
        <v>1064.3800000000001</v>
      </c>
      <c r="BJ40">
        <v>1.7380500000000001</v>
      </c>
      <c r="BK40">
        <v>-10.895899999999999</v>
      </c>
      <c r="BL40">
        <v>807.601</v>
      </c>
      <c r="BM40">
        <v>817.06799999999998</v>
      </c>
      <c r="BN40">
        <v>2.0114000000000001</v>
      </c>
      <c r="BO40">
        <v>800.20100000000002</v>
      </c>
      <c r="BP40">
        <v>20.642399999999999</v>
      </c>
      <c r="BQ40">
        <v>2.2489699999999999</v>
      </c>
      <c r="BR40">
        <v>2.0492900000000001</v>
      </c>
      <c r="BS40">
        <v>19.3155</v>
      </c>
      <c r="BT40">
        <v>17.830400000000001</v>
      </c>
      <c r="BU40">
        <v>1799.99</v>
      </c>
      <c r="BV40">
        <v>0.91000599999999998</v>
      </c>
      <c r="BW40">
        <v>3.40045E-2</v>
      </c>
      <c r="BX40">
        <v>2.1994799999999998E-2</v>
      </c>
      <c r="BY40">
        <v>3.39946E-2</v>
      </c>
      <c r="BZ40">
        <v>26</v>
      </c>
      <c r="CA40">
        <v>33528.199999999997</v>
      </c>
      <c r="CB40">
        <v>1690303320.5</v>
      </c>
      <c r="CC40" t="s">
        <v>332</v>
      </c>
      <c r="CD40">
        <v>1690303320.5</v>
      </c>
      <c r="CE40">
        <v>1690303310.0999999</v>
      </c>
      <c r="CF40">
        <v>8</v>
      </c>
      <c r="CG40">
        <v>7.3999999999999996E-2</v>
      </c>
      <c r="CH40">
        <v>-0.01</v>
      </c>
      <c r="CI40">
        <v>-0.24199999999999999</v>
      </c>
      <c r="CJ40">
        <v>0.27200000000000002</v>
      </c>
      <c r="CK40">
        <v>800</v>
      </c>
      <c r="CL40">
        <v>23</v>
      </c>
      <c r="CM40">
        <v>0.06</v>
      </c>
      <c r="CN40">
        <v>0.09</v>
      </c>
      <c r="CO40">
        <v>-9.5623468292682929</v>
      </c>
      <c r="CP40">
        <v>-7.2585221602787389</v>
      </c>
      <c r="CQ40">
        <v>0.71710287312293342</v>
      </c>
      <c r="CR40">
        <v>-1</v>
      </c>
      <c r="CS40">
        <v>1.6722868292682931</v>
      </c>
      <c r="CT40">
        <v>2.1051144250871081</v>
      </c>
      <c r="CU40">
        <v>0.20822590736914209</v>
      </c>
      <c r="CV40">
        <v>-1</v>
      </c>
      <c r="CW40">
        <v>0</v>
      </c>
      <c r="CX40">
        <v>0</v>
      </c>
      <c r="CY40" t="s">
        <v>333</v>
      </c>
      <c r="CZ40">
        <v>2.3643100000000001</v>
      </c>
      <c r="DA40">
        <v>2.7138200000000001</v>
      </c>
      <c r="DB40">
        <v>0.14562800000000001</v>
      </c>
      <c r="DC40">
        <v>0.14660899999999999</v>
      </c>
      <c r="DD40">
        <v>0.109184</v>
      </c>
      <c r="DE40">
        <v>0.101062</v>
      </c>
      <c r="DF40">
        <v>31186</v>
      </c>
      <c r="DG40">
        <v>27498.2</v>
      </c>
      <c r="DH40">
        <v>31162.799999999999</v>
      </c>
      <c r="DI40">
        <v>28078.1</v>
      </c>
      <c r="DJ40">
        <v>37692.400000000001</v>
      </c>
      <c r="DK40">
        <v>35894.1</v>
      </c>
      <c r="DL40">
        <v>44348.5</v>
      </c>
      <c r="DM40">
        <v>42563</v>
      </c>
      <c r="DN40">
        <v>1.4304699999999999</v>
      </c>
      <c r="DO40">
        <v>2.0561500000000001</v>
      </c>
      <c r="DP40">
        <v>0.16489599999999999</v>
      </c>
      <c r="DQ40">
        <v>0.116073</v>
      </c>
      <c r="DR40">
        <v>25.382100000000001</v>
      </c>
      <c r="DS40">
        <v>25.041599999999999</v>
      </c>
      <c r="DT40">
        <v>57</v>
      </c>
      <c r="DU40">
        <v>29.1</v>
      </c>
      <c r="DV40">
        <v>23.224299999999999</v>
      </c>
      <c r="DW40">
        <v>61.831200000000003</v>
      </c>
      <c r="DX40">
        <v>34.807699999999997</v>
      </c>
      <c r="DY40">
        <v>1</v>
      </c>
      <c r="DZ40">
        <v>-5.6346500000000001E-2</v>
      </c>
      <c r="EA40">
        <v>3.0842700000000001</v>
      </c>
      <c r="EB40">
        <v>20.157399999999999</v>
      </c>
      <c r="EC40">
        <v>5.2406499999999996</v>
      </c>
      <c r="ED40">
        <v>12.039899999999999</v>
      </c>
      <c r="EE40">
        <v>5.0159500000000001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1.8646199999999999</v>
      </c>
      <c r="EM40">
        <v>1.8692</v>
      </c>
      <c r="EN40">
        <v>1.86724</v>
      </c>
      <c r="EO40">
        <v>1.8633999999999999</v>
      </c>
      <c r="EP40">
        <v>1.8644700000000001</v>
      </c>
      <c r="EQ40">
        <v>1.87018</v>
      </c>
      <c r="ER40">
        <v>1.8694500000000001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-0.23400000000000001</v>
      </c>
      <c r="FG40">
        <v>0.27189999999999998</v>
      </c>
      <c r="FH40">
        <v>0.30965466913576151</v>
      </c>
      <c r="FI40">
        <v>-6.1462078757559423E-4</v>
      </c>
      <c r="FJ40">
        <v>-1.8861989874597051E-7</v>
      </c>
      <c r="FK40">
        <v>1.1980462299894961E-10</v>
      </c>
      <c r="FL40">
        <v>0.27184999999999349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13.8</v>
      </c>
      <c r="FU40">
        <v>14</v>
      </c>
      <c r="FV40">
        <v>1.79199</v>
      </c>
      <c r="FW40">
        <v>2.5866699999999998</v>
      </c>
      <c r="FX40">
        <v>1.5490699999999999</v>
      </c>
      <c r="FY40">
        <v>2.3290999999999999</v>
      </c>
      <c r="FZ40">
        <v>1.50146</v>
      </c>
      <c r="GA40">
        <v>2.3706100000000001</v>
      </c>
      <c r="GB40">
        <v>33.828299999999999</v>
      </c>
      <c r="GC40">
        <v>23.973700000000001</v>
      </c>
      <c r="GD40">
        <v>19</v>
      </c>
      <c r="GE40">
        <v>265.08999999999997</v>
      </c>
      <c r="GF40">
        <v>602.59299999999996</v>
      </c>
      <c r="GG40">
        <v>19.8124</v>
      </c>
      <c r="GH40">
        <v>26.6599</v>
      </c>
      <c r="GI40">
        <v>30.000399999999999</v>
      </c>
      <c r="GJ40">
        <v>26.654499999999999</v>
      </c>
      <c r="GK40">
        <v>26.589700000000001</v>
      </c>
      <c r="GL40">
        <v>35.837699999999998</v>
      </c>
      <c r="GM40">
        <v>20.8645</v>
      </c>
      <c r="GN40">
        <v>100</v>
      </c>
      <c r="GO40">
        <v>19.817900000000002</v>
      </c>
      <c r="GP40">
        <v>800</v>
      </c>
      <c r="GQ40">
        <v>20.46</v>
      </c>
      <c r="GR40">
        <v>99.708699999999993</v>
      </c>
      <c r="GS40">
        <v>99.563800000000001</v>
      </c>
    </row>
    <row r="41" spans="1:201" x14ac:dyDescent="0.25">
      <c r="A41">
        <v>25</v>
      </c>
      <c r="B41">
        <v>1690304159.5</v>
      </c>
      <c r="C41">
        <v>409.5</v>
      </c>
      <c r="D41" t="s">
        <v>381</v>
      </c>
      <c r="E41" t="s">
        <v>382</v>
      </c>
      <c r="F41" t="s">
        <v>330</v>
      </c>
      <c r="H41">
        <v>1690304159.5</v>
      </c>
      <c r="I41">
        <f t="shared" si="0"/>
        <v>2.1115030258196118E-4</v>
      </c>
      <c r="J41">
        <f t="shared" si="1"/>
        <v>0.21115030258196119</v>
      </c>
      <c r="K41">
        <f t="shared" si="2"/>
        <v>0.93885895635089278</v>
      </c>
      <c r="L41">
        <f t="shared" si="3"/>
        <v>788.048</v>
      </c>
      <c r="M41">
        <f t="shared" si="4"/>
        <v>663.50612520949164</v>
      </c>
      <c r="N41">
        <f t="shared" si="5"/>
        <v>65.934551052544691</v>
      </c>
      <c r="O41">
        <f t="shared" si="6"/>
        <v>78.310642680880022</v>
      </c>
      <c r="P41">
        <f t="shared" si="7"/>
        <v>1.4075051929606976E-2</v>
      </c>
      <c r="Q41">
        <f t="shared" si="8"/>
        <v>2.1028589894576326</v>
      </c>
      <c r="R41">
        <f t="shared" si="9"/>
        <v>1.4022923207889644E-2</v>
      </c>
      <c r="S41">
        <f t="shared" si="10"/>
        <v>8.7689944009913222E-3</v>
      </c>
      <c r="T41">
        <f t="shared" si="11"/>
        <v>276.11268904009438</v>
      </c>
      <c r="U41">
        <f t="shared" si="12"/>
        <v>27.582314142881561</v>
      </c>
      <c r="V41">
        <f t="shared" si="13"/>
        <v>27.582314142881561</v>
      </c>
      <c r="W41">
        <f t="shared" si="14"/>
        <v>3.7034123157623995</v>
      </c>
      <c r="X41">
        <f t="shared" si="15"/>
        <v>68.972102101019701</v>
      </c>
      <c r="Y41">
        <f t="shared" si="16"/>
        <v>2.2519397665025003</v>
      </c>
      <c r="Z41">
        <f t="shared" si="17"/>
        <v>3.2650009176234853</v>
      </c>
      <c r="AA41">
        <f t="shared" si="18"/>
        <v>1.4514725492598992</v>
      </c>
      <c r="AB41">
        <f t="shared" si="19"/>
        <v>-9.3117283438644876</v>
      </c>
      <c r="AC41">
        <f t="shared" si="20"/>
        <v>-242.31721751790741</v>
      </c>
      <c r="AD41">
        <f t="shared" si="21"/>
        <v>-24.748024163066574</v>
      </c>
      <c r="AE41">
        <f t="shared" si="22"/>
        <v>-0.26428098474411854</v>
      </c>
      <c r="AF41">
        <v>14</v>
      </c>
      <c r="AG41">
        <v>5</v>
      </c>
      <c r="AH41">
        <f t="shared" si="23"/>
        <v>1</v>
      </c>
      <c r="AI41">
        <f t="shared" si="24"/>
        <v>0</v>
      </c>
      <c r="AJ41">
        <f t="shared" si="25"/>
        <v>52886.632852219118</v>
      </c>
      <c r="AK41">
        <f t="shared" si="26"/>
        <v>1799.99</v>
      </c>
      <c r="AL41">
        <f t="shared" si="27"/>
        <v>1499.1039883982398</v>
      </c>
      <c r="AM41">
        <f t="shared" si="28"/>
        <v>0.83284017599999993</v>
      </c>
      <c r="AN41">
        <f t="shared" si="29"/>
        <v>0.15339679056</v>
      </c>
      <c r="AO41">
        <v>33</v>
      </c>
      <c r="AP41">
        <v>0.5</v>
      </c>
      <c r="AQ41" t="s">
        <v>331</v>
      </c>
      <c r="AR41">
        <v>2</v>
      </c>
      <c r="AS41">
        <v>1690304159.5</v>
      </c>
      <c r="AT41">
        <v>788.048</v>
      </c>
      <c r="AU41">
        <v>800.19500000000005</v>
      </c>
      <c r="AV41">
        <v>22.6615</v>
      </c>
      <c r="AW41">
        <v>20.3935</v>
      </c>
      <c r="AX41">
        <v>788.28200000000004</v>
      </c>
      <c r="AY41">
        <v>22.389600000000002</v>
      </c>
      <c r="AZ41">
        <v>300.267</v>
      </c>
      <c r="BA41">
        <v>99.272900000000007</v>
      </c>
      <c r="BB41">
        <v>0.100035</v>
      </c>
      <c r="BC41">
        <v>25.444900000000001</v>
      </c>
      <c r="BD41">
        <v>28.01</v>
      </c>
      <c r="BE41">
        <v>26.907399999999999</v>
      </c>
      <c r="BF41">
        <v>0</v>
      </c>
      <c r="BG41">
        <v>0</v>
      </c>
      <c r="BH41">
        <v>10023.799999999999</v>
      </c>
      <c r="BI41">
        <v>1063.6300000000001</v>
      </c>
      <c r="BJ41">
        <v>1.7380500000000001</v>
      </c>
      <c r="BK41">
        <v>-12.1469</v>
      </c>
      <c r="BL41">
        <v>806.32100000000003</v>
      </c>
      <c r="BM41">
        <v>816.85400000000004</v>
      </c>
      <c r="BN41">
        <v>2.2679499999999999</v>
      </c>
      <c r="BO41">
        <v>800.19500000000005</v>
      </c>
      <c r="BP41">
        <v>20.3935</v>
      </c>
      <c r="BQ41">
        <v>2.2496700000000001</v>
      </c>
      <c r="BR41">
        <v>2.0245199999999999</v>
      </c>
      <c r="BS41">
        <v>19.320499999999999</v>
      </c>
      <c r="BT41">
        <v>17.6374</v>
      </c>
      <c r="BU41">
        <v>1799.99</v>
      </c>
      <c r="BV41">
        <v>0.91001399999999999</v>
      </c>
      <c r="BW41">
        <v>3.4001400000000001E-2</v>
      </c>
      <c r="BX41">
        <v>2.19928E-2</v>
      </c>
      <c r="BY41">
        <v>3.3991599999999997E-2</v>
      </c>
      <c r="BZ41">
        <v>26</v>
      </c>
      <c r="CA41">
        <v>33528.199999999997</v>
      </c>
      <c r="CB41">
        <v>1690303320.5</v>
      </c>
      <c r="CC41" t="s">
        <v>332</v>
      </c>
      <c r="CD41">
        <v>1690303320.5</v>
      </c>
      <c r="CE41">
        <v>1690303310.0999999</v>
      </c>
      <c r="CF41">
        <v>8</v>
      </c>
      <c r="CG41">
        <v>7.3999999999999996E-2</v>
      </c>
      <c r="CH41">
        <v>-0.01</v>
      </c>
      <c r="CI41">
        <v>-0.24199999999999999</v>
      </c>
      <c r="CJ41">
        <v>0.27200000000000002</v>
      </c>
      <c r="CK41">
        <v>800</v>
      </c>
      <c r="CL41">
        <v>23</v>
      </c>
      <c r="CM41">
        <v>0.06</v>
      </c>
      <c r="CN41">
        <v>0.09</v>
      </c>
      <c r="CO41">
        <v>-10.77108625</v>
      </c>
      <c r="CP41">
        <v>-7.5345375984990506</v>
      </c>
      <c r="CQ41">
        <v>0.72637664334244489</v>
      </c>
      <c r="CR41">
        <v>-1</v>
      </c>
      <c r="CS41">
        <v>1.9735547499999999</v>
      </c>
      <c r="CT41">
        <v>1.5426296060037461</v>
      </c>
      <c r="CU41">
        <v>0.14922379327686819</v>
      </c>
      <c r="CV41">
        <v>-1</v>
      </c>
      <c r="CW41">
        <v>0</v>
      </c>
      <c r="CX41">
        <v>0</v>
      </c>
      <c r="CY41" t="s">
        <v>333</v>
      </c>
      <c r="CZ41">
        <v>2.3643100000000001</v>
      </c>
      <c r="DA41">
        <v>2.7138499999999999</v>
      </c>
      <c r="DB41">
        <v>0.14546700000000001</v>
      </c>
      <c r="DC41">
        <v>0.14659700000000001</v>
      </c>
      <c r="DD41">
        <v>0.109206</v>
      </c>
      <c r="DE41">
        <v>0.10019400000000001</v>
      </c>
      <c r="DF41">
        <v>31191.8</v>
      </c>
      <c r="DG41">
        <v>27498.1</v>
      </c>
      <c r="DH41">
        <v>31162.7</v>
      </c>
      <c r="DI41">
        <v>28077.599999999999</v>
      </c>
      <c r="DJ41">
        <v>37691.4</v>
      </c>
      <c r="DK41">
        <v>35928.400000000001</v>
      </c>
      <c r="DL41">
        <v>44348.4</v>
      </c>
      <c r="DM41">
        <v>42562.5</v>
      </c>
      <c r="DN41">
        <v>1.4308799999999999</v>
      </c>
      <c r="DO41">
        <v>2.0559500000000002</v>
      </c>
      <c r="DP41">
        <v>0.163019</v>
      </c>
      <c r="DQ41">
        <v>0.116594</v>
      </c>
      <c r="DR41">
        <v>25.342600000000001</v>
      </c>
      <c r="DS41">
        <v>24.997399999999999</v>
      </c>
      <c r="DT41">
        <v>57.1</v>
      </c>
      <c r="DU41">
        <v>29.1</v>
      </c>
      <c r="DV41">
        <v>23.2682</v>
      </c>
      <c r="DW41">
        <v>61.611199999999997</v>
      </c>
      <c r="DX41">
        <v>35.192300000000003</v>
      </c>
      <c r="DY41">
        <v>1</v>
      </c>
      <c r="DZ41">
        <v>-5.5856200000000002E-2</v>
      </c>
      <c r="EA41">
        <v>3.0817800000000002</v>
      </c>
      <c r="EB41">
        <v>20.157299999999999</v>
      </c>
      <c r="EC41">
        <v>5.2404999999999999</v>
      </c>
      <c r="ED41">
        <v>12.039899999999999</v>
      </c>
      <c r="EE41">
        <v>5.0160499999999999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1.8689199999999999</v>
      </c>
      <c r="EL41">
        <v>1.8646199999999999</v>
      </c>
      <c r="EM41">
        <v>1.8692</v>
      </c>
      <c r="EN41">
        <v>1.8672299999999999</v>
      </c>
      <c r="EO41">
        <v>1.8633999999999999</v>
      </c>
      <c r="EP41">
        <v>1.8644799999999999</v>
      </c>
      <c r="EQ41">
        <v>1.8701700000000001</v>
      </c>
      <c r="ER41">
        <v>1.8694500000000001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-0.23400000000000001</v>
      </c>
      <c r="FG41">
        <v>0.27189999999999998</v>
      </c>
      <c r="FH41">
        <v>0.30965466913576151</v>
      </c>
      <c r="FI41">
        <v>-6.1462078757559423E-4</v>
      </c>
      <c r="FJ41">
        <v>-1.8861989874597051E-7</v>
      </c>
      <c r="FK41">
        <v>1.1980462299894961E-10</v>
      </c>
      <c r="FL41">
        <v>0.27184999999999349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14</v>
      </c>
      <c r="FU41">
        <v>14.2</v>
      </c>
      <c r="FV41">
        <v>1.79199</v>
      </c>
      <c r="FW41">
        <v>2.5927699999999998</v>
      </c>
      <c r="FX41">
        <v>1.5490699999999999</v>
      </c>
      <c r="FY41">
        <v>2.3303199999999999</v>
      </c>
      <c r="FZ41">
        <v>1.50146</v>
      </c>
      <c r="GA41">
        <v>2.2863799999999999</v>
      </c>
      <c r="GB41">
        <v>33.850900000000003</v>
      </c>
      <c r="GC41">
        <v>23.9649</v>
      </c>
      <c r="GD41">
        <v>19</v>
      </c>
      <c r="GE41">
        <v>265.27600000000001</v>
      </c>
      <c r="GF41">
        <v>602.495</v>
      </c>
      <c r="GG41">
        <v>19.819500000000001</v>
      </c>
      <c r="GH41">
        <v>26.662800000000001</v>
      </c>
      <c r="GI41">
        <v>30.000299999999999</v>
      </c>
      <c r="GJ41">
        <v>26.6601</v>
      </c>
      <c r="GK41">
        <v>26.595800000000001</v>
      </c>
      <c r="GL41">
        <v>35.826700000000002</v>
      </c>
      <c r="GM41">
        <v>22.3581</v>
      </c>
      <c r="GN41">
        <v>100</v>
      </c>
      <c r="GO41">
        <v>19.822299999999998</v>
      </c>
      <c r="GP41">
        <v>800</v>
      </c>
      <c r="GQ41">
        <v>20.157499999999999</v>
      </c>
      <c r="GR41">
        <v>99.708500000000001</v>
      </c>
      <c r="GS41">
        <v>99.562399999999997</v>
      </c>
    </row>
    <row r="42" spans="1:201" x14ac:dyDescent="0.25">
      <c r="A42">
        <v>26</v>
      </c>
      <c r="B42">
        <v>1690304169.5</v>
      </c>
      <c r="C42">
        <v>419.5</v>
      </c>
      <c r="D42" t="s">
        <v>383</v>
      </c>
      <c r="E42" t="s">
        <v>384</v>
      </c>
      <c r="F42" t="s">
        <v>330</v>
      </c>
      <c r="H42">
        <v>1690304169.5</v>
      </c>
      <c r="I42">
        <f t="shared" si="0"/>
        <v>2.3217568996886865E-4</v>
      </c>
      <c r="J42">
        <f t="shared" si="1"/>
        <v>0.23217568996886864</v>
      </c>
      <c r="K42">
        <f t="shared" si="2"/>
        <v>1.0431001620865492</v>
      </c>
      <c r="L42">
        <f t="shared" si="3"/>
        <v>786.74800000000005</v>
      </c>
      <c r="M42">
        <f t="shared" si="4"/>
        <v>661.82145439269937</v>
      </c>
      <c r="N42">
        <f t="shared" si="5"/>
        <v>65.766370339708985</v>
      </c>
      <c r="O42">
        <f t="shared" si="6"/>
        <v>78.180542484082011</v>
      </c>
      <c r="P42">
        <f t="shared" si="7"/>
        <v>1.5567869454412995E-2</v>
      </c>
      <c r="Q42">
        <f t="shared" si="8"/>
        <v>2.1032645446729088</v>
      </c>
      <c r="R42">
        <f t="shared" si="9"/>
        <v>1.5504135932395156E-2</v>
      </c>
      <c r="S42">
        <f t="shared" si="10"/>
        <v>9.695789333396005E-3</v>
      </c>
      <c r="T42">
        <f t="shared" si="11"/>
        <v>276.11266267024092</v>
      </c>
      <c r="U42">
        <f t="shared" si="12"/>
        <v>27.535289885320111</v>
      </c>
      <c r="V42">
        <f t="shared" si="13"/>
        <v>27.535289885320111</v>
      </c>
      <c r="W42">
        <f t="shared" si="14"/>
        <v>3.693240562245669</v>
      </c>
      <c r="X42">
        <f t="shared" si="15"/>
        <v>69.062708964559775</v>
      </c>
      <c r="Y42">
        <f t="shared" si="16"/>
        <v>2.2496377862798997</v>
      </c>
      <c r="Z42">
        <f t="shared" si="17"/>
        <v>3.2573842237122848</v>
      </c>
      <c r="AA42">
        <f t="shared" si="18"/>
        <v>1.4436027759657692</v>
      </c>
      <c r="AB42">
        <f t="shared" si="19"/>
        <v>-10.238947927627107</v>
      </c>
      <c r="AC42">
        <f t="shared" si="20"/>
        <v>-241.48808774691346</v>
      </c>
      <c r="AD42">
        <f t="shared" si="21"/>
        <v>-24.647927845206688</v>
      </c>
      <c r="AE42">
        <f t="shared" si="22"/>
        <v>-0.26230084950631749</v>
      </c>
      <c r="AF42">
        <v>14</v>
      </c>
      <c r="AG42">
        <v>5</v>
      </c>
      <c r="AH42">
        <f t="shared" si="23"/>
        <v>1</v>
      </c>
      <c r="AI42">
        <f t="shared" si="24"/>
        <v>0</v>
      </c>
      <c r="AJ42">
        <f t="shared" si="25"/>
        <v>52911.725695859655</v>
      </c>
      <c r="AK42">
        <f t="shared" si="26"/>
        <v>1799.99</v>
      </c>
      <c r="AL42">
        <f t="shared" si="27"/>
        <v>1499.1053563906401</v>
      </c>
      <c r="AM42">
        <f t="shared" si="28"/>
        <v>0.83284093600000009</v>
      </c>
      <c r="AN42">
        <f t="shared" si="29"/>
        <v>0.15339677591000001</v>
      </c>
      <c r="AO42">
        <v>33</v>
      </c>
      <c r="AP42">
        <v>0.5</v>
      </c>
      <c r="AQ42" t="s">
        <v>331</v>
      </c>
      <c r="AR42">
        <v>2</v>
      </c>
      <c r="AS42">
        <v>1690304169.5</v>
      </c>
      <c r="AT42">
        <v>786.74800000000005</v>
      </c>
      <c r="AU42">
        <v>800.22699999999998</v>
      </c>
      <c r="AV42">
        <v>22.6386</v>
      </c>
      <c r="AW42">
        <v>20.1433</v>
      </c>
      <c r="AX42">
        <v>786.98099999999999</v>
      </c>
      <c r="AY42">
        <v>22.366700000000002</v>
      </c>
      <c r="AZ42">
        <v>300.09800000000001</v>
      </c>
      <c r="BA42">
        <v>99.271799999999999</v>
      </c>
      <c r="BB42">
        <v>9.9971500000000005E-2</v>
      </c>
      <c r="BC42">
        <v>25.4056</v>
      </c>
      <c r="BD42">
        <v>27.942399999999999</v>
      </c>
      <c r="BE42">
        <v>26.853999999999999</v>
      </c>
      <c r="BF42">
        <v>0</v>
      </c>
      <c r="BG42">
        <v>0</v>
      </c>
      <c r="BH42">
        <v>10027.5</v>
      </c>
      <c r="BI42">
        <v>1062.82</v>
      </c>
      <c r="BJ42">
        <v>1.7380500000000001</v>
      </c>
      <c r="BK42">
        <v>-13.479100000000001</v>
      </c>
      <c r="BL42">
        <v>804.97199999999998</v>
      </c>
      <c r="BM42">
        <v>816.678</v>
      </c>
      <c r="BN42">
        <v>2.4952899999999998</v>
      </c>
      <c r="BO42">
        <v>800.22699999999998</v>
      </c>
      <c r="BP42">
        <v>20.1433</v>
      </c>
      <c r="BQ42">
        <v>2.2473700000000001</v>
      </c>
      <c r="BR42">
        <v>1.99966</v>
      </c>
      <c r="BS42">
        <v>19.304099999999998</v>
      </c>
      <c r="BT42">
        <v>17.441600000000001</v>
      </c>
      <c r="BU42">
        <v>1799.99</v>
      </c>
      <c r="BV42">
        <v>0.91002000000000005</v>
      </c>
      <c r="BW42">
        <v>3.3998199999999999E-2</v>
      </c>
      <c r="BX42">
        <v>2.19933E-2</v>
      </c>
      <c r="BY42">
        <v>3.3988299999999999E-2</v>
      </c>
      <c r="BZ42">
        <v>26</v>
      </c>
      <c r="CA42">
        <v>33528.300000000003</v>
      </c>
      <c r="CB42">
        <v>1690303320.5</v>
      </c>
      <c r="CC42" t="s">
        <v>332</v>
      </c>
      <c r="CD42">
        <v>1690303320.5</v>
      </c>
      <c r="CE42">
        <v>1690303310.0999999</v>
      </c>
      <c r="CF42">
        <v>8</v>
      </c>
      <c r="CG42">
        <v>7.3999999999999996E-2</v>
      </c>
      <c r="CH42">
        <v>-0.01</v>
      </c>
      <c r="CI42">
        <v>-0.24199999999999999</v>
      </c>
      <c r="CJ42">
        <v>0.27200000000000002</v>
      </c>
      <c r="CK42">
        <v>800</v>
      </c>
      <c r="CL42">
        <v>23</v>
      </c>
      <c r="CM42">
        <v>0.06</v>
      </c>
      <c r="CN42">
        <v>0.09</v>
      </c>
      <c r="CO42">
        <v>-11.93421707317073</v>
      </c>
      <c r="CP42">
        <v>-7.4682334494773448</v>
      </c>
      <c r="CQ42">
        <v>0.73675671164064149</v>
      </c>
      <c r="CR42">
        <v>-1</v>
      </c>
      <c r="CS42">
        <v>2.218033658536585</v>
      </c>
      <c r="CT42">
        <v>1.5608694773519141</v>
      </c>
      <c r="CU42">
        <v>0.15448290692020769</v>
      </c>
      <c r="CV42">
        <v>-1</v>
      </c>
      <c r="CW42">
        <v>0</v>
      </c>
      <c r="CX42">
        <v>0</v>
      </c>
      <c r="CY42" t="s">
        <v>333</v>
      </c>
      <c r="CZ42">
        <v>2.36375</v>
      </c>
      <c r="DA42">
        <v>2.7137899999999999</v>
      </c>
      <c r="DB42">
        <v>0.14530199999999999</v>
      </c>
      <c r="DC42">
        <v>0.146593</v>
      </c>
      <c r="DD42">
        <v>0.109125</v>
      </c>
      <c r="DE42">
        <v>9.9319599999999994E-2</v>
      </c>
      <c r="DF42">
        <v>31197.9</v>
      </c>
      <c r="DG42">
        <v>27498.5</v>
      </c>
      <c r="DH42">
        <v>31162.799999999999</v>
      </c>
      <c r="DI42">
        <v>28077.9</v>
      </c>
      <c r="DJ42">
        <v>37695</v>
      </c>
      <c r="DK42">
        <v>35963.699999999997</v>
      </c>
      <c r="DL42">
        <v>44348.6</v>
      </c>
      <c r="DM42">
        <v>42562.8</v>
      </c>
      <c r="DN42">
        <v>1.4307000000000001</v>
      </c>
      <c r="DO42">
        <v>2.0551499999999998</v>
      </c>
      <c r="DP42">
        <v>0.16145399999999999</v>
      </c>
      <c r="DQ42">
        <v>0.115894</v>
      </c>
      <c r="DR42">
        <v>25.3003</v>
      </c>
      <c r="DS42">
        <v>24.955300000000001</v>
      </c>
      <c r="DT42">
        <v>57.1</v>
      </c>
      <c r="DU42">
        <v>29.1</v>
      </c>
      <c r="DV42">
        <v>23.266999999999999</v>
      </c>
      <c r="DW42">
        <v>61.481200000000001</v>
      </c>
      <c r="DX42">
        <v>35.977600000000002</v>
      </c>
      <c r="DY42">
        <v>1</v>
      </c>
      <c r="DZ42">
        <v>-5.5678400000000003E-2</v>
      </c>
      <c r="EA42">
        <v>3.0387</v>
      </c>
      <c r="EB42">
        <v>20.1584</v>
      </c>
      <c r="EC42">
        <v>5.2411000000000003</v>
      </c>
      <c r="ED42">
        <v>12.039899999999999</v>
      </c>
      <c r="EE42">
        <v>5.0160499999999999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1.8689100000000001</v>
      </c>
      <c r="EL42">
        <v>1.8646199999999999</v>
      </c>
      <c r="EM42">
        <v>1.8692</v>
      </c>
      <c r="EN42">
        <v>1.8672299999999999</v>
      </c>
      <c r="EO42">
        <v>1.8633999999999999</v>
      </c>
      <c r="EP42">
        <v>1.8644700000000001</v>
      </c>
      <c r="EQ42">
        <v>1.87018</v>
      </c>
      <c r="ER42">
        <v>1.86947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-0.23300000000000001</v>
      </c>
      <c r="FG42">
        <v>0.27189999999999998</v>
      </c>
      <c r="FH42">
        <v>0.30965466913576151</v>
      </c>
      <c r="FI42">
        <v>-6.1462078757559423E-4</v>
      </c>
      <c r="FJ42">
        <v>-1.8861989874597051E-7</v>
      </c>
      <c r="FK42">
        <v>1.1980462299894961E-10</v>
      </c>
      <c r="FL42">
        <v>0.27184999999999349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14.2</v>
      </c>
      <c r="FU42">
        <v>14.3</v>
      </c>
      <c r="FV42">
        <v>1.79077</v>
      </c>
      <c r="FW42">
        <v>2.5939899999999998</v>
      </c>
      <c r="FX42">
        <v>1.5490699999999999</v>
      </c>
      <c r="FY42">
        <v>2.3290999999999999</v>
      </c>
      <c r="FZ42">
        <v>1.50146</v>
      </c>
      <c r="GA42">
        <v>2.32544</v>
      </c>
      <c r="GB42">
        <v>33.850900000000003</v>
      </c>
      <c r="GC42">
        <v>23.9649</v>
      </c>
      <c r="GD42">
        <v>19</v>
      </c>
      <c r="GE42">
        <v>265.22199999999998</v>
      </c>
      <c r="GF42">
        <v>601.875</v>
      </c>
      <c r="GG42">
        <v>19.818100000000001</v>
      </c>
      <c r="GH42">
        <v>26.664200000000001</v>
      </c>
      <c r="GI42">
        <v>30.000299999999999</v>
      </c>
      <c r="GJ42">
        <v>26.6646</v>
      </c>
      <c r="GK42">
        <v>26.6008</v>
      </c>
      <c r="GL42">
        <v>35.812399999999997</v>
      </c>
      <c r="GM42">
        <v>23.229299999999999</v>
      </c>
      <c r="GN42">
        <v>100</v>
      </c>
      <c r="GO42">
        <v>19.8231</v>
      </c>
      <c r="GP42">
        <v>800</v>
      </c>
      <c r="GQ42">
        <v>19.950299999999999</v>
      </c>
      <c r="GR42">
        <v>99.7089</v>
      </c>
      <c r="GS42">
        <v>99.563199999999995</v>
      </c>
    </row>
    <row r="43" spans="1:201" x14ac:dyDescent="0.25">
      <c r="A43">
        <v>27</v>
      </c>
      <c r="B43">
        <v>1690304179.5</v>
      </c>
      <c r="C43">
        <v>429.5</v>
      </c>
      <c r="D43" t="s">
        <v>385</v>
      </c>
      <c r="E43" t="s">
        <v>386</v>
      </c>
      <c r="F43" t="s">
        <v>330</v>
      </c>
      <c r="H43">
        <v>1690304179.5</v>
      </c>
      <c r="I43">
        <f t="shared" si="0"/>
        <v>2.4816451390783392E-4</v>
      </c>
      <c r="J43">
        <f t="shared" si="1"/>
        <v>0.24816451390783392</v>
      </c>
      <c r="K43">
        <f t="shared" si="2"/>
        <v>1.1450514064909088</v>
      </c>
      <c r="L43">
        <f t="shared" si="3"/>
        <v>785.41499999999996</v>
      </c>
      <c r="M43">
        <f t="shared" si="4"/>
        <v>658.27661279067286</v>
      </c>
      <c r="N43">
        <f t="shared" si="5"/>
        <v>65.413538672028736</v>
      </c>
      <c r="O43">
        <f t="shared" si="6"/>
        <v>78.047394481001987</v>
      </c>
      <c r="P43">
        <f t="shared" si="7"/>
        <v>1.6727538738631233E-2</v>
      </c>
      <c r="Q43">
        <f t="shared" si="8"/>
        <v>2.1036722347396388</v>
      </c>
      <c r="R43">
        <f t="shared" si="9"/>
        <v>1.6653994793859862E-2</v>
      </c>
      <c r="S43">
        <f t="shared" si="10"/>
        <v>1.0415327339108096E-2</v>
      </c>
      <c r="T43">
        <f t="shared" si="11"/>
        <v>276.11478856643032</v>
      </c>
      <c r="U43">
        <f t="shared" si="12"/>
        <v>27.485271336981814</v>
      </c>
      <c r="V43">
        <f t="shared" si="13"/>
        <v>27.485271336981814</v>
      </c>
      <c r="W43">
        <f t="shared" si="14"/>
        <v>3.6824478843459532</v>
      </c>
      <c r="X43">
        <f t="shared" si="15"/>
        <v>69.128084784337275</v>
      </c>
      <c r="Y43">
        <f t="shared" si="16"/>
        <v>2.2458717466889198</v>
      </c>
      <c r="Z43">
        <f t="shared" si="17"/>
        <v>3.2488557345332083</v>
      </c>
      <c r="AA43">
        <f t="shared" si="18"/>
        <v>1.4365761376570334</v>
      </c>
      <c r="AB43">
        <f t="shared" si="19"/>
        <v>-10.944055063335476</v>
      </c>
      <c r="AC43">
        <f t="shared" si="20"/>
        <v>-240.86365565148444</v>
      </c>
      <c r="AD43">
        <f t="shared" si="21"/>
        <v>-24.567842470556094</v>
      </c>
      <c r="AE43">
        <f t="shared" si="22"/>
        <v>-0.2607646189456716</v>
      </c>
      <c r="AF43">
        <v>14</v>
      </c>
      <c r="AG43">
        <v>5</v>
      </c>
      <c r="AH43">
        <f t="shared" si="23"/>
        <v>1</v>
      </c>
      <c r="AI43">
        <f t="shared" si="24"/>
        <v>0</v>
      </c>
      <c r="AJ43">
        <f t="shared" si="25"/>
        <v>52937.781008204416</v>
      </c>
      <c r="AK43">
        <f t="shared" si="26"/>
        <v>1799.99</v>
      </c>
      <c r="AL43">
        <f t="shared" si="27"/>
        <v>1499.1067621828299</v>
      </c>
      <c r="AM43">
        <f t="shared" si="28"/>
        <v>0.83284171699999998</v>
      </c>
      <c r="AN43">
        <f t="shared" si="29"/>
        <v>0.15339795697</v>
      </c>
      <c r="AO43">
        <v>33</v>
      </c>
      <c r="AP43">
        <v>0.5</v>
      </c>
      <c r="AQ43" t="s">
        <v>331</v>
      </c>
      <c r="AR43">
        <v>2</v>
      </c>
      <c r="AS43">
        <v>1690304179.5</v>
      </c>
      <c r="AT43">
        <v>785.41499999999996</v>
      </c>
      <c r="AU43">
        <v>800.149</v>
      </c>
      <c r="AV43">
        <v>22.600899999999999</v>
      </c>
      <c r="AW43">
        <v>19.933800000000002</v>
      </c>
      <c r="AX43">
        <v>785.64700000000005</v>
      </c>
      <c r="AY43">
        <v>22.329000000000001</v>
      </c>
      <c r="AZ43">
        <v>300.11399999999998</v>
      </c>
      <c r="BA43">
        <v>99.270899999999997</v>
      </c>
      <c r="BB43">
        <v>9.9998799999999999E-2</v>
      </c>
      <c r="BC43">
        <v>25.361499999999999</v>
      </c>
      <c r="BD43">
        <v>27.879799999999999</v>
      </c>
      <c r="BE43">
        <v>26.829699999999999</v>
      </c>
      <c r="BF43">
        <v>0</v>
      </c>
      <c r="BG43">
        <v>0</v>
      </c>
      <c r="BH43">
        <v>10031.200000000001</v>
      </c>
      <c r="BI43">
        <v>1062.19</v>
      </c>
      <c r="BJ43">
        <v>1.7380500000000001</v>
      </c>
      <c r="BK43">
        <v>-14.733499999999999</v>
      </c>
      <c r="BL43">
        <v>803.577</v>
      </c>
      <c r="BM43">
        <v>816.423</v>
      </c>
      <c r="BN43">
        <v>2.6670699999999998</v>
      </c>
      <c r="BO43">
        <v>800.149</v>
      </c>
      <c r="BP43">
        <v>19.933800000000002</v>
      </c>
      <c r="BQ43">
        <v>2.2436099999999999</v>
      </c>
      <c r="BR43">
        <v>1.97885</v>
      </c>
      <c r="BS43">
        <v>19.277200000000001</v>
      </c>
      <c r="BT43">
        <v>17.2761</v>
      </c>
      <c r="BU43">
        <v>1799.99</v>
      </c>
      <c r="BV43">
        <v>0.91000599999999998</v>
      </c>
      <c r="BW43">
        <v>3.3994999999999997E-2</v>
      </c>
      <c r="BX43">
        <v>2.2009600000000001E-2</v>
      </c>
      <c r="BY43">
        <v>3.3989100000000001E-2</v>
      </c>
      <c r="BZ43">
        <v>26</v>
      </c>
      <c r="CA43">
        <v>33528.199999999997</v>
      </c>
      <c r="CB43">
        <v>1690303320.5</v>
      </c>
      <c r="CC43" t="s">
        <v>332</v>
      </c>
      <c r="CD43">
        <v>1690303320.5</v>
      </c>
      <c r="CE43">
        <v>1690303310.0999999</v>
      </c>
      <c r="CF43">
        <v>8</v>
      </c>
      <c r="CG43">
        <v>7.3999999999999996E-2</v>
      </c>
      <c r="CH43">
        <v>-0.01</v>
      </c>
      <c r="CI43">
        <v>-0.24199999999999999</v>
      </c>
      <c r="CJ43">
        <v>0.27200000000000002</v>
      </c>
      <c r="CK43">
        <v>800</v>
      </c>
      <c r="CL43">
        <v>23</v>
      </c>
      <c r="CM43">
        <v>0.06</v>
      </c>
      <c r="CN43">
        <v>0.09</v>
      </c>
      <c r="CO43">
        <v>-13.19522195121951</v>
      </c>
      <c r="CP43">
        <v>-7.5369930313589117</v>
      </c>
      <c r="CQ43">
        <v>0.7443774558886217</v>
      </c>
      <c r="CR43">
        <v>-1</v>
      </c>
      <c r="CS43">
        <v>2.4555680487804881</v>
      </c>
      <c r="CT43">
        <v>1.241917630662025</v>
      </c>
      <c r="CU43">
        <v>0.1230041065985001</v>
      </c>
      <c r="CV43">
        <v>-1</v>
      </c>
      <c r="CW43">
        <v>0</v>
      </c>
      <c r="CX43">
        <v>0</v>
      </c>
      <c r="CY43" t="s">
        <v>333</v>
      </c>
      <c r="CZ43">
        <v>2.3637899999999998</v>
      </c>
      <c r="DA43">
        <v>2.7138200000000001</v>
      </c>
      <c r="DB43">
        <v>0.14513400000000001</v>
      </c>
      <c r="DC43">
        <v>0.14657600000000001</v>
      </c>
      <c r="DD43">
        <v>0.10899300000000001</v>
      </c>
      <c r="DE43">
        <v>9.8584099999999994E-2</v>
      </c>
      <c r="DF43">
        <v>31203.7</v>
      </c>
      <c r="DG43">
        <v>27498.3</v>
      </c>
      <c r="DH43">
        <v>31162.5</v>
      </c>
      <c r="DI43">
        <v>28077.200000000001</v>
      </c>
      <c r="DJ43">
        <v>37700</v>
      </c>
      <c r="DK43">
        <v>35992.199999999997</v>
      </c>
      <c r="DL43">
        <v>44347.9</v>
      </c>
      <c r="DM43">
        <v>42561.8</v>
      </c>
      <c r="DN43">
        <v>1.43075</v>
      </c>
      <c r="DO43">
        <v>2.0546500000000001</v>
      </c>
      <c r="DP43">
        <v>0.160217</v>
      </c>
      <c r="DQ43">
        <v>0.116967</v>
      </c>
      <c r="DR43">
        <v>25.2577</v>
      </c>
      <c r="DS43">
        <v>24.9133</v>
      </c>
      <c r="DT43">
        <v>57.1</v>
      </c>
      <c r="DU43">
        <v>29.1</v>
      </c>
      <c r="DV43">
        <v>23.2683</v>
      </c>
      <c r="DW43">
        <v>61.621200000000002</v>
      </c>
      <c r="DX43">
        <v>36.005600000000001</v>
      </c>
      <c r="DY43">
        <v>1</v>
      </c>
      <c r="DZ43">
        <v>-5.5429399999999997E-2</v>
      </c>
      <c r="EA43">
        <v>3.0027300000000001</v>
      </c>
      <c r="EB43">
        <v>20.158799999999999</v>
      </c>
      <c r="EC43">
        <v>5.2406499999999996</v>
      </c>
      <c r="ED43">
        <v>12.039899999999999</v>
      </c>
      <c r="EE43">
        <v>5.0159000000000002</v>
      </c>
      <c r="EF43">
        <v>3.2879499999999999</v>
      </c>
      <c r="EG43">
        <v>9999</v>
      </c>
      <c r="EH43">
        <v>9999</v>
      </c>
      <c r="EI43">
        <v>9999</v>
      </c>
      <c r="EJ43">
        <v>999.9</v>
      </c>
      <c r="EK43">
        <v>1.8689100000000001</v>
      </c>
      <c r="EL43">
        <v>1.8646199999999999</v>
      </c>
      <c r="EM43">
        <v>1.8692</v>
      </c>
      <c r="EN43">
        <v>1.8672500000000001</v>
      </c>
      <c r="EO43">
        <v>1.8633999999999999</v>
      </c>
      <c r="EP43">
        <v>1.8644700000000001</v>
      </c>
      <c r="EQ43">
        <v>1.8701399999999999</v>
      </c>
      <c r="ER43">
        <v>1.8694599999999999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-0.23200000000000001</v>
      </c>
      <c r="FG43">
        <v>0.27189999999999998</v>
      </c>
      <c r="FH43">
        <v>0.30965466913576151</v>
      </c>
      <c r="FI43">
        <v>-6.1462078757559423E-4</v>
      </c>
      <c r="FJ43">
        <v>-1.8861989874597051E-7</v>
      </c>
      <c r="FK43">
        <v>1.1980462299894961E-10</v>
      </c>
      <c r="FL43">
        <v>0.27184999999999349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14.3</v>
      </c>
      <c r="FU43">
        <v>14.5</v>
      </c>
      <c r="FV43">
        <v>1.79077</v>
      </c>
      <c r="FW43">
        <v>2.5891099999999998</v>
      </c>
      <c r="FX43">
        <v>1.5490699999999999</v>
      </c>
      <c r="FY43">
        <v>2.3290999999999999</v>
      </c>
      <c r="FZ43">
        <v>1.50146</v>
      </c>
      <c r="GA43">
        <v>2.3840300000000001</v>
      </c>
      <c r="GB43">
        <v>33.850900000000003</v>
      </c>
      <c r="GC43">
        <v>23.982399999999998</v>
      </c>
      <c r="GD43">
        <v>19</v>
      </c>
      <c r="GE43">
        <v>265.26</v>
      </c>
      <c r="GF43">
        <v>601.50900000000001</v>
      </c>
      <c r="GG43">
        <v>19.817399999999999</v>
      </c>
      <c r="GH43">
        <v>26.664200000000001</v>
      </c>
      <c r="GI43">
        <v>30</v>
      </c>
      <c r="GJ43">
        <v>26.668900000000001</v>
      </c>
      <c r="GK43">
        <v>26.605799999999999</v>
      </c>
      <c r="GL43">
        <v>35.8018</v>
      </c>
      <c r="GM43">
        <v>24.516300000000001</v>
      </c>
      <c r="GN43">
        <v>100</v>
      </c>
      <c r="GO43">
        <v>19.819700000000001</v>
      </c>
      <c r="GP43">
        <v>800</v>
      </c>
      <c r="GQ43">
        <v>19.6677</v>
      </c>
      <c r="GR43">
        <v>99.707599999999999</v>
      </c>
      <c r="GS43">
        <v>99.5608</v>
      </c>
    </row>
    <row r="44" spans="1:201" x14ac:dyDescent="0.25">
      <c r="A44">
        <v>28</v>
      </c>
      <c r="B44">
        <v>1690304189.5</v>
      </c>
      <c r="C44">
        <v>439.5</v>
      </c>
      <c r="D44" t="s">
        <v>387</v>
      </c>
      <c r="E44" t="s">
        <v>388</v>
      </c>
      <c r="F44" t="s">
        <v>330</v>
      </c>
      <c r="H44">
        <v>1690304189.5</v>
      </c>
      <c r="I44">
        <f t="shared" si="0"/>
        <v>2.6797695370074447E-4</v>
      </c>
      <c r="J44">
        <f t="shared" si="1"/>
        <v>0.26797695370074448</v>
      </c>
      <c r="K44">
        <f t="shared" si="2"/>
        <v>1.2476838410385729</v>
      </c>
      <c r="L44">
        <f t="shared" si="3"/>
        <v>784.11099999999999</v>
      </c>
      <c r="M44">
        <f t="shared" si="4"/>
        <v>656.49636909864387</v>
      </c>
      <c r="N44">
        <f t="shared" si="5"/>
        <v>65.23705520174066</v>
      </c>
      <c r="O44">
        <f t="shared" si="6"/>
        <v>77.91831760094</v>
      </c>
      <c r="P44">
        <f t="shared" si="7"/>
        <v>1.8137466883069778E-2</v>
      </c>
      <c r="Q44">
        <f t="shared" si="8"/>
        <v>2.0989464222115926</v>
      </c>
      <c r="R44">
        <f t="shared" si="9"/>
        <v>1.8050843708840116E-2</v>
      </c>
      <c r="S44">
        <f t="shared" si="10"/>
        <v>1.1289525487693986E-2</v>
      </c>
      <c r="T44">
        <f t="shared" si="11"/>
        <v>276.11646449399996</v>
      </c>
      <c r="U44">
        <f t="shared" si="12"/>
        <v>27.437403948697632</v>
      </c>
      <c r="V44">
        <f t="shared" si="13"/>
        <v>27.437403948697632</v>
      </c>
      <c r="W44">
        <f t="shared" si="14"/>
        <v>3.6721451541117127</v>
      </c>
      <c r="X44">
        <f t="shared" si="15"/>
        <v>69.157979642194931</v>
      </c>
      <c r="Y44">
        <f t="shared" si="16"/>
        <v>2.2407984155380003</v>
      </c>
      <c r="Z44">
        <f t="shared" si="17"/>
        <v>3.2401154966228014</v>
      </c>
      <c r="AA44">
        <f t="shared" si="18"/>
        <v>1.4313467385737124</v>
      </c>
      <c r="AB44">
        <f t="shared" si="19"/>
        <v>-11.817783658202831</v>
      </c>
      <c r="AC44">
        <f t="shared" si="20"/>
        <v>-240.03204387797686</v>
      </c>
      <c r="AD44">
        <f t="shared" si="21"/>
        <v>-24.526691201516908</v>
      </c>
      <c r="AE44">
        <f t="shared" si="22"/>
        <v>-0.26005424369665775</v>
      </c>
      <c r="AF44">
        <v>14</v>
      </c>
      <c r="AG44">
        <v>5</v>
      </c>
      <c r="AH44">
        <f t="shared" si="23"/>
        <v>1</v>
      </c>
      <c r="AI44">
        <f t="shared" si="24"/>
        <v>0</v>
      </c>
      <c r="AJ44">
        <f t="shared" si="25"/>
        <v>52734.465949706253</v>
      </c>
      <c r="AK44">
        <f t="shared" si="26"/>
        <v>1800</v>
      </c>
      <c r="AL44">
        <f t="shared" si="27"/>
        <v>1499.1123923999996</v>
      </c>
      <c r="AM44">
        <f t="shared" si="28"/>
        <v>0.83284021799999985</v>
      </c>
      <c r="AN44">
        <f t="shared" si="29"/>
        <v>0.15339803582999997</v>
      </c>
      <c r="AO44">
        <v>33</v>
      </c>
      <c r="AP44">
        <v>0.5</v>
      </c>
      <c r="AQ44" t="s">
        <v>331</v>
      </c>
      <c r="AR44">
        <v>2</v>
      </c>
      <c r="AS44">
        <v>1690304189.5</v>
      </c>
      <c r="AT44">
        <v>784.11099999999999</v>
      </c>
      <c r="AU44">
        <v>800.13699999999994</v>
      </c>
      <c r="AV44">
        <v>22.549700000000001</v>
      </c>
      <c r="AW44">
        <v>19.670200000000001</v>
      </c>
      <c r="AX44">
        <v>784.34199999999998</v>
      </c>
      <c r="AY44">
        <v>22.277799999999999</v>
      </c>
      <c r="AZ44">
        <v>300.185</v>
      </c>
      <c r="BA44">
        <v>99.271500000000003</v>
      </c>
      <c r="BB44">
        <v>0.10004</v>
      </c>
      <c r="BC44">
        <v>25.316199999999998</v>
      </c>
      <c r="BD44">
        <v>27.843299999999999</v>
      </c>
      <c r="BE44">
        <v>26.788900000000002</v>
      </c>
      <c r="BF44">
        <v>0</v>
      </c>
      <c r="BG44">
        <v>0</v>
      </c>
      <c r="BH44">
        <v>9989.3799999999992</v>
      </c>
      <c r="BI44">
        <v>1061.6199999999999</v>
      </c>
      <c r="BJ44">
        <v>1.7380500000000001</v>
      </c>
      <c r="BK44">
        <v>-16.0261</v>
      </c>
      <c r="BL44">
        <v>802.2</v>
      </c>
      <c r="BM44">
        <v>816.19200000000001</v>
      </c>
      <c r="BN44">
        <v>2.8795199999999999</v>
      </c>
      <c r="BO44">
        <v>800.13699999999994</v>
      </c>
      <c r="BP44">
        <v>19.670200000000001</v>
      </c>
      <c r="BQ44">
        <v>2.23854</v>
      </c>
      <c r="BR44">
        <v>1.95269</v>
      </c>
      <c r="BS44">
        <v>19.2408</v>
      </c>
      <c r="BT44">
        <v>17.065799999999999</v>
      </c>
      <c r="BU44">
        <v>1800</v>
      </c>
      <c r="BV44">
        <v>0.90998599999999996</v>
      </c>
      <c r="BW44">
        <v>3.3992399999999999E-2</v>
      </c>
      <c r="BX44">
        <v>2.20079E-2</v>
      </c>
      <c r="BY44">
        <v>3.40139E-2</v>
      </c>
      <c r="BZ44">
        <v>26</v>
      </c>
      <c r="CA44">
        <v>33528.199999999997</v>
      </c>
      <c r="CB44">
        <v>1690303320.5</v>
      </c>
      <c r="CC44" t="s">
        <v>332</v>
      </c>
      <c r="CD44">
        <v>1690303320.5</v>
      </c>
      <c r="CE44">
        <v>1690303310.0999999</v>
      </c>
      <c r="CF44">
        <v>8</v>
      </c>
      <c r="CG44">
        <v>7.3999999999999996E-2</v>
      </c>
      <c r="CH44">
        <v>-0.01</v>
      </c>
      <c r="CI44">
        <v>-0.24199999999999999</v>
      </c>
      <c r="CJ44">
        <v>0.27200000000000002</v>
      </c>
      <c r="CK44">
        <v>800</v>
      </c>
      <c r="CL44">
        <v>23</v>
      </c>
      <c r="CM44">
        <v>0.06</v>
      </c>
      <c r="CN44">
        <v>0.09</v>
      </c>
      <c r="CO44">
        <v>-14.6174675</v>
      </c>
      <c r="CP44">
        <v>-8.0411628517823388</v>
      </c>
      <c r="CQ44">
        <v>0.77562208851588932</v>
      </c>
      <c r="CR44">
        <v>-1</v>
      </c>
      <c r="CS44">
        <v>2.67091075</v>
      </c>
      <c r="CT44">
        <v>1.1918365103189421</v>
      </c>
      <c r="CU44">
        <v>0.11504910611098861</v>
      </c>
      <c r="CV44">
        <v>-1</v>
      </c>
      <c r="CW44">
        <v>0</v>
      </c>
      <c r="CX44">
        <v>0</v>
      </c>
      <c r="CY44" t="s">
        <v>333</v>
      </c>
      <c r="CZ44">
        <v>2.3640300000000001</v>
      </c>
      <c r="DA44">
        <v>2.7138200000000001</v>
      </c>
      <c r="DB44">
        <v>0.14497099999999999</v>
      </c>
      <c r="DC44">
        <v>0.146568</v>
      </c>
      <c r="DD44">
        <v>0.108816</v>
      </c>
      <c r="DE44">
        <v>9.7655599999999995E-2</v>
      </c>
      <c r="DF44">
        <v>31209.8</v>
      </c>
      <c r="DG44">
        <v>27498.799999999999</v>
      </c>
      <c r="DH44">
        <v>31162.7</v>
      </c>
      <c r="DI44">
        <v>28077.5</v>
      </c>
      <c r="DJ44">
        <v>37707.800000000003</v>
      </c>
      <c r="DK44">
        <v>36029.9</v>
      </c>
      <c r="DL44">
        <v>44348.2</v>
      </c>
      <c r="DM44">
        <v>42562.400000000001</v>
      </c>
      <c r="DN44">
        <v>1.43055</v>
      </c>
      <c r="DO44">
        <v>2.0543</v>
      </c>
      <c r="DP44">
        <v>0.16050800000000001</v>
      </c>
      <c r="DQ44">
        <v>0.11702600000000001</v>
      </c>
      <c r="DR44">
        <v>25.2164</v>
      </c>
      <c r="DS44">
        <v>24.871400000000001</v>
      </c>
      <c r="DT44">
        <v>57.1</v>
      </c>
      <c r="DU44">
        <v>29.1</v>
      </c>
      <c r="DV44">
        <v>23.265799999999999</v>
      </c>
      <c r="DW44">
        <v>61.581200000000003</v>
      </c>
      <c r="DX44">
        <v>35.216299999999997</v>
      </c>
      <c r="DY44">
        <v>1</v>
      </c>
      <c r="DZ44">
        <v>-5.51829E-2</v>
      </c>
      <c r="EA44">
        <v>3.0118100000000001</v>
      </c>
      <c r="EB44">
        <v>20.1586</v>
      </c>
      <c r="EC44">
        <v>5.2411000000000003</v>
      </c>
      <c r="ED44">
        <v>12.039899999999999</v>
      </c>
      <c r="EE44">
        <v>5.01715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1.8689100000000001</v>
      </c>
      <c r="EL44">
        <v>1.8646199999999999</v>
      </c>
      <c r="EM44">
        <v>1.8692</v>
      </c>
      <c r="EN44">
        <v>1.8672299999999999</v>
      </c>
      <c r="EO44">
        <v>1.8633999999999999</v>
      </c>
      <c r="EP44">
        <v>1.8644700000000001</v>
      </c>
      <c r="EQ44">
        <v>1.87018</v>
      </c>
      <c r="ER44">
        <v>1.8694599999999999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-0.23100000000000001</v>
      </c>
      <c r="FG44">
        <v>0.27189999999999998</v>
      </c>
      <c r="FH44">
        <v>0.30965466913576151</v>
      </c>
      <c r="FI44">
        <v>-6.1462078757559423E-4</v>
      </c>
      <c r="FJ44">
        <v>-1.8861989874597051E-7</v>
      </c>
      <c r="FK44">
        <v>1.1980462299894961E-10</v>
      </c>
      <c r="FL44">
        <v>0.27184999999999349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14.5</v>
      </c>
      <c r="FU44">
        <v>14.7</v>
      </c>
      <c r="FV44">
        <v>1.78955</v>
      </c>
      <c r="FW44">
        <v>2.5878899999999998</v>
      </c>
      <c r="FX44">
        <v>1.5490699999999999</v>
      </c>
      <c r="FY44">
        <v>2.3290999999999999</v>
      </c>
      <c r="FZ44">
        <v>1.50146</v>
      </c>
      <c r="GA44">
        <v>2.4023400000000001</v>
      </c>
      <c r="GB44">
        <v>33.850900000000003</v>
      </c>
      <c r="GC44">
        <v>23.973700000000001</v>
      </c>
      <c r="GD44">
        <v>19</v>
      </c>
      <c r="GE44">
        <v>265.19200000000001</v>
      </c>
      <c r="GF44">
        <v>601.27</v>
      </c>
      <c r="GG44">
        <v>19.801500000000001</v>
      </c>
      <c r="GH44">
        <v>26.664200000000001</v>
      </c>
      <c r="GI44">
        <v>30.0002</v>
      </c>
      <c r="GJ44">
        <v>26.6724</v>
      </c>
      <c r="GK44">
        <v>26.610800000000001</v>
      </c>
      <c r="GL44">
        <v>35.791699999999999</v>
      </c>
      <c r="GM44">
        <v>25.4223</v>
      </c>
      <c r="GN44">
        <v>100</v>
      </c>
      <c r="GO44">
        <v>19.799199999999999</v>
      </c>
      <c r="GP44">
        <v>800</v>
      </c>
      <c r="GQ44">
        <v>19.4772</v>
      </c>
      <c r="GR44">
        <v>99.708299999999994</v>
      </c>
      <c r="GS44">
        <v>99.561999999999998</v>
      </c>
    </row>
    <row r="45" spans="1:201" x14ac:dyDescent="0.25">
      <c r="A45">
        <v>29</v>
      </c>
      <c r="B45">
        <v>1690304199.5</v>
      </c>
      <c r="C45">
        <v>449.5</v>
      </c>
      <c r="D45" t="s">
        <v>389</v>
      </c>
      <c r="E45" t="s">
        <v>390</v>
      </c>
      <c r="F45" t="s">
        <v>330</v>
      </c>
      <c r="H45">
        <v>1690304199.5</v>
      </c>
      <c r="I45">
        <f t="shared" si="0"/>
        <v>2.7964965260040382E-4</v>
      </c>
      <c r="J45">
        <f t="shared" si="1"/>
        <v>0.27964965260040381</v>
      </c>
      <c r="K45">
        <f t="shared" si="2"/>
        <v>1.3604221522766227</v>
      </c>
      <c r="L45">
        <f t="shared" si="3"/>
        <v>782.77499999999998</v>
      </c>
      <c r="M45">
        <f t="shared" si="4"/>
        <v>650.67542381157511</v>
      </c>
      <c r="N45">
        <f t="shared" si="5"/>
        <v>64.66192342451626</v>
      </c>
      <c r="O45">
        <f t="shared" si="6"/>
        <v>77.789532624614992</v>
      </c>
      <c r="P45">
        <f t="shared" si="7"/>
        <v>1.8986363931765917E-2</v>
      </c>
      <c r="Q45">
        <f t="shared" si="8"/>
        <v>2.1025406277324032</v>
      </c>
      <c r="R45">
        <f t="shared" si="9"/>
        <v>1.8891626716110589E-2</v>
      </c>
      <c r="S45">
        <f t="shared" si="10"/>
        <v>1.1815738958690137E-2</v>
      </c>
      <c r="T45">
        <f t="shared" si="11"/>
        <v>276.11615260800005</v>
      </c>
      <c r="U45">
        <f t="shared" si="12"/>
        <v>27.386068502801329</v>
      </c>
      <c r="V45">
        <f t="shared" si="13"/>
        <v>27.386068502801329</v>
      </c>
      <c r="W45">
        <f t="shared" si="14"/>
        <v>3.6611239414450565</v>
      </c>
      <c r="X45">
        <f t="shared" si="15"/>
        <v>69.119524892880051</v>
      </c>
      <c r="Y45">
        <f t="shared" si="16"/>
        <v>2.2336981939340599</v>
      </c>
      <c r="Z45">
        <f t="shared" si="17"/>
        <v>3.2316457576868429</v>
      </c>
      <c r="AA45">
        <f t="shared" si="18"/>
        <v>1.4274257475109966</v>
      </c>
      <c r="AB45">
        <f t="shared" si="19"/>
        <v>-12.332549679677808</v>
      </c>
      <c r="AC45">
        <f t="shared" si="20"/>
        <v>-239.61158256850112</v>
      </c>
      <c r="AD45">
        <f t="shared" si="21"/>
        <v>-24.430198873697947</v>
      </c>
      <c r="AE45">
        <f t="shared" si="22"/>
        <v>-0.25817851387682822</v>
      </c>
      <c r="AF45">
        <v>14</v>
      </c>
      <c r="AG45">
        <v>5</v>
      </c>
      <c r="AH45">
        <f t="shared" si="23"/>
        <v>1</v>
      </c>
      <c r="AI45">
        <f t="shared" si="24"/>
        <v>0</v>
      </c>
      <c r="AJ45">
        <f t="shared" si="25"/>
        <v>52903.085317833938</v>
      </c>
      <c r="AK45">
        <f t="shared" si="26"/>
        <v>1800</v>
      </c>
      <c r="AL45">
        <f t="shared" si="27"/>
        <v>1499.1120558</v>
      </c>
      <c r="AM45">
        <f t="shared" si="28"/>
        <v>0.83284003100000004</v>
      </c>
      <c r="AN45">
        <f t="shared" si="29"/>
        <v>0.15339786256000001</v>
      </c>
      <c r="AO45">
        <v>33</v>
      </c>
      <c r="AP45">
        <v>0.5</v>
      </c>
      <c r="AQ45" t="s">
        <v>331</v>
      </c>
      <c r="AR45">
        <v>2</v>
      </c>
      <c r="AS45">
        <v>1690304199.5</v>
      </c>
      <c r="AT45">
        <v>782.77499999999998</v>
      </c>
      <c r="AU45">
        <v>800.13599999999997</v>
      </c>
      <c r="AV45">
        <v>22.4771</v>
      </c>
      <c r="AW45">
        <v>19.472100000000001</v>
      </c>
      <c r="AX45">
        <v>783.005</v>
      </c>
      <c r="AY45">
        <v>22.205200000000001</v>
      </c>
      <c r="AZ45">
        <v>300.2</v>
      </c>
      <c r="BA45">
        <v>99.276700000000005</v>
      </c>
      <c r="BB45">
        <v>9.9918599999999996E-2</v>
      </c>
      <c r="BC45">
        <v>25.272200000000002</v>
      </c>
      <c r="BD45">
        <v>27.780899999999999</v>
      </c>
      <c r="BE45">
        <v>26.7361</v>
      </c>
      <c r="BF45">
        <v>0</v>
      </c>
      <c r="BG45">
        <v>0</v>
      </c>
      <c r="BH45">
        <v>10020.6</v>
      </c>
      <c r="BI45">
        <v>1060.8800000000001</v>
      </c>
      <c r="BJ45">
        <v>1.7380500000000001</v>
      </c>
      <c r="BK45">
        <v>-17.361000000000001</v>
      </c>
      <c r="BL45">
        <v>800.774</v>
      </c>
      <c r="BM45">
        <v>816.02599999999995</v>
      </c>
      <c r="BN45">
        <v>3.0049899999999998</v>
      </c>
      <c r="BO45">
        <v>800.13599999999997</v>
      </c>
      <c r="BP45">
        <v>19.472100000000001</v>
      </c>
      <c r="BQ45">
        <v>2.2314500000000002</v>
      </c>
      <c r="BR45">
        <v>1.93313</v>
      </c>
      <c r="BS45">
        <v>19.189900000000002</v>
      </c>
      <c r="BT45">
        <v>16.907</v>
      </c>
      <c r="BU45">
        <v>1800</v>
      </c>
      <c r="BV45">
        <v>0.90998900000000005</v>
      </c>
      <c r="BW45">
        <v>3.3993200000000001E-2</v>
      </c>
      <c r="BX45">
        <v>2.2006299999999999E-2</v>
      </c>
      <c r="BY45">
        <v>3.4011399999999997E-2</v>
      </c>
      <c r="BZ45">
        <v>26</v>
      </c>
      <c r="CA45">
        <v>33528.300000000003</v>
      </c>
      <c r="CB45">
        <v>1690303320.5</v>
      </c>
      <c r="CC45" t="s">
        <v>332</v>
      </c>
      <c r="CD45">
        <v>1690303320.5</v>
      </c>
      <c r="CE45">
        <v>1690303310.0999999</v>
      </c>
      <c r="CF45">
        <v>8</v>
      </c>
      <c r="CG45">
        <v>7.3999999999999996E-2</v>
      </c>
      <c r="CH45">
        <v>-0.01</v>
      </c>
      <c r="CI45">
        <v>-0.24199999999999999</v>
      </c>
      <c r="CJ45">
        <v>0.27200000000000002</v>
      </c>
      <c r="CK45">
        <v>800</v>
      </c>
      <c r="CL45">
        <v>23</v>
      </c>
      <c r="CM45">
        <v>0.06</v>
      </c>
      <c r="CN45">
        <v>0.09</v>
      </c>
      <c r="CO45">
        <v>-15.936567500000001</v>
      </c>
      <c r="CP45">
        <v>-7.5888236397747812</v>
      </c>
      <c r="CQ45">
        <v>0.73034368190171262</v>
      </c>
      <c r="CR45">
        <v>-1</v>
      </c>
      <c r="CS45">
        <v>2.85573225</v>
      </c>
      <c r="CT45">
        <v>1.04276116322701</v>
      </c>
      <c r="CU45">
        <v>0.1013571871030244</v>
      </c>
      <c r="CV45">
        <v>-1</v>
      </c>
      <c r="CW45">
        <v>0</v>
      </c>
      <c r="CX45">
        <v>0</v>
      </c>
      <c r="CY45" t="s">
        <v>333</v>
      </c>
      <c r="CZ45">
        <v>2.3640699999999999</v>
      </c>
      <c r="DA45">
        <v>2.71373</v>
      </c>
      <c r="DB45">
        <v>0.14480899999999999</v>
      </c>
      <c r="DC45">
        <v>0.146569</v>
      </c>
      <c r="DD45">
        <v>0.108569</v>
      </c>
      <c r="DE45">
        <v>9.6958799999999998E-2</v>
      </c>
      <c r="DF45">
        <v>31215.7</v>
      </c>
      <c r="DG45">
        <v>27498.6</v>
      </c>
      <c r="DH45">
        <v>31162.7</v>
      </c>
      <c r="DI45">
        <v>28077.3</v>
      </c>
      <c r="DJ45">
        <v>37718.400000000001</v>
      </c>
      <c r="DK45">
        <v>36057.5</v>
      </c>
      <c r="DL45">
        <v>44348.3</v>
      </c>
      <c r="DM45">
        <v>42562.1</v>
      </c>
      <c r="DN45">
        <v>1.43062</v>
      </c>
      <c r="DO45">
        <v>2.0537299999999998</v>
      </c>
      <c r="DP45">
        <v>0.15921099999999999</v>
      </c>
      <c r="DQ45">
        <v>0.11634799999999999</v>
      </c>
      <c r="DR45">
        <v>25.174900000000001</v>
      </c>
      <c r="DS45">
        <v>24.829599999999999</v>
      </c>
      <c r="DT45">
        <v>57.1</v>
      </c>
      <c r="DU45">
        <v>29.1</v>
      </c>
      <c r="DV45">
        <v>23.2684</v>
      </c>
      <c r="DW45">
        <v>61.481200000000001</v>
      </c>
      <c r="DX45">
        <v>35.084099999999999</v>
      </c>
      <c r="DY45">
        <v>1</v>
      </c>
      <c r="DZ45">
        <v>-5.5147399999999999E-2</v>
      </c>
      <c r="EA45">
        <v>3.0105</v>
      </c>
      <c r="EB45">
        <v>20.1587</v>
      </c>
      <c r="EC45">
        <v>5.2403500000000003</v>
      </c>
      <c r="ED45">
        <v>12.039899999999999</v>
      </c>
      <c r="EE45">
        <v>5.0169499999999996</v>
      </c>
      <c r="EF45">
        <v>3.2879499999999999</v>
      </c>
      <c r="EG45">
        <v>9999</v>
      </c>
      <c r="EH45">
        <v>9999</v>
      </c>
      <c r="EI45">
        <v>9999</v>
      </c>
      <c r="EJ45">
        <v>999.9</v>
      </c>
      <c r="EK45">
        <v>1.8689100000000001</v>
      </c>
      <c r="EL45">
        <v>1.8646199999999999</v>
      </c>
      <c r="EM45">
        <v>1.8692</v>
      </c>
      <c r="EN45">
        <v>1.8672299999999999</v>
      </c>
      <c r="EO45">
        <v>1.8633999999999999</v>
      </c>
      <c r="EP45">
        <v>1.8644799999999999</v>
      </c>
      <c r="EQ45">
        <v>1.8701700000000001</v>
      </c>
      <c r="ER45">
        <v>1.86944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-0.23</v>
      </c>
      <c r="FG45">
        <v>0.27189999999999998</v>
      </c>
      <c r="FH45">
        <v>0.30965466913576151</v>
      </c>
      <c r="FI45">
        <v>-6.1462078757559423E-4</v>
      </c>
      <c r="FJ45">
        <v>-1.8861989874597051E-7</v>
      </c>
      <c r="FK45">
        <v>1.1980462299894961E-10</v>
      </c>
      <c r="FL45">
        <v>0.27184999999999349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14.7</v>
      </c>
      <c r="FU45">
        <v>14.8</v>
      </c>
      <c r="FV45">
        <v>1.78955</v>
      </c>
      <c r="FW45">
        <v>2.5842299999999998</v>
      </c>
      <c r="FX45">
        <v>1.5490699999999999</v>
      </c>
      <c r="FY45">
        <v>2.3303199999999999</v>
      </c>
      <c r="FZ45">
        <v>1.50146</v>
      </c>
      <c r="GA45">
        <v>2.36084</v>
      </c>
      <c r="GB45">
        <v>33.850900000000003</v>
      </c>
      <c r="GC45">
        <v>23.973700000000001</v>
      </c>
      <c r="GD45">
        <v>19</v>
      </c>
      <c r="GE45">
        <v>265.23599999999999</v>
      </c>
      <c r="GF45">
        <v>600.82899999999995</v>
      </c>
      <c r="GG45">
        <v>19.774100000000001</v>
      </c>
      <c r="GH45">
        <v>26.661999999999999</v>
      </c>
      <c r="GI45">
        <v>30.0002</v>
      </c>
      <c r="GJ45">
        <v>26.675699999999999</v>
      </c>
      <c r="GK45">
        <v>26.614699999999999</v>
      </c>
      <c r="GL45">
        <v>35.782200000000003</v>
      </c>
      <c r="GM45">
        <v>26.2971</v>
      </c>
      <c r="GN45">
        <v>100</v>
      </c>
      <c r="GO45">
        <v>19.771799999999999</v>
      </c>
      <c r="GP45">
        <v>800</v>
      </c>
      <c r="GQ45">
        <v>19.224</v>
      </c>
      <c r="GR45">
        <v>99.708399999999997</v>
      </c>
      <c r="GS45">
        <v>99.561300000000003</v>
      </c>
    </row>
    <row r="46" spans="1:201" x14ac:dyDescent="0.25">
      <c r="A46">
        <v>30</v>
      </c>
      <c r="B46">
        <v>1690304209.5</v>
      </c>
      <c r="C46">
        <v>459.5</v>
      </c>
      <c r="D46" t="s">
        <v>391</v>
      </c>
      <c r="E46" t="s">
        <v>392</v>
      </c>
      <c r="F46" t="s">
        <v>330</v>
      </c>
      <c r="H46">
        <v>1690304209.5</v>
      </c>
      <c r="I46">
        <f t="shared" si="0"/>
        <v>2.9483107990591561E-4</v>
      </c>
      <c r="J46">
        <f t="shared" si="1"/>
        <v>0.29483107990591562</v>
      </c>
      <c r="K46">
        <f t="shared" si="2"/>
        <v>1.4620203464558481</v>
      </c>
      <c r="L46">
        <f t="shared" si="3"/>
        <v>781.49699999999996</v>
      </c>
      <c r="M46">
        <f t="shared" si="4"/>
        <v>647.31366481551936</v>
      </c>
      <c r="N46">
        <f t="shared" si="5"/>
        <v>64.32656156661514</v>
      </c>
      <c r="O46">
        <f t="shared" si="6"/>
        <v>77.660982020133886</v>
      </c>
      <c r="P46">
        <f t="shared" si="7"/>
        <v>2.0035094598313312E-2</v>
      </c>
      <c r="Q46">
        <f t="shared" si="8"/>
        <v>2.1007528112883578</v>
      </c>
      <c r="R46">
        <f t="shared" si="9"/>
        <v>1.9929544663708963E-2</v>
      </c>
      <c r="S46">
        <f t="shared" si="10"/>
        <v>1.246540220363837E-2</v>
      </c>
      <c r="T46">
        <f t="shared" si="11"/>
        <v>276.1147382927096</v>
      </c>
      <c r="U46">
        <f t="shared" si="12"/>
        <v>27.341900688009034</v>
      </c>
      <c r="V46">
        <f t="shared" si="13"/>
        <v>27.341900688009034</v>
      </c>
      <c r="W46">
        <f t="shared" si="14"/>
        <v>3.6516646633183085</v>
      </c>
      <c r="X46">
        <f t="shared" si="15"/>
        <v>69.017057383973906</v>
      </c>
      <c r="Y46">
        <f t="shared" si="16"/>
        <v>2.2250180354207401</v>
      </c>
      <c r="Z46">
        <f t="shared" si="17"/>
        <v>3.2238668522796217</v>
      </c>
      <c r="AA46">
        <f t="shared" si="18"/>
        <v>1.4266466278975685</v>
      </c>
      <c r="AB46">
        <f t="shared" si="19"/>
        <v>-13.002050623850879</v>
      </c>
      <c r="AC46">
        <f t="shared" si="20"/>
        <v>-238.99243661431149</v>
      </c>
      <c r="AD46">
        <f t="shared" si="21"/>
        <v>-24.377462598757528</v>
      </c>
      <c r="AE46">
        <f t="shared" si="22"/>
        <v>-0.25721154421029269</v>
      </c>
      <c r="AF46">
        <v>14</v>
      </c>
      <c r="AG46">
        <v>5</v>
      </c>
      <c r="AH46">
        <f t="shared" si="23"/>
        <v>1</v>
      </c>
      <c r="AI46">
        <f t="shared" si="24"/>
        <v>0</v>
      </c>
      <c r="AJ46">
        <f t="shared" si="25"/>
        <v>52830.224445820066</v>
      </c>
      <c r="AK46">
        <f t="shared" si="26"/>
        <v>1799.99</v>
      </c>
      <c r="AL46">
        <f t="shared" si="27"/>
        <v>1499.1010058148099</v>
      </c>
      <c r="AM46">
        <f t="shared" si="28"/>
        <v>0.83283851899999994</v>
      </c>
      <c r="AN46">
        <f t="shared" si="29"/>
        <v>0.15339792903999999</v>
      </c>
      <c r="AO46">
        <v>33</v>
      </c>
      <c r="AP46">
        <v>0.5</v>
      </c>
      <c r="AQ46" t="s">
        <v>331</v>
      </c>
      <c r="AR46">
        <v>2</v>
      </c>
      <c r="AS46">
        <v>1690304209.5</v>
      </c>
      <c r="AT46">
        <v>781.49699999999996</v>
      </c>
      <c r="AU46">
        <v>800.10299999999995</v>
      </c>
      <c r="AV46">
        <v>22.3902</v>
      </c>
      <c r="AW46">
        <v>19.221499999999999</v>
      </c>
      <c r="AX46">
        <v>781.72500000000002</v>
      </c>
      <c r="AY46">
        <v>22.118300000000001</v>
      </c>
      <c r="AZ46">
        <v>300.173</v>
      </c>
      <c r="BA46">
        <v>99.274699999999996</v>
      </c>
      <c r="BB46">
        <v>9.9938700000000005E-2</v>
      </c>
      <c r="BC46">
        <v>25.2317</v>
      </c>
      <c r="BD46">
        <v>27.7713</v>
      </c>
      <c r="BE46">
        <v>26.697500000000002</v>
      </c>
      <c r="BF46">
        <v>0</v>
      </c>
      <c r="BG46">
        <v>0</v>
      </c>
      <c r="BH46">
        <v>10005</v>
      </c>
      <c r="BI46">
        <v>1060.1300000000001</v>
      </c>
      <c r="BJ46">
        <v>1.7380500000000001</v>
      </c>
      <c r="BK46">
        <v>-18.6066</v>
      </c>
      <c r="BL46">
        <v>799.39499999999998</v>
      </c>
      <c r="BM46">
        <v>815.78399999999999</v>
      </c>
      <c r="BN46">
        <v>3.16866</v>
      </c>
      <c r="BO46">
        <v>800.10299999999995</v>
      </c>
      <c r="BP46">
        <v>19.221499999999999</v>
      </c>
      <c r="BQ46">
        <v>2.2227800000000002</v>
      </c>
      <c r="BR46">
        <v>1.90821</v>
      </c>
      <c r="BS46">
        <v>19.127400000000002</v>
      </c>
      <c r="BT46">
        <v>16.7026</v>
      </c>
      <c r="BU46">
        <v>1799.99</v>
      </c>
      <c r="BV46">
        <v>0.90997899999999998</v>
      </c>
      <c r="BW46">
        <v>3.4007599999999999E-2</v>
      </c>
      <c r="BX46">
        <v>2.2004699999999999E-2</v>
      </c>
      <c r="BY46">
        <v>3.4008999999999998E-2</v>
      </c>
      <c r="BZ46">
        <v>26</v>
      </c>
      <c r="CA46">
        <v>33528.1</v>
      </c>
      <c r="CB46">
        <v>1690303320.5</v>
      </c>
      <c r="CC46" t="s">
        <v>332</v>
      </c>
      <c r="CD46">
        <v>1690303320.5</v>
      </c>
      <c r="CE46">
        <v>1690303310.0999999</v>
      </c>
      <c r="CF46">
        <v>8</v>
      </c>
      <c r="CG46">
        <v>7.3999999999999996E-2</v>
      </c>
      <c r="CH46">
        <v>-0.01</v>
      </c>
      <c r="CI46">
        <v>-0.24199999999999999</v>
      </c>
      <c r="CJ46">
        <v>0.27200000000000002</v>
      </c>
      <c r="CK46">
        <v>800</v>
      </c>
      <c r="CL46">
        <v>23</v>
      </c>
      <c r="CM46">
        <v>0.06</v>
      </c>
      <c r="CN46">
        <v>0.09</v>
      </c>
      <c r="CO46">
        <v>-17.281048780487801</v>
      </c>
      <c r="CP46">
        <v>-8.0622020905923755</v>
      </c>
      <c r="CQ46">
        <v>0.79567266008749338</v>
      </c>
      <c r="CR46">
        <v>-1</v>
      </c>
      <c r="CS46">
        <v>3.0130502439024389</v>
      </c>
      <c r="CT46">
        <v>0.86332787456445903</v>
      </c>
      <c r="CU46">
        <v>8.6239873565674002E-2</v>
      </c>
      <c r="CV46">
        <v>-1</v>
      </c>
      <c r="CW46">
        <v>0</v>
      </c>
      <c r="CX46">
        <v>0</v>
      </c>
      <c r="CY46" t="s">
        <v>333</v>
      </c>
      <c r="CZ46">
        <v>2.3639999999999999</v>
      </c>
      <c r="DA46">
        <v>2.71373</v>
      </c>
      <c r="DB46">
        <v>0.144646</v>
      </c>
      <c r="DC46">
        <v>0.14655799999999999</v>
      </c>
      <c r="DD46">
        <v>0.108267</v>
      </c>
      <c r="DE46">
        <v>9.6066700000000005E-2</v>
      </c>
      <c r="DF46">
        <v>31221.7</v>
      </c>
      <c r="DG46">
        <v>27499</v>
      </c>
      <c r="DH46">
        <v>31162.7</v>
      </c>
      <c r="DI46">
        <v>28077.3</v>
      </c>
      <c r="DJ46">
        <v>37731.300000000003</v>
      </c>
      <c r="DK46">
        <v>36093.300000000003</v>
      </c>
      <c r="DL46">
        <v>44348.3</v>
      </c>
      <c r="DM46">
        <v>42562.2</v>
      </c>
      <c r="DN46">
        <v>1.43072</v>
      </c>
      <c r="DO46">
        <v>2.0538500000000002</v>
      </c>
      <c r="DP46">
        <v>0.16120799999999999</v>
      </c>
      <c r="DQ46">
        <v>0.116535</v>
      </c>
      <c r="DR46">
        <v>25.1325</v>
      </c>
      <c r="DS46">
        <v>24.787800000000001</v>
      </c>
      <c r="DT46">
        <v>57.1</v>
      </c>
      <c r="DU46">
        <v>29.1</v>
      </c>
      <c r="DV46">
        <v>23.264299999999999</v>
      </c>
      <c r="DW46">
        <v>61.471200000000003</v>
      </c>
      <c r="DX46">
        <v>35.168300000000002</v>
      </c>
      <c r="DY46">
        <v>1</v>
      </c>
      <c r="DZ46">
        <v>-5.4964399999999997E-2</v>
      </c>
      <c r="EA46">
        <v>3.0332699999999999</v>
      </c>
      <c r="EB46">
        <v>20.158000000000001</v>
      </c>
      <c r="EC46">
        <v>5.2406499999999996</v>
      </c>
      <c r="ED46">
        <v>12.039899999999999</v>
      </c>
      <c r="EE46">
        <v>5.01715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</v>
      </c>
      <c r="EL46">
        <v>1.8646199999999999</v>
      </c>
      <c r="EM46">
        <v>1.8692</v>
      </c>
      <c r="EN46">
        <v>1.8672299999999999</v>
      </c>
      <c r="EO46">
        <v>1.8633999999999999</v>
      </c>
      <c r="EP46">
        <v>1.8644700000000001</v>
      </c>
      <c r="EQ46">
        <v>1.8701700000000001</v>
      </c>
      <c r="ER46">
        <v>1.86944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-0.22800000000000001</v>
      </c>
      <c r="FG46">
        <v>0.27189999999999998</v>
      </c>
      <c r="FH46">
        <v>0.30965466913576151</v>
      </c>
      <c r="FI46">
        <v>-6.1462078757559423E-4</v>
      </c>
      <c r="FJ46">
        <v>-1.8861989874597051E-7</v>
      </c>
      <c r="FK46">
        <v>1.1980462299894961E-10</v>
      </c>
      <c r="FL46">
        <v>0.27184999999999349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14.8</v>
      </c>
      <c r="FU46">
        <v>15</v>
      </c>
      <c r="FV46">
        <v>1.78833</v>
      </c>
      <c r="FW46">
        <v>2.5927699999999998</v>
      </c>
      <c r="FX46">
        <v>1.5490699999999999</v>
      </c>
      <c r="FY46">
        <v>2.3290999999999999</v>
      </c>
      <c r="FZ46">
        <v>1.50146</v>
      </c>
      <c r="GA46">
        <v>2.2741699999999998</v>
      </c>
      <c r="GB46">
        <v>33.850900000000003</v>
      </c>
      <c r="GC46">
        <v>23.973700000000001</v>
      </c>
      <c r="GD46">
        <v>19</v>
      </c>
      <c r="GE46">
        <v>265.28699999999998</v>
      </c>
      <c r="GF46">
        <v>600.97400000000005</v>
      </c>
      <c r="GG46">
        <v>19.738499999999998</v>
      </c>
      <c r="GH46">
        <v>26.659700000000001</v>
      </c>
      <c r="GI46">
        <v>30.0002</v>
      </c>
      <c r="GJ46">
        <v>26.677900000000001</v>
      </c>
      <c r="GK46">
        <v>26.617999999999999</v>
      </c>
      <c r="GL46">
        <v>35.771000000000001</v>
      </c>
      <c r="GM46">
        <v>27.221299999999999</v>
      </c>
      <c r="GN46">
        <v>100</v>
      </c>
      <c r="GO46">
        <v>19.731999999999999</v>
      </c>
      <c r="GP46">
        <v>800</v>
      </c>
      <c r="GQ46">
        <v>19.058599999999998</v>
      </c>
      <c r="GR46">
        <v>99.708399999999997</v>
      </c>
      <c r="GS46">
        <v>99.561599999999999</v>
      </c>
    </row>
    <row r="47" spans="1:201" x14ac:dyDescent="0.25">
      <c r="A47">
        <v>31</v>
      </c>
      <c r="B47">
        <v>1690304219.5</v>
      </c>
      <c r="C47">
        <v>469.5</v>
      </c>
      <c r="D47" t="s">
        <v>393</v>
      </c>
      <c r="E47" t="s">
        <v>394</v>
      </c>
      <c r="F47" t="s">
        <v>330</v>
      </c>
      <c r="H47">
        <v>1690304219.5</v>
      </c>
      <c r="I47">
        <f t="shared" si="0"/>
        <v>3.0101358488439763E-4</v>
      </c>
      <c r="J47">
        <f t="shared" si="1"/>
        <v>0.30101358488439761</v>
      </c>
      <c r="K47">
        <f t="shared" si="2"/>
        <v>1.5751305762769667</v>
      </c>
      <c r="L47">
        <f t="shared" si="3"/>
        <v>780.18499999999995</v>
      </c>
      <c r="M47">
        <f t="shared" si="4"/>
        <v>639.66173413114336</v>
      </c>
      <c r="N47">
        <f t="shared" si="5"/>
        <v>63.563174367038776</v>
      </c>
      <c r="O47">
        <f t="shared" si="6"/>
        <v>77.526968626485001</v>
      </c>
      <c r="P47">
        <f t="shared" si="7"/>
        <v>2.0462047556372882E-2</v>
      </c>
      <c r="Q47">
        <f t="shared" si="8"/>
        <v>2.0985731959419951</v>
      </c>
      <c r="R47">
        <f t="shared" si="9"/>
        <v>2.0351850767081528E-2</v>
      </c>
      <c r="S47">
        <f t="shared" si="10"/>
        <v>1.2729757901157806E-2</v>
      </c>
      <c r="T47">
        <f t="shared" si="11"/>
        <v>276.11438459467468</v>
      </c>
      <c r="U47">
        <f t="shared" si="12"/>
        <v>27.293294138300137</v>
      </c>
      <c r="V47">
        <f t="shared" si="13"/>
        <v>27.293294138300137</v>
      </c>
      <c r="W47">
        <f t="shared" si="14"/>
        <v>3.6412794156848673</v>
      </c>
      <c r="X47">
        <f t="shared" si="15"/>
        <v>68.900521847369347</v>
      </c>
      <c r="Y47">
        <f t="shared" si="16"/>
        <v>2.2148575065090004</v>
      </c>
      <c r="Z47">
        <f t="shared" si="17"/>
        <v>3.2145729047095233</v>
      </c>
      <c r="AA47">
        <f t="shared" si="18"/>
        <v>1.426421909175867</v>
      </c>
      <c r="AB47">
        <f t="shared" si="19"/>
        <v>-13.274699093401935</v>
      </c>
      <c r="AC47">
        <f t="shared" si="20"/>
        <v>-238.73241751979299</v>
      </c>
      <c r="AD47">
        <f t="shared" si="21"/>
        <v>-24.364370044668597</v>
      </c>
      <c r="AE47">
        <f t="shared" si="22"/>
        <v>-0.25710206318882456</v>
      </c>
      <c r="AF47">
        <v>14</v>
      </c>
      <c r="AG47">
        <v>5</v>
      </c>
      <c r="AH47">
        <f t="shared" si="23"/>
        <v>1</v>
      </c>
      <c r="AI47">
        <f t="shared" si="24"/>
        <v>0</v>
      </c>
      <c r="AJ47">
        <f t="shared" si="25"/>
        <v>52741.277173824979</v>
      </c>
      <c r="AK47">
        <f t="shared" si="26"/>
        <v>1799.99</v>
      </c>
      <c r="AL47">
        <f t="shared" si="27"/>
        <v>1499.10146481226</v>
      </c>
      <c r="AM47">
        <f t="shared" si="28"/>
        <v>0.83283877400000006</v>
      </c>
      <c r="AN47">
        <f t="shared" si="29"/>
        <v>0.15339773254000003</v>
      </c>
      <c r="AO47">
        <v>33</v>
      </c>
      <c r="AP47">
        <v>0.5</v>
      </c>
      <c r="AQ47" t="s">
        <v>331</v>
      </c>
      <c r="AR47">
        <v>2</v>
      </c>
      <c r="AS47">
        <v>1690304219.5</v>
      </c>
      <c r="AT47">
        <v>780.18499999999995</v>
      </c>
      <c r="AU47">
        <v>800.08399999999995</v>
      </c>
      <c r="AV47">
        <v>22.289000000000001</v>
      </c>
      <c r="AW47">
        <v>19.0534</v>
      </c>
      <c r="AX47">
        <v>780.41300000000001</v>
      </c>
      <c r="AY47">
        <v>22.017099999999999</v>
      </c>
      <c r="AZ47">
        <v>300.16199999999998</v>
      </c>
      <c r="BA47">
        <v>99.269900000000007</v>
      </c>
      <c r="BB47">
        <v>0.100081</v>
      </c>
      <c r="BC47">
        <v>25.183199999999999</v>
      </c>
      <c r="BD47">
        <v>27.706</v>
      </c>
      <c r="BE47">
        <v>26.6313</v>
      </c>
      <c r="BF47">
        <v>0</v>
      </c>
      <c r="BG47">
        <v>0</v>
      </c>
      <c r="BH47">
        <v>9986.25</v>
      </c>
      <c r="BI47">
        <v>1059.3399999999999</v>
      </c>
      <c r="BJ47">
        <v>1.7380500000000001</v>
      </c>
      <c r="BK47">
        <v>-19.899000000000001</v>
      </c>
      <c r="BL47">
        <v>797.971</v>
      </c>
      <c r="BM47">
        <v>815.625</v>
      </c>
      <c r="BN47">
        <v>3.2355800000000001</v>
      </c>
      <c r="BO47">
        <v>800.08399999999995</v>
      </c>
      <c r="BP47">
        <v>19.0534</v>
      </c>
      <c r="BQ47">
        <v>2.2126199999999998</v>
      </c>
      <c r="BR47">
        <v>1.8914299999999999</v>
      </c>
      <c r="BS47">
        <v>19.053999999999998</v>
      </c>
      <c r="BT47">
        <v>16.563600000000001</v>
      </c>
      <c r="BU47">
        <v>1799.99</v>
      </c>
      <c r="BV47">
        <v>0.90998500000000004</v>
      </c>
      <c r="BW47">
        <v>3.4005199999999999E-2</v>
      </c>
      <c r="BX47">
        <v>2.2003200000000001E-2</v>
      </c>
      <c r="BY47">
        <v>3.4006599999999998E-2</v>
      </c>
      <c r="BZ47">
        <v>26</v>
      </c>
      <c r="CA47">
        <v>33528.199999999997</v>
      </c>
      <c r="CB47">
        <v>1690303320.5</v>
      </c>
      <c r="CC47" t="s">
        <v>332</v>
      </c>
      <c r="CD47">
        <v>1690303320.5</v>
      </c>
      <c r="CE47">
        <v>1690303310.0999999</v>
      </c>
      <c r="CF47">
        <v>8</v>
      </c>
      <c r="CG47">
        <v>7.3999999999999996E-2</v>
      </c>
      <c r="CH47">
        <v>-0.01</v>
      </c>
      <c r="CI47">
        <v>-0.24199999999999999</v>
      </c>
      <c r="CJ47">
        <v>0.27200000000000002</v>
      </c>
      <c r="CK47">
        <v>800</v>
      </c>
      <c r="CL47">
        <v>23</v>
      </c>
      <c r="CM47">
        <v>0.06</v>
      </c>
      <c r="CN47">
        <v>0.09</v>
      </c>
      <c r="CO47">
        <v>-18.524772500000001</v>
      </c>
      <c r="CP47">
        <v>-7.1465414634145876</v>
      </c>
      <c r="CQ47">
        <v>0.68866208984795285</v>
      </c>
      <c r="CR47">
        <v>-1</v>
      </c>
      <c r="CS47">
        <v>3.14039125</v>
      </c>
      <c r="CT47">
        <v>0.7599583114446492</v>
      </c>
      <c r="CU47">
        <v>7.6416200251893607E-2</v>
      </c>
      <c r="CV47">
        <v>-1</v>
      </c>
      <c r="CW47">
        <v>0</v>
      </c>
      <c r="CX47">
        <v>0</v>
      </c>
      <c r="CY47" t="s">
        <v>333</v>
      </c>
      <c r="CZ47">
        <v>2.3639700000000001</v>
      </c>
      <c r="DA47">
        <v>2.7138599999999999</v>
      </c>
      <c r="DB47">
        <v>0.14447399999999999</v>
      </c>
      <c r="DC47">
        <v>0.14654300000000001</v>
      </c>
      <c r="DD47">
        <v>0.10791100000000001</v>
      </c>
      <c r="DE47">
        <v>9.5461299999999999E-2</v>
      </c>
      <c r="DF47">
        <v>31228</v>
      </c>
      <c r="DG47">
        <v>27499.3</v>
      </c>
      <c r="DH47">
        <v>31162.799999999999</v>
      </c>
      <c r="DI47">
        <v>28077.200000000001</v>
      </c>
      <c r="DJ47">
        <v>37746.699999999997</v>
      </c>
      <c r="DK47">
        <v>36117.5</v>
      </c>
      <c r="DL47">
        <v>44348.6</v>
      </c>
      <c r="DM47">
        <v>42562.2</v>
      </c>
      <c r="DN47">
        <v>1.4310499999999999</v>
      </c>
      <c r="DO47">
        <v>2.0531700000000002</v>
      </c>
      <c r="DP47">
        <v>0.15979299999999999</v>
      </c>
      <c r="DQ47">
        <v>0.11502999999999999</v>
      </c>
      <c r="DR47">
        <v>25.090199999999999</v>
      </c>
      <c r="DS47">
        <v>24.746099999999998</v>
      </c>
      <c r="DT47">
        <v>57.1</v>
      </c>
      <c r="DU47">
        <v>29.1</v>
      </c>
      <c r="DV47">
        <v>23.2652</v>
      </c>
      <c r="DW47">
        <v>61.641199999999998</v>
      </c>
      <c r="DX47">
        <v>36.081699999999998</v>
      </c>
      <c r="DY47">
        <v>1</v>
      </c>
      <c r="DZ47">
        <v>-5.4949199999999997E-2</v>
      </c>
      <c r="EA47">
        <v>3.0659999999999998</v>
      </c>
      <c r="EB47">
        <v>20.157399999999999</v>
      </c>
      <c r="EC47">
        <v>5.2404999999999999</v>
      </c>
      <c r="ED47">
        <v>12.039899999999999</v>
      </c>
      <c r="EE47">
        <v>5.0171999999999999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1.8689100000000001</v>
      </c>
      <c r="EL47">
        <v>1.8646199999999999</v>
      </c>
      <c r="EM47">
        <v>1.8692</v>
      </c>
      <c r="EN47">
        <v>1.8672299999999999</v>
      </c>
      <c r="EO47">
        <v>1.8633999999999999</v>
      </c>
      <c r="EP47">
        <v>1.8644799999999999</v>
      </c>
      <c r="EQ47">
        <v>1.8702000000000001</v>
      </c>
      <c r="ER47">
        <v>1.86941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-0.22800000000000001</v>
      </c>
      <c r="FG47">
        <v>0.27189999999999998</v>
      </c>
      <c r="FH47">
        <v>0.30965466913576151</v>
      </c>
      <c r="FI47">
        <v>-6.1462078757559423E-4</v>
      </c>
      <c r="FJ47">
        <v>-1.8861989874597051E-7</v>
      </c>
      <c r="FK47">
        <v>1.1980462299894961E-10</v>
      </c>
      <c r="FL47">
        <v>0.27184999999999349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15</v>
      </c>
      <c r="FU47">
        <v>15.2</v>
      </c>
      <c r="FV47">
        <v>1.78955</v>
      </c>
      <c r="FW47">
        <v>2.5891099999999998</v>
      </c>
      <c r="FX47">
        <v>1.5490699999999999</v>
      </c>
      <c r="FY47">
        <v>2.3290999999999999</v>
      </c>
      <c r="FZ47">
        <v>1.50024</v>
      </c>
      <c r="GA47">
        <v>2.4035600000000001</v>
      </c>
      <c r="GB47">
        <v>33.850900000000003</v>
      </c>
      <c r="GC47">
        <v>23.973700000000001</v>
      </c>
      <c r="GD47">
        <v>19</v>
      </c>
      <c r="GE47">
        <v>265.41899999999998</v>
      </c>
      <c r="GF47">
        <v>600.45299999999997</v>
      </c>
      <c r="GG47">
        <v>19.6877</v>
      </c>
      <c r="GH47">
        <v>26.656700000000001</v>
      </c>
      <c r="GI47">
        <v>30.0001</v>
      </c>
      <c r="GJ47">
        <v>26.678000000000001</v>
      </c>
      <c r="GK47">
        <v>26.622499999999999</v>
      </c>
      <c r="GL47">
        <v>35.7624</v>
      </c>
      <c r="GM47">
        <v>27.790099999999999</v>
      </c>
      <c r="GN47">
        <v>100</v>
      </c>
      <c r="GO47">
        <v>19.6784</v>
      </c>
      <c r="GP47">
        <v>800</v>
      </c>
      <c r="GQ47">
        <v>18.922599999999999</v>
      </c>
      <c r="GR47">
        <v>99.7089</v>
      </c>
      <c r="GS47">
        <v>99.561300000000003</v>
      </c>
    </row>
    <row r="48" spans="1:201" x14ac:dyDescent="0.25">
      <c r="A48">
        <v>32</v>
      </c>
      <c r="B48">
        <v>1690304229.5</v>
      </c>
      <c r="C48">
        <v>479.5</v>
      </c>
      <c r="D48" t="s">
        <v>395</v>
      </c>
      <c r="E48" t="s">
        <v>396</v>
      </c>
      <c r="F48" t="s">
        <v>330</v>
      </c>
      <c r="H48">
        <v>1690304229.5</v>
      </c>
      <c r="I48">
        <f t="shared" si="0"/>
        <v>3.0927824229787069E-4</v>
      </c>
      <c r="J48">
        <f t="shared" si="1"/>
        <v>0.30927824229787071</v>
      </c>
      <c r="K48">
        <f t="shared" si="2"/>
        <v>1.686478901834553</v>
      </c>
      <c r="L48">
        <f t="shared" si="3"/>
        <v>778.89400000000001</v>
      </c>
      <c r="M48">
        <f t="shared" si="4"/>
        <v>633.15174292028667</v>
      </c>
      <c r="N48">
        <f t="shared" si="5"/>
        <v>62.914828899330409</v>
      </c>
      <c r="O48">
        <f t="shared" si="6"/>
        <v>77.396900961993609</v>
      </c>
      <c r="P48">
        <f t="shared" si="7"/>
        <v>2.1011387970565096E-2</v>
      </c>
      <c r="Q48">
        <f t="shared" si="8"/>
        <v>2.0987601800063351</v>
      </c>
      <c r="R48">
        <f t="shared" si="9"/>
        <v>2.0895223313946436E-2</v>
      </c>
      <c r="S48">
        <f t="shared" si="10"/>
        <v>1.30698978642824E-2</v>
      </c>
      <c r="T48">
        <f t="shared" si="11"/>
        <v>276.115679532</v>
      </c>
      <c r="U48">
        <f t="shared" si="12"/>
        <v>27.244097826157098</v>
      </c>
      <c r="V48">
        <f t="shared" si="13"/>
        <v>27.244097826157098</v>
      </c>
      <c r="W48">
        <f t="shared" si="14"/>
        <v>3.6307944181196081</v>
      </c>
      <c r="X48">
        <f t="shared" si="15"/>
        <v>68.726391984539319</v>
      </c>
      <c r="Y48">
        <f t="shared" si="16"/>
        <v>2.2031904570062402</v>
      </c>
      <c r="Z48">
        <f t="shared" si="17"/>
        <v>3.2057414821104961</v>
      </c>
      <c r="AA48">
        <f t="shared" si="18"/>
        <v>1.427603961113368</v>
      </c>
      <c r="AB48">
        <f t="shared" si="19"/>
        <v>-13.639170485336098</v>
      </c>
      <c r="AC48">
        <f t="shared" si="20"/>
        <v>-238.41466091235048</v>
      </c>
      <c r="AD48">
        <f t="shared" si="21"/>
        <v>-24.318139585636086</v>
      </c>
      <c r="AE48">
        <f t="shared" si="22"/>
        <v>-0.2562914513226815</v>
      </c>
      <c r="AF48">
        <v>14</v>
      </c>
      <c r="AG48">
        <v>5</v>
      </c>
      <c r="AH48">
        <f t="shared" si="23"/>
        <v>1</v>
      </c>
      <c r="AI48">
        <f t="shared" si="24"/>
        <v>0</v>
      </c>
      <c r="AJ48">
        <f t="shared" si="25"/>
        <v>52757.757864974374</v>
      </c>
      <c r="AK48">
        <f t="shared" si="26"/>
        <v>1800</v>
      </c>
      <c r="AL48">
        <f t="shared" si="27"/>
        <v>1499.1107741999999</v>
      </c>
      <c r="AM48">
        <f t="shared" si="28"/>
        <v>0.83283931899999997</v>
      </c>
      <c r="AN48">
        <f t="shared" si="29"/>
        <v>0.15339759974</v>
      </c>
      <c r="AO48">
        <v>33</v>
      </c>
      <c r="AP48">
        <v>0.5</v>
      </c>
      <c r="AQ48" t="s">
        <v>331</v>
      </c>
      <c r="AR48">
        <v>2</v>
      </c>
      <c r="AS48">
        <v>1690304229.5</v>
      </c>
      <c r="AT48">
        <v>778.89400000000001</v>
      </c>
      <c r="AU48">
        <v>800.08600000000001</v>
      </c>
      <c r="AV48">
        <v>22.1721</v>
      </c>
      <c r="AW48">
        <v>18.846900000000002</v>
      </c>
      <c r="AX48">
        <v>779.12099999999998</v>
      </c>
      <c r="AY48">
        <v>21.900200000000002</v>
      </c>
      <c r="AZ48">
        <v>300.12900000000002</v>
      </c>
      <c r="BA48">
        <v>99.267700000000005</v>
      </c>
      <c r="BB48">
        <v>9.9994399999999997E-2</v>
      </c>
      <c r="BC48">
        <v>25.137</v>
      </c>
      <c r="BD48">
        <v>27.753</v>
      </c>
      <c r="BE48">
        <v>26.578199999999999</v>
      </c>
      <c r="BF48">
        <v>0</v>
      </c>
      <c r="BG48">
        <v>0</v>
      </c>
      <c r="BH48">
        <v>9988.1200000000008</v>
      </c>
      <c r="BI48">
        <v>1058.72</v>
      </c>
      <c r="BJ48">
        <v>1.7380500000000001</v>
      </c>
      <c r="BK48">
        <v>-21.1922</v>
      </c>
      <c r="BL48">
        <v>796.55499999999995</v>
      </c>
      <c r="BM48">
        <v>815.45500000000004</v>
      </c>
      <c r="BN48">
        <v>3.32518</v>
      </c>
      <c r="BO48">
        <v>800.08600000000001</v>
      </c>
      <c r="BP48">
        <v>18.846900000000002</v>
      </c>
      <c r="BQ48">
        <v>2.2009699999999999</v>
      </c>
      <c r="BR48">
        <v>1.8708899999999999</v>
      </c>
      <c r="BS48">
        <v>18.9694</v>
      </c>
      <c r="BT48">
        <v>16.391999999999999</v>
      </c>
      <c r="BU48">
        <v>1800</v>
      </c>
      <c r="BV48">
        <v>0.90999099999999999</v>
      </c>
      <c r="BW48">
        <v>3.4002999999999999E-2</v>
      </c>
      <c r="BX48">
        <v>2.2001699999999999E-2</v>
      </c>
      <c r="BY48">
        <v>3.4004399999999997E-2</v>
      </c>
      <c r="BZ48">
        <v>26</v>
      </c>
      <c r="CA48">
        <v>33528.199999999997</v>
      </c>
      <c r="CB48">
        <v>1690303320.5</v>
      </c>
      <c r="CC48" t="s">
        <v>332</v>
      </c>
      <c r="CD48">
        <v>1690303320.5</v>
      </c>
      <c r="CE48">
        <v>1690303310.0999999</v>
      </c>
      <c r="CF48">
        <v>8</v>
      </c>
      <c r="CG48">
        <v>7.3999999999999996E-2</v>
      </c>
      <c r="CH48">
        <v>-0.01</v>
      </c>
      <c r="CI48">
        <v>-0.24199999999999999</v>
      </c>
      <c r="CJ48">
        <v>0.27200000000000002</v>
      </c>
      <c r="CK48">
        <v>800</v>
      </c>
      <c r="CL48">
        <v>23</v>
      </c>
      <c r="CM48">
        <v>0.06</v>
      </c>
      <c r="CN48">
        <v>0.09</v>
      </c>
      <c r="CO48">
        <v>-19.788487499999999</v>
      </c>
      <c r="CP48">
        <v>-7.9371613508442493</v>
      </c>
      <c r="CQ48">
        <v>0.76555466956563567</v>
      </c>
      <c r="CR48">
        <v>-1</v>
      </c>
      <c r="CS48">
        <v>3.2354192500000001</v>
      </c>
      <c r="CT48">
        <v>0.3806930206378949</v>
      </c>
      <c r="CU48">
        <v>3.7531280912560097E-2</v>
      </c>
      <c r="CV48">
        <v>-1</v>
      </c>
      <c r="CW48">
        <v>0</v>
      </c>
      <c r="CX48">
        <v>0</v>
      </c>
      <c r="CY48" t="s">
        <v>333</v>
      </c>
      <c r="CZ48">
        <v>2.3638499999999998</v>
      </c>
      <c r="DA48">
        <v>2.7137699999999998</v>
      </c>
      <c r="DB48">
        <v>0.14430799999999999</v>
      </c>
      <c r="DC48">
        <v>0.146536</v>
      </c>
      <c r="DD48">
        <v>0.107503</v>
      </c>
      <c r="DE48">
        <v>9.4719399999999995E-2</v>
      </c>
      <c r="DF48">
        <v>31233.8</v>
      </c>
      <c r="DG48">
        <v>27499.3</v>
      </c>
      <c r="DH48">
        <v>31162.5</v>
      </c>
      <c r="DI48">
        <v>28076.9</v>
      </c>
      <c r="DJ48">
        <v>37763.599999999999</v>
      </c>
      <c r="DK48">
        <v>36146.9</v>
      </c>
      <c r="DL48">
        <v>44348</v>
      </c>
      <c r="DM48">
        <v>42561.9</v>
      </c>
      <c r="DN48">
        <v>1.4309000000000001</v>
      </c>
      <c r="DO48">
        <v>2.0529000000000002</v>
      </c>
      <c r="DP48">
        <v>0.16511200000000001</v>
      </c>
      <c r="DQ48">
        <v>0.114217</v>
      </c>
      <c r="DR48">
        <v>25.0501</v>
      </c>
      <c r="DS48">
        <v>24.706099999999999</v>
      </c>
      <c r="DT48">
        <v>57.1</v>
      </c>
      <c r="DU48">
        <v>29.1</v>
      </c>
      <c r="DV48">
        <v>23.265999999999998</v>
      </c>
      <c r="DW48">
        <v>61.811199999999999</v>
      </c>
      <c r="DX48">
        <v>36.133800000000001</v>
      </c>
      <c r="DY48">
        <v>1</v>
      </c>
      <c r="DZ48">
        <v>-5.48984E-2</v>
      </c>
      <c r="EA48">
        <v>3.11687</v>
      </c>
      <c r="EB48">
        <v>20.156199999999998</v>
      </c>
      <c r="EC48">
        <v>5.2408000000000001</v>
      </c>
      <c r="ED48">
        <v>12.039899999999999</v>
      </c>
      <c r="EE48">
        <v>5.0172499999999998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1.8689100000000001</v>
      </c>
      <c r="EL48">
        <v>1.8646199999999999</v>
      </c>
      <c r="EM48">
        <v>1.8692</v>
      </c>
      <c r="EN48">
        <v>1.8672200000000001</v>
      </c>
      <c r="EO48">
        <v>1.8633999999999999</v>
      </c>
      <c r="EP48">
        <v>1.8644700000000001</v>
      </c>
      <c r="EQ48">
        <v>1.8701700000000001</v>
      </c>
      <c r="ER48">
        <v>1.8694200000000001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-0.22700000000000001</v>
      </c>
      <c r="FG48">
        <v>0.27189999999999998</v>
      </c>
      <c r="FH48">
        <v>0.30965466913576151</v>
      </c>
      <c r="FI48">
        <v>-6.1462078757559423E-4</v>
      </c>
      <c r="FJ48">
        <v>-1.8861989874597051E-7</v>
      </c>
      <c r="FK48">
        <v>1.1980462299894961E-10</v>
      </c>
      <c r="FL48">
        <v>0.27184999999999349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15.2</v>
      </c>
      <c r="FU48">
        <v>15.3</v>
      </c>
      <c r="FV48">
        <v>1.78833</v>
      </c>
      <c r="FW48">
        <v>2.5891099999999998</v>
      </c>
      <c r="FX48">
        <v>1.5490699999999999</v>
      </c>
      <c r="FY48">
        <v>2.3290999999999999</v>
      </c>
      <c r="FZ48">
        <v>1.50146</v>
      </c>
      <c r="GA48">
        <v>2.3913600000000002</v>
      </c>
      <c r="GB48">
        <v>33.850900000000003</v>
      </c>
      <c r="GC48">
        <v>23.973700000000001</v>
      </c>
      <c r="GD48">
        <v>19</v>
      </c>
      <c r="GE48">
        <v>265.36700000000002</v>
      </c>
      <c r="GF48">
        <v>600.24699999999996</v>
      </c>
      <c r="GG48">
        <v>19.626300000000001</v>
      </c>
      <c r="GH48">
        <v>26.652999999999999</v>
      </c>
      <c r="GI48">
        <v>30</v>
      </c>
      <c r="GJ48">
        <v>26.680199999999999</v>
      </c>
      <c r="GK48">
        <v>26.624700000000001</v>
      </c>
      <c r="GL48">
        <v>35.759500000000003</v>
      </c>
      <c r="GM48">
        <v>28.4603</v>
      </c>
      <c r="GN48">
        <v>100</v>
      </c>
      <c r="GO48">
        <v>19.613299999999999</v>
      </c>
      <c r="GP48">
        <v>800</v>
      </c>
      <c r="GQ48">
        <v>18.710799999999999</v>
      </c>
      <c r="GR48">
        <v>99.707700000000003</v>
      </c>
      <c r="GS48">
        <v>99.560500000000005</v>
      </c>
    </row>
    <row r="49" spans="1:201" x14ac:dyDescent="0.25">
      <c r="A49">
        <v>33</v>
      </c>
      <c r="B49">
        <v>1690304239.5</v>
      </c>
      <c r="C49">
        <v>489.5</v>
      </c>
      <c r="D49" t="s">
        <v>397</v>
      </c>
      <c r="E49" t="s">
        <v>398</v>
      </c>
      <c r="F49" t="s">
        <v>330</v>
      </c>
      <c r="H49">
        <v>1690304239.5</v>
      </c>
      <c r="I49">
        <f t="shared" si="0"/>
        <v>3.1016055925006713E-4</v>
      </c>
      <c r="J49">
        <f t="shared" si="1"/>
        <v>0.31016055925006714</v>
      </c>
      <c r="K49">
        <f t="shared" si="2"/>
        <v>1.8004385851808329</v>
      </c>
      <c r="L49">
        <f t="shared" si="3"/>
        <v>777.51700000000005</v>
      </c>
      <c r="M49">
        <f t="shared" si="4"/>
        <v>623.31266663573263</v>
      </c>
      <c r="N49">
        <f t="shared" si="5"/>
        <v>61.938639646271284</v>
      </c>
      <c r="O49">
        <f t="shared" si="6"/>
        <v>77.261939087135417</v>
      </c>
      <c r="P49">
        <f t="shared" si="7"/>
        <v>2.1034988329280198E-2</v>
      </c>
      <c r="Q49">
        <f t="shared" si="8"/>
        <v>2.0969444415122802</v>
      </c>
      <c r="R49">
        <f t="shared" si="9"/>
        <v>2.091846314082306E-2</v>
      </c>
      <c r="S49">
        <f t="shared" si="10"/>
        <v>1.3084454876008596E-2</v>
      </c>
      <c r="T49">
        <f t="shared" si="11"/>
        <v>276.11379185796756</v>
      </c>
      <c r="U49">
        <f t="shared" si="12"/>
        <v>27.195724114635247</v>
      </c>
      <c r="V49">
        <f t="shared" si="13"/>
        <v>27.195724114635247</v>
      </c>
      <c r="W49">
        <f t="shared" si="14"/>
        <v>3.6205104416062244</v>
      </c>
      <c r="X49">
        <f t="shared" si="15"/>
        <v>68.524654619027459</v>
      </c>
      <c r="Y49">
        <f t="shared" si="16"/>
        <v>2.1902162903442002</v>
      </c>
      <c r="Z49">
        <f t="shared" si="17"/>
        <v>3.1962456469441816</v>
      </c>
      <c r="AA49">
        <f t="shared" si="18"/>
        <v>1.4302941512620242</v>
      </c>
      <c r="AB49">
        <f t="shared" si="19"/>
        <v>-13.678080662927961</v>
      </c>
      <c r="AC49">
        <f t="shared" si="20"/>
        <v>-238.3696394897311</v>
      </c>
      <c r="AD49">
        <f t="shared" si="21"/>
        <v>-24.322625529817611</v>
      </c>
      <c r="AE49">
        <f t="shared" si="22"/>
        <v>-0.25655382450909769</v>
      </c>
      <c r="AF49">
        <v>14</v>
      </c>
      <c r="AG49">
        <v>5</v>
      </c>
      <c r="AH49">
        <f t="shared" si="23"/>
        <v>1</v>
      </c>
      <c r="AI49">
        <f t="shared" si="24"/>
        <v>0</v>
      </c>
      <c r="AJ49">
        <f t="shared" si="25"/>
        <v>52685.513353657974</v>
      </c>
      <c r="AK49">
        <f t="shared" si="26"/>
        <v>1799.99</v>
      </c>
      <c r="AL49">
        <f t="shared" si="27"/>
        <v>1499.1029048042599</v>
      </c>
      <c r="AM49">
        <f t="shared" si="28"/>
        <v>0.83283957399999997</v>
      </c>
      <c r="AN49">
        <f t="shared" si="29"/>
        <v>0.15339740323999998</v>
      </c>
      <c r="AO49">
        <v>33</v>
      </c>
      <c r="AP49">
        <v>0.5</v>
      </c>
      <c r="AQ49" t="s">
        <v>331</v>
      </c>
      <c r="AR49">
        <v>2</v>
      </c>
      <c r="AS49">
        <v>1690304239.5</v>
      </c>
      <c r="AT49">
        <v>777.51700000000005</v>
      </c>
      <c r="AU49">
        <v>799.96600000000001</v>
      </c>
      <c r="AV49">
        <v>22.041</v>
      </c>
      <c r="AW49">
        <v>18.7057</v>
      </c>
      <c r="AX49">
        <v>777.74300000000005</v>
      </c>
      <c r="AY49">
        <v>21.769100000000002</v>
      </c>
      <c r="AZ49">
        <v>300.11399999999998</v>
      </c>
      <c r="BA49">
        <v>99.270099999999999</v>
      </c>
      <c r="BB49">
        <v>9.9996199999999993E-2</v>
      </c>
      <c r="BC49">
        <v>25.087199999999999</v>
      </c>
      <c r="BD49">
        <v>27.685700000000001</v>
      </c>
      <c r="BE49">
        <v>26.532800000000002</v>
      </c>
      <c r="BF49">
        <v>0</v>
      </c>
      <c r="BG49">
        <v>0</v>
      </c>
      <c r="BH49">
        <v>9971.8799999999992</v>
      </c>
      <c r="BI49">
        <v>1058</v>
      </c>
      <c r="BJ49">
        <v>1.7380500000000001</v>
      </c>
      <c r="BK49">
        <v>-22.449000000000002</v>
      </c>
      <c r="BL49">
        <v>795.04</v>
      </c>
      <c r="BM49">
        <v>815.21500000000003</v>
      </c>
      <c r="BN49">
        <v>3.3352200000000001</v>
      </c>
      <c r="BO49">
        <v>799.96600000000001</v>
      </c>
      <c r="BP49">
        <v>18.7057</v>
      </c>
      <c r="BQ49">
        <v>2.1880099999999998</v>
      </c>
      <c r="BR49">
        <v>1.8569199999999999</v>
      </c>
      <c r="BS49">
        <v>18.8748</v>
      </c>
      <c r="BT49">
        <v>16.2744</v>
      </c>
      <c r="BU49">
        <v>1799.99</v>
      </c>
      <c r="BV49">
        <v>0.90999699999999994</v>
      </c>
      <c r="BW49">
        <v>3.4000599999999999E-2</v>
      </c>
      <c r="BX49">
        <v>2.2000200000000001E-2</v>
      </c>
      <c r="BY49">
        <v>3.4001999999999998E-2</v>
      </c>
      <c r="BZ49">
        <v>26</v>
      </c>
      <c r="CA49">
        <v>33528.199999999997</v>
      </c>
      <c r="CB49">
        <v>1690303320.5</v>
      </c>
      <c r="CC49" t="s">
        <v>332</v>
      </c>
      <c r="CD49">
        <v>1690303320.5</v>
      </c>
      <c r="CE49">
        <v>1690303310.0999999</v>
      </c>
      <c r="CF49">
        <v>8</v>
      </c>
      <c r="CG49">
        <v>7.3999999999999996E-2</v>
      </c>
      <c r="CH49">
        <v>-0.01</v>
      </c>
      <c r="CI49">
        <v>-0.24199999999999999</v>
      </c>
      <c r="CJ49">
        <v>0.27200000000000002</v>
      </c>
      <c r="CK49">
        <v>800</v>
      </c>
      <c r="CL49">
        <v>23</v>
      </c>
      <c r="CM49">
        <v>0.06</v>
      </c>
      <c r="CN49">
        <v>0.09</v>
      </c>
      <c r="CO49">
        <v>-20.98865609756098</v>
      </c>
      <c r="CP49">
        <v>-7.7065087108014572</v>
      </c>
      <c r="CQ49">
        <v>0.76250007054738766</v>
      </c>
      <c r="CR49">
        <v>-1</v>
      </c>
      <c r="CS49">
        <v>3.2965078048780492</v>
      </c>
      <c r="CT49">
        <v>0.40564390243902182</v>
      </c>
      <c r="CU49">
        <v>4.1021799826861542E-2</v>
      </c>
      <c r="CV49">
        <v>-1</v>
      </c>
      <c r="CW49">
        <v>0</v>
      </c>
      <c r="CX49">
        <v>0</v>
      </c>
      <c r="CY49" t="s">
        <v>333</v>
      </c>
      <c r="CZ49">
        <v>2.3638300000000001</v>
      </c>
      <c r="DA49">
        <v>2.7137600000000002</v>
      </c>
      <c r="DB49">
        <v>0.14413799999999999</v>
      </c>
      <c r="DC49">
        <v>0.14652000000000001</v>
      </c>
      <c r="DD49">
        <v>0.10705000000000001</v>
      </c>
      <c r="DE49">
        <v>9.4213500000000006E-2</v>
      </c>
      <c r="DF49">
        <v>31240.2</v>
      </c>
      <c r="DG49">
        <v>27500.2</v>
      </c>
      <c r="DH49">
        <v>31162.6</v>
      </c>
      <c r="DI49">
        <v>28077.3</v>
      </c>
      <c r="DJ49">
        <v>37783.1</v>
      </c>
      <c r="DK49">
        <v>36167.599999999999</v>
      </c>
      <c r="DL49">
        <v>44348.2</v>
      </c>
      <c r="DM49">
        <v>42562.400000000001</v>
      </c>
      <c r="DN49">
        <v>1.4306000000000001</v>
      </c>
      <c r="DO49">
        <v>2.05288</v>
      </c>
      <c r="DP49">
        <v>0.163302</v>
      </c>
      <c r="DQ49">
        <v>0.11394899999999999</v>
      </c>
      <c r="DR49">
        <v>25.0122</v>
      </c>
      <c r="DS49">
        <v>24.664999999999999</v>
      </c>
      <c r="DT49">
        <v>57.1</v>
      </c>
      <c r="DU49">
        <v>29.1</v>
      </c>
      <c r="DV49">
        <v>23.266400000000001</v>
      </c>
      <c r="DW49">
        <v>61.621200000000002</v>
      </c>
      <c r="DX49">
        <v>35.532899999999998</v>
      </c>
      <c r="DY49">
        <v>1</v>
      </c>
      <c r="DZ49">
        <v>-5.4786599999999998E-2</v>
      </c>
      <c r="EA49">
        <v>3.1688999999999998</v>
      </c>
      <c r="EB49">
        <v>20.154699999999998</v>
      </c>
      <c r="EC49">
        <v>5.2408000000000001</v>
      </c>
      <c r="ED49">
        <v>12.039899999999999</v>
      </c>
      <c r="EE49">
        <v>5.0170500000000002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1.8689100000000001</v>
      </c>
      <c r="EL49">
        <v>1.8646199999999999</v>
      </c>
      <c r="EM49">
        <v>1.8692</v>
      </c>
      <c r="EN49">
        <v>1.8672299999999999</v>
      </c>
      <c r="EO49">
        <v>1.8633999999999999</v>
      </c>
      <c r="EP49">
        <v>1.8644700000000001</v>
      </c>
      <c r="EQ49">
        <v>1.8701700000000001</v>
      </c>
      <c r="ER49">
        <v>1.8694299999999999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-0.22600000000000001</v>
      </c>
      <c r="FG49">
        <v>0.27189999999999998</v>
      </c>
      <c r="FH49">
        <v>0.30965466913576151</v>
      </c>
      <c r="FI49">
        <v>-6.1462078757559423E-4</v>
      </c>
      <c r="FJ49">
        <v>-1.8861989874597051E-7</v>
      </c>
      <c r="FK49">
        <v>1.1980462299894961E-10</v>
      </c>
      <c r="FL49">
        <v>0.27184999999999349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15.3</v>
      </c>
      <c r="FU49">
        <v>15.5</v>
      </c>
      <c r="FV49">
        <v>1.78833</v>
      </c>
      <c r="FW49">
        <v>2.5878899999999998</v>
      </c>
      <c r="FX49">
        <v>1.5490699999999999</v>
      </c>
      <c r="FY49">
        <v>2.3290999999999999</v>
      </c>
      <c r="FZ49">
        <v>1.50146</v>
      </c>
      <c r="GA49">
        <v>2.4084500000000002</v>
      </c>
      <c r="GB49">
        <v>33.850900000000003</v>
      </c>
      <c r="GC49">
        <v>23.982399999999998</v>
      </c>
      <c r="GD49">
        <v>19</v>
      </c>
      <c r="GE49">
        <v>265.245</v>
      </c>
      <c r="GF49">
        <v>600.27099999999996</v>
      </c>
      <c r="GG49">
        <v>19.550999999999998</v>
      </c>
      <c r="GH49">
        <v>26.648399999999999</v>
      </c>
      <c r="GI49">
        <v>30.0001</v>
      </c>
      <c r="GJ49">
        <v>26.680199999999999</v>
      </c>
      <c r="GK49">
        <v>26.628599999999999</v>
      </c>
      <c r="GL49">
        <v>35.757100000000001</v>
      </c>
      <c r="GM49">
        <v>28.7409</v>
      </c>
      <c r="GN49">
        <v>100</v>
      </c>
      <c r="GO49">
        <v>19.537400000000002</v>
      </c>
      <c r="GP49">
        <v>800</v>
      </c>
      <c r="GQ49">
        <v>18.616</v>
      </c>
      <c r="GR49">
        <v>99.708299999999994</v>
      </c>
      <c r="GS49">
        <v>99.561800000000005</v>
      </c>
    </row>
    <row r="50" spans="1:201" x14ac:dyDescent="0.25">
      <c r="A50">
        <v>34</v>
      </c>
      <c r="B50">
        <v>1690304249.5</v>
      </c>
      <c r="C50">
        <v>499.5</v>
      </c>
      <c r="D50" t="s">
        <v>399</v>
      </c>
      <c r="E50" t="s">
        <v>400</v>
      </c>
      <c r="F50" t="s">
        <v>330</v>
      </c>
      <c r="H50">
        <v>1690304249.5</v>
      </c>
      <c r="I50">
        <f t="shared" si="0"/>
        <v>3.1104025331512723E-4</v>
      </c>
      <c r="J50">
        <f t="shared" si="1"/>
        <v>0.31104025331512725</v>
      </c>
      <c r="K50">
        <f t="shared" si="2"/>
        <v>1.9266133209172787</v>
      </c>
      <c r="L50">
        <f t="shared" si="3"/>
        <v>776.23400000000004</v>
      </c>
      <c r="M50">
        <f t="shared" si="4"/>
        <v>612.58682707135517</v>
      </c>
      <c r="N50">
        <f t="shared" si="5"/>
        <v>60.871567037983354</v>
      </c>
      <c r="O50">
        <f t="shared" si="6"/>
        <v>77.132869790976002</v>
      </c>
      <c r="P50">
        <f t="shared" si="7"/>
        <v>2.1048480685289847E-2</v>
      </c>
      <c r="Q50">
        <f t="shared" si="8"/>
        <v>2.0973451955653544</v>
      </c>
      <c r="R50">
        <f t="shared" si="9"/>
        <v>2.0931828572540979E-2</v>
      </c>
      <c r="S50">
        <f t="shared" si="10"/>
        <v>1.309281959170977E-2</v>
      </c>
      <c r="T50">
        <f t="shared" si="11"/>
        <v>276.11361227296533</v>
      </c>
      <c r="U50">
        <f t="shared" si="12"/>
        <v>27.145441739255872</v>
      </c>
      <c r="V50">
        <f t="shared" si="13"/>
        <v>27.145441739255872</v>
      </c>
      <c r="W50">
        <f t="shared" si="14"/>
        <v>3.6098476518793028</v>
      </c>
      <c r="X50">
        <f t="shared" si="15"/>
        <v>68.289961118051636</v>
      </c>
      <c r="Y50">
        <f t="shared" si="16"/>
        <v>2.1762599696640001</v>
      </c>
      <c r="Z50">
        <f t="shared" si="17"/>
        <v>3.1867933939835438</v>
      </c>
      <c r="AA50">
        <f t="shared" si="18"/>
        <v>1.4335876822153026</v>
      </c>
      <c r="AB50">
        <f t="shared" si="19"/>
        <v>-13.716875171197112</v>
      </c>
      <c r="AC50">
        <f t="shared" si="20"/>
        <v>-238.34934471525514</v>
      </c>
      <c r="AD50">
        <f t="shared" si="21"/>
        <v>-24.303718881901162</v>
      </c>
      <c r="AE50">
        <f t="shared" si="22"/>
        <v>-0.25632649538806618</v>
      </c>
      <c r="AF50">
        <v>14</v>
      </c>
      <c r="AG50">
        <v>5</v>
      </c>
      <c r="AH50">
        <f t="shared" si="23"/>
        <v>1</v>
      </c>
      <c r="AI50">
        <f t="shared" si="24"/>
        <v>0</v>
      </c>
      <c r="AJ50">
        <f t="shared" si="25"/>
        <v>52712.151775231199</v>
      </c>
      <c r="AK50">
        <f t="shared" si="26"/>
        <v>1799.99</v>
      </c>
      <c r="AL50">
        <f t="shared" si="27"/>
        <v>1499.1044581956301</v>
      </c>
      <c r="AM50">
        <f t="shared" si="28"/>
        <v>0.83284043699999999</v>
      </c>
      <c r="AN50">
        <f t="shared" si="29"/>
        <v>0.15339730347000002</v>
      </c>
      <c r="AO50">
        <v>33</v>
      </c>
      <c r="AP50">
        <v>0.5</v>
      </c>
      <c r="AQ50" t="s">
        <v>331</v>
      </c>
      <c r="AR50">
        <v>2</v>
      </c>
      <c r="AS50">
        <v>1690304249.5</v>
      </c>
      <c r="AT50">
        <v>776.23400000000004</v>
      </c>
      <c r="AU50">
        <v>800.05899999999997</v>
      </c>
      <c r="AV50">
        <v>21.901</v>
      </c>
      <c r="AW50">
        <v>18.5578</v>
      </c>
      <c r="AX50">
        <v>776.45899999999995</v>
      </c>
      <c r="AY50">
        <v>21.629100000000001</v>
      </c>
      <c r="AZ50">
        <v>300.29700000000003</v>
      </c>
      <c r="BA50">
        <v>99.268000000000001</v>
      </c>
      <c r="BB50">
        <v>0.100064</v>
      </c>
      <c r="BC50">
        <v>25.037500000000001</v>
      </c>
      <c r="BD50">
        <v>27.563700000000001</v>
      </c>
      <c r="BE50">
        <v>26.5091</v>
      </c>
      <c r="BF50">
        <v>0</v>
      </c>
      <c r="BG50">
        <v>0</v>
      </c>
      <c r="BH50">
        <v>9975.6200000000008</v>
      </c>
      <c r="BI50">
        <v>1057.3399999999999</v>
      </c>
      <c r="BJ50">
        <v>1.7268399999999999</v>
      </c>
      <c r="BK50">
        <v>-23.825299999999999</v>
      </c>
      <c r="BL50">
        <v>793.61500000000001</v>
      </c>
      <c r="BM50">
        <v>815.18700000000001</v>
      </c>
      <c r="BN50">
        <v>3.3431799999999998</v>
      </c>
      <c r="BO50">
        <v>800.05899999999997</v>
      </c>
      <c r="BP50">
        <v>18.5578</v>
      </c>
      <c r="BQ50">
        <v>2.1740699999999999</v>
      </c>
      <c r="BR50">
        <v>1.84219</v>
      </c>
      <c r="BS50">
        <v>18.772500000000001</v>
      </c>
      <c r="BT50">
        <v>16.1495</v>
      </c>
      <c r="BU50">
        <v>1799.99</v>
      </c>
      <c r="BV50">
        <v>0.91000400000000004</v>
      </c>
      <c r="BW50">
        <v>3.3998100000000003E-2</v>
      </c>
      <c r="BX50">
        <v>2.19986E-2</v>
      </c>
      <c r="BY50">
        <v>3.3999500000000002E-2</v>
      </c>
      <c r="BZ50">
        <v>26</v>
      </c>
      <c r="CA50">
        <v>33528.300000000003</v>
      </c>
      <c r="CB50">
        <v>1690303320.5</v>
      </c>
      <c r="CC50" t="s">
        <v>332</v>
      </c>
      <c r="CD50">
        <v>1690303320.5</v>
      </c>
      <c r="CE50">
        <v>1690303310.0999999</v>
      </c>
      <c r="CF50">
        <v>8</v>
      </c>
      <c r="CG50">
        <v>7.3999999999999996E-2</v>
      </c>
      <c r="CH50">
        <v>-0.01</v>
      </c>
      <c r="CI50">
        <v>-0.24199999999999999</v>
      </c>
      <c r="CJ50">
        <v>0.27200000000000002</v>
      </c>
      <c r="CK50">
        <v>800</v>
      </c>
      <c r="CL50">
        <v>23</v>
      </c>
      <c r="CM50">
        <v>0.06</v>
      </c>
      <c r="CN50">
        <v>0.09</v>
      </c>
      <c r="CO50">
        <v>-22.353445000000001</v>
      </c>
      <c r="CP50">
        <v>-7.6460825515946969</v>
      </c>
      <c r="CQ50">
        <v>0.7376966320751368</v>
      </c>
      <c r="CR50">
        <v>-1</v>
      </c>
      <c r="CS50">
        <v>3.3319827499999999</v>
      </c>
      <c r="CT50">
        <v>1.0177598499060849E-2</v>
      </c>
      <c r="CU50">
        <v>1.295387007567622E-2</v>
      </c>
      <c r="CV50">
        <v>-1</v>
      </c>
      <c r="CW50">
        <v>0</v>
      </c>
      <c r="CX50">
        <v>0</v>
      </c>
      <c r="CY50" t="s">
        <v>333</v>
      </c>
      <c r="CZ50">
        <v>2.36442</v>
      </c>
      <c r="DA50">
        <v>2.7138399999999998</v>
      </c>
      <c r="DB50">
        <v>0.14397099999999999</v>
      </c>
      <c r="DC50">
        <v>0.14652499999999999</v>
      </c>
      <c r="DD50">
        <v>0.106559</v>
      </c>
      <c r="DE50">
        <v>9.3677499999999997E-2</v>
      </c>
      <c r="DF50">
        <v>31246.6</v>
      </c>
      <c r="DG50">
        <v>27500.1</v>
      </c>
      <c r="DH50">
        <v>31162.9</v>
      </c>
      <c r="DI50">
        <v>28077.3</v>
      </c>
      <c r="DJ50">
        <v>37804.5</v>
      </c>
      <c r="DK50">
        <v>36188.9</v>
      </c>
      <c r="DL50">
        <v>44348.7</v>
      </c>
      <c r="DM50">
        <v>42562.2</v>
      </c>
      <c r="DN50">
        <v>1.4310700000000001</v>
      </c>
      <c r="DO50">
        <v>2.05247</v>
      </c>
      <c r="DP50">
        <v>0.158139</v>
      </c>
      <c r="DQ50">
        <v>0.11490300000000001</v>
      </c>
      <c r="DR50">
        <v>24.974399999999999</v>
      </c>
      <c r="DS50">
        <v>24.625599999999999</v>
      </c>
      <c r="DT50">
        <v>57.1</v>
      </c>
      <c r="DU50">
        <v>29.1</v>
      </c>
      <c r="DV50">
        <v>23.268599999999999</v>
      </c>
      <c r="DW50">
        <v>61.851199999999999</v>
      </c>
      <c r="DX50">
        <v>34.972000000000001</v>
      </c>
      <c r="DY50">
        <v>1</v>
      </c>
      <c r="DZ50">
        <v>-5.4720499999999998E-2</v>
      </c>
      <c r="EA50">
        <v>3.2205400000000002</v>
      </c>
      <c r="EB50">
        <v>20.153600000000001</v>
      </c>
      <c r="EC50">
        <v>5.2406499999999996</v>
      </c>
      <c r="ED50">
        <v>12.039899999999999</v>
      </c>
      <c r="EE50">
        <v>5.0171999999999999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</v>
      </c>
      <c r="EL50">
        <v>1.8646199999999999</v>
      </c>
      <c r="EM50">
        <v>1.8692</v>
      </c>
      <c r="EN50">
        <v>1.8672500000000001</v>
      </c>
      <c r="EO50">
        <v>1.8633999999999999</v>
      </c>
      <c r="EP50">
        <v>1.8644700000000001</v>
      </c>
      <c r="EQ50">
        <v>1.87016</v>
      </c>
      <c r="ER50">
        <v>1.86941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-0.22500000000000001</v>
      </c>
      <c r="FG50">
        <v>0.27189999999999998</v>
      </c>
      <c r="FH50">
        <v>0.30965466913576151</v>
      </c>
      <c r="FI50">
        <v>-6.1462078757559423E-4</v>
      </c>
      <c r="FJ50">
        <v>-1.8861989874597051E-7</v>
      </c>
      <c r="FK50">
        <v>1.1980462299894961E-10</v>
      </c>
      <c r="FL50">
        <v>0.27184999999999349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15.5</v>
      </c>
      <c r="FU50">
        <v>15.7</v>
      </c>
      <c r="FV50">
        <v>1.78833</v>
      </c>
      <c r="FW50">
        <v>2.5842299999999998</v>
      </c>
      <c r="FX50">
        <v>1.5490699999999999</v>
      </c>
      <c r="FY50">
        <v>2.3290999999999999</v>
      </c>
      <c r="FZ50">
        <v>1.50024</v>
      </c>
      <c r="GA50">
        <v>2.3877000000000002</v>
      </c>
      <c r="GB50">
        <v>33.850900000000003</v>
      </c>
      <c r="GC50">
        <v>23.973700000000001</v>
      </c>
      <c r="GD50">
        <v>19</v>
      </c>
      <c r="GE50">
        <v>265.44799999999998</v>
      </c>
      <c r="GF50">
        <v>599.95799999999997</v>
      </c>
      <c r="GG50">
        <v>19.465900000000001</v>
      </c>
      <c r="GH50">
        <v>26.643999999999998</v>
      </c>
      <c r="GI50">
        <v>30.0001</v>
      </c>
      <c r="GJ50">
        <v>26.682400000000001</v>
      </c>
      <c r="GK50">
        <v>26.630800000000001</v>
      </c>
      <c r="GL50">
        <v>35.757800000000003</v>
      </c>
      <c r="GM50">
        <v>29.463899999999999</v>
      </c>
      <c r="GN50">
        <v>99.626599999999996</v>
      </c>
      <c r="GO50">
        <v>19.451799999999999</v>
      </c>
      <c r="GP50">
        <v>800</v>
      </c>
      <c r="GQ50">
        <v>18.455400000000001</v>
      </c>
      <c r="GR50">
        <v>99.709299999999999</v>
      </c>
      <c r="GS50">
        <v>99.561499999999995</v>
      </c>
    </row>
    <row r="51" spans="1:201" x14ac:dyDescent="0.25">
      <c r="A51">
        <v>35</v>
      </c>
      <c r="B51">
        <v>1690304259.5</v>
      </c>
      <c r="C51">
        <v>509.5</v>
      </c>
      <c r="D51" t="s">
        <v>401</v>
      </c>
      <c r="E51" t="s">
        <v>402</v>
      </c>
      <c r="F51" t="s">
        <v>330</v>
      </c>
      <c r="H51">
        <v>1690304259.5</v>
      </c>
      <c r="I51">
        <f t="shared" si="0"/>
        <v>3.0899486373817873E-4</v>
      </c>
      <c r="J51">
        <f t="shared" si="1"/>
        <v>0.30899486373817875</v>
      </c>
      <c r="K51">
        <f t="shared" si="2"/>
        <v>2.0385630145386862</v>
      </c>
      <c r="L51">
        <f t="shared" si="3"/>
        <v>774.899</v>
      </c>
      <c r="M51">
        <f t="shared" si="4"/>
        <v>601.48228222714124</v>
      </c>
      <c r="N51">
        <f t="shared" si="5"/>
        <v>59.76710138051002</v>
      </c>
      <c r="O51">
        <f t="shared" si="6"/>
        <v>76.998888348246012</v>
      </c>
      <c r="P51">
        <f t="shared" si="7"/>
        <v>2.086871233300866E-2</v>
      </c>
      <c r="Q51">
        <f t="shared" si="8"/>
        <v>2.0967591070191935</v>
      </c>
      <c r="R51">
        <f t="shared" si="9"/>
        <v>2.0754006565912114E-2</v>
      </c>
      <c r="S51">
        <f t="shared" si="10"/>
        <v>1.2981507301182454E-2</v>
      </c>
      <c r="T51">
        <f t="shared" si="11"/>
        <v>276.11182052479478</v>
      </c>
      <c r="U51">
        <f t="shared" si="12"/>
        <v>27.091794381330537</v>
      </c>
      <c r="V51">
        <f t="shared" si="13"/>
        <v>27.091794381330537</v>
      </c>
      <c r="W51">
        <f t="shared" si="14"/>
        <v>3.5985015230799022</v>
      </c>
      <c r="X51">
        <f t="shared" si="15"/>
        <v>68.064459643504136</v>
      </c>
      <c r="Y51">
        <f t="shared" si="16"/>
        <v>2.1619733837904</v>
      </c>
      <c r="Z51">
        <f t="shared" si="17"/>
        <v>3.1763616358875071</v>
      </c>
      <c r="AA51">
        <f t="shared" si="18"/>
        <v>1.4365281392895022</v>
      </c>
      <c r="AB51">
        <f t="shared" si="19"/>
        <v>-13.626673490853682</v>
      </c>
      <c r="AC51">
        <f t="shared" si="20"/>
        <v>-238.43564295181503</v>
      </c>
      <c r="AD51">
        <f t="shared" si="21"/>
        <v>-24.306065927158237</v>
      </c>
      <c r="AE51">
        <f t="shared" si="22"/>
        <v>-0.2565618450321665</v>
      </c>
      <c r="AF51">
        <v>14</v>
      </c>
      <c r="AG51">
        <v>5</v>
      </c>
      <c r="AH51">
        <f t="shared" si="23"/>
        <v>1</v>
      </c>
      <c r="AI51">
        <f t="shared" si="24"/>
        <v>0</v>
      </c>
      <c r="AJ51">
        <f t="shared" si="25"/>
        <v>52695.669061914392</v>
      </c>
      <c r="AK51">
        <f t="shared" si="26"/>
        <v>1799.98</v>
      </c>
      <c r="AL51">
        <f t="shared" si="27"/>
        <v>1499.0966949849801</v>
      </c>
      <c r="AM51">
        <f t="shared" si="28"/>
        <v>0.83284075099999999</v>
      </c>
      <c r="AN51">
        <f t="shared" si="29"/>
        <v>0.15339716026</v>
      </c>
      <c r="AO51">
        <v>33</v>
      </c>
      <c r="AP51">
        <v>0.5</v>
      </c>
      <c r="AQ51" t="s">
        <v>331</v>
      </c>
      <c r="AR51">
        <v>2</v>
      </c>
      <c r="AS51">
        <v>1690304259.5</v>
      </c>
      <c r="AT51">
        <v>774.899</v>
      </c>
      <c r="AU51">
        <v>799.93600000000004</v>
      </c>
      <c r="AV51">
        <v>21.7576</v>
      </c>
      <c r="AW51">
        <v>18.435400000000001</v>
      </c>
      <c r="AX51">
        <v>775.12400000000002</v>
      </c>
      <c r="AY51">
        <v>21.485800000000001</v>
      </c>
      <c r="AZ51">
        <v>300.25200000000001</v>
      </c>
      <c r="BA51">
        <v>99.266400000000004</v>
      </c>
      <c r="BB51">
        <v>9.9954000000000001E-2</v>
      </c>
      <c r="BC51">
        <v>24.982500000000002</v>
      </c>
      <c r="BD51">
        <v>27.493300000000001</v>
      </c>
      <c r="BE51">
        <v>26.436</v>
      </c>
      <c r="BF51">
        <v>0</v>
      </c>
      <c r="BG51">
        <v>0</v>
      </c>
      <c r="BH51">
        <v>9970.6200000000008</v>
      </c>
      <c r="BI51">
        <v>1056.6300000000001</v>
      </c>
      <c r="BJ51">
        <v>1.6988000000000001</v>
      </c>
      <c r="BK51">
        <v>-25.036100000000001</v>
      </c>
      <c r="BL51">
        <v>792.13400000000001</v>
      </c>
      <c r="BM51">
        <v>814.96</v>
      </c>
      <c r="BN51">
        <v>3.3222100000000001</v>
      </c>
      <c r="BO51">
        <v>799.93600000000004</v>
      </c>
      <c r="BP51">
        <v>18.435400000000001</v>
      </c>
      <c r="BQ51">
        <v>2.1598000000000002</v>
      </c>
      <c r="BR51">
        <v>1.83002</v>
      </c>
      <c r="BS51">
        <v>18.667200000000001</v>
      </c>
      <c r="BT51">
        <v>16.0456</v>
      </c>
      <c r="BU51">
        <v>1799.98</v>
      </c>
      <c r="BV51">
        <v>0.91000899999999996</v>
      </c>
      <c r="BW51">
        <v>3.3996199999999997E-2</v>
      </c>
      <c r="BX51">
        <v>2.1997300000000001E-2</v>
      </c>
      <c r="BY51">
        <v>3.3997600000000003E-2</v>
      </c>
      <c r="BZ51">
        <v>26</v>
      </c>
      <c r="CA51">
        <v>33528.199999999997</v>
      </c>
      <c r="CB51">
        <v>1690303320.5</v>
      </c>
      <c r="CC51" t="s">
        <v>332</v>
      </c>
      <c r="CD51">
        <v>1690303320.5</v>
      </c>
      <c r="CE51">
        <v>1690303310.0999999</v>
      </c>
      <c r="CF51">
        <v>8</v>
      </c>
      <c r="CG51">
        <v>7.3999999999999996E-2</v>
      </c>
      <c r="CH51">
        <v>-0.01</v>
      </c>
      <c r="CI51">
        <v>-0.24199999999999999</v>
      </c>
      <c r="CJ51">
        <v>0.27200000000000002</v>
      </c>
      <c r="CK51">
        <v>800</v>
      </c>
      <c r="CL51">
        <v>23</v>
      </c>
      <c r="CM51">
        <v>0.06</v>
      </c>
      <c r="CN51">
        <v>0.09</v>
      </c>
      <c r="CO51">
        <v>-23.64601</v>
      </c>
      <c r="CP51">
        <v>-7.9042198874296012</v>
      </c>
      <c r="CQ51">
        <v>0.76287807308900923</v>
      </c>
      <c r="CR51">
        <v>-1</v>
      </c>
      <c r="CS51">
        <v>3.3248477499999991</v>
      </c>
      <c r="CT51">
        <v>-4.6495947467161992E-2</v>
      </c>
      <c r="CU51">
        <v>1.489081285348454E-2</v>
      </c>
      <c r="CV51">
        <v>-1</v>
      </c>
      <c r="CW51">
        <v>0</v>
      </c>
      <c r="CX51">
        <v>0</v>
      </c>
      <c r="CY51" t="s">
        <v>333</v>
      </c>
      <c r="CZ51">
        <v>2.3643100000000001</v>
      </c>
      <c r="DA51">
        <v>2.7137199999999999</v>
      </c>
      <c r="DB51">
        <v>0.14379900000000001</v>
      </c>
      <c r="DC51">
        <v>0.14650299999999999</v>
      </c>
      <c r="DD51">
        <v>0.106056</v>
      </c>
      <c r="DE51">
        <v>9.3232400000000007E-2</v>
      </c>
      <c r="DF51">
        <v>31253.1</v>
      </c>
      <c r="DG51">
        <v>27500.799999999999</v>
      </c>
      <c r="DH51">
        <v>31163.1</v>
      </c>
      <c r="DI51">
        <v>28077.3</v>
      </c>
      <c r="DJ51">
        <v>37826.300000000003</v>
      </c>
      <c r="DK51">
        <v>36206.9</v>
      </c>
      <c r="DL51">
        <v>44349.1</v>
      </c>
      <c r="DM51">
        <v>42562.5</v>
      </c>
      <c r="DN51">
        <v>1.43082</v>
      </c>
      <c r="DO51">
        <v>2.0525500000000001</v>
      </c>
      <c r="DP51">
        <v>0.15617200000000001</v>
      </c>
      <c r="DQ51">
        <v>0.11282399999999999</v>
      </c>
      <c r="DR51">
        <v>24.936</v>
      </c>
      <c r="DS51">
        <v>24.586300000000001</v>
      </c>
      <c r="DT51">
        <v>57.1</v>
      </c>
      <c r="DU51">
        <v>29.1</v>
      </c>
      <c r="DV51">
        <v>23.2684</v>
      </c>
      <c r="DW51">
        <v>61.811199999999999</v>
      </c>
      <c r="DX51">
        <v>35.080100000000002</v>
      </c>
      <c r="DY51">
        <v>1</v>
      </c>
      <c r="DZ51">
        <v>-5.4842500000000002E-2</v>
      </c>
      <c r="EA51">
        <v>3.2870499999999998</v>
      </c>
      <c r="EB51">
        <v>20.151900000000001</v>
      </c>
      <c r="EC51">
        <v>5.2404999999999999</v>
      </c>
      <c r="ED51">
        <v>12.039899999999999</v>
      </c>
      <c r="EE51">
        <v>5.0171000000000001</v>
      </c>
      <c r="EF51">
        <v>3.2879499999999999</v>
      </c>
      <c r="EG51">
        <v>9999</v>
      </c>
      <c r="EH51">
        <v>9999</v>
      </c>
      <c r="EI51">
        <v>9999</v>
      </c>
      <c r="EJ51">
        <v>999.9</v>
      </c>
      <c r="EK51">
        <v>1.8689</v>
      </c>
      <c r="EL51">
        <v>1.8646199999999999</v>
      </c>
      <c r="EM51">
        <v>1.8692</v>
      </c>
      <c r="EN51">
        <v>1.8672299999999999</v>
      </c>
      <c r="EO51">
        <v>1.8633999999999999</v>
      </c>
      <c r="EP51">
        <v>1.8644799999999999</v>
      </c>
      <c r="EQ51">
        <v>1.8701700000000001</v>
      </c>
      <c r="ER51">
        <v>1.8694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-0.22500000000000001</v>
      </c>
      <c r="FG51">
        <v>0.27179999999999999</v>
      </c>
      <c r="FH51">
        <v>0.30965466913576151</v>
      </c>
      <c r="FI51">
        <v>-6.1462078757559423E-4</v>
      </c>
      <c r="FJ51">
        <v>-1.8861989874597051E-7</v>
      </c>
      <c r="FK51">
        <v>1.1980462299894961E-10</v>
      </c>
      <c r="FL51">
        <v>0.27184999999999349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15.7</v>
      </c>
      <c r="FU51">
        <v>15.8</v>
      </c>
      <c r="FV51">
        <v>1.78833</v>
      </c>
      <c r="FW51">
        <v>2.5866699999999998</v>
      </c>
      <c r="FX51">
        <v>1.5490699999999999</v>
      </c>
      <c r="FY51">
        <v>2.3290999999999999</v>
      </c>
      <c r="FZ51">
        <v>1.50146</v>
      </c>
      <c r="GA51">
        <v>2.3327599999999999</v>
      </c>
      <c r="GB51">
        <v>33.850900000000003</v>
      </c>
      <c r="GC51">
        <v>23.973700000000001</v>
      </c>
      <c r="GD51">
        <v>19</v>
      </c>
      <c r="GE51">
        <v>265.34300000000002</v>
      </c>
      <c r="GF51">
        <v>600.05399999999997</v>
      </c>
      <c r="GG51">
        <v>19.371500000000001</v>
      </c>
      <c r="GH51">
        <v>26.639199999999999</v>
      </c>
      <c r="GI51">
        <v>30</v>
      </c>
      <c r="GJ51">
        <v>26.681899999999999</v>
      </c>
      <c r="GK51">
        <v>26.633600000000001</v>
      </c>
      <c r="GL51">
        <v>35.763300000000001</v>
      </c>
      <c r="GM51">
        <v>29.733899999999998</v>
      </c>
      <c r="GN51">
        <v>99.626599999999996</v>
      </c>
      <c r="GO51">
        <v>19.355</v>
      </c>
      <c r="GP51">
        <v>800</v>
      </c>
      <c r="GQ51">
        <v>18.311900000000001</v>
      </c>
      <c r="GR51">
        <v>99.710099999999997</v>
      </c>
      <c r="GS51">
        <v>99.561899999999994</v>
      </c>
    </row>
    <row r="52" spans="1:201" x14ac:dyDescent="0.25">
      <c r="A52">
        <v>36</v>
      </c>
      <c r="B52">
        <v>1690304269.5</v>
      </c>
      <c r="C52">
        <v>519.5</v>
      </c>
      <c r="D52" t="s">
        <v>403</v>
      </c>
      <c r="E52" t="s">
        <v>404</v>
      </c>
      <c r="F52" t="s">
        <v>330</v>
      </c>
      <c r="H52">
        <v>1690304269.5</v>
      </c>
      <c r="I52">
        <f t="shared" si="0"/>
        <v>3.0314879707928153E-4</v>
      </c>
      <c r="J52">
        <f t="shared" si="1"/>
        <v>0.30314879707928155</v>
      </c>
      <c r="K52">
        <f t="shared" si="2"/>
        <v>2.1582569984854358</v>
      </c>
      <c r="L52">
        <f t="shared" si="3"/>
        <v>773.61</v>
      </c>
      <c r="M52">
        <f t="shared" si="4"/>
        <v>587.30309245298372</v>
      </c>
      <c r="N52">
        <f t="shared" si="5"/>
        <v>58.358285037899485</v>
      </c>
      <c r="O52">
        <f t="shared" si="6"/>
        <v>76.870960613549997</v>
      </c>
      <c r="P52">
        <f t="shared" si="7"/>
        <v>2.040040298637177E-2</v>
      </c>
      <c r="Q52">
        <f t="shared" si="8"/>
        <v>2.0998800033735345</v>
      </c>
      <c r="R52">
        <f t="shared" si="9"/>
        <v>2.0290935014942422E-2</v>
      </c>
      <c r="S52">
        <f t="shared" si="10"/>
        <v>1.2691620579564425E-2</v>
      </c>
      <c r="T52">
        <f t="shared" si="11"/>
        <v>276.11478819000001</v>
      </c>
      <c r="U52">
        <f t="shared" si="12"/>
        <v>27.047024735480726</v>
      </c>
      <c r="V52">
        <f t="shared" si="13"/>
        <v>27.047024735480726</v>
      </c>
      <c r="W52">
        <f t="shared" si="14"/>
        <v>3.5890568234308802</v>
      </c>
      <c r="X52">
        <f t="shared" si="15"/>
        <v>67.782454946406901</v>
      </c>
      <c r="Y52">
        <f t="shared" si="16"/>
        <v>2.1473609368274995</v>
      </c>
      <c r="Z52">
        <f t="shared" si="17"/>
        <v>3.1680188310165796</v>
      </c>
      <c r="AA52">
        <f t="shared" si="18"/>
        <v>1.4416958866033807</v>
      </c>
      <c r="AB52">
        <f t="shared" si="19"/>
        <v>-13.368861951196315</v>
      </c>
      <c r="AC52">
        <f t="shared" si="20"/>
        <v>-238.71472991469261</v>
      </c>
      <c r="AD52">
        <f t="shared" si="21"/>
        <v>-24.287519200796531</v>
      </c>
      <c r="AE52">
        <f t="shared" si="22"/>
        <v>-0.25632287668545928</v>
      </c>
      <c r="AF52">
        <v>14</v>
      </c>
      <c r="AG52">
        <v>5</v>
      </c>
      <c r="AH52">
        <f t="shared" si="23"/>
        <v>1</v>
      </c>
      <c r="AI52">
        <f t="shared" si="24"/>
        <v>0</v>
      </c>
      <c r="AJ52">
        <f t="shared" si="25"/>
        <v>52842.989458167889</v>
      </c>
      <c r="AK52">
        <f t="shared" si="26"/>
        <v>1800</v>
      </c>
      <c r="AL52">
        <f t="shared" si="27"/>
        <v>1499.1149070000001</v>
      </c>
      <c r="AM52">
        <f t="shared" si="28"/>
        <v>0.83284161500000009</v>
      </c>
      <c r="AN52">
        <f t="shared" si="29"/>
        <v>0.15339710455</v>
      </c>
      <c r="AO52">
        <v>33</v>
      </c>
      <c r="AP52">
        <v>0.5</v>
      </c>
      <c r="AQ52" t="s">
        <v>331</v>
      </c>
      <c r="AR52">
        <v>2</v>
      </c>
      <c r="AS52">
        <v>1690304269.5</v>
      </c>
      <c r="AT52">
        <v>773.61</v>
      </c>
      <c r="AU52">
        <v>799.91300000000001</v>
      </c>
      <c r="AV52">
        <v>21.610499999999998</v>
      </c>
      <c r="AW52">
        <v>18.350100000000001</v>
      </c>
      <c r="AX52">
        <v>773.83299999999997</v>
      </c>
      <c r="AY52">
        <v>21.3386</v>
      </c>
      <c r="AZ52">
        <v>300.2</v>
      </c>
      <c r="BA52">
        <v>99.266499999999994</v>
      </c>
      <c r="BB52">
        <v>0.10005500000000001</v>
      </c>
      <c r="BC52">
        <v>24.938400000000001</v>
      </c>
      <c r="BD52">
        <v>27.463000000000001</v>
      </c>
      <c r="BE52">
        <v>26.390699999999999</v>
      </c>
      <c r="BF52">
        <v>0</v>
      </c>
      <c r="BG52">
        <v>0</v>
      </c>
      <c r="BH52">
        <v>9998.1200000000008</v>
      </c>
      <c r="BI52">
        <v>1055.79</v>
      </c>
      <c r="BJ52">
        <v>1.696</v>
      </c>
      <c r="BK52">
        <v>-26.303599999999999</v>
      </c>
      <c r="BL52">
        <v>790.697</v>
      </c>
      <c r="BM52">
        <v>814.86599999999999</v>
      </c>
      <c r="BN52">
        <v>3.26037</v>
      </c>
      <c r="BO52">
        <v>799.91300000000001</v>
      </c>
      <c r="BP52">
        <v>18.350100000000001</v>
      </c>
      <c r="BQ52">
        <v>2.1452</v>
      </c>
      <c r="BR52">
        <v>1.82155</v>
      </c>
      <c r="BS52">
        <v>18.558800000000002</v>
      </c>
      <c r="BT52">
        <v>15.973000000000001</v>
      </c>
      <c r="BU52">
        <v>1800</v>
      </c>
      <c r="BV52">
        <v>0.91001500000000002</v>
      </c>
      <c r="BW52">
        <v>3.3994099999999999E-2</v>
      </c>
      <c r="BX52">
        <v>2.1996000000000002E-2</v>
      </c>
      <c r="BY52">
        <v>3.3995499999999998E-2</v>
      </c>
      <c r="BZ52">
        <v>26</v>
      </c>
      <c r="CA52">
        <v>33528.5</v>
      </c>
      <c r="CB52">
        <v>1690303320.5</v>
      </c>
      <c r="CC52" t="s">
        <v>332</v>
      </c>
      <c r="CD52">
        <v>1690303320.5</v>
      </c>
      <c r="CE52">
        <v>1690303310.0999999</v>
      </c>
      <c r="CF52">
        <v>8</v>
      </c>
      <c r="CG52">
        <v>7.3999999999999996E-2</v>
      </c>
      <c r="CH52">
        <v>-0.01</v>
      </c>
      <c r="CI52">
        <v>-0.24199999999999999</v>
      </c>
      <c r="CJ52">
        <v>0.27200000000000002</v>
      </c>
      <c r="CK52">
        <v>800</v>
      </c>
      <c r="CL52">
        <v>23</v>
      </c>
      <c r="CM52">
        <v>0.06</v>
      </c>
      <c r="CN52">
        <v>0.09</v>
      </c>
      <c r="CO52">
        <v>-24.866280487804879</v>
      </c>
      <c r="CP52">
        <v>-7.9142320557491788</v>
      </c>
      <c r="CQ52">
        <v>0.78303581085585694</v>
      </c>
      <c r="CR52">
        <v>-1</v>
      </c>
      <c r="CS52">
        <v>3.3115543902439031</v>
      </c>
      <c r="CT52">
        <v>-0.17824912891986</v>
      </c>
      <c r="CU52">
        <v>1.9644846658550291E-2</v>
      </c>
      <c r="CV52">
        <v>-1</v>
      </c>
      <c r="CW52">
        <v>0</v>
      </c>
      <c r="CX52">
        <v>0</v>
      </c>
      <c r="CY52" t="s">
        <v>333</v>
      </c>
      <c r="CZ52">
        <v>2.3641299999999998</v>
      </c>
      <c r="DA52">
        <v>2.7138499999999999</v>
      </c>
      <c r="DB52">
        <v>0.14363699999999999</v>
      </c>
      <c r="DC52">
        <v>0.14649999999999999</v>
      </c>
      <c r="DD52">
        <v>0.105542</v>
      </c>
      <c r="DE52">
        <v>9.2923699999999998E-2</v>
      </c>
      <c r="DF52">
        <v>31259.3</v>
      </c>
      <c r="DG52">
        <v>27500.9</v>
      </c>
      <c r="DH52">
        <v>31163.4</v>
      </c>
      <c r="DI52">
        <v>28077.3</v>
      </c>
      <c r="DJ52">
        <v>37848.6</v>
      </c>
      <c r="DK52">
        <v>36219.1</v>
      </c>
      <c r="DL52">
        <v>44349.5</v>
      </c>
      <c r="DM52">
        <v>42562.2</v>
      </c>
      <c r="DN52">
        <v>1.43093</v>
      </c>
      <c r="DO52">
        <v>2.0522999999999998</v>
      </c>
      <c r="DP52">
        <v>0.15664800000000001</v>
      </c>
      <c r="DQ52">
        <v>0.112459</v>
      </c>
      <c r="DR52">
        <v>24.8977</v>
      </c>
      <c r="DS52">
        <v>24.547000000000001</v>
      </c>
      <c r="DT52">
        <v>57.1</v>
      </c>
      <c r="DU52">
        <v>29.1</v>
      </c>
      <c r="DV52">
        <v>23.270499999999998</v>
      </c>
      <c r="DW52">
        <v>61.561199999999999</v>
      </c>
      <c r="DX52">
        <v>35.576900000000002</v>
      </c>
      <c r="DY52">
        <v>1</v>
      </c>
      <c r="DZ52">
        <v>-5.4710399999999999E-2</v>
      </c>
      <c r="EA52">
        <v>3.3458100000000002</v>
      </c>
      <c r="EB52">
        <v>20.150600000000001</v>
      </c>
      <c r="EC52">
        <v>5.2406499999999996</v>
      </c>
      <c r="ED52">
        <v>12.039899999999999</v>
      </c>
      <c r="EE52">
        <v>5.0172499999999998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1.8689100000000001</v>
      </c>
      <c r="EL52">
        <v>1.8646199999999999</v>
      </c>
      <c r="EM52">
        <v>1.8692</v>
      </c>
      <c r="EN52">
        <v>1.8672500000000001</v>
      </c>
      <c r="EO52">
        <v>1.8633999999999999</v>
      </c>
      <c r="EP52">
        <v>1.8644700000000001</v>
      </c>
      <c r="EQ52">
        <v>1.8702000000000001</v>
      </c>
      <c r="ER52">
        <v>1.86941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-0.223</v>
      </c>
      <c r="FG52">
        <v>0.27189999999999998</v>
      </c>
      <c r="FH52">
        <v>0.30965466913576151</v>
      </c>
      <c r="FI52">
        <v>-6.1462078757559423E-4</v>
      </c>
      <c r="FJ52">
        <v>-1.8861989874597051E-7</v>
      </c>
      <c r="FK52">
        <v>1.1980462299894961E-10</v>
      </c>
      <c r="FL52">
        <v>0.27184999999999349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15.8</v>
      </c>
      <c r="FU52">
        <v>16</v>
      </c>
      <c r="FV52">
        <v>1.78833</v>
      </c>
      <c r="FW52">
        <v>2.6000999999999999</v>
      </c>
      <c r="FX52">
        <v>1.5490699999999999</v>
      </c>
      <c r="FY52">
        <v>2.3290999999999999</v>
      </c>
      <c r="FZ52">
        <v>1.50146</v>
      </c>
      <c r="GA52">
        <v>2.31812</v>
      </c>
      <c r="GB52">
        <v>33.8735</v>
      </c>
      <c r="GC52">
        <v>23.9649</v>
      </c>
      <c r="GD52">
        <v>19</v>
      </c>
      <c r="GE52">
        <v>265.37700000000001</v>
      </c>
      <c r="GF52">
        <v>599.84900000000005</v>
      </c>
      <c r="GG52">
        <v>19.269100000000002</v>
      </c>
      <c r="GH52">
        <v>26.6342</v>
      </c>
      <c r="GI52">
        <v>30.000399999999999</v>
      </c>
      <c r="GJ52">
        <v>26.680199999999999</v>
      </c>
      <c r="GK52">
        <v>26.6342</v>
      </c>
      <c r="GL52">
        <v>35.764000000000003</v>
      </c>
      <c r="GM52">
        <v>30.0199</v>
      </c>
      <c r="GN52">
        <v>99.626599999999996</v>
      </c>
      <c r="GO52">
        <v>19.251799999999999</v>
      </c>
      <c r="GP52">
        <v>800</v>
      </c>
      <c r="GQ52">
        <v>18.2639</v>
      </c>
      <c r="GR52">
        <v>99.710899999999995</v>
      </c>
      <c r="GS52">
        <v>99.561599999999999</v>
      </c>
    </row>
    <row r="53" spans="1:201" x14ac:dyDescent="0.25">
      <c r="A53">
        <v>37</v>
      </c>
      <c r="B53">
        <v>1690304279.5</v>
      </c>
      <c r="C53">
        <v>529.5</v>
      </c>
      <c r="D53" t="s">
        <v>405</v>
      </c>
      <c r="E53" t="s">
        <v>406</v>
      </c>
      <c r="F53" t="s">
        <v>330</v>
      </c>
      <c r="H53">
        <v>1690304279.5</v>
      </c>
      <c r="I53">
        <f t="shared" si="0"/>
        <v>2.9966093229701453E-4</v>
      </c>
      <c r="J53">
        <f t="shared" si="1"/>
        <v>0.29966093229701452</v>
      </c>
      <c r="K53">
        <f t="shared" si="2"/>
        <v>2.2801725167781686</v>
      </c>
      <c r="L53">
        <f t="shared" si="3"/>
        <v>772.29</v>
      </c>
      <c r="M53">
        <f t="shared" si="4"/>
        <v>574.02941729934628</v>
      </c>
      <c r="N53">
        <f t="shared" si="5"/>
        <v>57.040379870718319</v>
      </c>
      <c r="O53">
        <f t="shared" si="6"/>
        <v>76.741215071534995</v>
      </c>
      <c r="P53">
        <f t="shared" si="7"/>
        <v>2.0120569314981841E-2</v>
      </c>
      <c r="Q53">
        <f t="shared" si="8"/>
        <v>2.1004657755441776</v>
      </c>
      <c r="R53">
        <f t="shared" si="9"/>
        <v>2.0014104973345478E-2</v>
      </c>
      <c r="S53">
        <f t="shared" si="10"/>
        <v>1.2518333946411496E-2</v>
      </c>
      <c r="T53">
        <f t="shared" si="11"/>
        <v>276.11284106724986</v>
      </c>
      <c r="U53">
        <f t="shared" si="12"/>
        <v>26.994113214406081</v>
      </c>
      <c r="V53">
        <f t="shared" si="13"/>
        <v>26.994113214406081</v>
      </c>
      <c r="W53">
        <f t="shared" si="14"/>
        <v>3.577922401182442</v>
      </c>
      <c r="X53">
        <f t="shared" si="15"/>
        <v>67.541483775049187</v>
      </c>
      <c r="Y53">
        <f t="shared" si="16"/>
        <v>2.1328829025126002</v>
      </c>
      <c r="Z53">
        <f t="shared" si="17"/>
        <v>3.1578857663481159</v>
      </c>
      <c r="AA53">
        <f t="shared" si="18"/>
        <v>1.4450394986698418</v>
      </c>
      <c r="AB53">
        <f t="shared" si="19"/>
        <v>-13.215047114298342</v>
      </c>
      <c r="AC53">
        <f t="shared" si="20"/>
        <v>-238.87060819721887</v>
      </c>
      <c r="AD53">
        <f t="shared" si="21"/>
        <v>-24.283608572563079</v>
      </c>
      <c r="AE53">
        <f t="shared" si="22"/>
        <v>-0.25642281683042256</v>
      </c>
      <c r="AF53">
        <v>14</v>
      </c>
      <c r="AG53">
        <v>5</v>
      </c>
      <c r="AH53">
        <f t="shared" si="23"/>
        <v>1</v>
      </c>
      <c r="AI53">
        <f t="shared" si="24"/>
        <v>0</v>
      </c>
      <c r="AJ53">
        <f t="shared" si="25"/>
        <v>52878.776486437346</v>
      </c>
      <c r="AK53">
        <f t="shared" si="26"/>
        <v>1799.99</v>
      </c>
      <c r="AL53">
        <f t="shared" si="27"/>
        <v>1499.1064651844799</v>
      </c>
      <c r="AM53">
        <f t="shared" si="28"/>
        <v>0.83284155199999998</v>
      </c>
      <c r="AN53">
        <f t="shared" si="29"/>
        <v>0.15339687502000002</v>
      </c>
      <c r="AO53">
        <v>33</v>
      </c>
      <c r="AP53">
        <v>0.5</v>
      </c>
      <c r="AQ53" t="s">
        <v>331</v>
      </c>
      <c r="AR53">
        <v>2</v>
      </c>
      <c r="AS53">
        <v>1690304279.5</v>
      </c>
      <c r="AT53">
        <v>772.29</v>
      </c>
      <c r="AU53">
        <v>799.90800000000002</v>
      </c>
      <c r="AV53">
        <v>21.464400000000001</v>
      </c>
      <c r="AW53">
        <v>18.239999999999998</v>
      </c>
      <c r="AX53">
        <v>772.51300000000003</v>
      </c>
      <c r="AY53">
        <v>21.192599999999999</v>
      </c>
      <c r="AZ53">
        <v>300.10399999999998</v>
      </c>
      <c r="BA53">
        <v>99.2684</v>
      </c>
      <c r="BB53">
        <v>9.9991499999999997E-2</v>
      </c>
      <c r="BC53">
        <v>24.884699999999999</v>
      </c>
      <c r="BD53">
        <v>27.403099999999998</v>
      </c>
      <c r="BE53">
        <v>26.340399999999999</v>
      </c>
      <c r="BF53">
        <v>0</v>
      </c>
      <c r="BG53">
        <v>0</v>
      </c>
      <c r="BH53">
        <v>10003.1</v>
      </c>
      <c r="BI53">
        <v>1055.01</v>
      </c>
      <c r="BJ53">
        <v>1.7100200000000001</v>
      </c>
      <c r="BK53">
        <v>-27.617699999999999</v>
      </c>
      <c r="BL53">
        <v>789.23099999999999</v>
      </c>
      <c r="BM53">
        <v>814.76900000000001</v>
      </c>
      <c r="BN53">
        <v>3.2244000000000002</v>
      </c>
      <c r="BO53">
        <v>799.90800000000002</v>
      </c>
      <c r="BP53">
        <v>18.239999999999998</v>
      </c>
      <c r="BQ53">
        <v>2.1307399999999999</v>
      </c>
      <c r="BR53">
        <v>1.8106599999999999</v>
      </c>
      <c r="BS53">
        <v>18.450800000000001</v>
      </c>
      <c r="BT53">
        <v>15.879099999999999</v>
      </c>
      <c r="BU53">
        <v>1799.99</v>
      </c>
      <c r="BV53">
        <v>0.91002000000000005</v>
      </c>
      <c r="BW53">
        <v>3.3992000000000001E-2</v>
      </c>
      <c r="BX53">
        <v>2.19946E-2</v>
      </c>
      <c r="BY53">
        <v>3.39934E-2</v>
      </c>
      <c r="BZ53">
        <v>26</v>
      </c>
      <c r="CA53">
        <v>33528.300000000003</v>
      </c>
      <c r="CB53">
        <v>1690303320.5</v>
      </c>
      <c r="CC53" t="s">
        <v>332</v>
      </c>
      <c r="CD53">
        <v>1690303320.5</v>
      </c>
      <c r="CE53">
        <v>1690303310.0999999</v>
      </c>
      <c r="CF53">
        <v>8</v>
      </c>
      <c r="CG53">
        <v>7.3999999999999996E-2</v>
      </c>
      <c r="CH53">
        <v>-0.01</v>
      </c>
      <c r="CI53">
        <v>-0.24199999999999999</v>
      </c>
      <c r="CJ53">
        <v>0.27200000000000002</v>
      </c>
      <c r="CK53">
        <v>800</v>
      </c>
      <c r="CL53">
        <v>23</v>
      </c>
      <c r="CM53">
        <v>0.06</v>
      </c>
      <c r="CN53">
        <v>0.09</v>
      </c>
      <c r="CO53">
        <v>-26.296773170731711</v>
      </c>
      <c r="CP53">
        <v>-7.7836369337979177</v>
      </c>
      <c r="CQ53">
        <v>0.76866571757673108</v>
      </c>
      <c r="CR53">
        <v>-1</v>
      </c>
      <c r="CS53">
        <v>3.2702004878048778</v>
      </c>
      <c r="CT53">
        <v>-0.26520982578396951</v>
      </c>
      <c r="CU53">
        <v>2.8302961316340039E-2</v>
      </c>
      <c r="CV53">
        <v>-1</v>
      </c>
      <c r="CW53">
        <v>0</v>
      </c>
      <c r="CX53">
        <v>0</v>
      </c>
      <c r="CY53" t="s">
        <v>333</v>
      </c>
      <c r="CZ53">
        <v>2.36381</v>
      </c>
      <c r="DA53">
        <v>2.7137799999999999</v>
      </c>
      <c r="DB53">
        <v>0.14347199999999999</v>
      </c>
      <c r="DC53">
        <v>0.14649899999999999</v>
      </c>
      <c r="DD53">
        <v>0.10503</v>
      </c>
      <c r="DE53">
        <v>9.2525200000000002E-2</v>
      </c>
      <c r="DF53">
        <v>31265.200000000001</v>
      </c>
      <c r="DG53">
        <v>27501.599999999999</v>
      </c>
      <c r="DH53">
        <v>31163.3</v>
      </c>
      <c r="DI53">
        <v>28077.9</v>
      </c>
      <c r="DJ53">
        <v>37870.199999999997</v>
      </c>
      <c r="DK53">
        <v>36235.9</v>
      </c>
      <c r="DL53">
        <v>44349.3</v>
      </c>
      <c r="DM53">
        <v>42563.3</v>
      </c>
      <c r="DN53">
        <v>1.4308000000000001</v>
      </c>
      <c r="DO53">
        <v>2.0520499999999999</v>
      </c>
      <c r="DP53">
        <v>0.155248</v>
      </c>
      <c r="DQ53">
        <v>0.111774</v>
      </c>
      <c r="DR53">
        <v>24.860499999999998</v>
      </c>
      <c r="DS53">
        <v>24.5077</v>
      </c>
      <c r="DT53">
        <v>57.1</v>
      </c>
      <c r="DU53">
        <v>29.1</v>
      </c>
      <c r="DV53">
        <v>23.2728</v>
      </c>
      <c r="DW53">
        <v>61.851199999999999</v>
      </c>
      <c r="DX53">
        <v>36.197899999999997</v>
      </c>
      <c r="DY53">
        <v>1</v>
      </c>
      <c r="DZ53">
        <v>-5.5281999999999998E-2</v>
      </c>
      <c r="EA53">
        <v>3.4087499999999999</v>
      </c>
      <c r="EB53">
        <v>20.1492</v>
      </c>
      <c r="EC53">
        <v>5.2404999999999999</v>
      </c>
      <c r="ED53">
        <v>12.039899999999999</v>
      </c>
      <c r="EE53">
        <v>5.0168499999999998</v>
      </c>
      <c r="EF53">
        <v>3.2879499999999999</v>
      </c>
      <c r="EG53">
        <v>9999</v>
      </c>
      <c r="EH53">
        <v>9999</v>
      </c>
      <c r="EI53">
        <v>9999</v>
      </c>
      <c r="EJ53">
        <v>999.9</v>
      </c>
      <c r="EK53">
        <v>1.8689100000000001</v>
      </c>
      <c r="EL53">
        <v>1.8646199999999999</v>
      </c>
      <c r="EM53">
        <v>1.8692</v>
      </c>
      <c r="EN53">
        <v>1.8672299999999999</v>
      </c>
      <c r="EO53">
        <v>1.8633999999999999</v>
      </c>
      <c r="EP53">
        <v>1.8644700000000001</v>
      </c>
      <c r="EQ53">
        <v>1.87016</v>
      </c>
      <c r="ER53">
        <v>1.8694299999999999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-0.223</v>
      </c>
      <c r="FG53">
        <v>0.27179999999999999</v>
      </c>
      <c r="FH53">
        <v>0.30965466913576151</v>
      </c>
      <c r="FI53">
        <v>-6.1462078757559423E-4</v>
      </c>
      <c r="FJ53">
        <v>-1.8861989874597051E-7</v>
      </c>
      <c r="FK53">
        <v>1.1980462299894961E-10</v>
      </c>
      <c r="FL53">
        <v>0.27184999999999349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16</v>
      </c>
      <c r="FU53">
        <v>16.2</v>
      </c>
      <c r="FV53">
        <v>1.78955</v>
      </c>
      <c r="FW53">
        <v>2.5866699999999998</v>
      </c>
      <c r="FX53">
        <v>1.5490699999999999</v>
      </c>
      <c r="FY53">
        <v>2.3290999999999999</v>
      </c>
      <c r="FZ53">
        <v>1.50146</v>
      </c>
      <c r="GA53">
        <v>2.4108900000000002</v>
      </c>
      <c r="GB53">
        <v>33.8735</v>
      </c>
      <c r="GC53">
        <v>23.973700000000001</v>
      </c>
      <c r="GD53">
        <v>19</v>
      </c>
      <c r="GE53">
        <v>265.32600000000002</v>
      </c>
      <c r="GF53">
        <v>599.65700000000004</v>
      </c>
      <c r="GG53">
        <v>19.164000000000001</v>
      </c>
      <c r="GH53">
        <v>26.629100000000001</v>
      </c>
      <c r="GI53">
        <v>30</v>
      </c>
      <c r="GJ53">
        <v>26.680199999999999</v>
      </c>
      <c r="GK53">
        <v>26.6358</v>
      </c>
      <c r="GL53">
        <v>35.767400000000002</v>
      </c>
      <c r="GM53">
        <v>30.293700000000001</v>
      </c>
      <c r="GN53">
        <v>99.626599999999996</v>
      </c>
      <c r="GO53">
        <v>19.145299999999999</v>
      </c>
      <c r="GP53">
        <v>800</v>
      </c>
      <c r="GQ53">
        <v>18.156099999999999</v>
      </c>
      <c r="GR53">
        <v>99.710499999999996</v>
      </c>
      <c r="GS53">
        <v>99.563900000000004</v>
      </c>
    </row>
    <row r="54" spans="1:201" x14ac:dyDescent="0.25">
      <c r="A54">
        <v>38</v>
      </c>
      <c r="B54">
        <v>1690304289.5</v>
      </c>
      <c r="C54">
        <v>539.5</v>
      </c>
      <c r="D54" t="s">
        <v>407</v>
      </c>
      <c r="E54" t="s">
        <v>408</v>
      </c>
      <c r="F54" t="s">
        <v>330</v>
      </c>
      <c r="H54">
        <v>1690304289.5</v>
      </c>
      <c r="I54">
        <f t="shared" si="0"/>
        <v>2.9114251348500542E-4</v>
      </c>
      <c r="J54">
        <f t="shared" si="1"/>
        <v>0.29114251348500542</v>
      </c>
      <c r="K54">
        <f t="shared" si="2"/>
        <v>2.4219812027667</v>
      </c>
      <c r="L54">
        <f t="shared" si="3"/>
        <v>770.96600000000001</v>
      </c>
      <c r="M54">
        <f t="shared" si="4"/>
        <v>555.72770000905962</v>
      </c>
      <c r="N54">
        <f t="shared" si="5"/>
        <v>55.219672290601906</v>
      </c>
      <c r="O54">
        <f t="shared" si="6"/>
        <v>76.60674439388599</v>
      </c>
      <c r="P54">
        <f t="shared" si="7"/>
        <v>1.95257706010055E-2</v>
      </c>
      <c r="Q54">
        <f t="shared" si="8"/>
        <v>2.0979454589755235</v>
      </c>
      <c r="R54">
        <f t="shared" si="9"/>
        <v>1.9425371028260214E-2</v>
      </c>
      <c r="S54">
        <f t="shared" si="10"/>
        <v>1.2149834263230349E-2</v>
      </c>
      <c r="T54">
        <f t="shared" si="11"/>
        <v>276.11437091400006</v>
      </c>
      <c r="U54">
        <f t="shared" si="12"/>
        <v>26.935869340539053</v>
      </c>
      <c r="V54">
        <f t="shared" si="13"/>
        <v>26.935869340539053</v>
      </c>
      <c r="W54">
        <f t="shared" si="14"/>
        <v>3.5657007421820874</v>
      </c>
      <c r="X54">
        <f t="shared" si="15"/>
        <v>67.359046655635495</v>
      </c>
      <c r="Y54">
        <f t="shared" si="16"/>
        <v>2.1190499074460001</v>
      </c>
      <c r="Z54">
        <f t="shared" si="17"/>
        <v>3.1459024624849157</v>
      </c>
      <c r="AA54">
        <f t="shared" si="18"/>
        <v>1.4466508347360874</v>
      </c>
      <c r="AB54">
        <f t="shared" si="19"/>
        <v>-12.839384844688739</v>
      </c>
      <c r="AC54">
        <f t="shared" si="20"/>
        <v>-239.20110309618573</v>
      </c>
      <c r="AD54">
        <f t="shared" si="21"/>
        <v>-24.331527191115168</v>
      </c>
      <c r="AE54">
        <f t="shared" si="22"/>
        <v>-0.25764421798956505</v>
      </c>
      <c r="AF54">
        <v>14</v>
      </c>
      <c r="AG54">
        <v>5</v>
      </c>
      <c r="AH54">
        <f t="shared" si="23"/>
        <v>1</v>
      </c>
      <c r="AI54">
        <f t="shared" si="24"/>
        <v>0</v>
      </c>
      <c r="AJ54">
        <f t="shared" si="25"/>
        <v>52777.232406330157</v>
      </c>
      <c r="AK54">
        <f t="shared" si="26"/>
        <v>1800</v>
      </c>
      <c r="AL54">
        <f t="shared" si="27"/>
        <v>1499.1108534</v>
      </c>
      <c r="AM54">
        <f t="shared" si="28"/>
        <v>0.83283936299999994</v>
      </c>
      <c r="AN54">
        <f t="shared" si="29"/>
        <v>0.15339687273000002</v>
      </c>
      <c r="AO54">
        <v>33</v>
      </c>
      <c r="AP54">
        <v>0.5</v>
      </c>
      <c r="AQ54" t="s">
        <v>331</v>
      </c>
      <c r="AR54">
        <v>2</v>
      </c>
      <c r="AS54">
        <v>1690304289.5</v>
      </c>
      <c r="AT54">
        <v>770.96600000000001</v>
      </c>
      <c r="AU54">
        <v>800.06600000000003</v>
      </c>
      <c r="AV54">
        <v>21.326000000000001</v>
      </c>
      <c r="AW54">
        <v>18.192900000000002</v>
      </c>
      <c r="AX54">
        <v>771.18799999999999</v>
      </c>
      <c r="AY54">
        <v>21.054200000000002</v>
      </c>
      <c r="AZ54">
        <v>300.11200000000002</v>
      </c>
      <c r="BA54">
        <v>99.264600000000002</v>
      </c>
      <c r="BB54">
        <v>0.100021</v>
      </c>
      <c r="BC54">
        <v>24.821000000000002</v>
      </c>
      <c r="BD54">
        <v>27.3688</v>
      </c>
      <c r="BE54">
        <v>26.2818</v>
      </c>
      <c r="BF54">
        <v>0</v>
      </c>
      <c r="BG54">
        <v>0</v>
      </c>
      <c r="BH54">
        <v>9981.25</v>
      </c>
      <c r="BI54">
        <v>1054.32</v>
      </c>
      <c r="BJ54">
        <v>1.68198</v>
      </c>
      <c r="BK54">
        <v>-29.099900000000002</v>
      </c>
      <c r="BL54">
        <v>787.76599999999996</v>
      </c>
      <c r="BM54">
        <v>814.89099999999996</v>
      </c>
      <c r="BN54">
        <v>3.13314</v>
      </c>
      <c r="BO54">
        <v>800.06600000000003</v>
      </c>
      <c r="BP54">
        <v>18.192900000000002</v>
      </c>
      <c r="BQ54">
        <v>2.1169199999999999</v>
      </c>
      <c r="BR54">
        <v>1.8059099999999999</v>
      </c>
      <c r="BS54">
        <v>18.347100000000001</v>
      </c>
      <c r="BT54">
        <v>15.838100000000001</v>
      </c>
      <c r="BU54">
        <v>1800</v>
      </c>
      <c r="BV54">
        <v>0.91000800000000004</v>
      </c>
      <c r="BW54">
        <v>3.4006799999999997E-2</v>
      </c>
      <c r="BX54">
        <v>2.19934E-2</v>
      </c>
      <c r="BY54">
        <v>3.3991500000000001E-2</v>
      </c>
      <c r="BZ54">
        <v>26</v>
      </c>
      <c r="CA54">
        <v>33528.400000000001</v>
      </c>
      <c r="CB54">
        <v>1690303320.5</v>
      </c>
      <c r="CC54" t="s">
        <v>332</v>
      </c>
      <c r="CD54">
        <v>1690303320.5</v>
      </c>
      <c r="CE54">
        <v>1690303310.0999999</v>
      </c>
      <c r="CF54">
        <v>8</v>
      </c>
      <c r="CG54">
        <v>7.3999999999999996E-2</v>
      </c>
      <c r="CH54">
        <v>-0.01</v>
      </c>
      <c r="CI54">
        <v>-0.24199999999999999</v>
      </c>
      <c r="CJ54">
        <v>0.27200000000000002</v>
      </c>
      <c r="CK54">
        <v>800</v>
      </c>
      <c r="CL54">
        <v>23</v>
      </c>
      <c r="CM54">
        <v>0.06</v>
      </c>
      <c r="CN54">
        <v>0.09</v>
      </c>
      <c r="CO54">
        <v>-27.4435</v>
      </c>
      <c r="CP54">
        <v>-7.7673198606272189</v>
      </c>
      <c r="CQ54">
        <v>0.76680218169594327</v>
      </c>
      <c r="CR54">
        <v>-1</v>
      </c>
      <c r="CS54">
        <v>3.2159714634146339</v>
      </c>
      <c r="CT54">
        <v>-0.38945728222996517</v>
      </c>
      <c r="CU54">
        <v>4.163339340768301E-2</v>
      </c>
      <c r="CV54">
        <v>-1</v>
      </c>
      <c r="CW54">
        <v>0</v>
      </c>
      <c r="CX54">
        <v>0</v>
      </c>
      <c r="CY54" t="s">
        <v>333</v>
      </c>
      <c r="CZ54">
        <v>2.3638499999999998</v>
      </c>
      <c r="DA54">
        <v>2.7137899999999999</v>
      </c>
      <c r="DB54">
        <v>0.14329900000000001</v>
      </c>
      <c r="DC54">
        <v>0.146511</v>
      </c>
      <c r="DD54">
        <v>0.10453900000000001</v>
      </c>
      <c r="DE54">
        <v>9.2349899999999999E-2</v>
      </c>
      <c r="DF54">
        <v>31271.7</v>
      </c>
      <c r="DG54">
        <v>27501.3</v>
      </c>
      <c r="DH54">
        <v>31163.5</v>
      </c>
      <c r="DI54">
        <v>28078</v>
      </c>
      <c r="DJ54">
        <v>37891.4</v>
      </c>
      <c r="DK54">
        <v>36243.199999999997</v>
      </c>
      <c r="DL54">
        <v>44349.599999999999</v>
      </c>
      <c r="DM54">
        <v>42563.6</v>
      </c>
      <c r="DN54">
        <v>1.43062</v>
      </c>
      <c r="DO54">
        <v>2.0520700000000001</v>
      </c>
      <c r="DP54">
        <v>0.15538199999999999</v>
      </c>
      <c r="DQ54">
        <v>0.110582</v>
      </c>
      <c r="DR54">
        <v>24.823899999999998</v>
      </c>
      <c r="DS54">
        <v>24.468599999999999</v>
      </c>
      <c r="DT54">
        <v>57.1</v>
      </c>
      <c r="DU54">
        <v>29.1</v>
      </c>
      <c r="DV54">
        <v>23.2638</v>
      </c>
      <c r="DW54">
        <v>61.661200000000001</v>
      </c>
      <c r="DX54">
        <v>36.061700000000002</v>
      </c>
      <c r="DY54">
        <v>1</v>
      </c>
      <c r="DZ54">
        <v>-5.5309999999999998E-2</v>
      </c>
      <c r="EA54">
        <v>3.45824</v>
      </c>
      <c r="EB54">
        <v>20.148</v>
      </c>
      <c r="EC54">
        <v>5.2409499999999998</v>
      </c>
      <c r="ED54">
        <v>12.039899999999999</v>
      </c>
      <c r="EE54">
        <v>5.01715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</v>
      </c>
      <c r="EL54">
        <v>1.8646199999999999</v>
      </c>
      <c r="EM54">
        <v>1.8692</v>
      </c>
      <c r="EN54">
        <v>1.8672599999999999</v>
      </c>
      <c r="EO54">
        <v>1.8633999999999999</v>
      </c>
      <c r="EP54">
        <v>1.8644700000000001</v>
      </c>
      <c r="EQ54">
        <v>1.87018</v>
      </c>
      <c r="ER54">
        <v>1.8693900000000001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-0.222</v>
      </c>
      <c r="FG54">
        <v>0.27179999999999999</v>
      </c>
      <c r="FH54">
        <v>0.30965466913576151</v>
      </c>
      <c r="FI54">
        <v>-6.1462078757559423E-4</v>
      </c>
      <c r="FJ54">
        <v>-1.8861989874597051E-7</v>
      </c>
      <c r="FK54">
        <v>1.1980462299894961E-10</v>
      </c>
      <c r="FL54">
        <v>0.27184999999999349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16.100000000000001</v>
      </c>
      <c r="FU54">
        <v>16.3</v>
      </c>
      <c r="FV54">
        <v>1.78955</v>
      </c>
      <c r="FW54">
        <v>2.5903299999999998</v>
      </c>
      <c r="FX54">
        <v>1.5490699999999999</v>
      </c>
      <c r="FY54">
        <v>2.3290999999999999</v>
      </c>
      <c r="FZ54">
        <v>1.50146</v>
      </c>
      <c r="GA54">
        <v>2.3913600000000002</v>
      </c>
      <c r="GB54">
        <v>33.850900000000003</v>
      </c>
      <c r="GC54">
        <v>23.973700000000001</v>
      </c>
      <c r="GD54">
        <v>19</v>
      </c>
      <c r="GE54">
        <v>265.25400000000002</v>
      </c>
      <c r="GF54">
        <v>599.70399999999995</v>
      </c>
      <c r="GG54">
        <v>19.054099999999998</v>
      </c>
      <c r="GH54">
        <v>26.6234</v>
      </c>
      <c r="GI54">
        <v>30</v>
      </c>
      <c r="GJ54">
        <v>26.680199999999999</v>
      </c>
      <c r="GK54">
        <v>26.638100000000001</v>
      </c>
      <c r="GL54">
        <v>35.768000000000001</v>
      </c>
      <c r="GM54">
        <v>30.5672</v>
      </c>
      <c r="GN54">
        <v>99.241200000000006</v>
      </c>
      <c r="GO54">
        <v>19.037299999999998</v>
      </c>
      <c r="GP54">
        <v>800</v>
      </c>
      <c r="GQ54">
        <v>18.133600000000001</v>
      </c>
      <c r="GR54">
        <v>99.711100000000002</v>
      </c>
      <c r="GS54">
        <v>99.564499999999995</v>
      </c>
    </row>
    <row r="55" spans="1:201" x14ac:dyDescent="0.25">
      <c r="A55">
        <v>39</v>
      </c>
      <c r="B55">
        <v>1690304299.5</v>
      </c>
      <c r="C55">
        <v>549.5</v>
      </c>
      <c r="D55" t="s">
        <v>409</v>
      </c>
      <c r="E55" t="s">
        <v>410</v>
      </c>
      <c r="F55" t="s">
        <v>330</v>
      </c>
      <c r="H55">
        <v>1690304299.5</v>
      </c>
      <c r="I55">
        <f t="shared" si="0"/>
        <v>2.8352773818147964E-4</v>
      </c>
      <c r="J55">
        <f t="shared" si="1"/>
        <v>0.28352773818147964</v>
      </c>
      <c r="K55">
        <f t="shared" si="2"/>
        <v>2.5472328937128164</v>
      </c>
      <c r="L55">
        <f t="shared" si="3"/>
        <v>769.654</v>
      </c>
      <c r="M55">
        <f t="shared" si="4"/>
        <v>538.53036695208766</v>
      </c>
      <c r="N55">
        <f t="shared" si="5"/>
        <v>53.513020415330246</v>
      </c>
      <c r="O55">
        <f t="shared" si="6"/>
        <v>76.4794573198226</v>
      </c>
      <c r="P55">
        <f t="shared" si="7"/>
        <v>1.8998849337586336E-2</v>
      </c>
      <c r="Q55">
        <f t="shared" si="8"/>
        <v>2.1028110576579624</v>
      </c>
      <c r="R55">
        <f t="shared" si="9"/>
        <v>1.8903999952663585E-2</v>
      </c>
      <c r="S55">
        <f t="shared" si="10"/>
        <v>1.1823482242032227E-2</v>
      </c>
      <c r="T55">
        <f t="shared" si="11"/>
        <v>276.11282731532617</v>
      </c>
      <c r="U55">
        <f t="shared" si="12"/>
        <v>26.879907317923681</v>
      </c>
      <c r="V55">
        <f t="shared" si="13"/>
        <v>26.879907317923681</v>
      </c>
      <c r="W55">
        <f t="shared" si="14"/>
        <v>3.5539922435284477</v>
      </c>
      <c r="X55">
        <f t="shared" si="15"/>
        <v>67.164126185597894</v>
      </c>
      <c r="Y55">
        <f t="shared" si="16"/>
        <v>2.1060781937217397</v>
      </c>
      <c r="Z55">
        <f t="shared" si="17"/>
        <v>3.1357188924068056</v>
      </c>
      <c r="AA55">
        <f t="shared" si="18"/>
        <v>1.447914049806708</v>
      </c>
      <c r="AB55">
        <f t="shared" si="19"/>
        <v>-12.503573253803252</v>
      </c>
      <c r="AC55">
        <f t="shared" si="20"/>
        <v>-239.5674451607544</v>
      </c>
      <c r="AD55">
        <f t="shared" si="21"/>
        <v>-24.298953798228617</v>
      </c>
      <c r="AE55">
        <f t="shared" si="22"/>
        <v>-0.25714489746007985</v>
      </c>
      <c r="AF55">
        <v>14</v>
      </c>
      <c r="AG55">
        <v>5</v>
      </c>
      <c r="AH55">
        <f t="shared" si="23"/>
        <v>1</v>
      </c>
      <c r="AI55">
        <f t="shared" si="24"/>
        <v>0</v>
      </c>
      <c r="AJ55">
        <f t="shared" si="25"/>
        <v>53004.846009362744</v>
      </c>
      <c r="AK55">
        <f t="shared" si="26"/>
        <v>1799.99</v>
      </c>
      <c r="AL55">
        <f t="shared" si="27"/>
        <v>1499.10284000462</v>
      </c>
      <c r="AM55">
        <f t="shared" si="28"/>
        <v>0.83283953799999999</v>
      </c>
      <c r="AN55">
        <f t="shared" si="29"/>
        <v>0.15339686737999997</v>
      </c>
      <c r="AO55">
        <v>33</v>
      </c>
      <c r="AP55">
        <v>0.5</v>
      </c>
      <c r="AQ55" t="s">
        <v>331</v>
      </c>
      <c r="AR55">
        <v>2</v>
      </c>
      <c r="AS55">
        <v>1690304299.5</v>
      </c>
      <c r="AT55">
        <v>769.654</v>
      </c>
      <c r="AU55">
        <v>800.05399999999997</v>
      </c>
      <c r="AV55">
        <v>21.194600000000001</v>
      </c>
      <c r="AW55">
        <v>18.143899999999999</v>
      </c>
      <c r="AX55">
        <v>769.875</v>
      </c>
      <c r="AY55">
        <v>20.922799999999999</v>
      </c>
      <c r="AZ55">
        <v>300.197</v>
      </c>
      <c r="BA55">
        <v>99.268699999999995</v>
      </c>
      <c r="BB55">
        <v>9.9921899999999994E-2</v>
      </c>
      <c r="BC55">
        <v>24.7667</v>
      </c>
      <c r="BD55">
        <v>27.2592</v>
      </c>
      <c r="BE55">
        <v>26.219100000000001</v>
      </c>
      <c r="BF55">
        <v>0</v>
      </c>
      <c r="BG55">
        <v>0</v>
      </c>
      <c r="BH55">
        <v>10023.799999999999</v>
      </c>
      <c r="BI55">
        <v>1053.57</v>
      </c>
      <c r="BJ55">
        <v>1.68198</v>
      </c>
      <c r="BK55">
        <v>-30.400099999999998</v>
      </c>
      <c r="BL55">
        <v>786.32</v>
      </c>
      <c r="BM55">
        <v>814.83799999999997</v>
      </c>
      <c r="BN55">
        <v>3.0507499999999999</v>
      </c>
      <c r="BO55">
        <v>800.05399999999997</v>
      </c>
      <c r="BP55">
        <v>18.143899999999999</v>
      </c>
      <c r="BQ55">
        <v>2.1039599999999998</v>
      </c>
      <c r="BR55">
        <v>1.8011200000000001</v>
      </c>
      <c r="BS55">
        <v>18.249199999999998</v>
      </c>
      <c r="BT55">
        <v>15.7965</v>
      </c>
      <c r="BU55">
        <v>1799.99</v>
      </c>
      <c r="BV55">
        <v>0.91000899999999996</v>
      </c>
      <c r="BW55">
        <v>3.4008700000000003E-2</v>
      </c>
      <c r="BX55">
        <v>2.1992399999999999E-2</v>
      </c>
      <c r="BY55">
        <v>3.3989999999999999E-2</v>
      </c>
      <c r="BZ55">
        <v>25.958300000000001</v>
      </c>
      <c r="CA55">
        <v>33528.300000000003</v>
      </c>
      <c r="CB55">
        <v>1690303320.5</v>
      </c>
      <c r="CC55" t="s">
        <v>332</v>
      </c>
      <c r="CD55">
        <v>1690303320.5</v>
      </c>
      <c r="CE55">
        <v>1690303310.0999999</v>
      </c>
      <c r="CF55">
        <v>8</v>
      </c>
      <c r="CG55">
        <v>7.3999999999999996E-2</v>
      </c>
      <c r="CH55">
        <v>-0.01</v>
      </c>
      <c r="CI55">
        <v>-0.24199999999999999</v>
      </c>
      <c r="CJ55">
        <v>0.27200000000000002</v>
      </c>
      <c r="CK55">
        <v>800</v>
      </c>
      <c r="CL55">
        <v>23</v>
      </c>
      <c r="CM55">
        <v>0.06</v>
      </c>
      <c r="CN55">
        <v>0.09</v>
      </c>
      <c r="CO55">
        <v>-28.906902439024389</v>
      </c>
      <c r="CP55">
        <v>-8.2125219512194825</v>
      </c>
      <c r="CQ55">
        <v>0.81132111939388041</v>
      </c>
      <c r="CR55">
        <v>-1</v>
      </c>
      <c r="CS55">
        <v>3.1315170731707318</v>
      </c>
      <c r="CT55">
        <v>-0.5364560278745627</v>
      </c>
      <c r="CU55">
        <v>5.323984489192847E-2</v>
      </c>
      <c r="CV55">
        <v>-1</v>
      </c>
      <c r="CW55">
        <v>0</v>
      </c>
      <c r="CX55">
        <v>0</v>
      </c>
      <c r="CY55" t="s">
        <v>333</v>
      </c>
      <c r="CZ55">
        <v>2.3641399999999999</v>
      </c>
      <c r="DA55">
        <v>2.71373</v>
      </c>
      <c r="DB55">
        <v>0.14313799999999999</v>
      </c>
      <c r="DC55">
        <v>0.14651500000000001</v>
      </c>
      <c r="DD55">
        <v>0.104079</v>
      </c>
      <c r="DE55">
        <v>9.2175199999999999E-2</v>
      </c>
      <c r="DF55">
        <v>31278</v>
      </c>
      <c r="DG55">
        <v>27501.599999999999</v>
      </c>
      <c r="DH55">
        <v>31163.8</v>
      </c>
      <c r="DI55">
        <v>28078.5</v>
      </c>
      <c r="DJ55">
        <v>37911.4</v>
      </c>
      <c r="DK55">
        <v>36250.800000000003</v>
      </c>
      <c r="DL55">
        <v>44350</v>
      </c>
      <c r="DM55">
        <v>42564.3</v>
      </c>
      <c r="DN55">
        <v>1.431</v>
      </c>
      <c r="DO55">
        <v>2.0523799999999999</v>
      </c>
      <c r="DP55">
        <v>0.15093400000000001</v>
      </c>
      <c r="DQ55">
        <v>0.109255</v>
      </c>
      <c r="DR55">
        <v>24.786899999999999</v>
      </c>
      <c r="DS55">
        <v>24.427399999999999</v>
      </c>
      <c r="DT55">
        <v>57.1</v>
      </c>
      <c r="DU55">
        <v>29.1</v>
      </c>
      <c r="DV55">
        <v>23.267700000000001</v>
      </c>
      <c r="DW55">
        <v>61.441200000000002</v>
      </c>
      <c r="DX55">
        <v>35.568899999999999</v>
      </c>
      <c r="DY55">
        <v>1</v>
      </c>
      <c r="DZ55">
        <v>-5.5398900000000001E-2</v>
      </c>
      <c r="EA55">
        <v>3.4958200000000001</v>
      </c>
      <c r="EB55">
        <v>20.147200000000002</v>
      </c>
      <c r="EC55">
        <v>5.2404999999999999</v>
      </c>
      <c r="ED55">
        <v>12.039899999999999</v>
      </c>
      <c r="EE55">
        <v>5.0170000000000003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1.8689100000000001</v>
      </c>
      <c r="EL55">
        <v>1.8646199999999999</v>
      </c>
      <c r="EM55">
        <v>1.8692</v>
      </c>
      <c r="EN55">
        <v>1.8672299999999999</v>
      </c>
      <c r="EO55">
        <v>1.8633999999999999</v>
      </c>
      <c r="EP55">
        <v>1.8644700000000001</v>
      </c>
      <c r="EQ55">
        <v>1.87019</v>
      </c>
      <c r="ER55">
        <v>1.8694299999999999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-0.221</v>
      </c>
      <c r="FG55">
        <v>0.27179999999999999</v>
      </c>
      <c r="FH55">
        <v>0.30965466913576151</v>
      </c>
      <c r="FI55">
        <v>-6.1462078757559423E-4</v>
      </c>
      <c r="FJ55">
        <v>-1.8861989874597051E-7</v>
      </c>
      <c r="FK55">
        <v>1.1980462299894961E-10</v>
      </c>
      <c r="FL55">
        <v>0.27184999999999349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16.3</v>
      </c>
      <c r="FU55">
        <v>16.5</v>
      </c>
      <c r="FV55">
        <v>1.78955</v>
      </c>
      <c r="FW55">
        <v>2.5866699999999998</v>
      </c>
      <c r="FX55">
        <v>1.5490699999999999</v>
      </c>
      <c r="FY55">
        <v>2.3303199999999999</v>
      </c>
      <c r="FZ55">
        <v>1.50146</v>
      </c>
      <c r="GA55">
        <v>2.4169900000000002</v>
      </c>
      <c r="GB55">
        <v>33.8735</v>
      </c>
      <c r="GC55">
        <v>23.973700000000001</v>
      </c>
      <c r="GD55">
        <v>19</v>
      </c>
      <c r="GE55">
        <v>265.40199999999999</v>
      </c>
      <c r="GF55">
        <v>599.95799999999997</v>
      </c>
      <c r="GG55">
        <v>18.945799999999998</v>
      </c>
      <c r="GH55">
        <v>26.617799999999999</v>
      </c>
      <c r="GI55">
        <v>30</v>
      </c>
      <c r="GJ55">
        <v>26.6784</v>
      </c>
      <c r="GK55">
        <v>26.638100000000001</v>
      </c>
      <c r="GL55">
        <v>35.770800000000001</v>
      </c>
      <c r="GM55">
        <v>30.850100000000001</v>
      </c>
      <c r="GN55">
        <v>99.241200000000006</v>
      </c>
      <c r="GO55">
        <v>18.930299999999999</v>
      </c>
      <c r="GP55">
        <v>800</v>
      </c>
      <c r="GQ55">
        <v>18.0261</v>
      </c>
      <c r="GR55">
        <v>99.712199999999996</v>
      </c>
      <c r="GS55">
        <v>99.566100000000006</v>
      </c>
    </row>
    <row r="56" spans="1:201" x14ac:dyDescent="0.25">
      <c r="A56">
        <v>40</v>
      </c>
      <c r="B56">
        <v>1690304309.5</v>
      </c>
      <c r="C56">
        <v>559.5</v>
      </c>
      <c r="D56" t="s">
        <v>411</v>
      </c>
      <c r="E56" t="s">
        <v>412</v>
      </c>
      <c r="F56" t="s">
        <v>330</v>
      </c>
      <c r="H56">
        <v>1690304309.5</v>
      </c>
      <c r="I56">
        <f t="shared" si="0"/>
        <v>2.8403770043511909E-4</v>
      </c>
      <c r="J56">
        <f t="shared" si="1"/>
        <v>0.28403770043511911</v>
      </c>
      <c r="K56">
        <f t="shared" si="2"/>
        <v>2.6666610035364426</v>
      </c>
      <c r="L56">
        <f t="shared" si="3"/>
        <v>768.26</v>
      </c>
      <c r="M56">
        <f t="shared" si="4"/>
        <v>527.5988277293643</v>
      </c>
      <c r="N56">
        <f t="shared" si="5"/>
        <v>52.424047547607941</v>
      </c>
      <c r="O56">
        <f t="shared" si="6"/>
        <v>76.336975467247996</v>
      </c>
      <c r="P56">
        <f t="shared" si="7"/>
        <v>1.9033933184190412E-2</v>
      </c>
      <c r="Q56">
        <f t="shared" si="8"/>
        <v>2.1049310295375299</v>
      </c>
      <c r="R56">
        <f t="shared" si="9"/>
        <v>1.8938829481925549E-2</v>
      </c>
      <c r="S56">
        <f t="shared" si="10"/>
        <v>1.1845273408246711E-2</v>
      </c>
      <c r="T56">
        <f t="shared" si="11"/>
        <v>276.11264884631765</v>
      </c>
      <c r="U56">
        <f t="shared" si="12"/>
        <v>26.822698356003119</v>
      </c>
      <c r="V56">
        <f t="shared" si="13"/>
        <v>26.822698356003119</v>
      </c>
      <c r="W56">
        <f t="shared" si="14"/>
        <v>3.5420575645210595</v>
      </c>
      <c r="X56">
        <f t="shared" si="15"/>
        <v>67.002864338917135</v>
      </c>
      <c r="Y56">
        <f t="shared" si="16"/>
        <v>2.0941048933529598</v>
      </c>
      <c r="Z56">
        <f t="shared" si="17"/>
        <v>3.125396076741521</v>
      </c>
      <c r="AA56">
        <f t="shared" si="18"/>
        <v>1.4479526711680997</v>
      </c>
      <c r="AB56">
        <f t="shared" si="19"/>
        <v>-12.526062589188752</v>
      </c>
      <c r="AC56">
        <f t="shared" si="20"/>
        <v>-239.58098859946031</v>
      </c>
      <c r="AD56">
        <f t="shared" si="21"/>
        <v>-24.262157790795396</v>
      </c>
      <c r="AE56">
        <f t="shared" si="22"/>
        <v>-0.25656013312678283</v>
      </c>
      <c r="AF56">
        <v>14</v>
      </c>
      <c r="AG56">
        <v>5</v>
      </c>
      <c r="AH56">
        <f t="shared" si="23"/>
        <v>1</v>
      </c>
      <c r="AI56">
        <f t="shared" si="24"/>
        <v>0</v>
      </c>
      <c r="AJ56">
        <f t="shared" si="25"/>
        <v>53109.709003077252</v>
      </c>
      <c r="AK56">
        <f t="shared" si="26"/>
        <v>1799.99</v>
      </c>
      <c r="AL56">
        <f t="shared" si="27"/>
        <v>1499.10340700147</v>
      </c>
      <c r="AM56">
        <f t="shared" si="28"/>
        <v>0.83283985300000007</v>
      </c>
      <c r="AN56">
        <f t="shared" si="29"/>
        <v>0.15339676822999998</v>
      </c>
      <c r="AO56">
        <v>33</v>
      </c>
      <c r="AP56">
        <v>0.5</v>
      </c>
      <c r="AQ56" t="s">
        <v>331</v>
      </c>
      <c r="AR56">
        <v>2</v>
      </c>
      <c r="AS56">
        <v>1690304309.5</v>
      </c>
      <c r="AT56">
        <v>768.26</v>
      </c>
      <c r="AU56">
        <v>799.96699999999998</v>
      </c>
      <c r="AV56">
        <v>21.075199999999999</v>
      </c>
      <c r="AW56">
        <v>18.019200000000001</v>
      </c>
      <c r="AX56">
        <v>768.48</v>
      </c>
      <c r="AY56">
        <v>20.8033</v>
      </c>
      <c r="AZ56">
        <v>300.25200000000001</v>
      </c>
      <c r="BA56">
        <v>99.263499999999993</v>
      </c>
      <c r="BB56">
        <v>9.9964800000000006E-2</v>
      </c>
      <c r="BC56">
        <v>24.711500000000001</v>
      </c>
      <c r="BD56">
        <v>27.192399999999999</v>
      </c>
      <c r="BE56">
        <v>26.192900000000002</v>
      </c>
      <c r="BF56">
        <v>0</v>
      </c>
      <c r="BG56">
        <v>0</v>
      </c>
      <c r="BH56">
        <v>10043.1</v>
      </c>
      <c r="BI56">
        <v>1052.8399999999999</v>
      </c>
      <c r="BJ56">
        <v>1.68198</v>
      </c>
      <c r="BK56">
        <v>-31.706700000000001</v>
      </c>
      <c r="BL56">
        <v>784.8</v>
      </c>
      <c r="BM56">
        <v>814.64599999999996</v>
      </c>
      <c r="BN56">
        <v>3.0559500000000002</v>
      </c>
      <c r="BO56">
        <v>799.96699999999998</v>
      </c>
      <c r="BP56">
        <v>18.019200000000001</v>
      </c>
      <c r="BQ56">
        <v>2.0920000000000001</v>
      </c>
      <c r="BR56">
        <v>1.7886500000000001</v>
      </c>
      <c r="BS56">
        <v>18.1584</v>
      </c>
      <c r="BT56">
        <v>15.688000000000001</v>
      </c>
      <c r="BU56">
        <v>1799.99</v>
      </c>
      <c r="BV56">
        <v>0.91001299999999996</v>
      </c>
      <c r="BW56">
        <v>3.4007200000000001E-2</v>
      </c>
      <c r="BX56">
        <v>2.1991400000000001E-2</v>
      </c>
      <c r="BY56">
        <v>3.3988499999999998E-2</v>
      </c>
      <c r="BZ56">
        <v>25.958300000000001</v>
      </c>
      <c r="CA56">
        <v>33528.400000000001</v>
      </c>
      <c r="CB56">
        <v>1690303320.5</v>
      </c>
      <c r="CC56" t="s">
        <v>332</v>
      </c>
      <c r="CD56">
        <v>1690303320.5</v>
      </c>
      <c r="CE56">
        <v>1690303310.0999999</v>
      </c>
      <c r="CF56">
        <v>8</v>
      </c>
      <c r="CG56">
        <v>7.3999999999999996E-2</v>
      </c>
      <c r="CH56">
        <v>-0.01</v>
      </c>
      <c r="CI56">
        <v>-0.24199999999999999</v>
      </c>
      <c r="CJ56">
        <v>0.27200000000000002</v>
      </c>
      <c r="CK56">
        <v>800</v>
      </c>
      <c r="CL56">
        <v>23</v>
      </c>
      <c r="CM56">
        <v>0.06</v>
      </c>
      <c r="CN56">
        <v>0.09</v>
      </c>
      <c r="CO56">
        <v>-30.15678048780488</v>
      </c>
      <c r="CP56">
        <v>-8.185536585365913</v>
      </c>
      <c r="CQ56">
        <v>0.8088666525271605</v>
      </c>
      <c r="CR56">
        <v>-1</v>
      </c>
      <c r="CS56">
        <v>3.0721770731707321</v>
      </c>
      <c r="CT56">
        <v>-0.30423114982577448</v>
      </c>
      <c r="CU56">
        <v>3.4000787598044403E-2</v>
      </c>
      <c r="CV56">
        <v>-1</v>
      </c>
      <c r="CW56">
        <v>0</v>
      </c>
      <c r="CX56">
        <v>0</v>
      </c>
      <c r="CY56" t="s">
        <v>333</v>
      </c>
      <c r="CZ56">
        <v>2.3643100000000001</v>
      </c>
      <c r="DA56">
        <v>2.7138</v>
      </c>
      <c r="DB56">
        <v>0.142955</v>
      </c>
      <c r="DC56">
        <v>0.14649400000000001</v>
      </c>
      <c r="DD56">
        <v>0.10365099999999999</v>
      </c>
      <c r="DE56">
        <v>9.1715599999999994E-2</v>
      </c>
      <c r="DF56">
        <v>31284.6</v>
      </c>
      <c r="DG56">
        <v>27502.6</v>
      </c>
      <c r="DH56">
        <v>31163.8</v>
      </c>
      <c r="DI56">
        <v>28078.799999999999</v>
      </c>
      <c r="DJ56">
        <v>37929.5</v>
      </c>
      <c r="DK56">
        <v>36269.599999999999</v>
      </c>
      <c r="DL56">
        <v>44349.9</v>
      </c>
      <c r="DM56">
        <v>42564.800000000003</v>
      </c>
      <c r="DN56">
        <v>1.4307700000000001</v>
      </c>
      <c r="DO56">
        <v>2.0522</v>
      </c>
      <c r="DP56">
        <v>0.149168</v>
      </c>
      <c r="DQ56">
        <v>0.110157</v>
      </c>
      <c r="DR56">
        <v>24.748799999999999</v>
      </c>
      <c r="DS56">
        <v>24.386399999999998</v>
      </c>
      <c r="DT56">
        <v>57.1</v>
      </c>
      <c r="DU56">
        <v>29.1</v>
      </c>
      <c r="DV56">
        <v>23.271999999999998</v>
      </c>
      <c r="DW56">
        <v>61.281199999999998</v>
      </c>
      <c r="DX56">
        <v>34.996000000000002</v>
      </c>
      <c r="DY56">
        <v>1</v>
      </c>
      <c r="DZ56">
        <v>-5.5434499999999998E-2</v>
      </c>
      <c r="EA56">
        <v>3.5317400000000001</v>
      </c>
      <c r="EB56">
        <v>20.1465</v>
      </c>
      <c r="EC56">
        <v>5.2408000000000001</v>
      </c>
      <c r="ED56">
        <v>12.039899999999999</v>
      </c>
      <c r="EE56">
        <v>5.0168499999999998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1.8689100000000001</v>
      </c>
      <c r="EL56">
        <v>1.8646199999999999</v>
      </c>
      <c r="EM56">
        <v>1.8692</v>
      </c>
      <c r="EN56">
        <v>1.8672299999999999</v>
      </c>
      <c r="EO56">
        <v>1.8633999999999999</v>
      </c>
      <c r="EP56">
        <v>1.8644700000000001</v>
      </c>
      <c r="EQ56">
        <v>1.8701700000000001</v>
      </c>
      <c r="ER56">
        <v>1.86941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-0.22</v>
      </c>
      <c r="FG56">
        <v>0.27189999999999998</v>
      </c>
      <c r="FH56">
        <v>0.30965466913576151</v>
      </c>
      <c r="FI56">
        <v>-6.1462078757559423E-4</v>
      </c>
      <c r="FJ56">
        <v>-1.8861989874597051E-7</v>
      </c>
      <c r="FK56">
        <v>1.1980462299894961E-10</v>
      </c>
      <c r="FL56">
        <v>0.27184999999999349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16.5</v>
      </c>
      <c r="FU56">
        <v>16.7</v>
      </c>
      <c r="FV56">
        <v>1.78955</v>
      </c>
      <c r="FW56">
        <v>2.5866699999999998</v>
      </c>
      <c r="FX56">
        <v>1.5490699999999999</v>
      </c>
      <c r="FY56">
        <v>2.3303199999999999</v>
      </c>
      <c r="FZ56">
        <v>1.50146</v>
      </c>
      <c r="GA56">
        <v>2.3864700000000001</v>
      </c>
      <c r="GB56">
        <v>33.8735</v>
      </c>
      <c r="GC56">
        <v>23.973700000000001</v>
      </c>
      <c r="GD56">
        <v>19</v>
      </c>
      <c r="GE56">
        <v>265.30700000000002</v>
      </c>
      <c r="GF56">
        <v>599.80999999999995</v>
      </c>
      <c r="GG56">
        <v>18.8415</v>
      </c>
      <c r="GH56">
        <v>26.611599999999999</v>
      </c>
      <c r="GI56">
        <v>30</v>
      </c>
      <c r="GJ56">
        <v>26.677900000000001</v>
      </c>
      <c r="GK56">
        <v>26.638100000000001</v>
      </c>
      <c r="GL56">
        <v>35.771799999999999</v>
      </c>
      <c r="GM56">
        <v>31.120799999999999</v>
      </c>
      <c r="GN56">
        <v>99.241200000000006</v>
      </c>
      <c r="GO56">
        <v>18.826799999999999</v>
      </c>
      <c r="GP56">
        <v>800</v>
      </c>
      <c r="GQ56">
        <v>18.013100000000001</v>
      </c>
      <c r="GR56">
        <v>99.7119</v>
      </c>
      <c r="GS56">
        <v>99.567400000000006</v>
      </c>
    </row>
    <row r="57" spans="1:201" x14ac:dyDescent="0.25">
      <c r="A57">
        <v>41</v>
      </c>
      <c r="B57">
        <v>1690304319.5</v>
      </c>
      <c r="C57">
        <v>569.5</v>
      </c>
      <c r="D57" t="s">
        <v>413</v>
      </c>
      <c r="E57" t="s">
        <v>414</v>
      </c>
      <c r="F57" t="s">
        <v>330</v>
      </c>
      <c r="H57">
        <v>1690304319.5</v>
      </c>
      <c r="I57">
        <f t="shared" si="0"/>
        <v>2.7557010952177348E-4</v>
      </c>
      <c r="J57">
        <f t="shared" si="1"/>
        <v>0.27557010952177347</v>
      </c>
      <c r="K57">
        <f t="shared" si="2"/>
        <v>2.8099097913772306</v>
      </c>
      <c r="L57">
        <f t="shared" si="3"/>
        <v>766.78300000000002</v>
      </c>
      <c r="M57">
        <f t="shared" si="4"/>
        <v>506.58738826896189</v>
      </c>
      <c r="N57">
        <f t="shared" si="5"/>
        <v>50.337819718468168</v>
      </c>
      <c r="O57">
        <f t="shared" si="6"/>
        <v>76.192549027085704</v>
      </c>
      <c r="P57">
        <f t="shared" si="7"/>
        <v>1.8434290881893169E-2</v>
      </c>
      <c r="Q57">
        <f t="shared" si="8"/>
        <v>2.0995276027738563</v>
      </c>
      <c r="R57">
        <f t="shared" si="9"/>
        <v>1.8344841476891756E-2</v>
      </c>
      <c r="S57">
        <f t="shared" si="10"/>
        <v>1.1473526321964654E-2</v>
      </c>
      <c r="T57">
        <f t="shared" si="11"/>
        <v>276.11404506000002</v>
      </c>
      <c r="U57">
        <f t="shared" si="12"/>
        <v>26.780942006200604</v>
      </c>
      <c r="V57">
        <f t="shared" si="13"/>
        <v>26.780942006200604</v>
      </c>
      <c r="W57">
        <f t="shared" si="14"/>
        <v>3.5333686437449043</v>
      </c>
      <c r="X57">
        <f t="shared" si="15"/>
        <v>66.843012650641995</v>
      </c>
      <c r="Y57">
        <f t="shared" si="16"/>
        <v>2.0829008652982202</v>
      </c>
      <c r="Z57">
        <f t="shared" si="17"/>
        <v>3.1161085993903281</v>
      </c>
      <c r="AA57">
        <f t="shared" si="18"/>
        <v>1.4504677784466842</v>
      </c>
      <c r="AB57">
        <f t="shared" si="19"/>
        <v>-12.152641829910211</v>
      </c>
      <c r="AC57">
        <f t="shared" si="20"/>
        <v>-239.87643498087482</v>
      </c>
      <c r="AD57">
        <f t="shared" si="21"/>
        <v>-24.34340546462856</v>
      </c>
      <c r="AE57">
        <f t="shared" si="22"/>
        <v>-0.25843721541357922</v>
      </c>
      <c r="AF57">
        <v>14</v>
      </c>
      <c r="AG57">
        <v>5</v>
      </c>
      <c r="AH57">
        <f t="shared" si="23"/>
        <v>1</v>
      </c>
      <c r="AI57">
        <f t="shared" si="24"/>
        <v>0</v>
      </c>
      <c r="AJ57">
        <f t="shared" si="25"/>
        <v>52876.332159183017</v>
      </c>
      <c r="AK57">
        <f t="shared" si="26"/>
        <v>1800</v>
      </c>
      <c r="AL57">
        <f t="shared" si="27"/>
        <v>1499.1124589999999</v>
      </c>
      <c r="AM57">
        <f t="shared" si="28"/>
        <v>0.83284025499999992</v>
      </c>
      <c r="AN57">
        <f t="shared" si="29"/>
        <v>0.1533966917</v>
      </c>
      <c r="AO57">
        <v>33</v>
      </c>
      <c r="AP57">
        <v>0.5</v>
      </c>
      <c r="AQ57" t="s">
        <v>331</v>
      </c>
      <c r="AR57">
        <v>2</v>
      </c>
      <c r="AS57">
        <v>1690304319.5</v>
      </c>
      <c r="AT57">
        <v>766.78300000000002</v>
      </c>
      <c r="AU57">
        <v>799.98800000000006</v>
      </c>
      <c r="AV57">
        <v>20.9618</v>
      </c>
      <c r="AW57">
        <v>17.996600000000001</v>
      </c>
      <c r="AX57">
        <v>767.00099999999998</v>
      </c>
      <c r="AY57">
        <v>20.689900000000002</v>
      </c>
      <c r="AZ57">
        <v>300.25599999999997</v>
      </c>
      <c r="BA57">
        <v>99.266599999999997</v>
      </c>
      <c r="BB57">
        <v>9.9907899999999994E-2</v>
      </c>
      <c r="BC57">
        <v>24.6617</v>
      </c>
      <c r="BD57">
        <v>27.1814</v>
      </c>
      <c r="BE57">
        <v>26.139099999999999</v>
      </c>
      <c r="BF57">
        <v>0</v>
      </c>
      <c r="BG57">
        <v>0</v>
      </c>
      <c r="BH57">
        <v>9995</v>
      </c>
      <c r="BI57">
        <v>1052.03</v>
      </c>
      <c r="BJ57">
        <v>1.68198</v>
      </c>
      <c r="BK57">
        <v>-33.205800000000004</v>
      </c>
      <c r="BL57">
        <v>783.2</v>
      </c>
      <c r="BM57">
        <v>814.649</v>
      </c>
      <c r="BN57">
        <v>2.96515</v>
      </c>
      <c r="BO57">
        <v>799.98800000000006</v>
      </c>
      <c r="BP57">
        <v>17.996600000000001</v>
      </c>
      <c r="BQ57">
        <v>2.08081</v>
      </c>
      <c r="BR57">
        <v>1.7864599999999999</v>
      </c>
      <c r="BS57">
        <v>18.073</v>
      </c>
      <c r="BT57">
        <v>15.668900000000001</v>
      </c>
      <c r="BU57">
        <v>1800</v>
      </c>
      <c r="BV57">
        <v>0.91001699999999996</v>
      </c>
      <c r="BW57">
        <v>3.40057E-2</v>
      </c>
      <c r="BX57">
        <v>2.19905E-2</v>
      </c>
      <c r="BY57">
        <v>3.3987000000000003E-2</v>
      </c>
      <c r="BZ57">
        <v>26</v>
      </c>
      <c r="CA57">
        <v>33528.5</v>
      </c>
      <c r="CB57">
        <v>1690303320.5</v>
      </c>
      <c r="CC57" t="s">
        <v>332</v>
      </c>
      <c r="CD57">
        <v>1690303320.5</v>
      </c>
      <c r="CE57">
        <v>1690303310.0999999</v>
      </c>
      <c r="CF57">
        <v>8</v>
      </c>
      <c r="CG57">
        <v>7.3999999999999996E-2</v>
      </c>
      <c r="CH57">
        <v>-0.01</v>
      </c>
      <c r="CI57">
        <v>-0.24199999999999999</v>
      </c>
      <c r="CJ57">
        <v>0.27200000000000002</v>
      </c>
      <c r="CK57">
        <v>800</v>
      </c>
      <c r="CL57">
        <v>23</v>
      </c>
      <c r="CM57">
        <v>0.06</v>
      </c>
      <c r="CN57">
        <v>0.09</v>
      </c>
      <c r="CO57">
        <v>-31.628552500000001</v>
      </c>
      <c r="CP57">
        <v>-8.267393245778587</v>
      </c>
      <c r="CQ57">
        <v>0.79629575943474051</v>
      </c>
      <c r="CR57">
        <v>-1</v>
      </c>
      <c r="CS57">
        <v>3.0316917499999998</v>
      </c>
      <c r="CT57">
        <v>-0.19755410881802571</v>
      </c>
      <c r="CU57">
        <v>2.4851894081488048E-2</v>
      </c>
      <c r="CV57">
        <v>-1</v>
      </c>
      <c r="CW57">
        <v>0</v>
      </c>
      <c r="CX57">
        <v>0</v>
      </c>
      <c r="CY57" t="s">
        <v>333</v>
      </c>
      <c r="CZ57">
        <v>2.36436</v>
      </c>
      <c r="DA57">
        <v>2.7136999999999998</v>
      </c>
      <c r="DB57">
        <v>0.14277300000000001</v>
      </c>
      <c r="DC57">
        <v>0.14650099999999999</v>
      </c>
      <c r="DD57">
        <v>0.103253</v>
      </c>
      <c r="DE57">
        <v>9.1636099999999998E-2</v>
      </c>
      <c r="DF57">
        <v>31291.3</v>
      </c>
      <c r="DG57">
        <v>27502.5</v>
      </c>
      <c r="DH57">
        <v>31163.8</v>
      </c>
      <c r="DI57">
        <v>28078.9</v>
      </c>
      <c r="DJ57">
        <v>37946.699999999997</v>
      </c>
      <c r="DK57">
        <v>36272.800000000003</v>
      </c>
      <c r="DL57">
        <v>44350.1</v>
      </c>
      <c r="DM57">
        <v>42564.800000000003</v>
      </c>
      <c r="DN57">
        <v>1.4305000000000001</v>
      </c>
      <c r="DO57">
        <v>2.0521500000000001</v>
      </c>
      <c r="DP57">
        <v>0.15090400000000001</v>
      </c>
      <c r="DQ57">
        <v>0.10936700000000001</v>
      </c>
      <c r="DR57">
        <v>24.709299999999999</v>
      </c>
      <c r="DS57">
        <v>24.345400000000001</v>
      </c>
      <c r="DT57">
        <v>57.1</v>
      </c>
      <c r="DU57">
        <v>29.1</v>
      </c>
      <c r="DV57">
        <v>23.270199999999999</v>
      </c>
      <c r="DW57">
        <v>61.661200000000001</v>
      </c>
      <c r="DX57">
        <v>35.124200000000002</v>
      </c>
      <c r="DY57">
        <v>1</v>
      </c>
      <c r="DZ57">
        <v>-5.5973099999999998E-2</v>
      </c>
      <c r="EA57">
        <v>3.55524</v>
      </c>
      <c r="EB57">
        <v>20.145900000000001</v>
      </c>
      <c r="EC57">
        <v>5.24125</v>
      </c>
      <c r="ED57">
        <v>12.039899999999999</v>
      </c>
      <c r="EE57">
        <v>5.0159500000000001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1.8646199999999999</v>
      </c>
      <c r="EM57">
        <v>1.8692</v>
      </c>
      <c r="EN57">
        <v>1.8672299999999999</v>
      </c>
      <c r="EO57">
        <v>1.8633999999999999</v>
      </c>
      <c r="EP57">
        <v>1.8644700000000001</v>
      </c>
      <c r="EQ57">
        <v>1.8701700000000001</v>
      </c>
      <c r="ER57">
        <v>1.8694299999999999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-0.218</v>
      </c>
      <c r="FG57">
        <v>0.27189999999999998</v>
      </c>
      <c r="FH57">
        <v>0.30965466913576151</v>
      </c>
      <c r="FI57">
        <v>-6.1462078757559423E-4</v>
      </c>
      <c r="FJ57">
        <v>-1.8861989874597051E-7</v>
      </c>
      <c r="FK57">
        <v>1.1980462299894961E-10</v>
      </c>
      <c r="FL57">
        <v>0.27184999999999349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16.600000000000001</v>
      </c>
      <c r="FU57">
        <v>16.8</v>
      </c>
      <c r="FV57">
        <v>1.78955</v>
      </c>
      <c r="FW57">
        <v>2.5891099999999998</v>
      </c>
      <c r="FX57">
        <v>1.5490699999999999</v>
      </c>
      <c r="FY57">
        <v>2.3303199999999999</v>
      </c>
      <c r="FZ57">
        <v>1.50146</v>
      </c>
      <c r="GA57">
        <v>2.3327599999999999</v>
      </c>
      <c r="GB57">
        <v>33.8735</v>
      </c>
      <c r="GC57">
        <v>23.973700000000001</v>
      </c>
      <c r="GD57">
        <v>19</v>
      </c>
      <c r="GE57">
        <v>265.185</v>
      </c>
      <c r="GF57">
        <v>599.76800000000003</v>
      </c>
      <c r="GG57">
        <v>18.7437</v>
      </c>
      <c r="GH57">
        <v>26.606100000000001</v>
      </c>
      <c r="GI57">
        <v>30</v>
      </c>
      <c r="GJ57">
        <v>26.675699999999999</v>
      </c>
      <c r="GK57">
        <v>26.638100000000001</v>
      </c>
      <c r="GL57">
        <v>35.776499999999999</v>
      </c>
      <c r="GM57">
        <v>31.120799999999999</v>
      </c>
      <c r="GN57">
        <v>98.865399999999994</v>
      </c>
      <c r="GO57">
        <v>18.7301</v>
      </c>
      <c r="GP57">
        <v>800</v>
      </c>
      <c r="GQ57">
        <v>17.9161</v>
      </c>
      <c r="GR57">
        <v>99.712299999999999</v>
      </c>
      <c r="GS57">
        <v>99.567499999999995</v>
      </c>
    </row>
    <row r="58" spans="1:201" x14ac:dyDescent="0.25">
      <c r="A58">
        <v>42</v>
      </c>
      <c r="B58">
        <v>1690304329.5</v>
      </c>
      <c r="C58">
        <v>579.5</v>
      </c>
      <c r="D58" t="s">
        <v>415</v>
      </c>
      <c r="E58" t="s">
        <v>416</v>
      </c>
      <c r="F58" t="s">
        <v>330</v>
      </c>
      <c r="H58">
        <v>1690304329.5</v>
      </c>
      <c r="I58">
        <f t="shared" si="0"/>
        <v>2.7108658051853567E-4</v>
      </c>
      <c r="J58">
        <f t="shared" si="1"/>
        <v>0.27108658051853568</v>
      </c>
      <c r="K58">
        <f t="shared" si="2"/>
        <v>2.9397939725265418</v>
      </c>
      <c r="L58">
        <f t="shared" si="3"/>
        <v>765.34</v>
      </c>
      <c r="M58">
        <f t="shared" si="4"/>
        <v>490.25293950051542</v>
      </c>
      <c r="N58">
        <f t="shared" si="5"/>
        <v>48.713972449853465</v>
      </c>
      <c r="O58">
        <f t="shared" si="6"/>
        <v>76.047992109452011</v>
      </c>
      <c r="P58">
        <f t="shared" si="7"/>
        <v>1.8162997029087542E-2</v>
      </c>
      <c r="Q58">
        <f t="shared" si="8"/>
        <v>2.1031191465016708</v>
      </c>
      <c r="R58">
        <f t="shared" si="9"/>
        <v>1.8076301914375183E-2</v>
      </c>
      <c r="S58">
        <f t="shared" si="10"/>
        <v>1.1305443320837605E-2</v>
      </c>
      <c r="T58">
        <f t="shared" si="11"/>
        <v>276.11509231799999</v>
      </c>
      <c r="U58">
        <f t="shared" si="12"/>
        <v>26.722456627731539</v>
      </c>
      <c r="V58">
        <f t="shared" si="13"/>
        <v>26.722456627731539</v>
      </c>
      <c r="W58">
        <f t="shared" si="14"/>
        <v>3.5212299290781823</v>
      </c>
      <c r="X58">
        <f t="shared" si="15"/>
        <v>66.752664872906735</v>
      </c>
      <c r="Y58">
        <f t="shared" si="16"/>
        <v>2.0730217223480598</v>
      </c>
      <c r="Z58">
        <f t="shared" si="17"/>
        <v>3.1055265378468038</v>
      </c>
      <c r="AA58">
        <f t="shared" si="18"/>
        <v>1.4482082067301225</v>
      </c>
      <c r="AB58">
        <f t="shared" si="19"/>
        <v>-11.954918200867423</v>
      </c>
      <c r="AC58">
        <f t="shared" si="20"/>
        <v>-240.10702256335554</v>
      </c>
      <c r="AD58">
        <f t="shared" si="21"/>
        <v>-24.311102918561819</v>
      </c>
      <c r="AE58">
        <f t="shared" si="22"/>
        <v>-0.25795136478478753</v>
      </c>
      <c r="AF58">
        <v>14</v>
      </c>
      <c r="AG58">
        <v>5</v>
      </c>
      <c r="AH58">
        <f t="shared" si="23"/>
        <v>1</v>
      </c>
      <c r="AI58">
        <f t="shared" si="24"/>
        <v>0</v>
      </c>
      <c r="AJ58">
        <f t="shared" si="25"/>
        <v>53047.424829529984</v>
      </c>
      <c r="AK58">
        <f t="shared" si="26"/>
        <v>1800</v>
      </c>
      <c r="AL58">
        <f t="shared" si="27"/>
        <v>1499.1127847999999</v>
      </c>
      <c r="AM58">
        <f t="shared" si="28"/>
        <v>0.83284043599999991</v>
      </c>
      <c r="AN58">
        <f t="shared" si="29"/>
        <v>0.15339727350999999</v>
      </c>
      <c r="AO58">
        <v>33</v>
      </c>
      <c r="AP58">
        <v>0.5</v>
      </c>
      <c r="AQ58" t="s">
        <v>331</v>
      </c>
      <c r="AR58">
        <v>2</v>
      </c>
      <c r="AS58">
        <v>1690304329.5</v>
      </c>
      <c r="AT58">
        <v>765.34</v>
      </c>
      <c r="AU58">
        <v>799.93100000000004</v>
      </c>
      <c r="AV58">
        <v>20.8627</v>
      </c>
      <c r="AW58">
        <v>17.945399999999999</v>
      </c>
      <c r="AX58">
        <v>765.55700000000002</v>
      </c>
      <c r="AY58">
        <v>20.590800000000002</v>
      </c>
      <c r="AZ58">
        <v>300.25099999999998</v>
      </c>
      <c r="BA58">
        <v>99.265000000000001</v>
      </c>
      <c r="BB58">
        <v>9.9977800000000006E-2</v>
      </c>
      <c r="BC58">
        <v>24.604800000000001</v>
      </c>
      <c r="BD58">
        <v>27.08</v>
      </c>
      <c r="BE58">
        <v>26.044699999999999</v>
      </c>
      <c r="BF58">
        <v>0</v>
      </c>
      <c r="BG58">
        <v>0</v>
      </c>
      <c r="BH58">
        <v>10026.9</v>
      </c>
      <c r="BI58">
        <v>1051.3399999999999</v>
      </c>
      <c r="BJ58">
        <v>1.68479</v>
      </c>
      <c r="BK58">
        <v>-34.590899999999998</v>
      </c>
      <c r="BL58">
        <v>781.64700000000005</v>
      </c>
      <c r="BM58">
        <v>814.548</v>
      </c>
      <c r="BN58">
        <v>2.9172500000000001</v>
      </c>
      <c r="BO58">
        <v>799.93100000000004</v>
      </c>
      <c r="BP58">
        <v>17.945399999999999</v>
      </c>
      <c r="BQ58">
        <v>2.0709399999999998</v>
      </c>
      <c r="BR58">
        <v>1.78135</v>
      </c>
      <c r="BS58">
        <v>17.997399999999999</v>
      </c>
      <c r="BT58">
        <v>15.6241</v>
      </c>
      <c r="BU58">
        <v>1800</v>
      </c>
      <c r="BV58">
        <v>0.91000999999999999</v>
      </c>
      <c r="BW58">
        <v>3.4004600000000003E-2</v>
      </c>
      <c r="BX58">
        <v>2.1999299999999999E-2</v>
      </c>
      <c r="BY58">
        <v>3.3985899999999999E-2</v>
      </c>
      <c r="BZ58">
        <v>25.875</v>
      </c>
      <c r="CA58">
        <v>33528.400000000001</v>
      </c>
      <c r="CB58">
        <v>1690303320.5</v>
      </c>
      <c r="CC58" t="s">
        <v>332</v>
      </c>
      <c r="CD58">
        <v>1690303320.5</v>
      </c>
      <c r="CE58">
        <v>1690303310.0999999</v>
      </c>
      <c r="CF58">
        <v>8</v>
      </c>
      <c r="CG58">
        <v>7.3999999999999996E-2</v>
      </c>
      <c r="CH58">
        <v>-0.01</v>
      </c>
      <c r="CI58">
        <v>-0.24199999999999999</v>
      </c>
      <c r="CJ58">
        <v>0.27200000000000002</v>
      </c>
      <c r="CK58">
        <v>800</v>
      </c>
      <c r="CL58">
        <v>23</v>
      </c>
      <c r="CM58">
        <v>0.06</v>
      </c>
      <c r="CN58">
        <v>0.09</v>
      </c>
      <c r="CO58">
        <v>-33.101629268292683</v>
      </c>
      <c r="CP58">
        <v>-9.0120710801393553</v>
      </c>
      <c r="CQ58">
        <v>0.88914760173997687</v>
      </c>
      <c r="CR58">
        <v>-1</v>
      </c>
      <c r="CS58">
        <v>2.9787497560975611</v>
      </c>
      <c r="CT58">
        <v>-0.42040808362369619</v>
      </c>
      <c r="CU58">
        <v>4.2533700583259462E-2</v>
      </c>
      <c r="CV58">
        <v>-1</v>
      </c>
      <c r="CW58">
        <v>0</v>
      </c>
      <c r="CX58">
        <v>0</v>
      </c>
      <c r="CY58" t="s">
        <v>333</v>
      </c>
      <c r="CZ58">
        <v>2.3643200000000002</v>
      </c>
      <c r="DA58">
        <v>2.7137899999999999</v>
      </c>
      <c r="DB58">
        <v>0.14258799999999999</v>
      </c>
      <c r="DC58">
        <v>0.14649100000000001</v>
      </c>
      <c r="DD58">
        <v>0.102899</v>
      </c>
      <c r="DE58">
        <v>9.1447500000000001E-2</v>
      </c>
      <c r="DF58">
        <v>31298.7</v>
      </c>
      <c r="DG58">
        <v>27503.1</v>
      </c>
      <c r="DH58">
        <v>31164.400000000001</v>
      </c>
      <c r="DI58">
        <v>28079.1</v>
      </c>
      <c r="DJ58">
        <v>37962.400000000001</v>
      </c>
      <c r="DK58">
        <v>36280.800000000003</v>
      </c>
      <c r="DL58">
        <v>44350.9</v>
      </c>
      <c r="DM58">
        <v>42565.3</v>
      </c>
      <c r="DN58">
        <v>1.4311</v>
      </c>
      <c r="DO58">
        <v>2.0520299999999998</v>
      </c>
      <c r="DP58">
        <v>0.147142</v>
      </c>
      <c r="DQ58">
        <v>0.106096</v>
      </c>
      <c r="DR58">
        <v>24.6692</v>
      </c>
      <c r="DS58">
        <v>24.304400000000001</v>
      </c>
      <c r="DT58">
        <v>57.1</v>
      </c>
      <c r="DU58">
        <v>29.1</v>
      </c>
      <c r="DV58">
        <v>23.269300000000001</v>
      </c>
      <c r="DW58">
        <v>61.3812</v>
      </c>
      <c r="DX58">
        <v>35.621000000000002</v>
      </c>
      <c r="DY58">
        <v>1</v>
      </c>
      <c r="DZ58">
        <v>-5.6107700000000003E-2</v>
      </c>
      <c r="EA58">
        <v>3.5680700000000001</v>
      </c>
      <c r="EB58">
        <v>20.145700000000001</v>
      </c>
      <c r="EC58">
        <v>5.2406499999999996</v>
      </c>
      <c r="ED58">
        <v>12.039899999999999</v>
      </c>
      <c r="EE58">
        <v>5.01675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1.86463</v>
      </c>
      <c r="EM58">
        <v>1.8692</v>
      </c>
      <c r="EN58">
        <v>1.8672299999999999</v>
      </c>
      <c r="EO58">
        <v>1.8633999999999999</v>
      </c>
      <c r="EP58">
        <v>1.8644700000000001</v>
      </c>
      <c r="EQ58">
        <v>1.87016</v>
      </c>
      <c r="ER58">
        <v>1.86944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-0.217</v>
      </c>
      <c r="FG58">
        <v>0.27189999999999998</v>
      </c>
      <c r="FH58">
        <v>0.30965466913576151</v>
      </c>
      <c r="FI58">
        <v>-6.1462078757559423E-4</v>
      </c>
      <c r="FJ58">
        <v>-1.8861989874597051E-7</v>
      </c>
      <c r="FK58">
        <v>1.1980462299894961E-10</v>
      </c>
      <c r="FL58">
        <v>0.27184999999999349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16.8</v>
      </c>
      <c r="FU58">
        <v>17</v>
      </c>
      <c r="FV58">
        <v>1.78955</v>
      </c>
      <c r="FW58">
        <v>2.5964399999999999</v>
      </c>
      <c r="FX58">
        <v>1.5490699999999999</v>
      </c>
      <c r="FY58">
        <v>2.3303199999999999</v>
      </c>
      <c r="FZ58">
        <v>1.50146</v>
      </c>
      <c r="GA58">
        <v>2.2875999999999999</v>
      </c>
      <c r="GB58">
        <v>33.8735</v>
      </c>
      <c r="GC58">
        <v>23.9649</v>
      </c>
      <c r="GD58">
        <v>19</v>
      </c>
      <c r="GE58">
        <v>265.43</v>
      </c>
      <c r="GF58">
        <v>599.66800000000001</v>
      </c>
      <c r="GG58">
        <v>18.651399999999999</v>
      </c>
      <c r="GH58">
        <v>26.6004</v>
      </c>
      <c r="GI58">
        <v>29.9999</v>
      </c>
      <c r="GJ58">
        <v>26.675699999999999</v>
      </c>
      <c r="GK58">
        <v>26.6386</v>
      </c>
      <c r="GL58">
        <v>35.777200000000001</v>
      </c>
      <c r="GM58">
        <v>31.405999999999999</v>
      </c>
      <c r="GN58">
        <v>98.865399999999994</v>
      </c>
      <c r="GO58">
        <v>18.6401</v>
      </c>
      <c r="GP58">
        <v>800</v>
      </c>
      <c r="GQ58">
        <v>17.904900000000001</v>
      </c>
      <c r="GR58">
        <v>99.714100000000002</v>
      </c>
      <c r="GS58">
        <v>99.568399999999997</v>
      </c>
    </row>
    <row r="59" spans="1:201" x14ac:dyDescent="0.25">
      <c r="A59">
        <v>43</v>
      </c>
      <c r="B59">
        <v>1690304339.5</v>
      </c>
      <c r="C59">
        <v>589.5</v>
      </c>
      <c r="D59" t="s">
        <v>417</v>
      </c>
      <c r="E59" t="s">
        <v>418</v>
      </c>
      <c r="F59" t="s">
        <v>330</v>
      </c>
      <c r="H59">
        <v>1690304339.5</v>
      </c>
      <c r="I59">
        <f t="shared" si="0"/>
        <v>2.7218628032891828E-4</v>
      </c>
      <c r="J59">
        <f t="shared" si="1"/>
        <v>0.27218628032891828</v>
      </c>
      <c r="K59">
        <f t="shared" si="2"/>
        <v>3.0856327774785166</v>
      </c>
      <c r="L59">
        <f t="shared" si="3"/>
        <v>763.83399999999995</v>
      </c>
      <c r="M59">
        <f t="shared" si="4"/>
        <v>477.69631135247363</v>
      </c>
      <c r="N59">
        <f t="shared" si="5"/>
        <v>47.464929676873318</v>
      </c>
      <c r="O59">
        <f t="shared" si="6"/>
        <v>75.896183900095991</v>
      </c>
      <c r="P59">
        <f t="shared" si="7"/>
        <v>1.8274070699750802E-2</v>
      </c>
      <c r="Q59">
        <f t="shared" si="8"/>
        <v>2.1002579805988626</v>
      </c>
      <c r="R59">
        <f t="shared" si="9"/>
        <v>1.8186195831655427E-2</v>
      </c>
      <c r="S59">
        <f t="shared" si="10"/>
        <v>1.1374232284964564E-2</v>
      </c>
      <c r="T59">
        <f t="shared" si="11"/>
        <v>276.11505435295373</v>
      </c>
      <c r="U59">
        <f t="shared" si="12"/>
        <v>26.666901710477713</v>
      </c>
      <c r="V59">
        <f t="shared" si="13"/>
        <v>26.666901710477713</v>
      </c>
      <c r="W59">
        <f t="shared" si="14"/>
        <v>3.5097331689252238</v>
      </c>
      <c r="X59">
        <f t="shared" si="15"/>
        <v>66.7033151512546</v>
      </c>
      <c r="Y59">
        <f t="shared" si="16"/>
        <v>2.0643280313151999</v>
      </c>
      <c r="Z59">
        <f t="shared" si="17"/>
        <v>3.0947907561028809</v>
      </c>
      <c r="AA59">
        <f t="shared" si="18"/>
        <v>1.4454051376100239</v>
      </c>
      <c r="AB59">
        <f t="shared" si="19"/>
        <v>-12.003414962505296</v>
      </c>
      <c r="AC59">
        <f t="shared" si="20"/>
        <v>-240.04590316596332</v>
      </c>
      <c r="AD59">
        <f t="shared" si="21"/>
        <v>-24.324160225048978</v>
      </c>
      <c r="AE59">
        <f t="shared" si="22"/>
        <v>-0.2584240005638776</v>
      </c>
      <c r="AF59">
        <v>14</v>
      </c>
      <c r="AG59">
        <v>5</v>
      </c>
      <c r="AH59">
        <f t="shared" si="23"/>
        <v>1</v>
      </c>
      <c r="AI59">
        <f t="shared" si="24"/>
        <v>0</v>
      </c>
      <c r="AJ59">
        <f t="shared" si="25"/>
        <v>52929.358784239514</v>
      </c>
      <c r="AK59">
        <f t="shared" si="26"/>
        <v>1799.99</v>
      </c>
      <c r="AL59">
        <f t="shared" si="27"/>
        <v>1499.1051799916199</v>
      </c>
      <c r="AM59">
        <f t="shared" si="28"/>
        <v>0.83284083799999997</v>
      </c>
      <c r="AN59">
        <f t="shared" si="29"/>
        <v>0.15339810463000003</v>
      </c>
      <c r="AO59">
        <v>33</v>
      </c>
      <c r="AP59">
        <v>0.5</v>
      </c>
      <c r="AQ59" t="s">
        <v>331</v>
      </c>
      <c r="AR59">
        <v>2</v>
      </c>
      <c r="AS59">
        <v>1690304339.5</v>
      </c>
      <c r="AT59">
        <v>763.83399999999995</v>
      </c>
      <c r="AU59">
        <v>800.05</v>
      </c>
      <c r="AV59">
        <v>20.7758</v>
      </c>
      <c r="AW59">
        <v>17.844999999999999</v>
      </c>
      <c r="AX59">
        <v>764.05</v>
      </c>
      <c r="AY59">
        <v>20.504000000000001</v>
      </c>
      <c r="AZ59">
        <v>300.10700000000003</v>
      </c>
      <c r="BA59">
        <v>99.262100000000004</v>
      </c>
      <c r="BB59">
        <v>0.10004399999999999</v>
      </c>
      <c r="BC59">
        <v>24.546900000000001</v>
      </c>
      <c r="BD59">
        <v>27.051200000000001</v>
      </c>
      <c r="BE59">
        <v>25.977</v>
      </c>
      <c r="BF59">
        <v>0</v>
      </c>
      <c r="BG59">
        <v>0</v>
      </c>
      <c r="BH59">
        <v>10001.9</v>
      </c>
      <c r="BI59">
        <v>1050.57</v>
      </c>
      <c r="BJ59">
        <v>1.68198</v>
      </c>
      <c r="BK59">
        <v>-36.215899999999998</v>
      </c>
      <c r="BL59">
        <v>780.04</v>
      </c>
      <c r="BM59">
        <v>814.58600000000001</v>
      </c>
      <c r="BN59">
        <v>2.9307799999999999</v>
      </c>
      <c r="BO59">
        <v>800.05</v>
      </c>
      <c r="BP59">
        <v>17.844999999999999</v>
      </c>
      <c r="BQ59">
        <v>2.0622500000000001</v>
      </c>
      <c r="BR59">
        <v>1.7713399999999999</v>
      </c>
      <c r="BS59">
        <v>17.930599999999998</v>
      </c>
      <c r="BT59">
        <v>15.536099999999999</v>
      </c>
      <c r="BU59">
        <v>1799.99</v>
      </c>
      <c r="BV59">
        <v>0.90999799999999997</v>
      </c>
      <c r="BW59">
        <v>3.4003400000000003E-2</v>
      </c>
      <c r="BX59">
        <v>2.2009899999999999E-2</v>
      </c>
      <c r="BY59">
        <v>3.3988699999999997E-2</v>
      </c>
      <c r="BZ59">
        <v>25.666699999999999</v>
      </c>
      <c r="CA59">
        <v>33528.1</v>
      </c>
      <c r="CB59">
        <v>1690303320.5</v>
      </c>
      <c r="CC59" t="s">
        <v>332</v>
      </c>
      <c r="CD59">
        <v>1690303320.5</v>
      </c>
      <c r="CE59">
        <v>1690303310.0999999</v>
      </c>
      <c r="CF59">
        <v>8</v>
      </c>
      <c r="CG59">
        <v>7.3999999999999996E-2</v>
      </c>
      <c r="CH59">
        <v>-0.01</v>
      </c>
      <c r="CI59">
        <v>-0.24199999999999999</v>
      </c>
      <c r="CJ59">
        <v>0.27200000000000002</v>
      </c>
      <c r="CK59">
        <v>800</v>
      </c>
      <c r="CL59">
        <v>23</v>
      </c>
      <c r="CM59">
        <v>0.06</v>
      </c>
      <c r="CN59">
        <v>0.09</v>
      </c>
      <c r="CO59">
        <v>-34.455480487804877</v>
      </c>
      <c r="CP59">
        <v>-9.0011080139373032</v>
      </c>
      <c r="CQ59">
        <v>0.88841222035596157</v>
      </c>
      <c r="CR59">
        <v>-1</v>
      </c>
      <c r="CS59">
        <v>2.927431219512195</v>
      </c>
      <c r="CT59">
        <v>-0.21308822299651159</v>
      </c>
      <c r="CU59">
        <v>2.4589662531048231E-2</v>
      </c>
      <c r="CV59">
        <v>-1</v>
      </c>
      <c r="CW59">
        <v>0</v>
      </c>
      <c r="CX59">
        <v>0</v>
      </c>
      <c r="CY59" t="s">
        <v>333</v>
      </c>
      <c r="CZ59">
        <v>2.3638599999999999</v>
      </c>
      <c r="DA59">
        <v>2.7138399999999998</v>
      </c>
      <c r="DB59">
        <v>0.14239299999999999</v>
      </c>
      <c r="DC59">
        <v>0.14649899999999999</v>
      </c>
      <c r="DD59">
        <v>0.102586</v>
      </c>
      <c r="DE59">
        <v>9.1076799999999999E-2</v>
      </c>
      <c r="DF59">
        <v>31305.599999999999</v>
      </c>
      <c r="DG59">
        <v>27502.6</v>
      </c>
      <c r="DH59">
        <v>31164.2</v>
      </c>
      <c r="DI59">
        <v>28078.9</v>
      </c>
      <c r="DJ59">
        <v>37975.5</v>
      </c>
      <c r="DK59">
        <v>36295.199999999997</v>
      </c>
      <c r="DL59">
        <v>44350.6</v>
      </c>
      <c r="DM59">
        <v>42564.800000000003</v>
      </c>
      <c r="DN59">
        <v>1.4308799999999999</v>
      </c>
      <c r="DO59">
        <v>2.0520299999999998</v>
      </c>
      <c r="DP59">
        <v>0.147842</v>
      </c>
      <c r="DQ59">
        <v>0.10445</v>
      </c>
      <c r="DR59">
        <v>24.628799999999998</v>
      </c>
      <c r="DS59">
        <v>24.2636</v>
      </c>
      <c r="DT59">
        <v>57.1</v>
      </c>
      <c r="DU59">
        <v>29.1</v>
      </c>
      <c r="DV59">
        <v>23.2685</v>
      </c>
      <c r="DW59">
        <v>61.611199999999997</v>
      </c>
      <c r="DX59">
        <v>36.2179</v>
      </c>
      <c r="DY59">
        <v>1</v>
      </c>
      <c r="DZ59">
        <v>-5.6689499999999997E-2</v>
      </c>
      <c r="EA59">
        <v>3.57836</v>
      </c>
      <c r="EB59">
        <v>20.145800000000001</v>
      </c>
      <c r="EC59">
        <v>5.2408000000000001</v>
      </c>
      <c r="ED59">
        <v>12.039899999999999</v>
      </c>
      <c r="EE59">
        <v>5.01715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1.8689100000000001</v>
      </c>
      <c r="EL59">
        <v>1.8646199999999999</v>
      </c>
      <c r="EM59">
        <v>1.8692</v>
      </c>
      <c r="EN59">
        <v>1.8672299999999999</v>
      </c>
      <c r="EO59">
        <v>1.8633999999999999</v>
      </c>
      <c r="EP59">
        <v>1.8644700000000001</v>
      </c>
      <c r="EQ59">
        <v>1.8701700000000001</v>
      </c>
      <c r="ER59">
        <v>1.8694200000000001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-0.216</v>
      </c>
      <c r="FG59">
        <v>0.27179999999999999</v>
      </c>
      <c r="FH59">
        <v>0.30965466913576151</v>
      </c>
      <c r="FI59">
        <v>-6.1462078757559423E-4</v>
      </c>
      <c r="FJ59">
        <v>-1.8861989874597051E-7</v>
      </c>
      <c r="FK59">
        <v>1.1980462299894961E-10</v>
      </c>
      <c r="FL59">
        <v>0.27184999999999349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17</v>
      </c>
      <c r="FU59">
        <v>17.2</v>
      </c>
      <c r="FV59">
        <v>1.78955</v>
      </c>
      <c r="FW59">
        <v>2.5915499999999998</v>
      </c>
      <c r="FX59">
        <v>1.5490699999999999</v>
      </c>
      <c r="FY59">
        <v>2.3303199999999999</v>
      </c>
      <c r="FZ59">
        <v>1.50146</v>
      </c>
      <c r="GA59">
        <v>2.33887</v>
      </c>
      <c r="GB59">
        <v>33.8735</v>
      </c>
      <c r="GC59">
        <v>23.9649</v>
      </c>
      <c r="GD59">
        <v>19</v>
      </c>
      <c r="GE59">
        <v>265.33</v>
      </c>
      <c r="GF59">
        <v>599.66200000000003</v>
      </c>
      <c r="GG59">
        <v>18.567399999999999</v>
      </c>
      <c r="GH59">
        <v>26.594200000000001</v>
      </c>
      <c r="GI59">
        <v>29.9998</v>
      </c>
      <c r="GJ59">
        <v>26.673400000000001</v>
      </c>
      <c r="GK59">
        <v>26.638100000000001</v>
      </c>
      <c r="GL59">
        <v>35.7742</v>
      </c>
      <c r="GM59">
        <v>31.688199999999998</v>
      </c>
      <c r="GN59">
        <v>98.491699999999994</v>
      </c>
      <c r="GO59">
        <v>18.557400000000001</v>
      </c>
      <c r="GP59">
        <v>800</v>
      </c>
      <c r="GQ59">
        <v>17.798999999999999</v>
      </c>
      <c r="GR59">
        <v>99.713499999999996</v>
      </c>
      <c r="GS59">
        <v>99.567499999999995</v>
      </c>
    </row>
    <row r="60" spans="1:201" x14ac:dyDescent="0.25">
      <c r="A60">
        <v>44</v>
      </c>
      <c r="B60">
        <v>1690304349.5</v>
      </c>
      <c r="C60">
        <v>599.5</v>
      </c>
      <c r="D60" t="s">
        <v>419</v>
      </c>
      <c r="E60" t="s">
        <v>420</v>
      </c>
      <c r="F60" t="s">
        <v>330</v>
      </c>
      <c r="H60">
        <v>1690304349.5</v>
      </c>
      <c r="I60">
        <f t="shared" si="0"/>
        <v>2.6701298197362818E-4</v>
      </c>
      <c r="J60">
        <f t="shared" si="1"/>
        <v>0.26701298197362816</v>
      </c>
      <c r="K60">
        <f t="shared" si="2"/>
        <v>3.227946288603238</v>
      </c>
      <c r="L60">
        <f t="shared" si="3"/>
        <v>762.26700000000005</v>
      </c>
      <c r="M60">
        <f t="shared" si="4"/>
        <v>459.0250531104403</v>
      </c>
      <c r="N60">
        <f t="shared" si="5"/>
        <v>45.610667280827577</v>
      </c>
      <c r="O60">
        <f t="shared" si="6"/>
        <v>75.742067411274007</v>
      </c>
      <c r="P60">
        <f t="shared" si="7"/>
        <v>1.796479435300154E-2</v>
      </c>
      <c r="Q60">
        <f t="shared" si="8"/>
        <v>2.0987916852854416</v>
      </c>
      <c r="R60">
        <f t="shared" si="9"/>
        <v>1.7879802264836334E-2</v>
      </c>
      <c r="S60">
        <f t="shared" si="10"/>
        <v>1.11824790068344E-2</v>
      </c>
      <c r="T60">
        <f t="shared" si="11"/>
        <v>276.11514694443935</v>
      </c>
      <c r="U60">
        <f t="shared" si="12"/>
        <v>26.614090448599804</v>
      </c>
      <c r="V60">
        <f t="shared" si="13"/>
        <v>26.614090448599804</v>
      </c>
      <c r="W60">
        <f t="shared" si="14"/>
        <v>3.4988345905762865</v>
      </c>
      <c r="X60">
        <f t="shared" si="15"/>
        <v>66.671601495770005</v>
      </c>
      <c r="Y60">
        <f t="shared" si="16"/>
        <v>2.0564320020898004</v>
      </c>
      <c r="Z60">
        <f t="shared" si="17"/>
        <v>3.0844196868741349</v>
      </c>
      <c r="AA60">
        <f t="shared" si="18"/>
        <v>1.4424025884864862</v>
      </c>
      <c r="AB60">
        <f t="shared" si="19"/>
        <v>-11.775272505037004</v>
      </c>
      <c r="AC60">
        <f t="shared" si="20"/>
        <v>-240.25043600240309</v>
      </c>
      <c r="AD60">
        <f t="shared" si="21"/>
        <v>-24.348569239330761</v>
      </c>
      <c r="AE60">
        <f t="shared" si="22"/>
        <v>-0.25913080233152641</v>
      </c>
      <c r="AF60">
        <v>14</v>
      </c>
      <c r="AG60">
        <v>5</v>
      </c>
      <c r="AH60">
        <f t="shared" si="23"/>
        <v>1</v>
      </c>
      <c r="AI60">
        <f t="shared" si="24"/>
        <v>0</v>
      </c>
      <c r="AJ60">
        <f t="shared" si="25"/>
        <v>52873.691820643078</v>
      </c>
      <c r="AK60">
        <f t="shared" si="26"/>
        <v>1799.99</v>
      </c>
      <c r="AL60">
        <f t="shared" si="27"/>
        <v>1499.1028112047798</v>
      </c>
      <c r="AM60">
        <f t="shared" si="28"/>
        <v>0.83283952199999989</v>
      </c>
      <c r="AN60">
        <f t="shared" si="29"/>
        <v>0.15339815607000001</v>
      </c>
      <c r="AO60">
        <v>33</v>
      </c>
      <c r="AP60">
        <v>0.5</v>
      </c>
      <c r="AQ60" t="s">
        <v>331</v>
      </c>
      <c r="AR60">
        <v>2</v>
      </c>
      <c r="AS60">
        <v>1690304349.5</v>
      </c>
      <c r="AT60">
        <v>762.26700000000005</v>
      </c>
      <c r="AU60">
        <v>800.00599999999997</v>
      </c>
      <c r="AV60">
        <v>20.695900000000002</v>
      </c>
      <c r="AW60">
        <v>17.8201</v>
      </c>
      <c r="AX60">
        <v>762.48199999999997</v>
      </c>
      <c r="AY60">
        <v>20.423999999999999</v>
      </c>
      <c r="AZ60">
        <v>300.05799999999999</v>
      </c>
      <c r="BA60">
        <v>99.264200000000002</v>
      </c>
      <c r="BB60">
        <v>0.100022</v>
      </c>
      <c r="BC60">
        <v>24.4908</v>
      </c>
      <c r="BD60">
        <v>26.9359</v>
      </c>
      <c r="BE60">
        <v>25.938199999999998</v>
      </c>
      <c r="BF60">
        <v>0</v>
      </c>
      <c r="BG60">
        <v>0</v>
      </c>
      <c r="BH60">
        <v>9988.75</v>
      </c>
      <c r="BI60">
        <v>1049.75</v>
      </c>
      <c r="BJ60">
        <v>1.68198</v>
      </c>
      <c r="BK60">
        <v>-37.7393</v>
      </c>
      <c r="BL60">
        <v>778.37599999999998</v>
      </c>
      <c r="BM60">
        <v>814.52099999999996</v>
      </c>
      <c r="BN60">
        <v>2.8757600000000001</v>
      </c>
      <c r="BO60">
        <v>800.00599999999997</v>
      </c>
      <c r="BP60">
        <v>17.8201</v>
      </c>
      <c r="BQ60">
        <v>2.05436</v>
      </c>
      <c r="BR60">
        <v>1.7688999999999999</v>
      </c>
      <c r="BS60">
        <v>17.869700000000002</v>
      </c>
      <c r="BT60">
        <v>15.514699999999999</v>
      </c>
      <c r="BU60">
        <v>1799.99</v>
      </c>
      <c r="BV60">
        <v>0.90998299999999999</v>
      </c>
      <c r="BW60">
        <v>3.4002299999999999E-2</v>
      </c>
      <c r="BX60">
        <v>2.20091E-2</v>
      </c>
      <c r="BY60">
        <v>3.40057E-2</v>
      </c>
      <c r="BZ60">
        <v>25.791699999999999</v>
      </c>
      <c r="CA60">
        <v>33528.1</v>
      </c>
      <c r="CB60">
        <v>1690303320.5</v>
      </c>
      <c r="CC60" t="s">
        <v>332</v>
      </c>
      <c r="CD60">
        <v>1690303320.5</v>
      </c>
      <c r="CE60">
        <v>1690303310.0999999</v>
      </c>
      <c r="CF60">
        <v>8</v>
      </c>
      <c r="CG60">
        <v>7.3999999999999996E-2</v>
      </c>
      <c r="CH60">
        <v>-0.01</v>
      </c>
      <c r="CI60">
        <v>-0.24199999999999999</v>
      </c>
      <c r="CJ60">
        <v>0.27200000000000002</v>
      </c>
      <c r="CK60">
        <v>800</v>
      </c>
      <c r="CL60">
        <v>23</v>
      </c>
      <c r="CM60">
        <v>0.06</v>
      </c>
      <c r="CN60">
        <v>0.09</v>
      </c>
      <c r="CO60">
        <v>-36.075719999999997</v>
      </c>
      <c r="CP60">
        <v>-9.3094784240149338</v>
      </c>
      <c r="CQ60">
        <v>0.89639022451162453</v>
      </c>
      <c r="CR60">
        <v>-1</v>
      </c>
      <c r="CS60">
        <v>2.9074767499999998</v>
      </c>
      <c r="CT60">
        <v>-2.5231632270170279E-2</v>
      </c>
      <c r="CU60">
        <v>1.4837618304077619E-2</v>
      </c>
      <c r="CV60">
        <v>-1</v>
      </c>
      <c r="CW60">
        <v>0</v>
      </c>
      <c r="CX60">
        <v>0</v>
      </c>
      <c r="CY60" t="s">
        <v>333</v>
      </c>
      <c r="CZ60">
        <v>2.3637100000000002</v>
      </c>
      <c r="DA60">
        <v>2.7138</v>
      </c>
      <c r="DB60">
        <v>0.14219799999999999</v>
      </c>
      <c r="DC60">
        <v>0.14649599999999999</v>
      </c>
      <c r="DD60">
        <v>0.10230400000000001</v>
      </c>
      <c r="DE60">
        <v>9.0987100000000001E-2</v>
      </c>
      <c r="DF60">
        <v>31313.1</v>
      </c>
      <c r="DG60">
        <v>27503.1</v>
      </c>
      <c r="DH60">
        <v>31164.6</v>
      </c>
      <c r="DI60">
        <v>28079.3</v>
      </c>
      <c r="DJ60">
        <v>37988</v>
      </c>
      <c r="DK60">
        <v>36299.4</v>
      </c>
      <c r="DL60">
        <v>44351.1</v>
      </c>
      <c r="DM60">
        <v>42565.599999999999</v>
      </c>
      <c r="DN60">
        <v>1.43085</v>
      </c>
      <c r="DO60">
        <v>2.0519799999999999</v>
      </c>
      <c r="DP60">
        <v>0.14313300000000001</v>
      </c>
      <c r="DQ60">
        <v>0.104509</v>
      </c>
      <c r="DR60">
        <v>24.590399999999999</v>
      </c>
      <c r="DS60">
        <v>24.223700000000001</v>
      </c>
      <c r="DT60">
        <v>57.1</v>
      </c>
      <c r="DU60">
        <v>29</v>
      </c>
      <c r="DV60">
        <v>23.133600000000001</v>
      </c>
      <c r="DW60">
        <v>61.721200000000003</v>
      </c>
      <c r="DX60">
        <v>36.229999999999997</v>
      </c>
      <c r="DY60">
        <v>1</v>
      </c>
      <c r="DZ60">
        <v>-5.6938500000000003E-2</v>
      </c>
      <c r="EA60">
        <v>3.5733299999999999</v>
      </c>
      <c r="EB60">
        <v>20.145900000000001</v>
      </c>
      <c r="EC60">
        <v>5.2403500000000003</v>
      </c>
      <c r="ED60">
        <v>12.039899999999999</v>
      </c>
      <c r="EE60">
        <v>5.0170000000000003</v>
      </c>
      <c r="EF60">
        <v>3.2879499999999999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1.8646199999999999</v>
      </c>
      <c r="EM60">
        <v>1.8692</v>
      </c>
      <c r="EN60">
        <v>1.86724</v>
      </c>
      <c r="EO60">
        <v>1.8633999999999999</v>
      </c>
      <c r="EP60">
        <v>1.8644700000000001</v>
      </c>
      <c r="EQ60">
        <v>1.87015</v>
      </c>
      <c r="ER60">
        <v>1.86944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-0.215</v>
      </c>
      <c r="FG60">
        <v>0.27189999999999998</v>
      </c>
      <c r="FH60">
        <v>0.30965466913576151</v>
      </c>
      <c r="FI60">
        <v>-6.1462078757559423E-4</v>
      </c>
      <c r="FJ60">
        <v>-1.8861989874597051E-7</v>
      </c>
      <c r="FK60">
        <v>1.1980462299894961E-10</v>
      </c>
      <c r="FL60">
        <v>0.27184999999999349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17.100000000000001</v>
      </c>
      <c r="FU60">
        <v>17.3</v>
      </c>
      <c r="FV60">
        <v>1.78955</v>
      </c>
      <c r="FW60">
        <v>2.5891099999999998</v>
      </c>
      <c r="FX60">
        <v>1.5490699999999999</v>
      </c>
      <c r="FY60">
        <v>2.3303199999999999</v>
      </c>
      <c r="FZ60">
        <v>1.50146</v>
      </c>
      <c r="GA60">
        <v>2.3706100000000001</v>
      </c>
      <c r="GB60">
        <v>33.8735</v>
      </c>
      <c r="GC60">
        <v>23.9649</v>
      </c>
      <c r="GD60">
        <v>19</v>
      </c>
      <c r="GE60">
        <v>265.31099999999998</v>
      </c>
      <c r="GF60">
        <v>599.62</v>
      </c>
      <c r="GG60">
        <v>18.4907</v>
      </c>
      <c r="GH60">
        <v>26.588000000000001</v>
      </c>
      <c r="GI60">
        <v>29.9999</v>
      </c>
      <c r="GJ60">
        <v>26.671199999999999</v>
      </c>
      <c r="GK60">
        <v>26.638100000000001</v>
      </c>
      <c r="GL60">
        <v>35.775700000000001</v>
      </c>
      <c r="GM60">
        <v>31.988600000000002</v>
      </c>
      <c r="GN60">
        <v>98.491699999999994</v>
      </c>
      <c r="GO60">
        <v>18.483699999999999</v>
      </c>
      <c r="GP60">
        <v>800</v>
      </c>
      <c r="GQ60">
        <v>17.690000000000001</v>
      </c>
      <c r="GR60">
        <v>99.714600000000004</v>
      </c>
      <c r="GS60">
        <v>99.569100000000006</v>
      </c>
    </row>
    <row r="61" spans="1:201" x14ac:dyDescent="0.25">
      <c r="A61">
        <v>45</v>
      </c>
      <c r="B61">
        <v>1690304359.5</v>
      </c>
      <c r="C61">
        <v>609.5</v>
      </c>
      <c r="D61" t="s">
        <v>421</v>
      </c>
      <c r="E61" t="s">
        <v>422</v>
      </c>
      <c r="F61" t="s">
        <v>330</v>
      </c>
      <c r="H61">
        <v>1690304359.5</v>
      </c>
      <c r="I61">
        <f t="shared" si="0"/>
        <v>3.3041145995483021E-4</v>
      </c>
      <c r="J61">
        <f t="shared" si="1"/>
        <v>0.33041145995483023</v>
      </c>
      <c r="K61">
        <f t="shared" si="2"/>
        <v>3.3829956387728743</v>
      </c>
      <c r="L61">
        <f t="shared" si="3"/>
        <v>760.29200000000003</v>
      </c>
      <c r="M61">
        <f t="shared" si="4"/>
        <v>509.11752931920103</v>
      </c>
      <c r="N61">
        <f t="shared" si="5"/>
        <v>50.588828490806193</v>
      </c>
      <c r="O61">
        <f t="shared" si="6"/>
        <v>75.546959937451589</v>
      </c>
      <c r="P61">
        <f t="shared" si="7"/>
        <v>2.3004950963049709E-2</v>
      </c>
      <c r="Q61">
        <f t="shared" si="8"/>
        <v>2.1015001273671423</v>
      </c>
      <c r="R61">
        <f t="shared" si="9"/>
        <v>2.2865956202925114E-2</v>
      </c>
      <c r="S61">
        <f t="shared" si="10"/>
        <v>1.4303640640573203E-2</v>
      </c>
      <c r="T61">
        <f t="shared" si="11"/>
        <v>276.11659476000005</v>
      </c>
      <c r="U61">
        <f t="shared" si="12"/>
        <v>26.642580233261071</v>
      </c>
      <c r="V61">
        <f t="shared" si="13"/>
        <v>26.642580233261071</v>
      </c>
      <c r="W61">
        <f t="shared" si="14"/>
        <v>3.504710307029097</v>
      </c>
      <c r="X61">
        <f t="shared" si="15"/>
        <v>68.171745534216981</v>
      </c>
      <c r="Y61">
        <f t="shared" si="16"/>
        <v>2.1094447491334298</v>
      </c>
      <c r="Z61">
        <f t="shared" si="17"/>
        <v>3.0943094277594092</v>
      </c>
      <c r="AA61">
        <f t="shared" si="18"/>
        <v>1.3952655578956672</v>
      </c>
      <c r="AB61">
        <f t="shared" si="19"/>
        <v>-14.571145384008013</v>
      </c>
      <c r="AC61">
        <f t="shared" si="20"/>
        <v>-237.72691439868979</v>
      </c>
      <c r="AD61">
        <f t="shared" si="21"/>
        <v>-24.07167377803869</v>
      </c>
      <c r="AE61">
        <f t="shared" si="22"/>
        <v>-0.25313880073645123</v>
      </c>
      <c r="AF61">
        <v>10</v>
      </c>
      <c r="AG61">
        <v>3</v>
      </c>
      <c r="AH61">
        <f t="shared" si="23"/>
        <v>1</v>
      </c>
      <c r="AI61">
        <f t="shared" si="24"/>
        <v>0</v>
      </c>
      <c r="AJ61">
        <f t="shared" si="25"/>
        <v>52985.587569600779</v>
      </c>
      <c r="AK61">
        <f t="shared" si="26"/>
        <v>1800</v>
      </c>
      <c r="AL61">
        <f t="shared" si="27"/>
        <v>1499.109561</v>
      </c>
      <c r="AM61">
        <f t="shared" si="28"/>
        <v>0.83283864499999993</v>
      </c>
      <c r="AN61">
        <f t="shared" si="29"/>
        <v>0.15339810820000002</v>
      </c>
      <c r="AO61">
        <v>33</v>
      </c>
      <c r="AP61">
        <v>0.5</v>
      </c>
      <c r="AQ61" t="s">
        <v>331</v>
      </c>
      <c r="AR61">
        <v>2</v>
      </c>
      <c r="AS61">
        <v>1690304359.5</v>
      </c>
      <c r="AT61">
        <v>760.29200000000003</v>
      </c>
      <c r="AU61">
        <v>800.25400000000002</v>
      </c>
      <c r="AV61">
        <v>21.229099999999999</v>
      </c>
      <c r="AW61">
        <v>17.672999999999998</v>
      </c>
      <c r="AX61">
        <v>760.50599999999997</v>
      </c>
      <c r="AY61">
        <v>20.9573</v>
      </c>
      <c r="AZ61">
        <v>300.10700000000003</v>
      </c>
      <c r="BA61">
        <v>99.265799999999999</v>
      </c>
      <c r="BB61">
        <v>9.9917300000000001E-2</v>
      </c>
      <c r="BC61">
        <v>24.5443</v>
      </c>
      <c r="BD61">
        <v>26.975999999999999</v>
      </c>
      <c r="BE61">
        <v>25.966699999999999</v>
      </c>
      <c r="BF61">
        <v>0</v>
      </c>
      <c r="BG61">
        <v>0</v>
      </c>
      <c r="BH61">
        <v>10012.5</v>
      </c>
      <c r="BI61">
        <v>1049.0899999999999</v>
      </c>
      <c r="BJ61">
        <v>1.7072099999999999</v>
      </c>
      <c r="BK61">
        <v>-39.9619</v>
      </c>
      <c r="BL61">
        <v>776.78200000000004</v>
      </c>
      <c r="BM61">
        <v>814.65099999999995</v>
      </c>
      <c r="BN61">
        <v>3.5561500000000001</v>
      </c>
      <c r="BO61">
        <v>800.25400000000002</v>
      </c>
      <c r="BP61">
        <v>17.672999999999998</v>
      </c>
      <c r="BQ61">
        <v>2.1073200000000001</v>
      </c>
      <c r="BR61">
        <v>1.7543200000000001</v>
      </c>
      <c r="BS61">
        <v>18.274699999999999</v>
      </c>
      <c r="BT61">
        <v>15.3856</v>
      </c>
      <c r="BU61">
        <v>1800</v>
      </c>
      <c r="BV61">
        <v>0.90997600000000001</v>
      </c>
      <c r="BW61">
        <v>3.4001299999999998E-2</v>
      </c>
      <c r="BX61">
        <v>2.20085E-2</v>
      </c>
      <c r="BY61">
        <v>3.4014000000000003E-2</v>
      </c>
      <c r="BZ61">
        <v>25.791699999999999</v>
      </c>
      <c r="CA61">
        <v>33528.199999999997</v>
      </c>
      <c r="CB61">
        <v>1690303320.5</v>
      </c>
      <c r="CC61" t="s">
        <v>332</v>
      </c>
      <c r="CD61">
        <v>1690303320.5</v>
      </c>
      <c r="CE61">
        <v>1690303310.0999999</v>
      </c>
      <c r="CF61">
        <v>8</v>
      </c>
      <c r="CG61">
        <v>7.3999999999999996E-2</v>
      </c>
      <c r="CH61">
        <v>-0.01</v>
      </c>
      <c r="CI61">
        <v>-0.24199999999999999</v>
      </c>
      <c r="CJ61">
        <v>0.27200000000000002</v>
      </c>
      <c r="CK61">
        <v>800</v>
      </c>
      <c r="CL61">
        <v>23</v>
      </c>
      <c r="CM61">
        <v>0.06</v>
      </c>
      <c r="CN61">
        <v>0.09</v>
      </c>
      <c r="CO61">
        <v>-37.510348780487803</v>
      </c>
      <c r="CP61">
        <v>-9.5474090592334662</v>
      </c>
      <c r="CQ61">
        <v>0.94511979834845272</v>
      </c>
      <c r="CR61">
        <v>-1</v>
      </c>
      <c r="CS61">
        <v>2.92360731707317</v>
      </c>
      <c r="CT61">
        <v>0.27357261324041487</v>
      </c>
      <c r="CU61">
        <v>7.8799860592435503E-2</v>
      </c>
      <c r="CV61">
        <v>-1</v>
      </c>
      <c r="CW61">
        <v>0</v>
      </c>
      <c r="CX61">
        <v>0</v>
      </c>
      <c r="CY61" t="s">
        <v>333</v>
      </c>
      <c r="CZ61">
        <v>2.36388</v>
      </c>
      <c r="DA61">
        <v>2.7137199999999999</v>
      </c>
      <c r="DB61">
        <v>0.141961</v>
      </c>
      <c r="DC61">
        <v>0.14652499999999999</v>
      </c>
      <c r="DD61">
        <v>0.104197</v>
      </c>
      <c r="DE61">
        <v>9.0447299999999994E-2</v>
      </c>
      <c r="DF61">
        <v>31321.3</v>
      </c>
      <c r="DG61">
        <v>27501.9</v>
      </c>
      <c r="DH61">
        <v>31164</v>
      </c>
      <c r="DI61">
        <v>28079</v>
      </c>
      <c r="DJ61">
        <v>37906.699999999997</v>
      </c>
      <c r="DK61">
        <v>36320.699999999997</v>
      </c>
      <c r="DL61">
        <v>44350.6</v>
      </c>
      <c r="DM61">
        <v>42565.2</v>
      </c>
      <c r="DN61">
        <v>1.44038</v>
      </c>
      <c r="DO61">
        <v>2.0515500000000002</v>
      </c>
      <c r="DP61">
        <v>0.147976</v>
      </c>
      <c r="DQ61">
        <v>0.10878599999999999</v>
      </c>
      <c r="DR61">
        <v>24.551100000000002</v>
      </c>
      <c r="DS61">
        <v>24.181999999999999</v>
      </c>
      <c r="DT61">
        <v>57.1</v>
      </c>
      <c r="DU61">
        <v>29.1</v>
      </c>
      <c r="DV61">
        <v>23.2685</v>
      </c>
      <c r="DW61">
        <v>61.591200000000001</v>
      </c>
      <c r="DX61">
        <v>35.749200000000002</v>
      </c>
      <c r="DY61">
        <v>1</v>
      </c>
      <c r="DZ61">
        <v>-4.89507E-2</v>
      </c>
      <c r="EA61">
        <v>-6.6666699999999999</v>
      </c>
      <c r="EB61">
        <v>20.002199999999998</v>
      </c>
      <c r="EC61">
        <v>5.2409499999999998</v>
      </c>
      <c r="ED61">
        <v>12.039899999999999</v>
      </c>
      <c r="EE61">
        <v>5.01715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1.8689100000000001</v>
      </c>
      <c r="EL61">
        <v>1.86463</v>
      </c>
      <c r="EM61">
        <v>1.8692</v>
      </c>
      <c r="EN61">
        <v>1.8672500000000001</v>
      </c>
      <c r="EO61">
        <v>1.8633999999999999</v>
      </c>
      <c r="EP61">
        <v>1.8644799999999999</v>
      </c>
      <c r="EQ61">
        <v>1.87016</v>
      </c>
      <c r="ER61">
        <v>1.8694299999999999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-0.214</v>
      </c>
      <c r="FG61">
        <v>0.27179999999999999</v>
      </c>
      <c r="FH61">
        <v>0.30965466913576151</v>
      </c>
      <c r="FI61">
        <v>-6.1462078757559423E-4</v>
      </c>
      <c r="FJ61">
        <v>-1.8861989874597051E-7</v>
      </c>
      <c r="FK61">
        <v>1.1980462299894961E-10</v>
      </c>
      <c r="FL61">
        <v>0.27184999999999349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17.3</v>
      </c>
      <c r="FU61">
        <v>17.5</v>
      </c>
      <c r="FV61">
        <v>1.78955</v>
      </c>
      <c r="FW61">
        <v>2.5903299999999998</v>
      </c>
      <c r="FX61">
        <v>1.5490699999999999</v>
      </c>
      <c r="FY61">
        <v>2.3303199999999999</v>
      </c>
      <c r="FZ61">
        <v>1.50146</v>
      </c>
      <c r="GA61">
        <v>2.3877000000000002</v>
      </c>
      <c r="GB61">
        <v>33.8735</v>
      </c>
      <c r="GC61">
        <v>23.921099999999999</v>
      </c>
      <c r="GD61">
        <v>19</v>
      </c>
      <c r="GE61">
        <v>269.233</v>
      </c>
      <c r="GF61">
        <v>599.26099999999997</v>
      </c>
      <c r="GG61">
        <v>21.754799999999999</v>
      </c>
      <c r="GH61">
        <v>26.5824</v>
      </c>
      <c r="GI61">
        <v>30.003599999999999</v>
      </c>
      <c r="GJ61">
        <v>26.675000000000001</v>
      </c>
      <c r="GK61">
        <v>26.638100000000001</v>
      </c>
      <c r="GL61">
        <v>35.768500000000003</v>
      </c>
      <c r="GM61">
        <v>34.4681</v>
      </c>
      <c r="GN61">
        <v>98.104200000000006</v>
      </c>
      <c r="GO61">
        <v>23.506499999999999</v>
      </c>
      <c r="GP61">
        <v>800</v>
      </c>
      <c r="GQ61">
        <v>17.023800000000001</v>
      </c>
      <c r="GR61">
        <v>99.713300000000004</v>
      </c>
      <c r="GS61">
        <v>99.568100000000001</v>
      </c>
    </row>
    <row r="62" spans="1:201" x14ac:dyDescent="0.25">
      <c r="A62">
        <v>46</v>
      </c>
      <c r="B62">
        <v>1690304369.5</v>
      </c>
      <c r="C62">
        <v>619.5</v>
      </c>
      <c r="D62" t="s">
        <v>423</v>
      </c>
      <c r="E62" t="s">
        <v>424</v>
      </c>
      <c r="F62" t="s">
        <v>330</v>
      </c>
      <c r="H62">
        <v>1690304369.5</v>
      </c>
      <c r="I62">
        <f t="shared" si="0"/>
        <v>5.7927403002767843E-4</v>
      </c>
      <c r="J62">
        <f t="shared" si="1"/>
        <v>0.57927403002767841</v>
      </c>
      <c r="K62">
        <f t="shared" si="2"/>
        <v>3.456032552093852</v>
      </c>
      <c r="L62">
        <f t="shared" si="3"/>
        <v>757.71600000000001</v>
      </c>
      <c r="M62">
        <f t="shared" si="4"/>
        <v>613.97388380335326</v>
      </c>
      <c r="N62">
        <f t="shared" si="5"/>
        <v>61.010470634396832</v>
      </c>
      <c r="O62">
        <f t="shared" si="6"/>
        <v>75.294097984824006</v>
      </c>
      <c r="P62">
        <f t="shared" si="7"/>
        <v>4.3312061698679585E-2</v>
      </c>
      <c r="Q62">
        <f t="shared" si="8"/>
        <v>2.099777162386546</v>
      </c>
      <c r="R62">
        <f t="shared" si="9"/>
        <v>4.282179398067238E-2</v>
      </c>
      <c r="S62">
        <f t="shared" si="10"/>
        <v>2.6807207362188716E-2</v>
      </c>
      <c r="T62">
        <f t="shared" si="11"/>
        <v>276.11654331600005</v>
      </c>
      <c r="U62">
        <f t="shared" si="12"/>
        <v>26.955192038867565</v>
      </c>
      <c r="V62">
        <f t="shared" si="13"/>
        <v>26.955192038867565</v>
      </c>
      <c r="W62">
        <f t="shared" si="14"/>
        <v>3.5697512931438515</v>
      </c>
      <c r="X62">
        <f t="shared" si="15"/>
        <v>71.47061159561899</v>
      </c>
      <c r="Y62">
        <f t="shared" si="16"/>
        <v>2.2649858554090003</v>
      </c>
      <c r="Z62">
        <f t="shared" si="17"/>
        <v>3.1691149758509125</v>
      </c>
      <c r="AA62">
        <f t="shared" si="18"/>
        <v>1.3047654377348512</v>
      </c>
      <c r="AB62">
        <f t="shared" si="19"/>
        <v>-25.54598472422062</v>
      </c>
      <c r="AC62">
        <f t="shared" si="20"/>
        <v>-227.65070658177277</v>
      </c>
      <c r="AD62">
        <f t="shared" si="21"/>
        <v>-23.152946270898102</v>
      </c>
      <c r="AE62">
        <f t="shared" si="22"/>
        <v>-0.23309426089144836</v>
      </c>
      <c r="AF62">
        <v>11</v>
      </c>
      <c r="AG62">
        <v>4</v>
      </c>
      <c r="AH62">
        <f t="shared" si="23"/>
        <v>1</v>
      </c>
      <c r="AI62">
        <f t="shared" si="24"/>
        <v>0</v>
      </c>
      <c r="AJ62">
        <f t="shared" si="25"/>
        <v>52837.43105793804</v>
      </c>
      <c r="AK62">
        <f t="shared" si="26"/>
        <v>1800</v>
      </c>
      <c r="AL62">
        <f t="shared" si="27"/>
        <v>1499.1106715999999</v>
      </c>
      <c r="AM62">
        <f t="shared" si="28"/>
        <v>0.83283926200000002</v>
      </c>
      <c r="AN62">
        <f t="shared" si="29"/>
        <v>0.15339807962000002</v>
      </c>
      <c r="AO62">
        <v>33</v>
      </c>
      <c r="AP62">
        <v>0.5</v>
      </c>
      <c r="AQ62" t="s">
        <v>331</v>
      </c>
      <c r="AR62">
        <v>2</v>
      </c>
      <c r="AS62">
        <v>1690304369.5</v>
      </c>
      <c r="AT62">
        <v>757.71600000000001</v>
      </c>
      <c r="AU62">
        <v>800.52700000000004</v>
      </c>
      <c r="AV62">
        <v>22.793500000000002</v>
      </c>
      <c r="AW62">
        <v>16.5716</v>
      </c>
      <c r="AX62">
        <v>757.92899999999997</v>
      </c>
      <c r="AY62">
        <v>22.521699999999999</v>
      </c>
      <c r="AZ62">
        <v>300.23500000000001</v>
      </c>
      <c r="BA62">
        <v>99.269800000000004</v>
      </c>
      <c r="BB62">
        <v>0.10001400000000001</v>
      </c>
      <c r="BC62">
        <v>24.944199999999999</v>
      </c>
      <c r="BD62">
        <v>27.245899999999999</v>
      </c>
      <c r="BE62">
        <v>26.289400000000001</v>
      </c>
      <c r="BF62">
        <v>0</v>
      </c>
      <c r="BG62">
        <v>0</v>
      </c>
      <c r="BH62">
        <v>9996.8799999999992</v>
      </c>
      <c r="BI62">
        <v>1049.52</v>
      </c>
      <c r="BJ62">
        <v>1.68198</v>
      </c>
      <c r="BK62">
        <v>-42.810400000000001</v>
      </c>
      <c r="BL62">
        <v>775.39</v>
      </c>
      <c r="BM62">
        <v>814.01599999999996</v>
      </c>
      <c r="BN62">
        <v>6.2219300000000004</v>
      </c>
      <c r="BO62">
        <v>800.52700000000004</v>
      </c>
      <c r="BP62">
        <v>16.5716</v>
      </c>
      <c r="BQ62">
        <v>2.2627100000000002</v>
      </c>
      <c r="BR62">
        <v>1.64506</v>
      </c>
      <c r="BS62">
        <v>19.413399999999999</v>
      </c>
      <c r="BT62">
        <v>14.387499999999999</v>
      </c>
      <c r="BU62">
        <v>1800</v>
      </c>
      <c r="BV62">
        <v>0.90998000000000001</v>
      </c>
      <c r="BW62">
        <v>3.4000000000000002E-2</v>
      </c>
      <c r="BX62">
        <v>2.2007599999999999E-2</v>
      </c>
      <c r="BY62">
        <v>3.4012599999999997E-2</v>
      </c>
      <c r="BZ62">
        <v>25.625</v>
      </c>
      <c r="CA62">
        <v>33528.199999999997</v>
      </c>
      <c r="CB62">
        <v>1690303320.5</v>
      </c>
      <c r="CC62" t="s">
        <v>332</v>
      </c>
      <c r="CD62">
        <v>1690303320.5</v>
      </c>
      <c r="CE62">
        <v>1690303310.0999999</v>
      </c>
      <c r="CF62">
        <v>8</v>
      </c>
      <c r="CG62">
        <v>7.3999999999999996E-2</v>
      </c>
      <c r="CH62">
        <v>-0.01</v>
      </c>
      <c r="CI62">
        <v>-0.24199999999999999</v>
      </c>
      <c r="CJ62">
        <v>0.27200000000000002</v>
      </c>
      <c r="CK62">
        <v>800</v>
      </c>
      <c r="CL62">
        <v>23</v>
      </c>
      <c r="CM62">
        <v>0.06</v>
      </c>
      <c r="CN62">
        <v>0.09</v>
      </c>
      <c r="CO62">
        <v>-39.638280487804877</v>
      </c>
      <c r="CP62">
        <v>-15.536207665505231</v>
      </c>
      <c r="CQ62">
        <v>1.5472788053775219</v>
      </c>
      <c r="CR62">
        <v>-1</v>
      </c>
      <c r="CS62">
        <v>3.7119224390243901</v>
      </c>
      <c r="CT62">
        <v>9.0607685017421602</v>
      </c>
      <c r="CU62">
        <v>0.96267292511281866</v>
      </c>
      <c r="CV62">
        <v>-1</v>
      </c>
      <c r="CW62">
        <v>0</v>
      </c>
      <c r="CX62">
        <v>0</v>
      </c>
      <c r="CY62" t="s">
        <v>333</v>
      </c>
      <c r="CZ62">
        <v>2.3643000000000001</v>
      </c>
      <c r="DA62">
        <v>2.7138</v>
      </c>
      <c r="DB62">
        <v>0.14166699999999999</v>
      </c>
      <c r="DC62">
        <v>0.14654500000000001</v>
      </c>
      <c r="DD62">
        <v>0.109648</v>
      </c>
      <c r="DE62">
        <v>8.6345400000000003E-2</v>
      </c>
      <c r="DF62">
        <v>31331.200000000001</v>
      </c>
      <c r="DG62">
        <v>27500.7</v>
      </c>
      <c r="DH62">
        <v>31163.200000000001</v>
      </c>
      <c r="DI62">
        <v>28078.400000000001</v>
      </c>
      <c r="DJ62">
        <v>37672.6</v>
      </c>
      <c r="DK62">
        <v>36484.300000000003</v>
      </c>
      <c r="DL62">
        <v>44349.3</v>
      </c>
      <c r="DM62">
        <v>42564.6</v>
      </c>
      <c r="DN62">
        <v>1.4371799999999999</v>
      </c>
      <c r="DO62">
        <v>2.0500500000000001</v>
      </c>
      <c r="DP62">
        <v>0.166602</v>
      </c>
      <c r="DQ62">
        <v>0.13011700000000001</v>
      </c>
      <c r="DR62">
        <v>24.516300000000001</v>
      </c>
      <c r="DS62">
        <v>24.1553</v>
      </c>
      <c r="DT62">
        <v>57.1</v>
      </c>
      <c r="DU62">
        <v>29.1</v>
      </c>
      <c r="DV62">
        <v>23.2685</v>
      </c>
      <c r="DW62">
        <v>62.211199999999998</v>
      </c>
      <c r="DX62">
        <v>35.3245</v>
      </c>
      <c r="DY62">
        <v>1</v>
      </c>
      <c r="DZ62">
        <v>-4.8973599999999999E-2</v>
      </c>
      <c r="EA62">
        <v>-6.62622</v>
      </c>
      <c r="EB62">
        <v>20.013400000000001</v>
      </c>
      <c r="EC62">
        <v>5.2408000000000001</v>
      </c>
      <c r="ED62">
        <v>12.039899999999999</v>
      </c>
      <c r="EE62">
        <v>5.0164999999999997</v>
      </c>
      <c r="EF62">
        <v>3.2879700000000001</v>
      </c>
      <c r="EG62">
        <v>9999</v>
      </c>
      <c r="EH62">
        <v>9999</v>
      </c>
      <c r="EI62">
        <v>9999</v>
      </c>
      <c r="EJ62">
        <v>999.9</v>
      </c>
      <c r="EK62">
        <v>1.8689100000000001</v>
      </c>
      <c r="EL62">
        <v>1.8646199999999999</v>
      </c>
      <c r="EM62">
        <v>1.8692</v>
      </c>
      <c r="EN62">
        <v>1.86724</v>
      </c>
      <c r="EO62">
        <v>1.8633999999999999</v>
      </c>
      <c r="EP62">
        <v>1.8644700000000001</v>
      </c>
      <c r="EQ62">
        <v>1.8701399999999999</v>
      </c>
      <c r="ER62">
        <v>1.8694599999999999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-0.21299999999999999</v>
      </c>
      <c r="FG62">
        <v>0.27179999999999999</v>
      </c>
      <c r="FH62">
        <v>0.30965466913576151</v>
      </c>
      <c r="FI62">
        <v>-6.1462078757559423E-4</v>
      </c>
      <c r="FJ62">
        <v>-1.8861989874597051E-7</v>
      </c>
      <c r="FK62">
        <v>1.1980462299894961E-10</v>
      </c>
      <c r="FL62">
        <v>0.27184999999999349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17.5</v>
      </c>
      <c r="FU62">
        <v>17.7</v>
      </c>
      <c r="FV62">
        <v>1.78711</v>
      </c>
      <c r="FW62">
        <v>2.5854499999999998</v>
      </c>
      <c r="FX62">
        <v>1.5490699999999999</v>
      </c>
      <c r="FY62">
        <v>2.3303199999999999</v>
      </c>
      <c r="FZ62">
        <v>1.50146</v>
      </c>
      <c r="GA62">
        <v>2.4121100000000002</v>
      </c>
      <c r="GB62">
        <v>33.8735</v>
      </c>
      <c r="GC62">
        <v>23.938700000000001</v>
      </c>
      <c r="GD62">
        <v>19</v>
      </c>
      <c r="GE62">
        <v>267.97899999999998</v>
      </c>
      <c r="GF62">
        <v>597.92999999999995</v>
      </c>
      <c r="GG62">
        <v>25.0807</v>
      </c>
      <c r="GH62">
        <v>26.576799999999999</v>
      </c>
      <c r="GI62">
        <v>30.000399999999999</v>
      </c>
      <c r="GJ62">
        <v>26.6904</v>
      </c>
      <c r="GK62">
        <v>26.6325</v>
      </c>
      <c r="GL62">
        <v>35.731999999999999</v>
      </c>
      <c r="GM62">
        <v>38.873100000000001</v>
      </c>
      <c r="GN62">
        <v>97.732399999999998</v>
      </c>
      <c r="GO62">
        <v>23.755199999999999</v>
      </c>
      <c r="GP62">
        <v>800</v>
      </c>
      <c r="GQ62">
        <v>15.86</v>
      </c>
      <c r="GR62">
        <v>99.710400000000007</v>
      </c>
      <c r="GS62">
        <v>99.566500000000005</v>
      </c>
    </row>
    <row r="63" spans="1:201" x14ac:dyDescent="0.25">
      <c r="A63">
        <v>47</v>
      </c>
      <c r="B63">
        <v>1690304379.5</v>
      </c>
      <c r="C63">
        <v>629.5</v>
      </c>
      <c r="D63" t="s">
        <v>425</v>
      </c>
      <c r="E63" t="s">
        <v>426</v>
      </c>
      <c r="F63" t="s">
        <v>330</v>
      </c>
      <c r="H63">
        <v>1690304379.5</v>
      </c>
      <c r="I63">
        <f t="shared" si="0"/>
        <v>6.8476939828180413E-4</v>
      </c>
      <c r="J63">
        <f t="shared" si="1"/>
        <v>0.68476939828180416</v>
      </c>
      <c r="K63">
        <f t="shared" si="2"/>
        <v>3.5258687912803217</v>
      </c>
      <c r="L63">
        <f t="shared" si="3"/>
        <v>755.755</v>
      </c>
      <c r="M63">
        <f t="shared" si="4"/>
        <v>626.07985141059976</v>
      </c>
      <c r="N63">
        <f t="shared" si="5"/>
        <v>62.209768867201831</v>
      </c>
      <c r="O63">
        <f t="shared" si="6"/>
        <v>75.094804223939505</v>
      </c>
      <c r="P63">
        <f t="shared" si="7"/>
        <v>4.9900776261125754E-2</v>
      </c>
      <c r="Q63">
        <f t="shared" si="8"/>
        <v>2.0927493779621247</v>
      </c>
      <c r="R63">
        <f t="shared" si="9"/>
        <v>4.9249058070488884E-2</v>
      </c>
      <c r="S63">
        <f t="shared" si="10"/>
        <v>3.083850641116467E-2</v>
      </c>
      <c r="T63">
        <f t="shared" si="11"/>
        <v>276.11647574399996</v>
      </c>
      <c r="U63">
        <f t="shared" si="12"/>
        <v>27.271136324872526</v>
      </c>
      <c r="V63">
        <f t="shared" si="13"/>
        <v>27.271136324872526</v>
      </c>
      <c r="W63">
        <f t="shared" si="14"/>
        <v>3.6365537503301129</v>
      </c>
      <c r="X63">
        <f t="shared" si="15"/>
        <v>70.970172131977932</v>
      </c>
      <c r="Y63">
        <f t="shared" si="16"/>
        <v>2.29622146035668</v>
      </c>
      <c r="Z63">
        <f t="shared" si="17"/>
        <v>3.2354739905189582</v>
      </c>
      <c r="AA63">
        <f t="shared" si="18"/>
        <v>1.3403322899734329</v>
      </c>
      <c r="AB63">
        <f t="shared" si="19"/>
        <v>-30.198330464227563</v>
      </c>
      <c r="AC63">
        <f t="shared" si="20"/>
        <v>-223.28339686410686</v>
      </c>
      <c r="AD63">
        <f t="shared" si="21"/>
        <v>-22.861003726769844</v>
      </c>
      <c r="AE63">
        <f t="shared" si="22"/>
        <v>-0.2262553111042962</v>
      </c>
      <c r="AF63">
        <v>13</v>
      </c>
      <c r="AG63">
        <v>4</v>
      </c>
      <c r="AH63">
        <f t="shared" si="23"/>
        <v>1</v>
      </c>
      <c r="AI63">
        <f t="shared" si="24"/>
        <v>0</v>
      </c>
      <c r="AJ63">
        <f t="shared" si="25"/>
        <v>52462.252089578833</v>
      </c>
      <c r="AK63">
        <f t="shared" si="26"/>
        <v>1800</v>
      </c>
      <c r="AL63">
        <f t="shared" si="27"/>
        <v>1499.1107004</v>
      </c>
      <c r="AM63">
        <f t="shared" si="28"/>
        <v>0.83283927800000002</v>
      </c>
      <c r="AN63">
        <f t="shared" si="29"/>
        <v>0.15339804207999999</v>
      </c>
      <c r="AO63">
        <v>33</v>
      </c>
      <c r="AP63">
        <v>0.5</v>
      </c>
      <c r="AQ63" t="s">
        <v>331</v>
      </c>
      <c r="AR63">
        <v>2</v>
      </c>
      <c r="AS63">
        <v>1690304379.5</v>
      </c>
      <c r="AT63">
        <v>755.755</v>
      </c>
      <c r="AU63">
        <v>800.19299999999998</v>
      </c>
      <c r="AV63">
        <v>23.109200000000001</v>
      </c>
      <c r="AW63">
        <v>15.757300000000001</v>
      </c>
      <c r="AX63">
        <v>755.96600000000001</v>
      </c>
      <c r="AY63">
        <v>22.837399999999999</v>
      </c>
      <c r="AZ63">
        <v>300.26499999999999</v>
      </c>
      <c r="BA63">
        <v>99.263999999999996</v>
      </c>
      <c r="BB63">
        <v>9.9952899999999997E-2</v>
      </c>
      <c r="BC63">
        <v>25.292100000000001</v>
      </c>
      <c r="BD63">
        <v>27.5776</v>
      </c>
      <c r="BE63">
        <v>26.710599999999999</v>
      </c>
      <c r="BF63">
        <v>0</v>
      </c>
      <c r="BG63">
        <v>0</v>
      </c>
      <c r="BH63">
        <v>9935.6200000000008</v>
      </c>
      <c r="BI63">
        <v>1050.72</v>
      </c>
      <c r="BJ63">
        <v>1.68479</v>
      </c>
      <c r="BK63">
        <v>-44.437600000000003</v>
      </c>
      <c r="BL63">
        <v>773.63300000000004</v>
      </c>
      <c r="BM63">
        <v>813.00300000000004</v>
      </c>
      <c r="BN63">
        <v>7.3519199999999998</v>
      </c>
      <c r="BO63">
        <v>800.19299999999998</v>
      </c>
      <c r="BP63">
        <v>15.757300000000001</v>
      </c>
      <c r="BQ63">
        <v>2.2939099999999999</v>
      </c>
      <c r="BR63">
        <v>1.56413</v>
      </c>
      <c r="BS63">
        <v>19.633700000000001</v>
      </c>
      <c r="BT63">
        <v>13.6099</v>
      </c>
      <c r="BU63">
        <v>1800</v>
      </c>
      <c r="BV63">
        <v>0.90998100000000004</v>
      </c>
      <c r="BW63">
        <v>3.3999500000000002E-2</v>
      </c>
      <c r="BX63">
        <v>2.20074E-2</v>
      </c>
      <c r="BY63">
        <v>3.4012199999999999E-2</v>
      </c>
      <c r="BZ63">
        <v>25.625</v>
      </c>
      <c r="CA63">
        <v>33528.199999999997</v>
      </c>
      <c r="CB63">
        <v>1690303320.5</v>
      </c>
      <c r="CC63" t="s">
        <v>332</v>
      </c>
      <c r="CD63">
        <v>1690303320.5</v>
      </c>
      <c r="CE63">
        <v>1690303310.0999999</v>
      </c>
      <c r="CF63">
        <v>8</v>
      </c>
      <c r="CG63">
        <v>7.3999999999999996E-2</v>
      </c>
      <c r="CH63">
        <v>-0.01</v>
      </c>
      <c r="CI63">
        <v>-0.24199999999999999</v>
      </c>
      <c r="CJ63">
        <v>0.27200000000000002</v>
      </c>
      <c r="CK63">
        <v>800</v>
      </c>
      <c r="CL63">
        <v>23</v>
      </c>
      <c r="CM63">
        <v>0.06</v>
      </c>
      <c r="CN63">
        <v>0.09</v>
      </c>
      <c r="CO63">
        <v>-42.351917499999999</v>
      </c>
      <c r="CP63">
        <v>-13.85939099437139</v>
      </c>
      <c r="CQ63">
        <v>1.3478002706053109</v>
      </c>
      <c r="CR63">
        <v>-1</v>
      </c>
      <c r="CS63">
        <v>5.7892457500000001</v>
      </c>
      <c r="CT63">
        <v>13.190316135084419</v>
      </c>
      <c r="CU63">
        <v>1.2869388252105991</v>
      </c>
      <c r="CV63">
        <v>-1</v>
      </c>
      <c r="CW63">
        <v>0</v>
      </c>
      <c r="CX63">
        <v>0</v>
      </c>
      <c r="CY63" t="s">
        <v>333</v>
      </c>
      <c r="CZ63">
        <v>2.3643900000000002</v>
      </c>
      <c r="DA63">
        <v>2.7136900000000002</v>
      </c>
      <c r="DB63">
        <v>0.14141899999999999</v>
      </c>
      <c r="DC63">
        <v>0.146478</v>
      </c>
      <c r="DD63">
        <v>0.110724</v>
      </c>
      <c r="DE63">
        <v>8.3236099999999993E-2</v>
      </c>
      <c r="DF63">
        <v>31342.2</v>
      </c>
      <c r="DG63">
        <v>27504.7</v>
      </c>
      <c r="DH63">
        <v>31165</v>
      </c>
      <c r="DI63">
        <v>28080.400000000001</v>
      </c>
      <c r="DJ63">
        <v>37628.9</v>
      </c>
      <c r="DK63">
        <v>36611.300000000003</v>
      </c>
      <c r="DL63">
        <v>44352</v>
      </c>
      <c r="DM63">
        <v>42567.6</v>
      </c>
      <c r="DN63">
        <v>1.4319299999999999</v>
      </c>
      <c r="DO63">
        <v>2.0498500000000002</v>
      </c>
      <c r="DP63">
        <v>0.18800800000000001</v>
      </c>
      <c r="DQ63">
        <v>0.15541199999999999</v>
      </c>
      <c r="DR63">
        <v>24.498000000000001</v>
      </c>
      <c r="DS63">
        <v>24.162500000000001</v>
      </c>
      <c r="DT63">
        <v>57.1</v>
      </c>
      <c r="DU63">
        <v>29.1</v>
      </c>
      <c r="DV63">
        <v>23.267600000000002</v>
      </c>
      <c r="DW63">
        <v>61.991199999999999</v>
      </c>
      <c r="DX63">
        <v>35.1723</v>
      </c>
      <c r="DY63">
        <v>1</v>
      </c>
      <c r="DZ63">
        <v>-5.6714899999999999E-2</v>
      </c>
      <c r="EA63">
        <v>4.5225099999999996</v>
      </c>
      <c r="EB63">
        <v>20.102799999999998</v>
      </c>
      <c r="EC63">
        <v>5.2404999999999999</v>
      </c>
      <c r="ED63">
        <v>12.039899999999999</v>
      </c>
      <c r="EE63">
        <v>5.0169499999999996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1.8689100000000001</v>
      </c>
      <c r="EL63">
        <v>1.8646199999999999</v>
      </c>
      <c r="EM63">
        <v>1.8692</v>
      </c>
      <c r="EN63">
        <v>1.8672500000000001</v>
      </c>
      <c r="EO63">
        <v>1.8633999999999999</v>
      </c>
      <c r="EP63">
        <v>1.8644799999999999</v>
      </c>
      <c r="EQ63">
        <v>1.87016</v>
      </c>
      <c r="ER63">
        <v>1.8694500000000001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-0.21099999999999999</v>
      </c>
      <c r="FG63">
        <v>0.27179999999999999</v>
      </c>
      <c r="FH63">
        <v>0.30965466913576151</v>
      </c>
      <c r="FI63">
        <v>-6.1462078757559423E-4</v>
      </c>
      <c r="FJ63">
        <v>-1.8861989874597051E-7</v>
      </c>
      <c r="FK63">
        <v>1.1980462299894961E-10</v>
      </c>
      <c r="FL63">
        <v>0.27184999999999349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17.600000000000001</v>
      </c>
      <c r="FU63">
        <v>17.8</v>
      </c>
      <c r="FV63">
        <v>1.78589</v>
      </c>
      <c r="FW63">
        <v>2.5830099999999998</v>
      </c>
      <c r="FX63">
        <v>1.5490699999999999</v>
      </c>
      <c r="FY63">
        <v>2.3303199999999999</v>
      </c>
      <c r="FZ63">
        <v>1.50146</v>
      </c>
      <c r="GA63">
        <v>2.3852500000000001</v>
      </c>
      <c r="GB63">
        <v>33.8735</v>
      </c>
      <c r="GC63">
        <v>23.956199999999999</v>
      </c>
      <c r="GD63">
        <v>19</v>
      </c>
      <c r="GE63">
        <v>265.798</v>
      </c>
      <c r="GF63">
        <v>597.74800000000005</v>
      </c>
      <c r="GG63">
        <v>24.388999999999999</v>
      </c>
      <c r="GH63">
        <v>26.570399999999999</v>
      </c>
      <c r="GI63">
        <v>29.998899999999999</v>
      </c>
      <c r="GJ63">
        <v>26.6831</v>
      </c>
      <c r="GK63">
        <v>26.6313</v>
      </c>
      <c r="GL63">
        <v>35.715699999999998</v>
      </c>
      <c r="GM63">
        <v>39.492699999999999</v>
      </c>
      <c r="GN63">
        <v>97.33</v>
      </c>
      <c r="GO63">
        <v>23.1418</v>
      </c>
      <c r="GP63">
        <v>800</v>
      </c>
      <c r="GQ63">
        <v>15.8713</v>
      </c>
      <c r="GR63">
        <v>99.716399999999993</v>
      </c>
      <c r="GS63">
        <v>99.573499999999996</v>
      </c>
    </row>
    <row r="64" spans="1:201" x14ac:dyDescent="0.25">
      <c r="A64">
        <v>48</v>
      </c>
      <c r="B64">
        <v>1690304389.5</v>
      </c>
      <c r="C64">
        <v>639.5</v>
      </c>
      <c r="D64" t="s">
        <v>427</v>
      </c>
      <c r="E64" t="s">
        <v>428</v>
      </c>
      <c r="F64" t="s">
        <v>330</v>
      </c>
      <c r="H64">
        <v>1690304389.5</v>
      </c>
      <c r="I64">
        <f t="shared" si="0"/>
        <v>5.5751166532138252E-4</v>
      </c>
      <c r="J64">
        <f t="shared" si="1"/>
        <v>0.55751166532138252</v>
      </c>
      <c r="K64">
        <f t="shared" si="2"/>
        <v>3.724377701081397</v>
      </c>
      <c r="L64">
        <f t="shared" si="3"/>
        <v>754.28</v>
      </c>
      <c r="M64">
        <f t="shared" si="4"/>
        <v>577.9518962782397</v>
      </c>
      <c r="N64">
        <f t="shared" si="5"/>
        <v>57.428123593628833</v>
      </c>
      <c r="O64">
        <f t="shared" si="6"/>
        <v>74.948945306943997</v>
      </c>
      <c r="P64">
        <f t="shared" si="7"/>
        <v>3.7480293986209737E-2</v>
      </c>
      <c r="Q64">
        <f t="shared" si="8"/>
        <v>2.0985875990395231</v>
      </c>
      <c r="R64">
        <f t="shared" si="9"/>
        <v>3.7112351695595437E-2</v>
      </c>
      <c r="S64">
        <f t="shared" si="10"/>
        <v>2.3227976857781649E-2</v>
      </c>
      <c r="T64">
        <f t="shared" si="11"/>
        <v>276.11640556199995</v>
      </c>
      <c r="U64">
        <f t="shared" si="12"/>
        <v>27.271059758155374</v>
      </c>
      <c r="V64">
        <f t="shared" si="13"/>
        <v>27.271059758155374</v>
      </c>
      <c r="W64">
        <f t="shared" si="14"/>
        <v>3.6365374299945477</v>
      </c>
      <c r="X64">
        <f t="shared" si="15"/>
        <v>67.774798361586988</v>
      </c>
      <c r="Y64">
        <f t="shared" si="16"/>
        <v>2.1875974307798396</v>
      </c>
      <c r="Z64">
        <f t="shared" si="17"/>
        <v>3.227744653858998</v>
      </c>
      <c r="AA64">
        <f t="shared" si="18"/>
        <v>1.4489399992147081</v>
      </c>
      <c r="AB64">
        <f t="shared" si="19"/>
        <v>-24.58626444067297</v>
      </c>
      <c r="AC64">
        <f t="shared" si="20"/>
        <v>-228.44582620365659</v>
      </c>
      <c r="AD64">
        <f t="shared" si="21"/>
        <v>-23.319795290857311</v>
      </c>
      <c r="AE64">
        <f t="shared" si="22"/>
        <v>-0.23548037318693105</v>
      </c>
      <c r="AF64">
        <v>14</v>
      </c>
      <c r="AG64">
        <v>5</v>
      </c>
      <c r="AH64">
        <f t="shared" si="23"/>
        <v>1</v>
      </c>
      <c r="AI64">
        <f t="shared" si="24"/>
        <v>0</v>
      </c>
      <c r="AJ64">
        <f t="shared" si="25"/>
        <v>52729.664242739142</v>
      </c>
      <c r="AK64">
        <f t="shared" si="26"/>
        <v>1800</v>
      </c>
      <c r="AL64">
        <f t="shared" si="27"/>
        <v>1499.1113951999998</v>
      </c>
      <c r="AM64">
        <f t="shared" si="28"/>
        <v>0.83283966399999987</v>
      </c>
      <c r="AN64">
        <f t="shared" si="29"/>
        <v>0.15339800308999998</v>
      </c>
      <c r="AO64">
        <v>33</v>
      </c>
      <c r="AP64">
        <v>0.5</v>
      </c>
      <c r="AQ64" t="s">
        <v>331</v>
      </c>
      <c r="AR64">
        <v>2</v>
      </c>
      <c r="AS64">
        <v>1690304389.5</v>
      </c>
      <c r="AT64">
        <v>754.28</v>
      </c>
      <c r="AU64">
        <v>799.83500000000004</v>
      </c>
      <c r="AV64">
        <v>22.015799999999999</v>
      </c>
      <c r="AW64">
        <v>16.023299999999999</v>
      </c>
      <c r="AX64">
        <v>754.49</v>
      </c>
      <c r="AY64">
        <v>21.7439</v>
      </c>
      <c r="AZ64">
        <v>300.25599999999997</v>
      </c>
      <c r="BA64">
        <v>99.264899999999997</v>
      </c>
      <c r="BB64">
        <v>9.9984799999999999E-2</v>
      </c>
      <c r="BC64">
        <v>25.251899999999999</v>
      </c>
      <c r="BD64">
        <v>27.721</v>
      </c>
      <c r="BE64">
        <v>26.8065</v>
      </c>
      <c r="BF64">
        <v>0</v>
      </c>
      <c r="BG64">
        <v>0</v>
      </c>
      <c r="BH64">
        <v>9986.8799999999992</v>
      </c>
      <c r="BI64">
        <v>1051.3800000000001</v>
      </c>
      <c r="BJ64">
        <v>1.68198</v>
      </c>
      <c r="BK64">
        <v>-45.555399999999999</v>
      </c>
      <c r="BL64">
        <v>771.26</v>
      </c>
      <c r="BM64">
        <v>812.86</v>
      </c>
      <c r="BN64">
        <v>5.99247</v>
      </c>
      <c r="BO64">
        <v>799.83500000000004</v>
      </c>
      <c r="BP64">
        <v>16.023299999999999</v>
      </c>
      <c r="BQ64">
        <v>2.1853899999999999</v>
      </c>
      <c r="BR64">
        <v>1.5905499999999999</v>
      </c>
      <c r="BS64">
        <v>18.855599999999999</v>
      </c>
      <c r="BT64">
        <v>13.867599999999999</v>
      </c>
      <c r="BU64">
        <v>1800</v>
      </c>
      <c r="BV64">
        <v>0.90998400000000002</v>
      </c>
      <c r="BW64">
        <v>3.3998500000000001E-2</v>
      </c>
      <c r="BX64">
        <v>2.2006700000000001E-2</v>
      </c>
      <c r="BY64">
        <v>3.4011100000000002E-2</v>
      </c>
      <c r="BZ64">
        <v>25.666699999999999</v>
      </c>
      <c r="CA64">
        <v>33528.199999999997</v>
      </c>
      <c r="CB64">
        <v>1690303320.5</v>
      </c>
      <c r="CC64" t="s">
        <v>332</v>
      </c>
      <c r="CD64">
        <v>1690303320.5</v>
      </c>
      <c r="CE64">
        <v>1690303310.0999999</v>
      </c>
      <c r="CF64">
        <v>8</v>
      </c>
      <c r="CG64">
        <v>7.3999999999999996E-2</v>
      </c>
      <c r="CH64">
        <v>-0.01</v>
      </c>
      <c r="CI64">
        <v>-0.24199999999999999</v>
      </c>
      <c r="CJ64">
        <v>0.27200000000000002</v>
      </c>
      <c r="CK64">
        <v>800</v>
      </c>
      <c r="CL64">
        <v>23</v>
      </c>
      <c r="CM64">
        <v>0.06</v>
      </c>
      <c r="CN64">
        <v>0.09</v>
      </c>
      <c r="CO64">
        <v>-44.073646341463409</v>
      </c>
      <c r="CP64">
        <v>-8.3123999999999434</v>
      </c>
      <c r="CQ64">
        <v>0.82561309756862389</v>
      </c>
      <c r="CR64">
        <v>-1</v>
      </c>
      <c r="CS64">
        <v>6.866807804878051</v>
      </c>
      <c r="CT64">
        <v>0.97833052264809295</v>
      </c>
      <c r="CU64">
        <v>0.43242476985929512</v>
      </c>
      <c r="CV64">
        <v>-1</v>
      </c>
      <c r="CW64">
        <v>0</v>
      </c>
      <c r="CX64">
        <v>0</v>
      </c>
      <c r="CY64" t="s">
        <v>333</v>
      </c>
      <c r="CZ64">
        <v>2.3644099999999999</v>
      </c>
      <c r="DA64">
        <v>2.7137699999999998</v>
      </c>
      <c r="DB64">
        <v>0.14122299999999999</v>
      </c>
      <c r="DC64">
        <v>0.14644299999999999</v>
      </c>
      <c r="DD64">
        <v>0.106962</v>
      </c>
      <c r="DE64">
        <v>8.4259000000000001E-2</v>
      </c>
      <c r="DF64">
        <v>31349.1</v>
      </c>
      <c r="DG64">
        <v>27505.200000000001</v>
      </c>
      <c r="DH64">
        <v>31164.799999999999</v>
      </c>
      <c r="DI64">
        <v>28079.599999999999</v>
      </c>
      <c r="DJ64">
        <v>37789.4</v>
      </c>
      <c r="DK64">
        <v>36569.4</v>
      </c>
      <c r="DL64">
        <v>44351.7</v>
      </c>
      <c r="DM64">
        <v>42566.5</v>
      </c>
      <c r="DN64">
        <v>1.43045</v>
      </c>
      <c r="DO64">
        <v>2.0502500000000001</v>
      </c>
      <c r="DP64">
        <v>0.19688900000000001</v>
      </c>
      <c r="DQ64">
        <v>0.15931600000000001</v>
      </c>
      <c r="DR64">
        <v>24.496300000000002</v>
      </c>
      <c r="DS64">
        <v>24.194600000000001</v>
      </c>
      <c r="DT64">
        <v>57.1</v>
      </c>
      <c r="DU64">
        <v>29.1</v>
      </c>
      <c r="DV64">
        <v>23.268599999999999</v>
      </c>
      <c r="DW64">
        <v>62.041200000000003</v>
      </c>
      <c r="DX64">
        <v>35.060099999999998</v>
      </c>
      <c r="DY64">
        <v>1</v>
      </c>
      <c r="DZ64">
        <v>-4.8729700000000001E-2</v>
      </c>
      <c r="EA64">
        <v>6.5204500000000003</v>
      </c>
      <c r="EB64">
        <v>20.020499999999998</v>
      </c>
      <c r="EC64">
        <v>5.2403500000000003</v>
      </c>
      <c r="ED64">
        <v>12.039899999999999</v>
      </c>
      <c r="EE64">
        <v>5.0168999999999997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1.8689100000000001</v>
      </c>
      <c r="EL64">
        <v>1.8646199999999999</v>
      </c>
      <c r="EM64">
        <v>1.8692</v>
      </c>
      <c r="EN64">
        <v>1.8672200000000001</v>
      </c>
      <c r="EO64">
        <v>1.8633999999999999</v>
      </c>
      <c r="EP64">
        <v>1.8644700000000001</v>
      </c>
      <c r="EQ64">
        <v>1.87018</v>
      </c>
      <c r="ER64">
        <v>1.86944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-0.21</v>
      </c>
      <c r="FG64">
        <v>0.27189999999999998</v>
      </c>
      <c r="FH64">
        <v>0.30965466913576151</v>
      </c>
      <c r="FI64">
        <v>-6.1462078757559423E-4</v>
      </c>
      <c r="FJ64">
        <v>-1.8861989874597051E-7</v>
      </c>
      <c r="FK64">
        <v>1.1980462299894961E-10</v>
      </c>
      <c r="FL64">
        <v>0.27184999999999349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17.8</v>
      </c>
      <c r="FU64">
        <v>18</v>
      </c>
      <c r="FV64">
        <v>1.78711</v>
      </c>
      <c r="FW64">
        <v>2.5854499999999998</v>
      </c>
      <c r="FX64">
        <v>1.5490699999999999</v>
      </c>
      <c r="FY64">
        <v>2.3303199999999999</v>
      </c>
      <c r="FZ64">
        <v>1.50146</v>
      </c>
      <c r="GA64">
        <v>2.33643</v>
      </c>
      <c r="GB64">
        <v>33.8735</v>
      </c>
      <c r="GC64">
        <v>23.938700000000001</v>
      </c>
      <c r="GD64">
        <v>19</v>
      </c>
      <c r="GE64">
        <v>265.10599999999999</v>
      </c>
      <c r="GF64">
        <v>598.11099999999999</v>
      </c>
      <c r="GG64">
        <v>22.356400000000001</v>
      </c>
      <c r="GH64">
        <v>26.562200000000001</v>
      </c>
      <c r="GI64">
        <v>30.002500000000001</v>
      </c>
      <c r="GJ64">
        <v>26.660799999999998</v>
      </c>
      <c r="GK64">
        <v>26.633600000000001</v>
      </c>
      <c r="GL64">
        <v>35.723599999999998</v>
      </c>
      <c r="GM64">
        <v>37.408900000000003</v>
      </c>
      <c r="GN64">
        <v>97.33</v>
      </c>
      <c r="GO64">
        <v>21.9284</v>
      </c>
      <c r="GP64">
        <v>800</v>
      </c>
      <c r="GQ64">
        <v>16.457799999999999</v>
      </c>
      <c r="GR64">
        <v>99.715800000000002</v>
      </c>
      <c r="GS64">
        <v>99.570899999999995</v>
      </c>
    </row>
    <row r="65" spans="1:201" x14ac:dyDescent="0.25">
      <c r="A65">
        <v>49</v>
      </c>
      <c r="B65">
        <v>1690304399.5</v>
      </c>
      <c r="C65">
        <v>649.5</v>
      </c>
      <c r="D65" t="s">
        <v>429</v>
      </c>
      <c r="E65" t="s">
        <v>430</v>
      </c>
      <c r="F65" t="s">
        <v>330</v>
      </c>
      <c r="H65">
        <v>1690304399.5</v>
      </c>
      <c r="I65">
        <f t="shared" si="0"/>
        <v>4.2102047538442679E-4</v>
      </c>
      <c r="J65">
        <f t="shared" si="1"/>
        <v>0.42102047538442677</v>
      </c>
      <c r="K65">
        <f t="shared" si="2"/>
        <v>3.9762706545860067</v>
      </c>
      <c r="L65">
        <f t="shared" si="3"/>
        <v>752.68600000000004</v>
      </c>
      <c r="M65">
        <f t="shared" si="4"/>
        <v>500.40749919328431</v>
      </c>
      <c r="N65">
        <f t="shared" si="5"/>
        <v>49.722977296052974</v>
      </c>
      <c r="O65">
        <f t="shared" si="6"/>
        <v>74.790623540597807</v>
      </c>
      <c r="P65">
        <f t="shared" si="7"/>
        <v>2.7056063160657989E-2</v>
      </c>
      <c r="Q65">
        <f t="shared" si="8"/>
        <v>2.0995093447700546</v>
      </c>
      <c r="R65">
        <f t="shared" si="9"/>
        <v>2.6863844715568956E-2</v>
      </c>
      <c r="S65">
        <f t="shared" si="10"/>
        <v>1.6807059069216101E-2</v>
      </c>
      <c r="T65">
        <f t="shared" si="11"/>
        <v>276.11620835400004</v>
      </c>
      <c r="U65">
        <f t="shared" si="12"/>
        <v>27.15127291002139</v>
      </c>
      <c r="V65">
        <f t="shared" si="13"/>
        <v>27.15127291002139</v>
      </c>
      <c r="W65">
        <f t="shared" si="14"/>
        <v>3.6110827927109912</v>
      </c>
      <c r="X65">
        <f t="shared" si="15"/>
        <v>65.667704845074454</v>
      </c>
      <c r="Y65">
        <f t="shared" si="16"/>
        <v>2.09853853248985</v>
      </c>
      <c r="Z65">
        <f t="shared" si="17"/>
        <v>3.1956934347573061</v>
      </c>
      <c r="AA65">
        <f t="shared" si="18"/>
        <v>1.5125442602211412</v>
      </c>
      <c r="AB65">
        <f t="shared" si="19"/>
        <v>-18.56700296445322</v>
      </c>
      <c r="AC65">
        <f t="shared" si="20"/>
        <v>-233.95807541201117</v>
      </c>
      <c r="AD65">
        <f t="shared" si="21"/>
        <v>-23.837644310997089</v>
      </c>
      <c r="AE65">
        <f t="shared" si="22"/>
        <v>-0.24651433346144813</v>
      </c>
      <c r="AF65">
        <v>14</v>
      </c>
      <c r="AG65">
        <v>5</v>
      </c>
      <c r="AH65">
        <f t="shared" si="23"/>
        <v>1</v>
      </c>
      <c r="AI65">
        <f t="shared" si="24"/>
        <v>0</v>
      </c>
      <c r="AJ65">
        <f t="shared" si="25"/>
        <v>52800.517275050966</v>
      </c>
      <c r="AK65">
        <f t="shared" si="26"/>
        <v>1800</v>
      </c>
      <c r="AL65">
        <f t="shared" si="27"/>
        <v>1499.1115464</v>
      </c>
      <c r="AM65">
        <f t="shared" si="28"/>
        <v>0.83283974799999994</v>
      </c>
      <c r="AN65">
        <f t="shared" si="29"/>
        <v>0.15339789353000002</v>
      </c>
      <c r="AO65">
        <v>33</v>
      </c>
      <c r="AP65">
        <v>0.5</v>
      </c>
      <c r="AQ65" t="s">
        <v>331</v>
      </c>
      <c r="AR65">
        <v>2</v>
      </c>
      <c r="AS65">
        <v>1690304399.5</v>
      </c>
      <c r="AT65">
        <v>752.68600000000004</v>
      </c>
      <c r="AU65">
        <v>799.86900000000003</v>
      </c>
      <c r="AV65">
        <v>21.119499999999999</v>
      </c>
      <c r="AW65">
        <v>16.5901</v>
      </c>
      <c r="AX65">
        <v>752.89499999999998</v>
      </c>
      <c r="AY65">
        <v>20.8477</v>
      </c>
      <c r="AZ65">
        <v>300.26600000000002</v>
      </c>
      <c r="BA65">
        <v>99.265000000000001</v>
      </c>
      <c r="BB65">
        <v>9.99723E-2</v>
      </c>
      <c r="BC65">
        <v>25.084299999999999</v>
      </c>
      <c r="BD65">
        <v>27.531500000000001</v>
      </c>
      <c r="BE65">
        <v>26.648399999999999</v>
      </c>
      <c r="BF65">
        <v>0</v>
      </c>
      <c r="BG65">
        <v>0</v>
      </c>
      <c r="BH65">
        <v>9995</v>
      </c>
      <c r="BI65">
        <v>1051.51</v>
      </c>
      <c r="BJ65">
        <v>1.696</v>
      </c>
      <c r="BK65">
        <v>-47.183199999999999</v>
      </c>
      <c r="BL65">
        <v>768.92499999999995</v>
      </c>
      <c r="BM65">
        <v>813.36300000000006</v>
      </c>
      <c r="BN65">
        <v>4.52942</v>
      </c>
      <c r="BO65">
        <v>799.86900000000003</v>
      </c>
      <c r="BP65">
        <v>16.5901</v>
      </c>
      <c r="BQ65">
        <v>2.0964299999999998</v>
      </c>
      <c r="BR65">
        <v>1.64682</v>
      </c>
      <c r="BS65">
        <v>18.1921</v>
      </c>
      <c r="BT65">
        <v>14.404</v>
      </c>
      <c r="BU65">
        <v>1800</v>
      </c>
      <c r="BV65">
        <v>0.90998699999999999</v>
      </c>
      <c r="BW65">
        <v>3.3997300000000001E-2</v>
      </c>
      <c r="BX65">
        <v>2.2005899999999998E-2</v>
      </c>
      <c r="BY65">
        <v>3.4009900000000003E-2</v>
      </c>
      <c r="BZ65">
        <v>25.625</v>
      </c>
      <c r="CA65">
        <v>33528.300000000003</v>
      </c>
      <c r="CB65">
        <v>1690303320.5</v>
      </c>
      <c r="CC65" t="s">
        <v>332</v>
      </c>
      <c r="CD65">
        <v>1690303320.5</v>
      </c>
      <c r="CE65">
        <v>1690303310.0999999</v>
      </c>
      <c r="CF65">
        <v>8</v>
      </c>
      <c r="CG65">
        <v>7.3999999999999996E-2</v>
      </c>
      <c r="CH65">
        <v>-0.01</v>
      </c>
      <c r="CI65">
        <v>-0.24199999999999999</v>
      </c>
      <c r="CJ65">
        <v>0.27200000000000002</v>
      </c>
      <c r="CK65">
        <v>800</v>
      </c>
      <c r="CL65">
        <v>23</v>
      </c>
      <c r="CM65">
        <v>0.06</v>
      </c>
      <c r="CN65">
        <v>0.09</v>
      </c>
      <c r="CO65">
        <v>-45.526085000000002</v>
      </c>
      <c r="CP65">
        <v>-8.0206131332082826</v>
      </c>
      <c r="CQ65">
        <v>0.77701271950657302</v>
      </c>
      <c r="CR65">
        <v>-1</v>
      </c>
      <c r="CS65">
        <v>6.1030727500000008</v>
      </c>
      <c r="CT65">
        <v>-9.0862573733583734</v>
      </c>
      <c r="CU65">
        <v>0.87617744754412485</v>
      </c>
      <c r="CV65">
        <v>-1</v>
      </c>
      <c r="CW65">
        <v>0</v>
      </c>
      <c r="CX65">
        <v>0</v>
      </c>
      <c r="CY65" t="s">
        <v>333</v>
      </c>
      <c r="CZ65">
        <v>2.3644400000000001</v>
      </c>
      <c r="DA65">
        <v>2.7137600000000002</v>
      </c>
      <c r="DB65">
        <v>0.14100399999999999</v>
      </c>
      <c r="DC65">
        <v>0.146455</v>
      </c>
      <c r="DD65">
        <v>0.103815</v>
      </c>
      <c r="DE65">
        <v>8.6410399999999998E-2</v>
      </c>
      <c r="DF65">
        <v>31356.6</v>
      </c>
      <c r="DG65">
        <v>27504</v>
      </c>
      <c r="DH65">
        <v>31164.3</v>
      </c>
      <c r="DI65">
        <v>28078.799999999999</v>
      </c>
      <c r="DJ65">
        <v>37923.4</v>
      </c>
      <c r="DK65">
        <v>36482.300000000003</v>
      </c>
      <c r="DL65">
        <v>44351.199999999997</v>
      </c>
      <c r="DM65">
        <v>42565.3</v>
      </c>
      <c r="DN65">
        <v>1.4302999999999999</v>
      </c>
      <c r="DO65">
        <v>2.0503999999999998</v>
      </c>
      <c r="DP65">
        <v>0.18504999999999999</v>
      </c>
      <c r="DQ65">
        <v>0.148058</v>
      </c>
      <c r="DR65">
        <v>24.500299999999999</v>
      </c>
      <c r="DS65">
        <v>24.220800000000001</v>
      </c>
      <c r="DT65">
        <v>57.1</v>
      </c>
      <c r="DU65">
        <v>29.1</v>
      </c>
      <c r="DV65">
        <v>23.266100000000002</v>
      </c>
      <c r="DW65">
        <v>62.091200000000001</v>
      </c>
      <c r="DX65">
        <v>35.436700000000002</v>
      </c>
      <c r="DY65">
        <v>1</v>
      </c>
      <c r="DZ65">
        <v>-4.6689500000000002E-2</v>
      </c>
      <c r="EA65">
        <v>7.0503900000000002</v>
      </c>
      <c r="EB65">
        <v>19.999600000000001</v>
      </c>
      <c r="EC65">
        <v>5.2408000000000001</v>
      </c>
      <c r="ED65">
        <v>12.039899999999999</v>
      </c>
      <c r="EE65">
        <v>5.0169499999999996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</v>
      </c>
      <c r="EL65">
        <v>1.8646199999999999</v>
      </c>
      <c r="EM65">
        <v>1.8692</v>
      </c>
      <c r="EN65">
        <v>1.8672299999999999</v>
      </c>
      <c r="EO65">
        <v>1.8633999999999999</v>
      </c>
      <c r="EP65">
        <v>1.8644700000000001</v>
      </c>
      <c r="EQ65">
        <v>1.87015</v>
      </c>
      <c r="ER65">
        <v>1.8694299999999999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-0.20899999999999999</v>
      </c>
      <c r="FG65">
        <v>0.27179999999999999</v>
      </c>
      <c r="FH65">
        <v>0.30965466913576151</v>
      </c>
      <c r="FI65">
        <v>-6.1462078757559423E-4</v>
      </c>
      <c r="FJ65">
        <v>-1.8861989874597051E-7</v>
      </c>
      <c r="FK65">
        <v>1.1980462299894961E-10</v>
      </c>
      <c r="FL65">
        <v>0.27184999999999349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18</v>
      </c>
      <c r="FU65">
        <v>18.2</v>
      </c>
      <c r="FV65">
        <v>1.78711</v>
      </c>
      <c r="FW65">
        <v>2.5939899999999998</v>
      </c>
      <c r="FX65">
        <v>1.5490699999999999</v>
      </c>
      <c r="FY65">
        <v>2.3303199999999999</v>
      </c>
      <c r="FZ65">
        <v>1.50146</v>
      </c>
      <c r="GA65">
        <v>2.2851599999999999</v>
      </c>
      <c r="GB65">
        <v>33.896099999999997</v>
      </c>
      <c r="GC65">
        <v>23.9299</v>
      </c>
      <c r="GD65">
        <v>19</v>
      </c>
      <c r="GE65">
        <v>265.005</v>
      </c>
      <c r="GF65">
        <v>598.23800000000006</v>
      </c>
      <c r="GG65">
        <v>20.785900000000002</v>
      </c>
      <c r="GH65">
        <v>26.554400000000001</v>
      </c>
      <c r="GI65">
        <v>30.000800000000002</v>
      </c>
      <c r="GJ65">
        <v>26.6509</v>
      </c>
      <c r="GK65">
        <v>26.633600000000001</v>
      </c>
      <c r="GL65">
        <v>35.739400000000003</v>
      </c>
      <c r="GM65">
        <v>35.331400000000002</v>
      </c>
      <c r="GN65">
        <v>96.955799999999996</v>
      </c>
      <c r="GO65">
        <v>20.574300000000001</v>
      </c>
      <c r="GP65">
        <v>800</v>
      </c>
      <c r="GQ65">
        <v>16.861899999999999</v>
      </c>
      <c r="GR65">
        <v>99.714399999999998</v>
      </c>
      <c r="GS65">
        <v>99.567999999999998</v>
      </c>
    </row>
    <row r="66" spans="1:201" x14ac:dyDescent="0.25">
      <c r="A66">
        <v>50</v>
      </c>
      <c r="B66">
        <v>1690304409.5</v>
      </c>
      <c r="C66">
        <v>659.5</v>
      </c>
      <c r="D66" t="s">
        <v>431</v>
      </c>
      <c r="E66" t="s">
        <v>432</v>
      </c>
      <c r="F66" t="s">
        <v>330</v>
      </c>
      <c r="H66">
        <v>1690304409.5</v>
      </c>
      <c r="I66">
        <f t="shared" si="0"/>
        <v>3.4193238064498871E-4</v>
      </c>
      <c r="J66">
        <f t="shared" si="1"/>
        <v>0.34193238064498871</v>
      </c>
      <c r="K66">
        <f t="shared" si="2"/>
        <v>4.209349110615193</v>
      </c>
      <c r="L66">
        <f t="shared" si="3"/>
        <v>750.74</v>
      </c>
      <c r="M66">
        <f t="shared" si="4"/>
        <v>423.39732540906914</v>
      </c>
      <c r="N66">
        <f t="shared" si="5"/>
        <v>42.070001770589833</v>
      </c>
      <c r="O66">
        <f t="shared" si="6"/>
        <v>74.595731323380008</v>
      </c>
      <c r="P66">
        <f t="shared" si="7"/>
        <v>2.1661604725784572E-2</v>
      </c>
      <c r="Q66">
        <f t="shared" si="8"/>
        <v>2.0988482896648941</v>
      </c>
      <c r="R66">
        <f t="shared" si="9"/>
        <v>2.1538167125371925E-2</v>
      </c>
      <c r="S66">
        <f t="shared" si="10"/>
        <v>1.3472386090713532E-2</v>
      </c>
      <c r="T66">
        <f t="shared" si="11"/>
        <v>276.11609045400002</v>
      </c>
      <c r="U66">
        <f t="shared" si="12"/>
        <v>26.981646303971225</v>
      </c>
      <c r="V66">
        <f t="shared" si="13"/>
        <v>26.981646303971225</v>
      </c>
      <c r="W66">
        <f t="shared" si="14"/>
        <v>3.575303323704476</v>
      </c>
      <c r="X66">
        <f t="shared" si="15"/>
        <v>64.673746806006918</v>
      </c>
      <c r="Y66">
        <f t="shared" si="16"/>
        <v>2.0424449152098001</v>
      </c>
      <c r="Z66">
        <f t="shared" si="17"/>
        <v>3.158074204879834</v>
      </c>
      <c r="AA66">
        <f t="shared" si="18"/>
        <v>1.5328584084946759</v>
      </c>
      <c r="AB66">
        <f t="shared" si="19"/>
        <v>-15.079217986444002</v>
      </c>
      <c r="AC66">
        <f t="shared" si="20"/>
        <v>-237.1628405755028</v>
      </c>
      <c r="AD66">
        <f t="shared" si="21"/>
        <v>-24.127185127215739</v>
      </c>
      <c r="AE66">
        <f t="shared" si="22"/>
        <v>-0.25315323516252874</v>
      </c>
      <c r="AF66">
        <v>14</v>
      </c>
      <c r="AG66">
        <v>5</v>
      </c>
      <c r="AH66">
        <f t="shared" si="23"/>
        <v>1</v>
      </c>
      <c r="AI66">
        <f t="shared" si="24"/>
        <v>0</v>
      </c>
      <c r="AJ66">
        <f t="shared" si="25"/>
        <v>52806.101971109412</v>
      </c>
      <c r="AK66">
        <f t="shared" si="26"/>
        <v>1800</v>
      </c>
      <c r="AL66">
        <f t="shared" si="27"/>
        <v>1499.1116993999999</v>
      </c>
      <c r="AM66">
        <f t="shared" si="28"/>
        <v>0.83283983299999997</v>
      </c>
      <c r="AN66">
        <f t="shared" si="29"/>
        <v>0.15339782803000002</v>
      </c>
      <c r="AO66">
        <v>33</v>
      </c>
      <c r="AP66">
        <v>0.5</v>
      </c>
      <c r="AQ66" t="s">
        <v>331</v>
      </c>
      <c r="AR66">
        <v>2</v>
      </c>
      <c r="AS66">
        <v>1690304409.5</v>
      </c>
      <c r="AT66">
        <v>750.74</v>
      </c>
      <c r="AU66">
        <v>799.83399999999995</v>
      </c>
      <c r="AV66">
        <v>20.555399999999999</v>
      </c>
      <c r="AW66">
        <v>16.873899999999999</v>
      </c>
      <c r="AX66">
        <v>750.94799999999998</v>
      </c>
      <c r="AY66">
        <v>20.2835</v>
      </c>
      <c r="AZ66">
        <v>300.19900000000001</v>
      </c>
      <c r="BA66">
        <v>99.262900000000002</v>
      </c>
      <c r="BB66">
        <v>0.100037</v>
      </c>
      <c r="BC66">
        <v>24.8857</v>
      </c>
      <c r="BD66">
        <v>27.346499999999999</v>
      </c>
      <c r="BE66">
        <v>26.4194</v>
      </c>
      <c r="BF66">
        <v>0</v>
      </c>
      <c r="BG66">
        <v>0</v>
      </c>
      <c r="BH66">
        <v>9989.3799999999992</v>
      </c>
      <c r="BI66">
        <v>1051.23</v>
      </c>
      <c r="BJ66">
        <v>1.696</v>
      </c>
      <c r="BK66">
        <v>-49.093600000000002</v>
      </c>
      <c r="BL66">
        <v>766.49599999999998</v>
      </c>
      <c r="BM66">
        <v>813.56200000000001</v>
      </c>
      <c r="BN66">
        <v>3.6815099999999998</v>
      </c>
      <c r="BO66">
        <v>799.83399999999995</v>
      </c>
      <c r="BP66">
        <v>16.873899999999999</v>
      </c>
      <c r="BQ66">
        <v>2.0403899999999999</v>
      </c>
      <c r="BR66">
        <v>1.6749499999999999</v>
      </c>
      <c r="BS66">
        <v>17.761299999999999</v>
      </c>
      <c r="BT66">
        <v>14.6662</v>
      </c>
      <c r="BU66">
        <v>1800</v>
      </c>
      <c r="BV66">
        <v>0.90998900000000005</v>
      </c>
      <c r="BW66">
        <v>3.3996499999999999E-2</v>
      </c>
      <c r="BX66">
        <v>2.2005400000000001E-2</v>
      </c>
      <c r="BY66">
        <v>3.40091E-2</v>
      </c>
      <c r="BZ66">
        <v>25.625</v>
      </c>
      <c r="CA66">
        <v>33528.300000000003</v>
      </c>
      <c r="CB66">
        <v>1690303320.5</v>
      </c>
      <c r="CC66" t="s">
        <v>332</v>
      </c>
      <c r="CD66">
        <v>1690303320.5</v>
      </c>
      <c r="CE66">
        <v>1690303310.0999999</v>
      </c>
      <c r="CF66">
        <v>8</v>
      </c>
      <c r="CG66">
        <v>7.3999999999999996E-2</v>
      </c>
      <c r="CH66">
        <v>-0.01</v>
      </c>
      <c r="CI66">
        <v>-0.24199999999999999</v>
      </c>
      <c r="CJ66">
        <v>0.27200000000000002</v>
      </c>
      <c r="CK66">
        <v>800</v>
      </c>
      <c r="CL66">
        <v>23</v>
      </c>
      <c r="CM66">
        <v>0.06</v>
      </c>
      <c r="CN66">
        <v>0.09</v>
      </c>
      <c r="CO66">
        <v>-47.108410000000013</v>
      </c>
      <c r="CP66">
        <v>-10.998078799249511</v>
      </c>
      <c r="CQ66">
        <v>1.06023612601156</v>
      </c>
      <c r="CR66">
        <v>-1</v>
      </c>
      <c r="CS66">
        <v>4.7346519999999996</v>
      </c>
      <c r="CT66">
        <v>-7.1243326829268279</v>
      </c>
      <c r="CU66">
        <v>0.6917966563420207</v>
      </c>
      <c r="CV66">
        <v>-1</v>
      </c>
      <c r="CW66">
        <v>0</v>
      </c>
      <c r="CX66">
        <v>0</v>
      </c>
      <c r="CY66" t="s">
        <v>333</v>
      </c>
      <c r="CZ66">
        <v>2.3642500000000002</v>
      </c>
      <c r="DA66">
        <v>2.7138200000000001</v>
      </c>
      <c r="DB66">
        <v>0.14074800000000001</v>
      </c>
      <c r="DC66">
        <v>0.146457</v>
      </c>
      <c r="DD66">
        <v>0.10180599999999999</v>
      </c>
      <c r="DE66">
        <v>8.7478299999999995E-2</v>
      </c>
      <c r="DF66">
        <v>31366.400000000001</v>
      </c>
      <c r="DG66">
        <v>27505.1</v>
      </c>
      <c r="DH66">
        <v>31164.799999999999</v>
      </c>
      <c r="DI66">
        <v>28079.9</v>
      </c>
      <c r="DJ66">
        <v>38009.800000000003</v>
      </c>
      <c r="DK66">
        <v>36440.800000000003</v>
      </c>
      <c r="DL66">
        <v>44352</v>
      </c>
      <c r="DM66">
        <v>42566.7</v>
      </c>
      <c r="DN66">
        <v>1.4303999999999999</v>
      </c>
      <c r="DO66">
        <v>2.0508799999999998</v>
      </c>
      <c r="DP66">
        <v>0.17386699999999999</v>
      </c>
      <c r="DQ66">
        <v>0.13369300000000001</v>
      </c>
      <c r="DR66">
        <v>24.498000000000001</v>
      </c>
      <c r="DS66">
        <v>24.226900000000001</v>
      </c>
      <c r="DT66">
        <v>57.1</v>
      </c>
      <c r="DU66">
        <v>29.1</v>
      </c>
      <c r="DV66">
        <v>23.269300000000001</v>
      </c>
      <c r="DW66">
        <v>62.231200000000001</v>
      </c>
      <c r="DX66">
        <v>35.977600000000002</v>
      </c>
      <c r="DY66">
        <v>1</v>
      </c>
      <c r="DZ66">
        <v>-4.8150400000000003E-2</v>
      </c>
      <c r="EA66">
        <v>6.5962399999999999</v>
      </c>
      <c r="EB66">
        <v>20.0291</v>
      </c>
      <c r="EC66">
        <v>5.2406499999999996</v>
      </c>
      <c r="ED66">
        <v>12.039899999999999</v>
      </c>
      <c r="EE66">
        <v>5.0169499999999996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1.8689100000000001</v>
      </c>
      <c r="EL66">
        <v>1.8646199999999999</v>
      </c>
      <c r="EM66">
        <v>1.8691899999999999</v>
      </c>
      <c r="EN66">
        <v>1.8672299999999999</v>
      </c>
      <c r="EO66">
        <v>1.8633999999999999</v>
      </c>
      <c r="EP66">
        <v>1.8644700000000001</v>
      </c>
      <c r="EQ66">
        <v>1.8701399999999999</v>
      </c>
      <c r="ER66">
        <v>1.8694200000000001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-0.20799999999999999</v>
      </c>
      <c r="FG66">
        <v>0.27189999999999998</v>
      </c>
      <c r="FH66">
        <v>0.30965466913576151</v>
      </c>
      <c r="FI66">
        <v>-6.1462078757559423E-4</v>
      </c>
      <c r="FJ66">
        <v>-1.8861989874597051E-7</v>
      </c>
      <c r="FK66">
        <v>1.1980462299894961E-10</v>
      </c>
      <c r="FL66">
        <v>0.27184999999999349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18.100000000000001</v>
      </c>
      <c r="FU66">
        <v>18.3</v>
      </c>
      <c r="FV66">
        <v>1.78833</v>
      </c>
      <c r="FW66">
        <v>2.5952099999999998</v>
      </c>
      <c r="FX66">
        <v>1.5490699999999999</v>
      </c>
      <c r="FY66">
        <v>2.3303199999999999</v>
      </c>
      <c r="FZ66">
        <v>1.50146</v>
      </c>
      <c r="GA66">
        <v>2.3132299999999999</v>
      </c>
      <c r="GB66">
        <v>33.896099999999997</v>
      </c>
      <c r="GC66">
        <v>23.9299</v>
      </c>
      <c r="GD66">
        <v>19</v>
      </c>
      <c r="GE66">
        <v>265.03699999999998</v>
      </c>
      <c r="GF66">
        <v>598.63300000000004</v>
      </c>
      <c r="GG66">
        <v>19.632899999999999</v>
      </c>
      <c r="GH66">
        <v>26.549299999999999</v>
      </c>
      <c r="GI66">
        <v>29.999199999999998</v>
      </c>
      <c r="GJ66">
        <v>26.648800000000001</v>
      </c>
      <c r="GK66">
        <v>26.632999999999999</v>
      </c>
      <c r="GL66">
        <v>35.750799999999998</v>
      </c>
      <c r="GM66">
        <v>34.4345</v>
      </c>
      <c r="GN66">
        <v>96.955799999999996</v>
      </c>
      <c r="GO66">
        <v>19.565000000000001</v>
      </c>
      <c r="GP66">
        <v>800</v>
      </c>
      <c r="GQ66">
        <v>17.056899999999999</v>
      </c>
      <c r="GR66">
        <v>99.716200000000001</v>
      </c>
      <c r="GS66">
        <v>99.571600000000004</v>
      </c>
    </row>
    <row r="67" spans="1:201" x14ac:dyDescent="0.25">
      <c r="A67">
        <v>51</v>
      </c>
      <c r="B67">
        <v>1690304419.5</v>
      </c>
      <c r="C67">
        <v>669.5</v>
      </c>
      <c r="D67" t="s">
        <v>433</v>
      </c>
      <c r="E67" t="s">
        <v>434</v>
      </c>
      <c r="F67" t="s">
        <v>330</v>
      </c>
      <c r="H67">
        <v>1690304419.5</v>
      </c>
      <c r="I67">
        <f t="shared" si="0"/>
        <v>2.8989014812939531E-4</v>
      </c>
      <c r="J67">
        <f t="shared" si="1"/>
        <v>0.28989014812939529</v>
      </c>
      <c r="K67">
        <f t="shared" si="2"/>
        <v>4.442496148523249</v>
      </c>
      <c r="L67">
        <f t="shared" si="3"/>
        <v>748.60900000000004</v>
      </c>
      <c r="M67">
        <f t="shared" si="4"/>
        <v>344.99062296278078</v>
      </c>
      <c r="N67">
        <f t="shared" si="5"/>
        <v>34.278782816596987</v>
      </c>
      <c r="O67">
        <f t="shared" si="6"/>
        <v>74.382906715462596</v>
      </c>
      <c r="P67">
        <f t="shared" si="7"/>
        <v>1.8314663633495147E-2</v>
      </c>
      <c r="Q67">
        <f t="shared" si="8"/>
        <v>2.1006021783374655</v>
      </c>
      <c r="R67">
        <f t="shared" si="9"/>
        <v>1.8226413337046062E-2</v>
      </c>
      <c r="S67">
        <f t="shared" si="10"/>
        <v>1.139940173350045E-2</v>
      </c>
      <c r="T67">
        <f t="shared" si="11"/>
        <v>276.11593183800005</v>
      </c>
      <c r="U67">
        <f t="shared" si="12"/>
        <v>26.820315702087832</v>
      </c>
      <c r="V67">
        <f t="shared" si="13"/>
        <v>26.820315702087832</v>
      </c>
      <c r="W67">
        <f t="shared" si="14"/>
        <v>3.5415612657374038</v>
      </c>
      <c r="X67">
        <f t="shared" si="15"/>
        <v>64.179026452829603</v>
      </c>
      <c r="Y67">
        <f t="shared" si="16"/>
        <v>2.0053334917330798</v>
      </c>
      <c r="Z67">
        <f t="shared" si="17"/>
        <v>3.1245931927729735</v>
      </c>
      <c r="AA67">
        <f t="shared" si="18"/>
        <v>1.536227774004324</v>
      </c>
      <c r="AB67">
        <f t="shared" si="19"/>
        <v>-12.784155532506333</v>
      </c>
      <c r="AC67">
        <f t="shared" si="20"/>
        <v>-239.30541837245352</v>
      </c>
      <c r="AD67">
        <f t="shared" si="21"/>
        <v>-24.283377977926055</v>
      </c>
      <c r="AE67">
        <f t="shared" si="22"/>
        <v>-0.25702004488584862</v>
      </c>
      <c r="AF67">
        <v>14</v>
      </c>
      <c r="AG67">
        <v>5</v>
      </c>
      <c r="AH67">
        <f t="shared" si="23"/>
        <v>1</v>
      </c>
      <c r="AI67">
        <f t="shared" si="24"/>
        <v>0</v>
      </c>
      <c r="AJ67">
        <f t="shared" si="25"/>
        <v>52916.263724117132</v>
      </c>
      <c r="AK67">
        <f t="shared" si="26"/>
        <v>1800</v>
      </c>
      <c r="AL67">
        <f t="shared" si="27"/>
        <v>1499.1116957999998</v>
      </c>
      <c r="AM67">
        <f t="shared" si="28"/>
        <v>0.83283983099999992</v>
      </c>
      <c r="AN67">
        <f t="shared" si="29"/>
        <v>0.15339773991000002</v>
      </c>
      <c r="AO67">
        <v>33</v>
      </c>
      <c r="AP67">
        <v>0.5</v>
      </c>
      <c r="AQ67" t="s">
        <v>331</v>
      </c>
      <c r="AR67">
        <v>2</v>
      </c>
      <c r="AS67">
        <v>1690304419.5</v>
      </c>
      <c r="AT67">
        <v>748.60900000000004</v>
      </c>
      <c r="AU67">
        <v>799.84500000000003</v>
      </c>
      <c r="AV67">
        <v>20.182200000000002</v>
      </c>
      <c r="AW67">
        <v>17.058900000000001</v>
      </c>
      <c r="AX67">
        <v>748.81500000000005</v>
      </c>
      <c r="AY67">
        <v>19.910299999999999</v>
      </c>
      <c r="AZ67">
        <v>300.10899999999998</v>
      </c>
      <c r="BA67">
        <v>99.261499999999998</v>
      </c>
      <c r="BB67">
        <v>9.9991399999999994E-2</v>
      </c>
      <c r="BC67">
        <v>24.7072</v>
      </c>
      <c r="BD67">
        <v>27.146599999999999</v>
      </c>
      <c r="BE67">
        <v>26.2271</v>
      </c>
      <c r="BF67">
        <v>0</v>
      </c>
      <c r="BG67">
        <v>0</v>
      </c>
      <c r="BH67">
        <v>10005</v>
      </c>
      <c r="BI67">
        <v>1050.71</v>
      </c>
      <c r="BJ67">
        <v>1.68198</v>
      </c>
      <c r="BK67">
        <v>-51.2363</v>
      </c>
      <c r="BL67">
        <v>764.029</v>
      </c>
      <c r="BM67">
        <v>813.72699999999998</v>
      </c>
      <c r="BN67">
        <v>3.1232899999999999</v>
      </c>
      <c r="BO67">
        <v>799.84500000000003</v>
      </c>
      <c r="BP67">
        <v>17.058900000000001</v>
      </c>
      <c r="BQ67">
        <v>2.0033099999999999</v>
      </c>
      <c r="BR67">
        <v>1.69329</v>
      </c>
      <c r="BS67">
        <v>17.470500000000001</v>
      </c>
      <c r="BT67">
        <v>14.835100000000001</v>
      </c>
      <c r="BU67">
        <v>1800</v>
      </c>
      <c r="BV67">
        <v>0.90999099999999999</v>
      </c>
      <c r="BW67">
        <v>3.3995699999999997E-2</v>
      </c>
      <c r="BX67">
        <v>2.2004800000000001E-2</v>
      </c>
      <c r="BY67">
        <v>3.4008299999999998E-2</v>
      </c>
      <c r="BZ67">
        <v>25.666699999999999</v>
      </c>
      <c r="CA67">
        <v>33528.199999999997</v>
      </c>
      <c r="CB67">
        <v>1690303320.5</v>
      </c>
      <c r="CC67" t="s">
        <v>332</v>
      </c>
      <c r="CD67">
        <v>1690303320.5</v>
      </c>
      <c r="CE67">
        <v>1690303310.0999999</v>
      </c>
      <c r="CF67">
        <v>8</v>
      </c>
      <c r="CG67">
        <v>7.3999999999999996E-2</v>
      </c>
      <c r="CH67">
        <v>-0.01</v>
      </c>
      <c r="CI67">
        <v>-0.24199999999999999</v>
      </c>
      <c r="CJ67">
        <v>0.27200000000000002</v>
      </c>
      <c r="CK67">
        <v>800</v>
      </c>
      <c r="CL67">
        <v>23</v>
      </c>
      <c r="CM67">
        <v>0.06</v>
      </c>
      <c r="CN67">
        <v>0.09</v>
      </c>
      <c r="CO67">
        <v>-49.066990243902438</v>
      </c>
      <c r="CP67">
        <v>-12.07916236933788</v>
      </c>
      <c r="CQ67">
        <v>1.1918527941116079</v>
      </c>
      <c r="CR67">
        <v>-1</v>
      </c>
      <c r="CS67">
        <v>3.7711965853658538</v>
      </c>
      <c r="CT67">
        <v>-4.1906523344947777</v>
      </c>
      <c r="CU67">
        <v>0.41624745967501259</v>
      </c>
      <c r="CV67">
        <v>-1</v>
      </c>
      <c r="CW67">
        <v>0</v>
      </c>
      <c r="CX67">
        <v>0</v>
      </c>
      <c r="CY67" t="s">
        <v>333</v>
      </c>
      <c r="CZ67">
        <v>2.3639299999999999</v>
      </c>
      <c r="DA67">
        <v>2.7137899999999999</v>
      </c>
      <c r="DB67">
        <v>0.14046800000000001</v>
      </c>
      <c r="DC67">
        <v>0.14646000000000001</v>
      </c>
      <c r="DD67">
        <v>0.100463</v>
      </c>
      <c r="DE67">
        <v>8.8169300000000006E-2</v>
      </c>
      <c r="DF67">
        <v>31377.5</v>
      </c>
      <c r="DG67">
        <v>27505.7</v>
      </c>
      <c r="DH67">
        <v>31165.7</v>
      </c>
      <c r="DI67">
        <v>28080.7</v>
      </c>
      <c r="DJ67">
        <v>38068.300000000003</v>
      </c>
      <c r="DK67">
        <v>36414.199999999997</v>
      </c>
      <c r="DL67">
        <v>44353.4</v>
      </c>
      <c r="DM67">
        <v>42567.9</v>
      </c>
      <c r="DN67">
        <v>1.4306000000000001</v>
      </c>
      <c r="DO67">
        <v>2.05105</v>
      </c>
      <c r="DP67">
        <v>0.16259399999999999</v>
      </c>
      <c r="DQ67">
        <v>0.123054</v>
      </c>
      <c r="DR67">
        <v>24.482399999999998</v>
      </c>
      <c r="DS67">
        <v>24.2088</v>
      </c>
      <c r="DT67">
        <v>57.1</v>
      </c>
      <c r="DU67">
        <v>29</v>
      </c>
      <c r="DV67">
        <v>23.136099999999999</v>
      </c>
      <c r="DW67">
        <v>61.921199999999999</v>
      </c>
      <c r="DX67">
        <v>36.394199999999998</v>
      </c>
      <c r="DY67">
        <v>1</v>
      </c>
      <c r="DZ67">
        <v>-5.1765800000000001E-2</v>
      </c>
      <c r="EA67">
        <v>5.72879</v>
      </c>
      <c r="EB67">
        <v>20.072700000000001</v>
      </c>
      <c r="EC67">
        <v>5.2406499999999996</v>
      </c>
      <c r="ED67">
        <v>12.039899999999999</v>
      </c>
      <c r="EE67">
        <v>5.0171000000000001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1.8689100000000001</v>
      </c>
      <c r="EL67">
        <v>1.8646199999999999</v>
      </c>
      <c r="EM67">
        <v>1.8692</v>
      </c>
      <c r="EN67">
        <v>1.8672299999999999</v>
      </c>
      <c r="EO67">
        <v>1.8633999999999999</v>
      </c>
      <c r="EP67">
        <v>1.8644700000000001</v>
      </c>
      <c r="EQ67">
        <v>1.87018</v>
      </c>
      <c r="ER67">
        <v>1.86944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-0.20599999999999999</v>
      </c>
      <c r="FG67">
        <v>0.27189999999999998</v>
      </c>
      <c r="FH67">
        <v>0.30965466913576151</v>
      </c>
      <c r="FI67">
        <v>-6.1462078757559423E-4</v>
      </c>
      <c r="FJ67">
        <v>-1.8861989874597051E-7</v>
      </c>
      <c r="FK67">
        <v>1.1980462299894961E-10</v>
      </c>
      <c r="FL67">
        <v>0.27184999999999349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18.3</v>
      </c>
      <c r="FU67">
        <v>18.5</v>
      </c>
      <c r="FV67">
        <v>1.78833</v>
      </c>
      <c r="FW67">
        <v>2.5988799999999999</v>
      </c>
      <c r="FX67">
        <v>1.5490699999999999</v>
      </c>
      <c r="FY67">
        <v>2.3303199999999999</v>
      </c>
      <c r="FZ67">
        <v>1.50146</v>
      </c>
      <c r="GA67">
        <v>2.34131</v>
      </c>
      <c r="GB67">
        <v>33.896099999999997</v>
      </c>
      <c r="GC67">
        <v>23.947399999999998</v>
      </c>
      <c r="GD67">
        <v>19</v>
      </c>
      <c r="GE67">
        <v>265.11799999999999</v>
      </c>
      <c r="GF67">
        <v>598.76099999999997</v>
      </c>
      <c r="GG67">
        <v>18.915700000000001</v>
      </c>
      <c r="GH67">
        <v>26.5473</v>
      </c>
      <c r="GI67">
        <v>29.9983</v>
      </c>
      <c r="GJ67">
        <v>26.648800000000001</v>
      </c>
      <c r="GK67">
        <v>26.6313</v>
      </c>
      <c r="GL67">
        <v>35.759900000000002</v>
      </c>
      <c r="GM67">
        <v>33.860300000000002</v>
      </c>
      <c r="GN67">
        <v>96.585700000000003</v>
      </c>
      <c r="GO67">
        <v>18.933599999999998</v>
      </c>
      <c r="GP67">
        <v>800</v>
      </c>
      <c r="GQ67">
        <v>17.196000000000002</v>
      </c>
      <c r="GR67">
        <v>99.719099999999997</v>
      </c>
      <c r="GS67">
        <v>99.574299999999994</v>
      </c>
    </row>
    <row r="68" spans="1:201" x14ac:dyDescent="0.25">
      <c r="A68">
        <v>52</v>
      </c>
      <c r="B68">
        <v>1690304429.5</v>
      </c>
      <c r="C68">
        <v>679.5</v>
      </c>
      <c r="D68" t="s">
        <v>435</v>
      </c>
      <c r="E68" t="s">
        <v>436</v>
      </c>
      <c r="F68" t="s">
        <v>330</v>
      </c>
      <c r="H68">
        <v>1690304429.5</v>
      </c>
      <c r="I68">
        <f t="shared" si="0"/>
        <v>2.565995045871404E-4</v>
      </c>
      <c r="J68">
        <f t="shared" si="1"/>
        <v>0.25659950458714037</v>
      </c>
      <c r="K68">
        <f t="shared" si="2"/>
        <v>4.676207592439475</v>
      </c>
      <c r="L68">
        <f t="shared" si="3"/>
        <v>746.38099999999997</v>
      </c>
      <c r="M68">
        <f t="shared" si="4"/>
        <v>272.15220194291413</v>
      </c>
      <c r="N68">
        <f t="shared" si="5"/>
        <v>27.041277652398229</v>
      </c>
      <c r="O68">
        <f t="shared" si="6"/>
        <v>74.161060286803007</v>
      </c>
      <c r="P68">
        <f t="shared" si="7"/>
        <v>1.6277705489522676E-2</v>
      </c>
      <c r="Q68">
        <f t="shared" si="8"/>
        <v>2.1007300503098159</v>
      </c>
      <c r="R68">
        <f t="shared" si="9"/>
        <v>1.6207957827236188E-2</v>
      </c>
      <c r="S68">
        <f t="shared" si="10"/>
        <v>1.0136215197485525E-2</v>
      </c>
      <c r="T68">
        <f t="shared" si="11"/>
        <v>276.11424136947034</v>
      </c>
      <c r="U68">
        <f t="shared" si="12"/>
        <v>26.692837777220184</v>
      </c>
      <c r="V68">
        <f t="shared" si="13"/>
        <v>26.692837777220184</v>
      </c>
      <c r="W68">
        <f t="shared" si="14"/>
        <v>3.5150963988104342</v>
      </c>
      <c r="X68">
        <f t="shared" si="15"/>
        <v>64.07886909177806</v>
      </c>
      <c r="Y68">
        <f t="shared" si="16"/>
        <v>1.9855877418468002</v>
      </c>
      <c r="Z68">
        <f t="shared" si="17"/>
        <v>3.098662273522506</v>
      </c>
      <c r="AA68">
        <f t="shared" si="18"/>
        <v>1.529508656963634</v>
      </c>
      <c r="AB68">
        <f t="shared" si="19"/>
        <v>-11.316038152292892</v>
      </c>
      <c r="AC68">
        <f t="shared" si="20"/>
        <v>-240.67021519603591</v>
      </c>
      <c r="AD68">
        <f t="shared" si="21"/>
        <v>-24.387680570973945</v>
      </c>
      <c r="AE68">
        <f t="shared" si="22"/>
        <v>-0.2596925498324083</v>
      </c>
      <c r="AF68">
        <v>14</v>
      </c>
      <c r="AG68">
        <v>5</v>
      </c>
      <c r="AH68">
        <f t="shared" si="23"/>
        <v>1</v>
      </c>
      <c r="AI68">
        <f t="shared" si="24"/>
        <v>0</v>
      </c>
      <c r="AJ68">
        <f t="shared" si="25"/>
        <v>52946.769085495056</v>
      </c>
      <c r="AK68">
        <f t="shared" si="26"/>
        <v>1799.99</v>
      </c>
      <c r="AL68">
        <f t="shared" si="27"/>
        <v>1499.10367519998</v>
      </c>
      <c r="AM68">
        <f t="shared" si="28"/>
        <v>0.83284000199999997</v>
      </c>
      <c r="AN68">
        <f t="shared" si="29"/>
        <v>0.15339765297000002</v>
      </c>
      <c r="AO68">
        <v>33</v>
      </c>
      <c r="AP68">
        <v>0.5</v>
      </c>
      <c r="AQ68" t="s">
        <v>331</v>
      </c>
      <c r="AR68">
        <v>2</v>
      </c>
      <c r="AS68">
        <v>1690304429.5</v>
      </c>
      <c r="AT68">
        <v>746.38099999999997</v>
      </c>
      <c r="AU68">
        <v>799.90300000000002</v>
      </c>
      <c r="AV68">
        <v>19.983599999999999</v>
      </c>
      <c r="AW68">
        <v>17.218599999999999</v>
      </c>
      <c r="AX68">
        <v>746.58500000000004</v>
      </c>
      <c r="AY68">
        <v>19.7118</v>
      </c>
      <c r="AZ68">
        <v>300.12900000000002</v>
      </c>
      <c r="BA68">
        <v>99.260800000000003</v>
      </c>
      <c r="BB68">
        <v>0.100063</v>
      </c>
      <c r="BC68">
        <v>24.567799999999998</v>
      </c>
      <c r="BD68">
        <v>26.999700000000001</v>
      </c>
      <c r="BE68">
        <v>26.048500000000001</v>
      </c>
      <c r="BF68">
        <v>0</v>
      </c>
      <c r="BG68">
        <v>0</v>
      </c>
      <c r="BH68">
        <v>10006.200000000001</v>
      </c>
      <c r="BI68">
        <v>1050.05</v>
      </c>
      <c r="BJ68">
        <v>1.68198</v>
      </c>
      <c r="BK68">
        <v>-53.522300000000001</v>
      </c>
      <c r="BL68">
        <v>761.6</v>
      </c>
      <c r="BM68">
        <v>813.91700000000003</v>
      </c>
      <c r="BN68">
        <v>2.7650700000000001</v>
      </c>
      <c r="BO68">
        <v>799.90300000000002</v>
      </c>
      <c r="BP68">
        <v>17.218599999999999</v>
      </c>
      <c r="BQ68">
        <v>1.98359</v>
      </c>
      <c r="BR68">
        <v>1.70913</v>
      </c>
      <c r="BS68">
        <v>17.314</v>
      </c>
      <c r="BT68">
        <v>14.9796</v>
      </c>
      <c r="BU68">
        <v>1799.99</v>
      </c>
      <c r="BV68">
        <v>0.90999399999999997</v>
      </c>
      <c r="BW68">
        <v>3.3994499999999997E-2</v>
      </c>
      <c r="BX68">
        <v>2.2004099999999999E-2</v>
      </c>
      <c r="BY68">
        <v>3.4007099999999998E-2</v>
      </c>
      <c r="BZ68">
        <v>25.666699999999999</v>
      </c>
      <c r="CA68">
        <v>33528.199999999997</v>
      </c>
      <c r="CB68">
        <v>1690303320.5</v>
      </c>
      <c r="CC68" t="s">
        <v>332</v>
      </c>
      <c r="CD68">
        <v>1690303320.5</v>
      </c>
      <c r="CE68">
        <v>1690303310.0999999</v>
      </c>
      <c r="CF68">
        <v>8</v>
      </c>
      <c r="CG68">
        <v>7.3999999999999996E-2</v>
      </c>
      <c r="CH68">
        <v>-0.01</v>
      </c>
      <c r="CI68">
        <v>-0.24199999999999999</v>
      </c>
      <c r="CJ68">
        <v>0.27200000000000002</v>
      </c>
      <c r="CK68">
        <v>800</v>
      </c>
      <c r="CL68">
        <v>23</v>
      </c>
      <c r="CM68">
        <v>0.06</v>
      </c>
      <c r="CN68">
        <v>0.09</v>
      </c>
      <c r="CO68">
        <v>-51.121580000000002</v>
      </c>
      <c r="CP68">
        <v>-13.182769981238099</v>
      </c>
      <c r="CQ68">
        <v>1.269412630746992</v>
      </c>
      <c r="CR68">
        <v>-1</v>
      </c>
      <c r="CS68">
        <v>3.2014125</v>
      </c>
      <c r="CT68">
        <v>-2.7576105816135219</v>
      </c>
      <c r="CU68">
        <v>0.26682295462300459</v>
      </c>
      <c r="CV68">
        <v>-1</v>
      </c>
      <c r="CW68">
        <v>0</v>
      </c>
      <c r="CX68">
        <v>0</v>
      </c>
      <c r="CY68" t="s">
        <v>333</v>
      </c>
      <c r="CZ68">
        <v>2.3639800000000002</v>
      </c>
      <c r="DA68">
        <v>2.7138599999999999</v>
      </c>
      <c r="DB68">
        <v>0.14018</v>
      </c>
      <c r="DC68">
        <v>0.14646799999999999</v>
      </c>
      <c r="DD68">
        <v>9.9743899999999996E-2</v>
      </c>
      <c r="DE68">
        <v>8.87632E-2</v>
      </c>
      <c r="DF68">
        <v>31389.200000000001</v>
      </c>
      <c r="DG68">
        <v>27506.799999999999</v>
      </c>
      <c r="DH68">
        <v>31166.9</v>
      </c>
      <c r="DI68">
        <v>28082</v>
      </c>
      <c r="DJ68">
        <v>38100.400000000001</v>
      </c>
      <c r="DK68">
        <v>36392</v>
      </c>
      <c r="DL68">
        <v>44355.1</v>
      </c>
      <c r="DM68">
        <v>42569.8</v>
      </c>
      <c r="DN68">
        <v>1.4312</v>
      </c>
      <c r="DO68">
        <v>2.0513300000000001</v>
      </c>
      <c r="DP68">
        <v>0.15515100000000001</v>
      </c>
      <c r="DQ68">
        <v>0.114173</v>
      </c>
      <c r="DR68">
        <v>24.457100000000001</v>
      </c>
      <c r="DS68">
        <v>24.1755</v>
      </c>
      <c r="DT68">
        <v>57.1</v>
      </c>
      <c r="DU68">
        <v>29</v>
      </c>
      <c r="DV68">
        <v>23.129799999999999</v>
      </c>
      <c r="DW68">
        <v>61.791200000000003</v>
      </c>
      <c r="DX68">
        <v>36.286099999999998</v>
      </c>
      <c r="DY68">
        <v>1</v>
      </c>
      <c r="DZ68">
        <v>-5.5688500000000002E-2</v>
      </c>
      <c r="EA68">
        <v>4.7018599999999999</v>
      </c>
      <c r="EB68">
        <v>20.113600000000002</v>
      </c>
      <c r="EC68">
        <v>5.2408000000000001</v>
      </c>
      <c r="ED68">
        <v>12.039899999999999</v>
      </c>
      <c r="EE68">
        <v>5.0172999999999996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1.8689100000000001</v>
      </c>
      <c r="EL68">
        <v>1.8646199999999999</v>
      </c>
      <c r="EM68">
        <v>1.8692</v>
      </c>
      <c r="EN68">
        <v>1.8672200000000001</v>
      </c>
      <c r="EO68">
        <v>1.8633999999999999</v>
      </c>
      <c r="EP68">
        <v>1.8644799999999999</v>
      </c>
      <c r="EQ68">
        <v>1.87018</v>
      </c>
      <c r="ER68">
        <v>1.8694200000000001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-0.20399999999999999</v>
      </c>
      <c r="FG68">
        <v>0.27179999999999999</v>
      </c>
      <c r="FH68">
        <v>0.30965466913576151</v>
      </c>
      <c r="FI68">
        <v>-6.1462078757559423E-4</v>
      </c>
      <c r="FJ68">
        <v>-1.8861989874597051E-7</v>
      </c>
      <c r="FK68">
        <v>1.1980462299894961E-10</v>
      </c>
      <c r="FL68">
        <v>0.27184999999999349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18.5</v>
      </c>
      <c r="FU68">
        <v>18.7</v>
      </c>
      <c r="FV68">
        <v>1.78833</v>
      </c>
      <c r="FW68">
        <v>2.5891099999999998</v>
      </c>
      <c r="FX68">
        <v>1.5490699999999999</v>
      </c>
      <c r="FY68">
        <v>2.3303199999999999</v>
      </c>
      <c r="FZ68">
        <v>1.50146</v>
      </c>
      <c r="GA68">
        <v>2.3730500000000001</v>
      </c>
      <c r="GB68">
        <v>33.896099999999997</v>
      </c>
      <c r="GC68">
        <v>23.956199999999999</v>
      </c>
      <c r="GD68">
        <v>19</v>
      </c>
      <c r="GE68">
        <v>265.363</v>
      </c>
      <c r="GF68">
        <v>598.99300000000005</v>
      </c>
      <c r="GG68">
        <v>18.592700000000001</v>
      </c>
      <c r="GH68">
        <v>26.5473</v>
      </c>
      <c r="GI68">
        <v>29.998100000000001</v>
      </c>
      <c r="GJ68">
        <v>26.648800000000001</v>
      </c>
      <c r="GK68">
        <v>26.6313</v>
      </c>
      <c r="GL68">
        <v>35.764099999999999</v>
      </c>
      <c r="GM68">
        <v>33.2194</v>
      </c>
      <c r="GN68">
        <v>96.585700000000003</v>
      </c>
      <c r="GO68">
        <v>18.659700000000001</v>
      </c>
      <c r="GP68">
        <v>800</v>
      </c>
      <c r="GQ68">
        <v>17.264099999999999</v>
      </c>
      <c r="GR68">
        <v>99.722899999999996</v>
      </c>
      <c r="GS68">
        <v>99.578800000000001</v>
      </c>
    </row>
    <row r="69" spans="1:201" x14ac:dyDescent="0.25">
      <c r="A69">
        <v>53</v>
      </c>
      <c r="B69">
        <v>1690304439.5</v>
      </c>
      <c r="C69">
        <v>689.5</v>
      </c>
      <c r="D69" t="s">
        <v>437</v>
      </c>
      <c r="E69" t="s">
        <v>438</v>
      </c>
      <c r="F69" t="s">
        <v>330</v>
      </c>
      <c r="H69">
        <v>1690304439.5</v>
      </c>
      <c r="I69">
        <f t="shared" si="0"/>
        <v>2.541103306503889E-4</v>
      </c>
      <c r="J69">
        <f t="shared" si="1"/>
        <v>0.2541103306503889</v>
      </c>
      <c r="K69">
        <f t="shared" si="2"/>
        <v>4.8875667074618008</v>
      </c>
      <c r="L69">
        <f t="shared" si="3"/>
        <v>744.07899999999995</v>
      </c>
      <c r="M69">
        <f t="shared" si="4"/>
        <v>250.34726266506334</v>
      </c>
      <c r="N69">
        <f t="shared" si="5"/>
        <v>24.876683541669454</v>
      </c>
      <c r="O69">
        <f t="shared" si="6"/>
        <v>73.938167391774002</v>
      </c>
      <c r="P69">
        <f t="shared" si="7"/>
        <v>1.6308383721748282E-2</v>
      </c>
      <c r="Q69">
        <f t="shared" si="8"/>
        <v>2.0945090468874099</v>
      </c>
      <c r="R69">
        <f t="shared" si="9"/>
        <v>1.6238166544051663E-2</v>
      </c>
      <c r="S69">
        <f t="shared" si="10"/>
        <v>1.0155137540342273E-2</v>
      </c>
      <c r="T69">
        <f t="shared" si="11"/>
        <v>276.11419953770269</v>
      </c>
      <c r="U69">
        <f t="shared" si="12"/>
        <v>26.605440690842688</v>
      </c>
      <c r="V69">
        <f t="shared" si="13"/>
        <v>26.605440690842688</v>
      </c>
      <c r="W69">
        <f t="shared" si="14"/>
        <v>3.497052372505058</v>
      </c>
      <c r="X69">
        <f t="shared" si="15"/>
        <v>64.419705977653692</v>
      </c>
      <c r="Y69">
        <f t="shared" si="16"/>
        <v>1.9849296498324003</v>
      </c>
      <c r="Z69">
        <f t="shared" si="17"/>
        <v>3.081246056169435</v>
      </c>
      <c r="AA69">
        <f t="shared" si="18"/>
        <v>1.5121227226726577</v>
      </c>
      <c r="AB69">
        <f t="shared" si="19"/>
        <v>-11.20626558168215</v>
      </c>
      <c r="AC69">
        <f t="shared" si="20"/>
        <v>-240.72568508261915</v>
      </c>
      <c r="AD69">
        <f t="shared" si="21"/>
        <v>-24.443445722146443</v>
      </c>
      <c r="AE69">
        <f t="shared" si="22"/>
        <v>-0.26119684874504401</v>
      </c>
      <c r="AF69">
        <v>12</v>
      </c>
      <c r="AG69">
        <v>4</v>
      </c>
      <c r="AH69">
        <f t="shared" si="23"/>
        <v>1</v>
      </c>
      <c r="AI69">
        <f t="shared" si="24"/>
        <v>0</v>
      </c>
      <c r="AJ69">
        <f t="shared" si="25"/>
        <v>52685.272467590134</v>
      </c>
      <c r="AK69">
        <f t="shared" si="26"/>
        <v>1799.99</v>
      </c>
      <c r="AL69">
        <f t="shared" si="27"/>
        <v>1499.10450499537</v>
      </c>
      <c r="AM69">
        <f t="shared" si="28"/>
        <v>0.83284046300000003</v>
      </c>
      <c r="AN69">
        <f t="shared" si="29"/>
        <v>0.15339762972999998</v>
      </c>
      <c r="AO69">
        <v>33</v>
      </c>
      <c r="AP69">
        <v>0.5</v>
      </c>
      <c r="AQ69" t="s">
        <v>331</v>
      </c>
      <c r="AR69">
        <v>2</v>
      </c>
      <c r="AS69">
        <v>1690304439.5</v>
      </c>
      <c r="AT69">
        <v>744.07899999999995</v>
      </c>
      <c r="AU69">
        <v>799.89400000000001</v>
      </c>
      <c r="AV69">
        <v>19.9754</v>
      </c>
      <c r="AW69">
        <v>17.237400000000001</v>
      </c>
      <c r="AX69">
        <v>744.28200000000004</v>
      </c>
      <c r="AY69">
        <v>19.703499999999998</v>
      </c>
      <c r="AZ69">
        <v>300.15100000000001</v>
      </c>
      <c r="BA69">
        <v>99.268500000000003</v>
      </c>
      <c r="BB69">
        <v>0.100206</v>
      </c>
      <c r="BC69">
        <v>24.473600000000001</v>
      </c>
      <c r="BD69">
        <v>26.867799999999999</v>
      </c>
      <c r="BE69">
        <v>25.913</v>
      </c>
      <c r="BF69">
        <v>0</v>
      </c>
      <c r="BG69">
        <v>0</v>
      </c>
      <c r="BH69">
        <v>9950.6200000000008</v>
      </c>
      <c r="BI69">
        <v>1049.22</v>
      </c>
      <c r="BJ69">
        <v>1.696</v>
      </c>
      <c r="BK69">
        <v>-55.814599999999999</v>
      </c>
      <c r="BL69">
        <v>759.24599999999998</v>
      </c>
      <c r="BM69">
        <v>813.92399999999998</v>
      </c>
      <c r="BN69">
        <v>2.73794</v>
      </c>
      <c r="BO69">
        <v>799.89400000000001</v>
      </c>
      <c r="BP69">
        <v>17.237400000000001</v>
      </c>
      <c r="BQ69">
        <v>1.98292</v>
      </c>
      <c r="BR69">
        <v>1.71113</v>
      </c>
      <c r="BS69">
        <v>17.308599999999998</v>
      </c>
      <c r="BT69">
        <v>14.9978</v>
      </c>
      <c r="BU69">
        <v>1799.99</v>
      </c>
      <c r="BV69">
        <v>0.90999699999999994</v>
      </c>
      <c r="BW69">
        <v>3.3993500000000003E-2</v>
      </c>
      <c r="BX69">
        <v>2.2003399999999999E-2</v>
      </c>
      <c r="BY69">
        <v>3.4006099999999997E-2</v>
      </c>
      <c r="BZ69">
        <v>25.666699999999999</v>
      </c>
      <c r="CA69">
        <v>33528.199999999997</v>
      </c>
      <c r="CB69">
        <v>1690303320.5</v>
      </c>
      <c r="CC69" t="s">
        <v>332</v>
      </c>
      <c r="CD69">
        <v>1690303320.5</v>
      </c>
      <c r="CE69">
        <v>1690303310.0999999</v>
      </c>
      <c r="CF69">
        <v>8</v>
      </c>
      <c r="CG69">
        <v>7.3999999999999996E-2</v>
      </c>
      <c r="CH69">
        <v>-0.01</v>
      </c>
      <c r="CI69">
        <v>-0.24199999999999999</v>
      </c>
      <c r="CJ69">
        <v>0.27200000000000002</v>
      </c>
      <c r="CK69">
        <v>800</v>
      </c>
      <c r="CL69">
        <v>23</v>
      </c>
      <c r="CM69">
        <v>0.06</v>
      </c>
      <c r="CN69">
        <v>0.09</v>
      </c>
      <c r="CO69">
        <v>-53.396577499999999</v>
      </c>
      <c r="CP69">
        <v>-13.85288893058156</v>
      </c>
      <c r="CQ69">
        <v>1.3340326503664559</v>
      </c>
      <c r="CR69">
        <v>-1</v>
      </c>
      <c r="CS69">
        <v>2.8493984999999999</v>
      </c>
      <c r="CT69">
        <v>-1.384892532833027</v>
      </c>
      <c r="CU69">
        <v>0.14061915931959629</v>
      </c>
      <c r="CV69">
        <v>-1</v>
      </c>
      <c r="CW69">
        <v>0</v>
      </c>
      <c r="CX69">
        <v>0</v>
      </c>
      <c r="CY69" t="s">
        <v>333</v>
      </c>
      <c r="CZ69">
        <v>2.36408</v>
      </c>
      <c r="DA69">
        <v>2.7139500000000001</v>
      </c>
      <c r="DB69">
        <v>0.13989799999999999</v>
      </c>
      <c r="DC69">
        <v>0.14648</v>
      </c>
      <c r="DD69">
        <v>9.9721500000000005E-2</v>
      </c>
      <c r="DE69">
        <v>8.8840699999999995E-2</v>
      </c>
      <c r="DF69">
        <v>31400.1</v>
      </c>
      <c r="DG69">
        <v>27506.7</v>
      </c>
      <c r="DH69">
        <v>31167.5</v>
      </c>
      <c r="DI69">
        <v>28082.3</v>
      </c>
      <c r="DJ69">
        <v>38101.9</v>
      </c>
      <c r="DK69">
        <v>36389.4</v>
      </c>
      <c r="DL69">
        <v>44355.7</v>
      </c>
      <c r="DM69">
        <v>42570.3</v>
      </c>
      <c r="DN69">
        <v>1.4347700000000001</v>
      </c>
      <c r="DO69">
        <v>2.05105</v>
      </c>
      <c r="DP69">
        <v>0.14910100000000001</v>
      </c>
      <c r="DQ69">
        <v>0.108607</v>
      </c>
      <c r="DR69">
        <v>24.4239</v>
      </c>
      <c r="DS69">
        <v>24.1311</v>
      </c>
      <c r="DT69">
        <v>57.1</v>
      </c>
      <c r="DU69">
        <v>29.1</v>
      </c>
      <c r="DV69">
        <v>23.270199999999999</v>
      </c>
      <c r="DW69">
        <v>61.691200000000002</v>
      </c>
      <c r="DX69">
        <v>35.661099999999998</v>
      </c>
      <c r="DY69">
        <v>1</v>
      </c>
      <c r="DZ69">
        <v>-5.6524400000000002E-2</v>
      </c>
      <c r="EA69">
        <v>-5.0864500000000001</v>
      </c>
      <c r="EB69">
        <v>20.020199999999999</v>
      </c>
      <c r="EC69">
        <v>5.2404999999999999</v>
      </c>
      <c r="ED69">
        <v>12.039899999999999</v>
      </c>
      <c r="EE69">
        <v>5.0170000000000003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1.8646199999999999</v>
      </c>
      <c r="EM69">
        <v>1.8692</v>
      </c>
      <c r="EN69">
        <v>1.8672299999999999</v>
      </c>
      <c r="EO69">
        <v>1.8633900000000001</v>
      </c>
      <c r="EP69">
        <v>1.8644799999999999</v>
      </c>
      <c r="EQ69">
        <v>1.8701700000000001</v>
      </c>
      <c r="ER69">
        <v>1.8694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-0.20300000000000001</v>
      </c>
      <c r="FG69">
        <v>0.27189999999999998</v>
      </c>
      <c r="FH69">
        <v>0.30965466913576151</v>
      </c>
      <c r="FI69">
        <v>-6.1462078757559423E-4</v>
      </c>
      <c r="FJ69">
        <v>-1.8861989874597051E-7</v>
      </c>
      <c r="FK69">
        <v>1.1980462299894961E-10</v>
      </c>
      <c r="FL69">
        <v>0.27184999999999349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18.600000000000001</v>
      </c>
      <c r="FU69">
        <v>18.8</v>
      </c>
      <c r="FV69">
        <v>1.78955</v>
      </c>
      <c r="FW69">
        <v>2.5866699999999998</v>
      </c>
      <c r="FX69">
        <v>1.5490699999999999</v>
      </c>
      <c r="FY69">
        <v>2.3303199999999999</v>
      </c>
      <c r="FZ69">
        <v>1.50146</v>
      </c>
      <c r="GA69">
        <v>2.4121100000000002</v>
      </c>
      <c r="GB69">
        <v>33.896099999999997</v>
      </c>
      <c r="GC69">
        <v>23.947399999999998</v>
      </c>
      <c r="GD69">
        <v>19</v>
      </c>
      <c r="GE69">
        <v>266.82900000000001</v>
      </c>
      <c r="GF69">
        <v>598.73599999999999</v>
      </c>
      <c r="GG69">
        <v>19.258299999999998</v>
      </c>
      <c r="GH69">
        <v>26.5487</v>
      </c>
      <c r="GI69">
        <v>30.000599999999999</v>
      </c>
      <c r="GJ69">
        <v>26.6495</v>
      </c>
      <c r="GK69">
        <v>26.629200000000001</v>
      </c>
      <c r="GL69">
        <v>35.770699999999998</v>
      </c>
      <c r="GM69">
        <v>33.2194</v>
      </c>
      <c r="GN69">
        <v>96.206900000000005</v>
      </c>
      <c r="GO69">
        <v>21.151599999999998</v>
      </c>
      <c r="GP69">
        <v>800</v>
      </c>
      <c r="GQ69">
        <v>17.189299999999999</v>
      </c>
      <c r="GR69">
        <v>99.724599999999995</v>
      </c>
      <c r="GS69">
        <v>99.58</v>
      </c>
    </row>
    <row r="70" spans="1:201" x14ac:dyDescent="0.25">
      <c r="A70">
        <v>54</v>
      </c>
      <c r="B70">
        <v>1690304449.5</v>
      </c>
      <c r="C70">
        <v>699.5</v>
      </c>
      <c r="D70" t="s">
        <v>439</v>
      </c>
      <c r="E70" t="s">
        <v>440</v>
      </c>
      <c r="F70" t="s">
        <v>330</v>
      </c>
      <c r="H70">
        <v>1690304449.5</v>
      </c>
      <c r="I70">
        <f t="shared" si="0"/>
        <v>3.7186433711088962E-4</v>
      </c>
      <c r="J70">
        <f t="shared" si="1"/>
        <v>0.37186433711088962</v>
      </c>
      <c r="K70">
        <f t="shared" si="2"/>
        <v>5.08139437075282</v>
      </c>
      <c r="L70">
        <f t="shared" si="3"/>
        <v>741.31500000000005</v>
      </c>
      <c r="M70">
        <f t="shared" si="4"/>
        <v>402.29218936419539</v>
      </c>
      <c r="N70">
        <f t="shared" si="5"/>
        <v>39.976378295404139</v>
      </c>
      <c r="O70">
        <f t="shared" si="6"/>
        <v>73.6655835225</v>
      </c>
      <c r="P70">
        <f t="shared" si="7"/>
        <v>2.5127005578079772E-2</v>
      </c>
      <c r="Q70">
        <f t="shared" si="8"/>
        <v>2.1002848251436665</v>
      </c>
      <c r="R70">
        <f t="shared" si="9"/>
        <v>2.4961189911868253E-2</v>
      </c>
      <c r="S70">
        <f t="shared" si="10"/>
        <v>1.5615550250198392E-2</v>
      </c>
      <c r="T70">
        <f t="shared" si="11"/>
        <v>276.11410037625359</v>
      </c>
      <c r="U70">
        <f t="shared" si="12"/>
        <v>26.727101776520843</v>
      </c>
      <c r="V70">
        <f t="shared" si="13"/>
        <v>26.727101776520843</v>
      </c>
      <c r="W70">
        <f t="shared" si="14"/>
        <v>3.5221927028136282</v>
      </c>
      <c r="X70">
        <f t="shared" si="15"/>
        <v>66.939973548901747</v>
      </c>
      <c r="Y70">
        <f t="shared" si="16"/>
        <v>2.0835421147999997</v>
      </c>
      <c r="Z70">
        <f t="shared" si="17"/>
        <v>3.1125529401022347</v>
      </c>
      <c r="AA70">
        <f t="shared" si="18"/>
        <v>1.4386505880136284</v>
      </c>
      <c r="AB70">
        <f t="shared" si="19"/>
        <v>-16.399217266590231</v>
      </c>
      <c r="AC70">
        <f t="shared" si="20"/>
        <v>-236.02929408190326</v>
      </c>
      <c r="AD70">
        <f t="shared" si="21"/>
        <v>-23.935571251562045</v>
      </c>
      <c r="AE70">
        <f t="shared" si="22"/>
        <v>-0.24998222380193624</v>
      </c>
      <c r="AF70">
        <v>12</v>
      </c>
      <c r="AG70">
        <v>4</v>
      </c>
      <c r="AH70">
        <f t="shared" si="23"/>
        <v>1</v>
      </c>
      <c r="AI70">
        <f t="shared" si="24"/>
        <v>0</v>
      </c>
      <c r="AJ70">
        <f t="shared" si="25"/>
        <v>52913.746016686848</v>
      </c>
      <c r="AK70">
        <f t="shared" si="26"/>
        <v>1799.99</v>
      </c>
      <c r="AL70">
        <f t="shared" si="27"/>
        <v>1499.1050737922099</v>
      </c>
      <c r="AM70">
        <f t="shared" si="28"/>
        <v>0.83284077899999998</v>
      </c>
      <c r="AN70">
        <f t="shared" si="29"/>
        <v>0.15339757463999998</v>
      </c>
      <c r="AO70">
        <v>33</v>
      </c>
      <c r="AP70">
        <v>0.5</v>
      </c>
      <c r="AQ70" t="s">
        <v>331</v>
      </c>
      <c r="AR70">
        <v>2</v>
      </c>
      <c r="AS70">
        <v>1690304449.5</v>
      </c>
      <c r="AT70">
        <v>741.31500000000005</v>
      </c>
      <c r="AU70">
        <v>800.19500000000005</v>
      </c>
      <c r="AV70">
        <v>20.967199999999998</v>
      </c>
      <c r="AW70">
        <v>16.965699999999998</v>
      </c>
      <c r="AX70">
        <v>741.51599999999996</v>
      </c>
      <c r="AY70">
        <v>20.6953</v>
      </c>
      <c r="AZ70">
        <v>300.24299999999999</v>
      </c>
      <c r="BA70">
        <v>99.2714</v>
      </c>
      <c r="BB70">
        <v>0.10009999999999999</v>
      </c>
      <c r="BC70">
        <v>24.642600000000002</v>
      </c>
      <c r="BD70">
        <v>26.983000000000001</v>
      </c>
      <c r="BE70">
        <v>26.037800000000001</v>
      </c>
      <c r="BF70">
        <v>0</v>
      </c>
      <c r="BG70">
        <v>0</v>
      </c>
      <c r="BH70">
        <v>10001.200000000001</v>
      </c>
      <c r="BI70">
        <v>1048.95</v>
      </c>
      <c r="BJ70">
        <v>1.68198</v>
      </c>
      <c r="BK70">
        <v>-58.8795</v>
      </c>
      <c r="BL70">
        <v>757.19100000000003</v>
      </c>
      <c r="BM70">
        <v>814.005</v>
      </c>
      <c r="BN70">
        <v>4.0015299999999998</v>
      </c>
      <c r="BO70">
        <v>800.19500000000005</v>
      </c>
      <c r="BP70">
        <v>16.965699999999998</v>
      </c>
      <c r="BQ70">
        <v>2.0814400000000002</v>
      </c>
      <c r="BR70">
        <v>1.6841999999999999</v>
      </c>
      <c r="BS70">
        <v>18.0779</v>
      </c>
      <c r="BT70">
        <v>14.7516</v>
      </c>
      <c r="BU70">
        <v>1799.99</v>
      </c>
      <c r="BV70">
        <v>0.91</v>
      </c>
      <c r="BW70">
        <v>3.3992399999999999E-2</v>
      </c>
      <c r="BX70">
        <v>2.20027E-2</v>
      </c>
      <c r="BY70">
        <v>3.4005000000000001E-2</v>
      </c>
      <c r="BZ70">
        <v>25.666699999999999</v>
      </c>
      <c r="CA70">
        <v>33528.300000000003</v>
      </c>
      <c r="CB70">
        <v>1690303320.5</v>
      </c>
      <c r="CC70" t="s">
        <v>332</v>
      </c>
      <c r="CD70">
        <v>1690303320.5</v>
      </c>
      <c r="CE70">
        <v>1690303310.0999999</v>
      </c>
      <c r="CF70">
        <v>8</v>
      </c>
      <c r="CG70">
        <v>7.3999999999999996E-2</v>
      </c>
      <c r="CH70">
        <v>-0.01</v>
      </c>
      <c r="CI70">
        <v>-0.24199999999999999</v>
      </c>
      <c r="CJ70">
        <v>0.27200000000000002</v>
      </c>
      <c r="CK70">
        <v>800</v>
      </c>
      <c r="CL70">
        <v>23</v>
      </c>
      <c r="CM70">
        <v>0.06</v>
      </c>
      <c r="CN70">
        <v>0.09</v>
      </c>
      <c r="CO70">
        <v>-55.669880487804889</v>
      </c>
      <c r="CP70">
        <v>-15.80178188153311</v>
      </c>
      <c r="CQ70">
        <v>1.5638530001124591</v>
      </c>
      <c r="CR70">
        <v>-1</v>
      </c>
      <c r="CS70">
        <v>2.9203234146341459</v>
      </c>
      <c r="CT70">
        <v>2.3742167247386732</v>
      </c>
      <c r="CU70">
        <v>0.30037640635652019</v>
      </c>
      <c r="CV70">
        <v>-1</v>
      </c>
      <c r="CW70">
        <v>0</v>
      </c>
      <c r="CX70">
        <v>0</v>
      </c>
      <c r="CY70" t="s">
        <v>333</v>
      </c>
      <c r="CZ70">
        <v>2.3643700000000001</v>
      </c>
      <c r="DA70">
        <v>2.7138900000000001</v>
      </c>
      <c r="DB70">
        <v>0.13956399999999999</v>
      </c>
      <c r="DC70">
        <v>0.14651500000000001</v>
      </c>
      <c r="DD70">
        <v>0.103279</v>
      </c>
      <c r="DE70">
        <v>8.7829299999999999E-2</v>
      </c>
      <c r="DF70">
        <v>31412</v>
      </c>
      <c r="DG70">
        <v>27505.7</v>
      </c>
      <c r="DH70">
        <v>31167.200000000001</v>
      </c>
      <c r="DI70">
        <v>28082.5</v>
      </c>
      <c r="DJ70">
        <v>37949.5</v>
      </c>
      <c r="DK70">
        <v>36430.199999999997</v>
      </c>
      <c r="DL70">
        <v>44355.3</v>
      </c>
      <c r="DM70">
        <v>42570.7</v>
      </c>
      <c r="DN70">
        <v>1.4346699999999999</v>
      </c>
      <c r="DO70">
        <v>2.0506500000000001</v>
      </c>
      <c r="DP70">
        <v>0.15842899999999999</v>
      </c>
      <c r="DQ70">
        <v>0.118934</v>
      </c>
      <c r="DR70">
        <v>24.386500000000002</v>
      </c>
      <c r="DS70">
        <v>24.086600000000001</v>
      </c>
      <c r="DT70">
        <v>57</v>
      </c>
      <c r="DU70">
        <v>29.1</v>
      </c>
      <c r="DV70">
        <v>23.226099999999999</v>
      </c>
      <c r="DW70">
        <v>61.681199999999997</v>
      </c>
      <c r="DX70">
        <v>35.1282</v>
      </c>
      <c r="DY70">
        <v>1</v>
      </c>
      <c r="DZ70">
        <v>-6.5807900000000003E-2</v>
      </c>
      <c r="EA70">
        <v>-3.0416700000000001E-2</v>
      </c>
      <c r="EB70">
        <v>20.1874</v>
      </c>
      <c r="EC70">
        <v>5.2411000000000003</v>
      </c>
      <c r="ED70">
        <v>12.039899999999999</v>
      </c>
      <c r="EE70">
        <v>5.0171999999999999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1.86896</v>
      </c>
      <c r="EL70">
        <v>1.86463</v>
      </c>
      <c r="EM70">
        <v>1.8692</v>
      </c>
      <c r="EN70">
        <v>1.8673</v>
      </c>
      <c r="EO70">
        <v>1.8633999999999999</v>
      </c>
      <c r="EP70">
        <v>1.86449</v>
      </c>
      <c r="EQ70">
        <v>1.87019</v>
      </c>
      <c r="ER70">
        <v>1.86947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-0.20100000000000001</v>
      </c>
      <c r="FG70">
        <v>0.27189999999999998</v>
      </c>
      <c r="FH70">
        <v>0.30965466913576151</v>
      </c>
      <c r="FI70">
        <v>-6.1462078757559423E-4</v>
      </c>
      <c r="FJ70">
        <v>-1.8861989874597051E-7</v>
      </c>
      <c r="FK70">
        <v>1.1980462299894961E-10</v>
      </c>
      <c r="FL70">
        <v>0.27184999999999349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18.8</v>
      </c>
      <c r="FU70">
        <v>19</v>
      </c>
      <c r="FV70">
        <v>1.78833</v>
      </c>
      <c r="FW70">
        <v>2.5878899999999998</v>
      </c>
      <c r="FX70">
        <v>1.5490699999999999</v>
      </c>
      <c r="FY70">
        <v>2.3303199999999999</v>
      </c>
      <c r="FZ70">
        <v>1.50146</v>
      </c>
      <c r="GA70">
        <v>2.4121100000000002</v>
      </c>
      <c r="GB70">
        <v>33.896099999999997</v>
      </c>
      <c r="GC70">
        <v>23.991199999999999</v>
      </c>
      <c r="GD70">
        <v>19</v>
      </c>
      <c r="GE70">
        <v>266.834</v>
      </c>
      <c r="GF70">
        <v>598.38499999999999</v>
      </c>
      <c r="GG70">
        <v>21.5762</v>
      </c>
      <c r="GH70">
        <v>26.549800000000001</v>
      </c>
      <c r="GI70">
        <v>29.995699999999999</v>
      </c>
      <c r="GJ70">
        <v>26.661200000000001</v>
      </c>
      <c r="GK70">
        <v>26.628</v>
      </c>
      <c r="GL70">
        <v>35.755099999999999</v>
      </c>
      <c r="GM70">
        <v>36.283200000000001</v>
      </c>
      <c r="GN70">
        <v>95.820499999999996</v>
      </c>
      <c r="GO70">
        <v>21.356400000000001</v>
      </c>
      <c r="GP70">
        <v>800</v>
      </c>
      <c r="GQ70">
        <v>16.410699999999999</v>
      </c>
      <c r="GR70">
        <v>99.723600000000005</v>
      </c>
      <c r="GS70">
        <v>99.5809</v>
      </c>
    </row>
    <row r="71" spans="1:201" x14ac:dyDescent="0.25">
      <c r="A71">
        <v>55</v>
      </c>
      <c r="B71">
        <v>1690304459.5</v>
      </c>
      <c r="C71">
        <v>709.5</v>
      </c>
      <c r="D71" t="s">
        <v>441</v>
      </c>
      <c r="E71" t="s">
        <v>442</v>
      </c>
      <c r="F71" t="s">
        <v>330</v>
      </c>
      <c r="H71">
        <v>1690304459.5</v>
      </c>
      <c r="I71">
        <f t="shared" si="0"/>
        <v>4.5078573829099294E-4</v>
      </c>
      <c r="J71">
        <f t="shared" si="1"/>
        <v>0.45078573829099294</v>
      </c>
      <c r="K71">
        <f t="shared" si="2"/>
        <v>5.2332220398884779</v>
      </c>
      <c r="L71">
        <f t="shared" si="3"/>
        <v>738.97199999999998</v>
      </c>
      <c r="M71">
        <f t="shared" si="4"/>
        <v>450.65360999682559</v>
      </c>
      <c r="N71">
        <f t="shared" si="5"/>
        <v>44.777150891252411</v>
      </c>
      <c r="O71">
        <f t="shared" si="6"/>
        <v>73.424599325064008</v>
      </c>
      <c r="P71">
        <f t="shared" si="7"/>
        <v>3.074206247255061E-2</v>
      </c>
      <c r="Q71">
        <f t="shared" si="8"/>
        <v>2.0975422924747043</v>
      </c>
      <c r="R71">
        <f t="shared" si="9"/>
        <v>3.0493930900570503E-2</v>
      </c>
      <c r="S71">
        <f t="shared" si="10"/>
        <v>1.9080833412235876E-2</v>
      </c>
      <c r="T71">
        <f t="shared" si="11"/>
        <v>276.11554480199999</v>
      </c>
      <c r="U71">
        <f t="shared" si="12"/>
        <v>26.825287604863227</v>
      </c>
      <c r="V71">
        <f t="shared" si="13"/>
        <v>26.825287604863227</v>
      </c>
      <c r="W71">
        <f t="shared" si="14"/>
        <v>3.5425969651768106</v>
      </c>
      <c r="X71">
        <f t="shared" si="15"/>
        <v>67.468361673019317</v>
      </c>
      <c r="Y71">
        <f t="shared" si="16"/>
        <v>2.1155928929502004</v>
      </c>
      <c r="Z71">
        <f t="shared" si="17"/>
        <v>3.1356814371798043</v>
      </c>
      <c r="AA71">
        <f t="shared" si="18"/>
        <v>1.4270040722266102</v>
      </c>
      <c r="AB71">
        <f t="shared" si="19"/>
        <v>-19.879651058632788</v>
      </c>
      <c r="AC71">
        <f t="shared" si="20"/>
        <v>-232.81326123248593</v>
      </c>
      <c r="AD71">
        <f t="shared" si="21"/>
        <v>-23.666673824704539</v>
      </c>
      <c r="AE71">
        <f t="shared" si="22"/>
        <v>-0.24404131382326</v>
      </c>
      <c r="AF71">
        <v>13</v>
      </c>
      <c r="AG71">
        <v>4</v>
      </c>
      <c r="AH71">
        <f t="shared" si="23"/>
        <v>1</v>
      </c>
      <c r="AI71">
        <f t="shared" si="24"/>
        <v>0</v>
      </c>
      <c r="AJ71">
        <f t="shared" si="25"/>
        <v>52768.774422383147</v>
      </c>
      <c r="AK71">
        <f t="shared" si="26"/>
        <v>1800</v>
      </c>
      <c r="AL71">
        <f t="shared" si="27"/>
        <v>1499.1136902000001</v>
      </c>
      <c r="AM71">
        <f t="shared" si="28"/>
        <v>0.832840939</v>
      </c>
      <c r="AN71">
        <f t="shared" si="29"/>
        <v>0.15339752489</v>
      </c>
      <c r="AO71">
        <v>33</v>
      </c>
      <c r="AP71">
        <v>0.5</v>
      </c>
      <c r="AQ71" t="s">
        <v>331</v>
      </c>
      <c r="AR71">
        <v>2</v>
      </c>
      <c r="AS71">
        <v>1690304459.5</v>
      </c>
      <c r="AT71">
        <v>738.97199999999998</v>
      </c>
      <c r="AU71">
        <v>800.15300000000002</v>
      </c>
      <c r="AV71">
        <v>21.292100000000001</v>
      </c>
      <c r="AW71">
        <v>16.442900000000002</v>
      </c>
      <c r="AX71">
        <v>739.17200000000003</v>
      </c>
      <c r="AY71">
        <v>21.020299999999999</v>
      </c>
      <c r="AZ71">
        <v>300.23899999999998</v>
      </c>
      <c r="BA71">
        <v>99.260400000000004</v>
      </c>
      <c r="BB71">
        <v>0.100062</v>
      </c>
      <c r="BC71">
        <v>24.766500000000001</v>
      </c>
      <c r="BD71">
        <v>27.0762</v>
      </c>
      <c r="BE71">
        <v>26.1982</v>
      </c>
      <c r="BF71">
        <v>0</v>
      </c>
      <c r="BG71">
        <v>0</v>
      </c>
      <c r="BH71">
        <v>9978.1200000000008</v>
      </c>
      <c r="BI71">
        <v>1049.1300000000001</v>
      </c>
      <c r="BJ71">
        <v>1.68198</v>
      </c>
      <c r="BK71">
        <v>-61.180500000000002</v>
      </c>
      <c r="BL71">
        <v>755.04899999999998</v>
      </c>
      <c r="BM71">
        <v>813.53</v>
      </c>
      <c r="BN71">
        <v>4.8492699999999997</v>
      </c>
      <c r="BO71">
        <v>800.15300000000002</v>
      </c>
      <c r="BP71">
        <v>16.442900000000002</v>
      </c>
      <c r="BQ71">
        <v>2.11347</v>
      </c>
      <c r="BR71">
        <v>1.63212</v>
      </c>
      <c r="BS71">
        <v>18.321000000000002</v>
      </c>
      <c r="BT71">
        <v>14.265499999999999</v>
      </c>
      <c r="BU71">
        <v>1800</v>
      </c>
      <c r="BV71">
        <v>0.91000199999999998</v>
      </c>
      <c r="BW71">
        <v>3.3991599999999997E-2</v>
      </c>
      <c r="BX71">
        <v>2.20022E-2</v>
      </c>
      <c r="BY71">
        <v>3.4004300000000001E-2</v>
      </c>
      <c r="BZ71">
        <v>25.666699999999999</v>
      </c>
      <c r="CA71">
        <v>33528.300000000003</v>
      </c>
      <c r="CB71">
        <v>1690303320.5</v>
      </c>
      <c r="CC71" t="s">
        <v>332</v>
      </c>
      <c r="CD71">
        <v>1690303320.5</v>
      </c>
      <c r="CE71">
        <v>1690303310.0999999</v>
      </c>
      <c r="CF71">
        <v>8</v>
      </c>
      <c r="CG71">
        <v>7.3999999999999996E-2</v>
      </c>
      <c r="CH71">
        <v>-0.01</v>
      </c>
      <c r="CI71">
        <v>-0.24199999999999999</v>
      </c>
      <c r="CJ71">
        <v>0.27200000000000002</v>
      </c>
      <c r="CK71">
        <v>800</v>
      </c>
      <c r="CL71">
        <v>23</v>
      </c>
      <c r="CM71">
        <v>0.06</v>
      </c>
      <c r="CN71">
        <v>0.09</v>
      </c>
      <c r="CO71">
        <v>-58.340695121951221</v>
      </c>
      <c r="CP71">
        <v>-16.590418118467081</v>
      </c>
      <c r="CQ71">
        <v>1.6423965756428991</v>
      </c>
      <c r="CR71">
        <v>-1</v>
      </c>
      <c r="CS71">
        <v>3.750109268292682</v>
      </c>
      <c r="CT71">
        <v>7.4924774216027901</v>
      </c>
      <c r="CU71">
        <v>0.7450419211888234</v>
      </c>
      <c r="CV71">
        <v>-1</v>
      </c>
      <c r="CW71">
        <v>0</v>
      </c>
      <c r="CX71">
        <v>0</v>
      </c>
      <c r="CY71" t="s">
        <v>333</v>
      </c>
      <c r="CZ71">
        <v>2.36436</v>
      </c>
      <c r="DA71">
        <v>2.7138300000000002</v>
      </c>
      <c r="DB71">
        <v>0.13925799999999999</v>
      </c>
      <c r="DC71">
        <v>0.14648600000000001</v>
      </c>
      <c r="DD71">
        <v>0.104421</v>
      </c>
      <c r="DE71">
        <v>8.5853700000000005E-2</v>
      </c>
      <c r="DF71">
        <v>31423.9</v>
      </c>
      <c r="DG71">
        <v>27507</v>
      </c>
      <c r="DH71">
        <v>31167.8</v>
      </c>
      <c r="DI71">
        <v>28082.9</v>
      </c>
      <c r="DJ71">
        <v>37901.300000000003</v>
      </c>
      <c r="DK71">
        <v>36509.699999999997</v>
      </c>
      <c r="DL71">
        <v>44355.9</v>
      </c>
      <c r="DM71">
        <v>42571.3</v>
      </c>
      <c r="DN71">
        <v>1.4331</v>
      </c>
      <c r="DO71">
        <v>2.0503499999999999</v>
      </c>
      <c r="DP71">
        <v>0.166021</v>
      </c>
      <c r="DQ71">
        <v>0.13042200000000001</v>
      </c>
      <c r="DR71">
        <v>24.355399999999999</v>
      </c>
      <c r="DS71">
        <v>24.058700000000002</v>
      </c>
      <c r="DT71">
        <v>57</v>
      </c>
      <c r="DU71">
        <v>29.1</v>
      </c>
      <c r="DV71">
        <v>23.230699999999999</v>
      </c>
      <c r="DW71">
        <v>61.761200000000002</v>
      </c>
      <c r="DX71">
        <v>35.156199999999998</v>
      </c>
      <c r="DY71">
        <v>1</v>
      </c>
      <c r="DZ71">
        <v>-6.4918699999999996E-2</v>
      </c>
      <c r="EA71">
        <v>1.8469800000000001</v>
      </c>
      <c r="EB71">
        <v>20.177700000000002</v>
      </c>
      <c r="EC71">
        <v>5.2398999999999996</v>
      </c>
      <c r="ED71">
        <v>12.039899999999999</v>
      </c>
      <c r="EE71">
        <v>5.01715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1.86894</v>
      </c>
      <c r="EL71">
        <v>1.86463</v>
      </c>
      <c r="EM71">
        <v>1.8692</v>
      </c>
      <c r="EN71">
        <v>1.8672599999999999</v>
      </c>
      <c r="EO71">
        <v>1.86341</v>
      </c>
      <c r="EP71">
        <v>1.8644799999999999</v>
      </c>
      <c r="EQ71">
        <v>1.87019</v>
      </c>
      <c r="ER71">
        <v>1.86947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-0.2</v>
      </c>
      <c r="FG71">
        <v>0.27179999999999999</v>
      </c>
      <c r="FH71">
        <v>0.30965466913576151</v>
      </c>
      <c r="FI71">
        <v>-6.1462078757559423E-4</v>
      </c>
      <c r="FJ71">
        <v>-1.8861989874597051E-7</v>
      </c>
      <c r="FK71">
        <v>1.1980462299894961E-10</v>
      </c>
      <c r="FL71">
        <v>0.27184999999999349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19</v>
      </c>
      <c r="FU71">
        <v>19.2</v>
      </c>
      <c r="FV71">
        <v>1.78711</v>
      </c>
      <c r="FW71">
        <v>2.5854499999999998</v>
      </c>
      <c r="FX71">
        <v>1.5490699999999999</v>
      </c>
      <c r="FY71">
        <v>2.3303199999999999</v>
      </c>
      <c r="FZ71">
        <v>1.50146</v>
      </c>
      <c r="GA71">
        <v>2.36572</v>
      </c>
      <c r="GB71">
        <v>33.918700000000001</v>
      </c>
      <c r="GC71">
        <v>23.982399999999998</v>
      </c>
      <c r="GD71">
        <v>19</v>
      </c>
      <c r="GE71">
        <v>266.18700000000001</v>
      </c>
      <c r="GF71">
        <v>598.09299999999996</v>
      </c>
      <c r="GG71">
        <v>21.543399999999998</v>
      </c>
      <c r="GH71">
        <v>26.5518</v>
      </c>
      <c r="GI71">
        <v>30.0002</v>
      </c>
      <c r="GJ71">
        <v>26.660399999999999</v>
      </c>
      <c r="GK71">
        <v>26.624700000000001</v>
      </c>
      <c r="GL71">
        <v>35.741799999999998</v>
      </c>
      <c r="GM71">
        <v>37.523699999999998</v>
      </c>
      <c r="GN71">
        <v>95.440299999999993</v>
      </c>
      <c r="GO71">
        <v>21.378799999999998</v>
      </c>
      <c r="GP71">
        <v>800</v>
      </c>
      <c r="GQ71">
        <v>16.244299999999999</v>
      </c>
      <c r="GR71">
        <v>99.725300000000004</v>
      </c>
      <c r="GS71">
        <v>99.5822</v>
      </c>
    </row>
    <row r="72" spans="1:201" x14ac:dyDescent="0.25">
      <c r="A72">
        <v>56</v>
      </c>
      <c r="B72">
        <v>1690304469.5</v>
      </c>
      <c r="C72">
        <v>719.5</v>
      </c>
      <c r="D72" t="s">
        <v>443</v>
      </c>
      <c r="E72" t="s">
        <v>444</v>
      </c>
      <c r="F72" t="s">
        <v>330</v>
      </c>
      <c r="H72">
        <v>1690304469.5</v>
      </c>
      <c r="I72">
        <f t="shared" si="0"/>
        <v>4.497564563917434E-4</v>
      </c>
      <c r="J72">
        <f t="shared" si="1"/>
        <v>0.44975645639174339</v>
      </c>
      <c r="K72">
        <f t="shared" si="2"/>
        <v>5.4234748478833099</v>
      </c>
      <c r="L72">
        <f t="shared" si="3"/>
        <v>736.83900000000006</v>
      </c>
      <c r="M72">
        <f t="shared" si="4"/>
        <v>433.34547016431236</v>
      </c>
      <c r="N72">
        <f t="shared" si="5"/>
        <v>43.056990542827407</v>
      </c>
      <c r="O72">
        <f t="shared" si="6"/>
        <v>73.211956831017019</v>
      </c>
      <c r="P72">
        <f t="shared" si="7"/>
        <v>3.0184359833461325E-2</v>
      </c>
      <c r="Q72">
        <f t="shared" si="8"/>
        <v>2.1005793535037602</v>
      </c>
      <c r="R72">
        <f t="shared" si="9"/>
        <v>2.994545463767859E-2</v>
      </c>
      <c r="S72">
        <f t="shared" si="10"/>
        <v>1.8737216115529517E-2</v>
      </c>
      <c r="T72">
        <f t="shared" si="11"/>
        <v>276.11532885600002</v>
      </c>
      <c r="U72">
        <f t="shared" si="12"/>
        <v>26.849395075031548</v>
      </c>
      <c r="V72">
        <f t="shared" si="13"/>
        <v>26.849395075031548</v>
      </c>
      <c r="W72">
        <f t="shared" si="14"/>
        <v>3.5476225539986332</v>
      </c>
      <c r="X72">
        <f t="shared" si="15"/>
        <v>66.792515319362835</v>
      </c>
      <c r="Y72">
        <f t="shared" si="16"/>
        <v>2.0977175711372</v>
      </c>
      <c r="Z72">
        <f t="shared" si="17"/>
        <v>3.1406476625519173</v>
      </c>
      <c r="AA72">
        <f t="shared" si="18"/>
        <v>1.4499049828614332</v>
      </c>
      <c r="AB72">
        <f t="shared" si="19"/>
        <v>-19.834259726875885</v>
      </c>
      <c r="AC72">
        <f t="shared" si="20"/>
        <v>-232.87940936065806</v>
      </c>
      <c r="AD72">
        <f t="shared" si="21"/>
        <v>-23.645176143829325</v>
      </c>
      <c r="AE72">
        <f t="shared" si="22"/>
        <v>-0.24351637536327075</v>
      </c>
      <c r="AF72">
        <v>13</v>
      </c>
      <c r="AG72">
        <v>4</v>
      </c>
      <c r="AH72">
        <f t="shared" si="23"/>
        <v>1</v>
      </c>
      <c r="AI72">
        <f t="shared" si="24"/>
        <v>0</v>
      </c>
      <c r="AJ72">
        <f t="shared" si="25"/>
        <v>52899.951619424683</v>
      </c>
      <c r="AK72">
        <f t="shared" si="26"/>
        <v>1800</v>
      </c>
      <c r="AL72">
        <f t="shared" si="27"/>
        <v>1499.1134255999998</v>
      </c>
      <c r="AM72">
        <f t="shared" si="28"/>
        <v>0.83284079199999994</v>
      </c>
      <c r="AN72">
        <f t="shared" si="29"/>
        <v>0.15339740492000001</v>
      </c>
      <c r="AO72">
        <v>33</v>
      </c>
      <c r="AP72">
        <v>0.5</v>
      </c>
      <c r="AQ72" t="s">
        <v>331</v>
      </c>
      <c r="AR72">
        <v>2</v>
      </c>
      <c r="AS72">
        <v>1690304469.5</v>
      </c>
      <c r="AT72">
        <v>736.83900000000006</v>
      </c>
      <c r="AU72">
        <v>800.09199999999998</v>
      </c>
      <c r="AV72">
        <v>21.112400000000001</v>
      </c>
      <c r="AW72">
        <v>16.273399999999999</v>
      </c>
      <c r="AX72">
        <v>737.03700000000003</v>
      </c>
      <c r="AY72">
        <v>20.840599999999998</v>
      </c>
      <c r="AZ72">
        <v>300.24</v>
      </c>
      <c r="BA72">
        <v>99.259500000000003</v>
      </c>
      <c r="BB72">
        <v>0.10000299999999999</v>
      </c>
      <c r="BC72">
        <v>24.792999999999999</v>
      </c>
      <c r="BD72">
        <v>27.130500000000001</v>
      </c>
      <c r="BE72">
        <v>26.256900000000002</v>
      </c>
      <c r="BF72">
        <v>0</v>
      </c>
      <c r="BG72">
        <v>0</v>
      </c>
      <c r="BH72">
        <v>10005</v>
      </c>
      <c r="BI72">
        <v>1049.23</v>
      </c>
      <c r="BJ72">
        <v>1.68198</v>
      </c>
      <c r="BK72">
        <v>-63.253100000000003</v>
      </c>
      <c r="BL72">
        <v>752.73099999999999</v>
      </c>
      <c r="BM72">
        <v>813.32799999999997</v>
      </c>
      <c r="BN72">
        <v>4.8390599999999999</v>
      </c>
      <c r="BO72">
        <v>800.09199999999998</v>
      </c>
      <c r="BP72">
        <v>16.273399999999999</v>
      </c>
      <c r="BQ72">
        <v>2.0956100000000002</v>
      </c>
      <c r="BR72">
        <v>1.6152899999999999</v>
      </c>
      <c r="BS72">
        <v>18.1859</v>
      </c>
      <c r="BT72">
        <v>14.105399999999999</v>
      </c>
      <c r="BU72">
        <v>1800</v>
      </c>
      <c r="BV72">
        <v>0.91000400000000004</v>
      </c>
      <c r="BW72">
        <v>3.3990699999999999E-2</v>
      </c>
      <c r="BX72">
        <v>2.20016E-2</v>
      </c>
      <c r="BY72">
        <v>3.4003400000000003E-2</v>
      </c>
      <c r="BZ72">
        <v>25.625</v>
      </c>
      <c r="CA72">
        <v>33528.400000000001</v>
      </c>
      <c r="CB72">
        <v>1690303320.5</v>
      </c>
      <c r="CC72" t="s">
        <v>332</v>
      </c>
      <c r="CD72">
        <v>1690303320.5</v>
      </c>
      <c r="CE72">
        <v>1690303310.0999999</v>
      </c>
      <c r="CF72">
        <v>8</v>
      </c>
      <c r="CG72">
        <v>7.3999999999999996E-2</v>
      </c>
      <c r="CH72">
        <v>-0.01</v>
      </c>
      <c r="CI72">
        <v>-0.24199999999999999</v>
      </c>
      <c r="CJ72">
        <v>0.27200000000000002</v>
      </c>
      <c r="CK72">
        <v>800</v>
      </c>
      <c r="CL72">
        <v>23</v>
      </c>
      <c r="CM72">
        <v>0.06</v>
      </c>
      <c r="CN72">
        <v>0.09</v>
      </c>
      <c r="CO72">
        <v>-60.802941463414633</v>
      </c>
      <c r="CP72">
        <v>-12.916024390244059</v>
      </c>
      <c r="CQ72">
        <v>1.275705145605633</v>
      </c>
      <c r="CR72">
        <v>-1</v>
      </c>
      <c r="CS72">
        <v>4.6456687804878047</v>
      </c>
      <c r="CT72">
        <v>3.044291289198612</v>
      </c>
      <c r="CU72">
        <v>0.34131350973523022</v>
      </c>
      <c r="CV72">
        <v>-1</v>
      </c>
      <c r="CW72">
        <v>0</v>
      </c>
      <c r="CX72">
        <v>0</v>
      </c>
      <c r="CY72" t="s">
        <v>333</v>
      </c>
      <c r="CZ72">
        <v>2.36435</v>
      </c>
      <c r="DA72">
        <v>2.7138</v>
      </c>
      <c r="DB72">
        <v>0.13898199999999999</v>
      </c>
      <c r="DC72">
        <v>0.14647299999999999</v>
      </c>
      <c r="DD72">
        <v>0.103785</v>
      </c>
      <c r="DE72">
        <v>8.5209400000000005E-2</v>
      </c>
      <c r="DF72">
        <v>31433.200000000001</v>
      </c>
      <c r="DG72">
        <v>27506.799999999999</v>
      </c>
      <c r="DH72">
        <v>31167.1</v>
      </c>
      <c r="DI72">
        <v>28082.3</v>
      </c>
      <c r="DJ72">
        <v>37927.800000000003</v>
      </c>
      <c r="DK72">
        <v>36534.800000000003</v>
      </c>
      <c r="DL72">
        <v>44355.199999999997</v>
      </c>
      <c r="DM72">
        <v>42570.400000000001</v>
      </c>
      <c r="DN72">
        <v>1.43265</v>
      </c>
      <c r="DO72">
        <v>2.0501</v>
      </c>
      <c r="DP72">
        <v>0.170738</v>
      </c>
      <c r="DQ72">
        <v>0.13480300000000001</v>
      </c>
      <c r="DR72">
        <v>24.3324</v>
      </c>
      <c r="DS72">
        <v>24.0457</v>
      </c>
      <c r="DT72">
        <v>57</v>
      </c>
      <c r="DU72">
        <v>29.1</v>
      </c>
      <c r="DV72">
        <v>23.229900000000001</v>
      </c>
      <c r="DW72">
        <v>61.751199999999997</v>
      </c>
      <c r="DX72">
        <v>35.236400000000003</v>
      </c>
      <c r="DY72">
        <v>1</v>
      </c>
      <c r="DZ72">
        <v>-6.2814999999999996E-2</v>
      </c>
      <c r="EA72">
        <v>2.4956399999999999</v>
      </c>
      <c r="EB72">
        <v>20.1675</v>
      </c>
      <c r="EC72">
        <v>5.2403500000000003</v>
      </c>
      <c r="ED72">
        <v>12.039899999999999</v>
      </c>
      <c r="EE72">
        <v>5.01675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1.8689100000000001</v>
      </c>
      <c r="EL72">
        <v>1.8646199999999999</v>
      </c>
      <c r="EM72">
        <v>1.8692</v>
      </c>
      <c r="EN72">
        <v>1.86724</v>
      </c>
      <c r="EO72">
        <v>1.8633999999999999</v>
      </c>
      <c r="EP72">
        <v>1.8644700000000001</v>
      </c>
      <c r="EQ72">
        <v>1.8701700000000001</v>
      </c>
      <c r="ER72">
        <v>1.86944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-0.19800000000000001</v>
      </c>
      <c r="FG72">
        <v>0.27179999999999999</v>
      </c>
      <c r="FH72">
        <v>0.30965466913576151</v>
      </c>
      <c r="FI72">
        <v>-6.1462078757559423E-4</v>
      </c>
      <c r="FJ72">
        <v>-1.8861989874597051E-7</v>
      </c>
      <c r="FK72">
        <v>1.1980462299894961E-10</v>
      </c>
      <c r="FL72">
        <v>0.27184999999999349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19.100000000000001</v>
      </c>
      <c r="FU72">
        <v>19.3</v>
      </c>
      <c r="FV72">
        <v>1.78711</v>
      </c>
      <c r="FW72">
        <v>2.5891099999999998</v>
      </c>
      <c r="FX72">
        <v>1.5490699999999999</v>
      </c>
      <c r="FY72">
        <v>2.3303199999999999</v>
      </c>
      <c r="FZ72">
        <v>1.50146</v>
      </c>
      <c r="GA72">
        <v>2.33521</v>
      </c>
      <c r="GB72">
        <v>33.896099999999997</v>
      </c>
      <c r="GC72">
        <v>23.982399999999998</v>
      </c>
      <c r="GD72">
        <v>19</v>
      </c>
      <c r="GE72">
        <v>265.97899999999998</v>
      </c>
      <c r="GF72">
        <v>597.88199999999995</v>
      </c>
      <c r="GG72">
        <v>21.302099999999999</v>
      </c>
      <c r="GH72">
        <v>26.5518</v>
      </c>
      <c r="GI72">
        <v>30.000800000000002</v>
      </c>
      <c r="GJ72">
        <v>26.654800000000002</v>
      </c>
      <c r="GK72">
        <v>26.624700000000001</v>
      </c>
      <c r="GL72">
        <v>35.738500000000002</v>
      </c>
      <c r="GM72">
        <v>37.523699999999998</v>
      </c>
      <c r="GN72">
        <v>95.440299999999993</v>
      </c>
      <c r="GO72">
        <v>21.208300000000001</v>
      </c>
      <c r="GP72">
        <v>800</v>
      </c>
      <c r="GQ72">
        <v>16.3565</v>
      </c>
      <c r="GR72">
        <v>99.723299999999995</v>
      </c>
      <c r="GS72">
        <v>99.580100000000002</v>
      </c>
    </row>
    <row r="73" spans="1:201" x14ac:dyDescent="0.25">
      <c r="A73">
        <v>57</v>
      </c>
      <c r="B73">
        <v>1690304479.5</v>
      </c>
      <c r="C73">
        <v>729.5</v>
      </c>
      <c r="D73" t="s">
        <v>445</v>
      </c>
      <c r="E73" t="s">
        <v>446</v>
      </c>
      <c r="F73" t="s">
        <v>330</v>
      </c>
      <c r="H73">
        <v>1690304479.5</v>
      </c>
      <c r="I73">
        <f t="shared" si="0"/>
        <v>4.2873434667057528E-4</v>
      </c>
      <c r="J73">
        <f t="shared" si="1"/>
        <v>0.42873434667057531</v>
      </c>
      <c r="K73">
        <f t="shared" si="2"/>
        <v>5.6355366644954978</v>
      </c>
      <c r="L73">
        <f t="shared" si="3"/>
        <v>734.56799999999998</v>
      </c>
      <c r="M73">
        <f t="shared" si="4"/>
        <v>401.3223017593304</v>
      </c>
      <c r="N73">
        <f t="shared" si="5"/>
        <v>39.876188674418785</v>
      </c>
      <c r="O73">
        <f t="shared" si="6"/>
        <v>72.988149509210402</v>
      </c>
      <c r="P73">
        <f t="shared" si="7"/>
        <v>2.8407913685420259E-2</v>
      </c>
      <c r="Q73">
        <f t="shared" si="8"/>
        <v>2.1048473591391299</v>
      </c>
      <c r="R73">
        <f t="shared" si="9"/>
        <v>2.8196621096449763E-2</v>
      </c>
      <c r="S73">
        <f t="shared" si="10"/>
        <v>1.7641740879898116E-2</v>
      </c>
      <c r="T73">
        <f t="shared" si="11"/>
        <v>276.11530050600004</v>
      </c>
      <c r="U73">
        <f t="shared" si="12"/>
        <v>26.836860905698927</v>
      </c>
      <c r="V73">
        <f t="shared" si="13"/>
        <v>26.836860905698927</v>
      </c>
      <c r="W73">
        <f t="shared" si="14"/>
        <v>3.5450088291598436</v>
      </c>
      <c r="X73">
        <f t="shared" si="15"/>
        <v>66.194766051512531</v>
      </c>
      <c r="Y73">
        <f t="shared" si="16"/>
        <v>2.07693418818431</v>
      </c>
      <c r="Z73">
        <f t="shared" si="17"/>
        <v>3.1376108899124246</v>
      </c>
      <c r="AA73">
        <f t="shared" si="18"/>
        <v>1.4680746409755336</v>
      </c>
      <c r="AB73">
        <f t="shared" si="19"/>
        <v>-18.907184688172372</v>
      </c>
      <c r="AC73">
        <f t="shared" si="20"/>
        <v>-233.7685648687937</v>
      </c>
      <c r="AD73">
        <f t="shared" si="21"/>
        <v>-23.683911782507792</v>
      </c>
      <c r="AE73">
        <f t="shared" si="22"/>
        <v>-0.24436083347382009</v>
      </c>
      <c r="AF73">
        <v>13</v>
      </c>
      <c r="AG73">
        <v>4</v>
      </c>
      <c r="AH73">
        <f t="shared" si="23"/>
        <v>1</v>
      </c>
      <c r="AI73">
        <f t="shared" si="24"/>
        <v>0</v>
      </c>
      <c r="AJ73">
        <f t="shared" si="25"/>
        <v>53094.274337865703</v>
      </c>
      <c r="AK73">
        <f t="shared" si="26"/>
        <v>1800</v>
      </c>
      <c r="AL73">
        <f t="shared" si="27"/>
        <v>1499.1132906</v>
      </c>
      <c r="AM73">
        <f t="shared" si="28"/>
        <v>0.83284071699999995</v>
      </c>
      <c r="AN73">
        <f t="shared" si="29"/>
        <v>0.15339738917000001</v>
      </c>
      <c r="AO73">
        <v>33</v>
      </c>
      <c r="AP73">
        <v>0.5</v>
      </c>
      <c r="AQ73" t="s">
        <v>331</v>
      </c>
      <c r="AR73">
        <v>2</v>
      </c>
      <c r="AS73">
        <v>1690304479.5</v>
      </c>
      <c r="AT73">
        <v>734.56799999999998</v>
      </c>
      <c r="AU73">
        <v>799.97500000000002</v>
      </c>
      <c r="AV73">
        <v>20.902699999999999</v>
      </c>
      <c r="AW73">
        <v>16.288599999999999</v>
      </c>
      <c r="AX73">
        <v>734.76499999999999</v>
      </c>
      <c r="AY73">
        <v>20.630800000000001</v>
      </c>
      <c r="AZ73">
        <v>300.221</v>
      </c>
      <c r="BA73">
        <v>99.262100000000004</v>
      </c>
      <c r="BB73">
        <v>9.9905300000000002E-2</v>
      </c>
      <c r="BC73">
        <v>24.776800000000001</v>
      </c>
      <c r="BD73">
        <v>27.136700000000001</v>
      </c>
      <c r="BE73">
        <v>26.2544</v>
      </c>
      <c r="BF73">
        <v>0</v>
      </c>
      <c r="BG73">
        <v>0</v>
      </c>
      <c r="BH73">
        <v>10042.5</v>
      </c>
      <c r="BI73">
        <v>1049.2</v>
      </c>
      <c r="BJ73">
        <v>1.68198</v>
      </c>
      <c r="BK73">
        <v>-65.406599999999997</v>
      </c>
      <c r="BL73">
        <v>750.25</v>
      </c>
      <c r="BM73">
        <v>813.221</v>
      </c>
      <c r="BN73">
        <v>4.6140299999999996</v>
      </c>
      <c r="BO73">
        <v>799.97500000000002</v>
      </c>
      <c r="BP73">
        <v>16.288599999999999</v>
      </c>
      <c r="BQ73">
        <v>2.07484</v>
      </c>
      <c r="BR73">
        <v>1.6168400000000001</v>
      </c>
      <c r="BS73">
        <v>18.0273</v>
      </c>
      <c r="BT73">
        <v>14.1203</v>
      </c>
      <c r="BU73">
        <v>1800</v>
      </c>
      <c r="BV73">
        <v>0.91000400000000004</v>
      </c>
      <c r="BW73">
        <v>3.3990699999999999E-2</v>
      </c>
      <c r="BX73">
        <v>2.20016E-2</v>
      </c>
      <c r="BY73">
        <v>3.40033E-2</v>
      </c>
      <c r="BZ73">
        <v>25.416699999999999</v>
      </c>
      <c r="CA73">
        <v>33528.300000000003</v>
      </c>
      <c r="CB73">
        <v>1690303320.5</v>
      </c>
      <c r="CC73" t="s">
        <v>332</v>
      </c>
      <c r="CD73">
        <v>1690303320.5</v>
      </c>
      <c r="CE73">
        <v>1690303310.0999999</v>
      </c>
      <c r="CF73">
        <v>8</v>
      </c>
      <c r="CG73">
        <v>7.3999999999999996E-2</v>
      </c>
      <c r="CH73">
        <v>-0.01</v>
      </c>
      <c r="CI73">
        <v>-0.24199999999999999</v>
      </c>
      <c r="CJ73">
        <v>0.27200000000000002</v>
      </c>
      <c r="CK73">
        <v>800</v>
      </c>
      <c r="CL73">
        <v>23</v>
      </c>
      <c r="CM73">
        <v>0.06</v>
      </c>
      <c r="CN73">
        <v>0.09</v>
      </c>
      <c r="CO73">
        <v>-62.923731707317089</v>
      </c>
      <c r="CP73">
        <v>-12.55482857142864</v>
      </c>
      <c r="CQ73">
        <v>1.2382915381221371</v>
      </c>
      <c r="CR73">
        <v>-1</v>
      </c>
      <c r="CS73">
        <v>4.8266204878048784</v>
      </c>
      <c r="CT73">
        <v>-0.69332696864110688</v>
      </c>
      <c r="CU73">
        <v>8.5747462451288989E-2</v>
      </c>
      <c r="CV73">
        <v>-1</v>
      </c>
      <c r="CW73">
        <v>0</v>
      </c>
      <c r="CX73">
        <v>0</v>
      </c>
      <c r="CY73" t="s">
        <v>333</v>
      </c>
      <c r="CZ73">
        <v>2.3643200000000002</v>
      </c>
      <c r="DA73">
        <v>2.71373</v>
      </c>
      <c r="DB73">
        <v>0.13869300000000001</v>
      </c>
      <c r="DC73">
        <v>0.14646400000000001</v>
      </c>
      <c r="DD73">
        <v>0.103044</v>
      </c>
      <c r="DE73">
        <v>8.5269899999999996E-2</v>
      </c>
      <c r="DF73">
        <v>31443.599999999999</v>
      </c>
      <c r="DG73">
        <v>27506.2</v>
      </c>
      <c r="DH73">
        <v>31166.9</v>
      </c>
      <c r="DI73">
        <v>28081.3</v>
      </c>
      <c r="DJ73">
        <v>37959.1</v>
      </c>
      <c r="DK73">
        <v>36531.1</v>
      </c>
      <c r="DL73">
        <v>44354.9</v>
      </c>
      <c r="DM73">
        <v>42569</v>
      </c>
      <c r="DN73">
        <v>1.4328000000000001</v>
      </c>
      <c r="DO73">
        <v>2.0499999999999998</v>
      </c>
      <c r="DP73">
        <v>0.17213100000000001</v>
      </c>
      <c r="DQ73">
        <v>0.135265</v>
      </c>
      <c r="DR73">
        <v>24.315799999999999</v>
      </c>
      <c r="DS73">
        <v>24.035599999999999</v>
      </c>
      <c r="DT73">
        <v>57</v>
      </c>
      <c r="DU73">
        <v>29.1</v>
      </c>
      <c r="DV73">
        <v>23.229299999999999</v>
      </c>
      <c r="DW73">
        <v>60.991199999999999</v>
      </c>
      <c r="DX73">
        <v>35.640999999999998</v>
      </c>
      <c r="DY73">
        <v>1</v>
      </c>
      <c r="DZ73">
        <v>-6.2342500000000002E-2</v>
      </c>
      <c r="EA73">
        <v>2.6944599999999999</v>
      </c>
      <c r="EB73">
        <v>20.163499999999999</v>
      </c>
      <c r="EC73">
        <v>5.2403500000000003</v>
      </c>
      <c r="ED73">
        <v>12.039899999999999</v>
      </c>
      <c r="EE73">
        <v>5.0165499999999996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1.86893</v>
      </c>
      <c r="EL73">
        <v>1.8646199999999999</v>
      </c>
      <c r="EM73">
        <v>1.8692</v>
      </c>
      <c r="EN73">
        <v>1.8672500000000001</v>
      </c>
      <c r="EO73">
        <v>1.8633999999999999</v>
      </c>
      <c r="EP73">
        <v>1.8644700000000001</v>
      </c>
      <c r="EQ73">
        <v>1.87018</v>
      </c>
      <c r="ER73">
        <v>1.86947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-0.19700000000000001</v>
      </c>
      <c r="FG73">
        <v>0.27189999999999998</v>
      </c>
      <c r="FH73">
        <v>0.30965466913576151</v>
      </c>
      <c r="FI73">
        <v>-6.1462078757559423E-4</v>
      </c>
      <c r="FJ73">
        <v>-1.8861989874597051E-7</v>
      </c>
      <c r="FK73">
        <v>1.1980462299894961E-10</v>
      </c>
      <c r="FL73">
        <v>0.27184999999999349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19.3</v>
      </c>
      <c r="FU73">
        <v>19.5</v>
      </c>
      <c r="FV73">
        <v>1.78711</v>
      </c>
      <c r="FW73">
        <v>2.5964399999999999</v>
      </c>
      <c r="FX73">
        <v>1.5490699999999999</v>
      </c>
      <c r="FY73">
        <v>2.3303199999999999</v>
      </c>
      <c r="FZ73">
        <v>1.50146</v>
      </c>
      <c r="GA73">
        <v>2.2705099999999998</v>
      </c>
      <c r="GB73">
        <v>33.896099999999997</v>
      </c>
      <c r="GC73">
        <v>23.973700000000001</v>
      </c>
      <c r="GD73">
        <v>19</v>
      </c>
      <c r="GE73">
        <v>266.02499999999998</v>
      </c>
      <c r="GF73">
        <v>597.798</v>
      </c>
      <c r="GG73">
        <v>21.021999999999998</v>
      </c>
      <c r="GH73">
        <v>26.549600000000002</v>
      </c>
      <c r="GI73">
        <v>30.0002</v>
      </c>
      <c r="GJ73">
        <v>26.651</v>
      </c>
      <c r="GK73">
        <v>26.624700000000001</v>
      </c>
      <c r="GL73">
        <v>35.739199999999997</v>
      </c>
      <c r="GM73">
        <v>36.912300000000002</v>
      </c>
      <c r="GN73">
        <v>95.058300000000003</v>
      </c>
      <c r="GO73">
        <v>20.9742</v>
      </c>
      <c r="GP73">
        <v>800</v>
      </c>
      <c r="GQ73">
        <v>16.422499999999999</v>
      </c>
      <c r="GR73">
        <v>99.722700000000003</v>
      </c>
      <c r="GS73">
        <v>99.576800000000006</v>
      </c>
    </row>
    <row r="74" spans="1:201" x14ac:dyDescent="0.25">
      <c r="A74">
        <v>58</v>
      </c>
      <c r="B74">
        <v>1690304489.5</v>
      </c>
      <c r="C74">
        <v>739.5</v>
      </c>
      <c r="D74" t="s">
        <v>447</v>
      </c>
      <c r="E74" t="s">
        <v>448</v>
      </c>
      <c r="F74" t="s">
        <v>330</v>
      </c>
      <c r="H74">
        <v>1690304489.5</v>
      </c>
      <c r="I74">
        <f t="shared" si="0"/>
        <v>4.0641615061440755E-4</v>
      </c>
      <c r="J74">
        <f t="shared" si="1"/>
        <v>0.40641615061440756</v>
      </c>
      <c r="K74">
        <f t="shared" si="2"/>
        <v>5.8651236291456792</v>
      </c>
      <c r="L74">
        <f t="shared" si="3"/>
        <v>732.13499999999999</v>
      </c>
      <c r="M74">
        <f t="shared" si="4"/>
        <v>365.49469719487746</v>
      </c>
      <c r="N74">
        <f t="shared" si="5"/>
        <v>36.315788857362719</v>
      </c>
      <c r="O74">
        <f t="shared" si="6"/>
        <v>72.745405827075004</v>
      </c>
      <c r="P74">
        <f t="shared" si="7"/>
        <v>2.6729434475814363E-2</v>
      </c>
      <c r="Q74">
        <f t="shared" si="8"/>
        <v>2.0977591001224623</v>
      </c>
      <c r="R74">
        <f t="shared" si="9"/>
        <v>2.6541656330504169E-2</v>
      </c>
      <c r="S74">
        <f t="shared" si="10"/>
        <v>1.6605296255574713E-2</v>
      </c>
      <c r="T74">
        <f t="shared" si="11"/>
        <v>276.11540744399997</v>
      </c>
      <c r="U74">
        <f t="shared" si="12"/>
        <v>26.819953171603576</v>
      </c>
      <c r="V74">
        <f t="shared" si="13"/>
        <v>26.819953171603576</v>
      </c>
      <c r="W74">
        <f t="shared" si="14"/>
        <v>3.541485757180356</v>
      </c>
      <c r="X74">
        <f t="shared" si="15"/>
        <v>65.871564621073148</v>
      </c>
      <c r="Y74">
        <f t="shared" si="16"/>
        <v>2.0629455836189998</v>
      </c>
      <c r="Z74">
        <f t="shared" si="17"/>
        <v>3.1317695207121856</v>
      </c>
      <c r="AA74">
        <f t="shared" si="18"/>
        <v>1.4785401735613561</v>
      </c>
      <c r="AB74">
        <f t="shared" si="19"/>
        <v>-17.922952242095374</v>
      </c>
      <c r="AC74">
        <f t="shared" si="20"/>
        <v>-234.59770369501314</v>
      </c>
      <c r="AD74">
        <f t="shared" si="21"/>
        <v>-23.842470870244025</v>
      </c>
      <c r="AE74">
        <f t="shared" si="22"/>
        <v>-0.24771936335255873</v>
      </c>
      <c r="AF74">
        <v>13</v>
      </c>
      <c r="AG74">
        <v>4</v>
      </c>
      <c r="AH74">
        <f t="shared" si="23"/>
        <v>1</v>
      </c>
      <c r="AI74">
        <f t="shared" si="24"/>
        <v>0</v>
      </c>
      <c r="AJ74">
        <f t="shared" si="25"/>
        <v>52782.179575501264</v>
      </c>
      <c r="AK74">
        <f t="shared" si="26"/>
        <v>1800</v>
      </c>
      <c r="AL74">
        <f t="shared" si="27"/>
        <v>1499.1124463999997</v>
      </c>
      <c r="AM74">
        <f t="shared" si="28"/>
        <v>0.83284024799999989</v>
      </c>
      <c r="AN74">
        <f t="shared" si="29"/>
        <v>0.15339744857999998</v>
      </c>
      <c r="AO74">
        <v>33</v>
      </c>
      <c r="AP74">
        <v>0.5</v>
      </c>
      <c r="AQ74" t="s">
        <v>331</v>
      </c>
      <c r="AR74">
        <v>2</v>
      </c>
      <c r="AS74">
        <v>1690304489.5</v>
      </c>
      <c r="AT74">
        <v>732.13499999999999</v>
      </c>
      <c r="AU74">
        <v>799.89099999999996</v>
      </c>
      <c r="AV74">
        <v>20.7622</v>
      </c>
      <c r="AW74">
        <v>16.386600000000001</v>
      </c>
      <c r="AX74">
        <v>732.33</v>
      </c>
      <c r="AY74">
        <v>20.490400000000001</v>
      </c>
      <c r="AZ74">
        <v>300.14800000000002</v>
      </c>
      <c r="BA74">
        <v>99.2607</v>
      </c>
      <c r="BB74">
        <v>9.9945000000000006E-2</v>
      </c>
      <c r="BC74">
        <v>24.7456</v>
      </c>
      <c r="BD74">
        <v>27.129799999999999</v>
      </c>
      <c r="BE74">
        <v>26.223600000000001</v>
      </c>
      <c r="BF74">
        <v>0</v>
      </c>
      <c r="BG74">
        <v>0</v>
      </c>
      <c r="BH74">
        <v>9980</v>
      </c>
      <c r="BI74">
        <v>1049.29</v>
      </c>
      <c r="BJ74">
        <v>1.68198</v>
      </c>
      <c r="BK74">
        <v>-67.756</v>
      </c>
      <c r="BL74">
        <v>747.65800000000002</v>
      </c>
      <c r="BM74">
        <v>813.21699999999998</v>
      </c>
      <c r="BN74">
        <v>4.3755899999999999</v>
      </c>
      <c r="BO74">
        <v>799.89099999999996</v>
      </c>
      <c r="BP74">
        <v>16.386600000000001</v>
      </c>
      <c r="BQ74">
        <v>2.06087</v>
      </c>
      <c r="BR74">
        <v>1.6265499999999999</v>
      </c>
      <c r="BS74">
        <v>17.919899999999998</v>
      </c>
      <c r="BT74">
        <v>14.2126</v>
      </c>
      <c r="BU74">
        <v>1800</v>
      </c>
      <c r="BV74">
        <v>0.91</v>
      </c>
      <c r="BW74">
        <v>3.3995400000000002E-2</v>
      </c>
      <c r="BX74">
        <v>2.2001400000000001E-2</v>
      </c>
      <c r="BY74">
        <v>3.4002999999999999E-2</v>
      </c>
      <c r="BZ74">
        <v>25.208300000000001</v>
      </c>
      <c r="CA74">
        <v>33528.300000000003</v>
      </c>
      <c r="CB74">
        <v>1690303320.5</v>
      </c>
      <c r="CC74" t="s">
        <v>332</v>
      </c>
      <c r="CD74">
        <v>1690303320.5</v>
      </c>
      <c r="CE74">
        <v>1690303310.0999999</v>
      </c>
      <c r="CF74">
        <v>8</v>
      </c>
      <c r="CG74">
        <v>7.3999999999999996E-2</v>
      </c>
      <c r="CH74">
        <v>-0.01</v>
      </c>
      <c r="CI74">
        <v>-0.24199999999999999</v>
      </c>
      <c r="CJ74">
        <v>0.27200000000000002</v>
      </c>
      <c r="CK74">
        <v>800</v>
      </c>
      <c r="CL74">
        <v>23</v>
      </c>
      <c r="CM74">
        <v>0.06</v>
      </c>
      <c r="CN74">
        <v>0.09</v>
      </c>
      <c r="CO74">
        <v>-65.305867500000005</v>
      </c>
      <c r="CP74">
        <v>-14.052654033770979</v>
      </c>
      <c r="CQ74">
        <v>1.3542291571937699</v>
      </c>
      <c r="CR74">
        <v>-1</v>
      </c>
      <c r="CS74">
        <v>4.6224842500000003</v>
      </c>
      <c r="CT74">
        <v>-1.462874183864924</v>
      </c>
      <c r="CU74">
        <v>0.14105324354454771</v>
      </c>
      <c r="CV74">
        <v>-1</v>
      </c>
      <c r="CW74">
        <v>0</v>
      </c>
      <c r="CX74">
        <v>0</v>
      </c>
      <c r="CY74" t="s">
        <v>333</v>
      </c>
      <c r="CZ74">
        <v>2.36409</v>
      </c>
      <c r="DA74">
        <v>2.7137199999999999</v>
      </c>
      <c r="DB74">
        <v>0.138375</v>
      </c>
      <c r="DC74">
        <v>0.146452</v>
      </c>
      <c r="DD74">
        <v>0.10254199999999999</v>
      </c>
      <c r="DE74">
        <v>8.56402E-2</v>
      </c>
      <c r="DF74">
        <v>31454.6</v>
      </c>
      <c r="DG74">
        <v>27506.5</v>
      </c>
      <c r="DH74">
        <v>31166.400000000001</v>
      </c>
      <c r="DI74">
        <v>28081.200000000001</v>
      </c>
      <c r="DJ74">
        <v>37980.1</v>
      </c>
      <c r="DK74">
        <v>36516.199999999997</v>
      </c>
      <c r="DL74">
        <v>44354.3</v>
      </c>
      <c r="DM74">
        <v>42568.9</v>
      </c>
      <c r="DN74">
        <v>1.4324699999999999</v>
      </c>
      <c r="DO74">
        <v>2.0501</v>
      </c>
      <c r="DP74">
        <v>0.17252600000000001</v>
      </c>
      <c r="DQ74">
        <v>0.13399900000000001</v>
      </c>
      <c r="DR74">
        <v>24.302399999999999</v>
      </c>
      <c r="DS74">
        <v>24.025500000000001</v>
      </c>
      <c r="DT74">
        <v>57</v>
      </c>
      <c r="DU74">
        <v>29</v>
      </c>
      <c r="DV74">
        <v>23.0944</v>
      </c>
      <c r="DW74">
        <v>61.371200000000002</v>
      </c>
      <c r="DX74">
        <v>36.125799999999998</v>
      </c>
      <c r="DY74">
        <v>1</v>
      </c>
      <c r="DZ74">
        <v>-6.1466E-2</v>
      </c>
      <c r="EA74">
        <v>3.0154100000000001</v>
      </c>
      <c r="EB74">
        <v>20.1568</v>
      </c>
      <c r="EC74">
        <v>5.2404999999999999</v>
      </c>
      <c r="ED74">
        <v>12.039899999999999</v>
      </c>
      <c r="EE74">
        <v>5.0166000000000004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1.8646199999999999</v>
      </c>
      <c r="EM74">
        <v>1.8692</v>
      </c>
      <c r="EN74">
        <v>1.8672500000000001</v>
      </c>
      <c r="EO74">
        <v>1.8633999999999999</v>
      </c>
      <c r="EP74">
        <v>1.8644700000000001</v>
      </c>
      <c r="EQ74">
        <v>1.8701399999999999</v>
      </c>
      <c r="ER74">
        <v>1.86941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-0.19500000000000001</v>
      </c>
      <c r="FG74">
        <v>0.27179999999999999</v>
      </c>
      <c r="FH74">
        <v>0.30965466913576151</v>
      </c>
      <c r="FI74">
        <v>-6.1462078757559423E-4</v>
      </c>
      <c r="FJ74">
        <v>-1.8861989874597051E-7</v>
      </c>
      <c r="FK74">
        <v>1.1980462299894961E-10</v>
      </c>
      <c r="FL74">
        <v>0.27184999999999349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19.5</v>
      </c>
      <c r="FU74">
        <v>19.7</v>
      </c>
      <c r="FV74">
        <v>1.78833</v>
      </c>
      <c r="FW74">
        <v>2.5976599999999999</v>
      </c>
      <c r="FX74">
        <v>1.5490699999999999</v>
      </c>
      <c r="FY74">
        <v>2.3303199999999999</v>
      </c>
      <c r="FZ74">
        <v>1.50146</v>
      </c>
      <c r="GA74">
        <v>2.2985799999999998</v>
      </c>
      <c r="GB74">
        <v>33.918700000000001</v>
      </c>
      <c r="GC74">
        <v>23.973700000000001</v>
      </c>
      <c r="GD74">
        <v>19</v>
      </c>
      <c r="GE74">
        <v>265.892</v>
      </c>
      <c r="GF74">
        <v>597.88199999999995</v>
      </c>
      <c r="GG74">
        <v>20.752800000000001</v>
      </c>
      <c r="GH74">
        <v>26.5488</v>
      </c>
      <c r="GI74">
        <v>30.000599999999999</v>
      </c>
      <c r="GJ74">
        <v>26.651</v>
      </c>
      <c r="GK74">
        <v>26.624700000000001</v>
      </c>
      <c r="GL74">
        <v>35.742100000000001</v>
      </c>
      <c r="GM74">
        <v>36.631300000000003</v>
      </c>
      <c r="GN74">
        <v>95.058300000000003</v>
      </c>
      <c r="GO74">
        <v>20.679600000000001</v>
      </c>
      <c r="GP74">
        <v>800</v>
      </c>
      <c r="GQ74">
        <v>16.465399999999999</v>
      </c>
      <c r="GR74">
        <v>99.721199999999996</v>
      </c>
      <c r="GS74">
        <v>99.576499999999996</v>
      </c>
    </row>
    <row r="75" spans="1:201" x14ac:dyDescent="0.25">
      <c r="A75">
        <v>59</v>
      </c>
      <c r="B75">
        <v>1690304499.5</v>
      </c>
      <c r="C75">
        <v>749.5</v>
      </c>
      <c r="D75" t="s">
        <v>449</v>
      </c>
      <c r="E75" t="s">
        <v>450</v>
      </c>
      <c r="F75" t="s">
        <v>330</v>
      </c>
      <c r="H75">
        <v>1690304499.5</v>
      </c>
      <c r="I75">
        <f t="shared" si="0"/>
        <v>3.956649293766472E-4</v>
      </c>
      <c r="J75">
        <f t="shared" si="1"/>
        <v>0.39566492937664721</v>
      </c>
      <c r="K75">
        <f t="shared" si="2"/>
        <v>6.1084966549037576</v>
      </c>
      <c r="L75">
        <f t="shared" si="3"/>
        <v>729.66</v>
      </c>
      <c r="M75">
        <f t="shared" si="4"/>
        <v>338.79136788377201</v>
      </c>
      <c r="N75">
        <f t="shared" si="5"/>
        <v>33.661732131583157</v>
      </c>
      <c r="O75">
        <f t="shared" si="6"/>
        <v>72.497772362243992</v>
      </c>
      <c r="P75">
        <f t="shared" si="7"/>
        <v>2.6022697293257391E-2</v>
      </c>
      <c r="Q75">
        <f t="shared" si="8"/>
        <v>2.097023319305011</v>
      </c>
      <c r="R75">
        <f t="shared" si="9"/>
        <v>2.5844620051539306E-2</v>
      </c>
      <c r="S75">
        <f t="shared" si="10"/>
        <v>1.6168785374756169E-2</v>
      </c>
      <c r="T75">
        <f t="shared" si="11"/>
        <v>276.11541633600001</v>
      </c>
      <c r="U75">
        <f t="shared" si="12"/>
        <v>26.772724136009291</v>
      </c>
      <c r="V75">
        <f t="shared" si="13"/>
        <v>26.772724136009291</v>
      </c>
      <c r="W75">
        <f t="shared" si="14"/>
        <v>3.5316608114508443</v>
      </c>
      <c r="X75">
        <f t="shared" si="15"/>
        <v>65.766752727782944</v>
      </c>
      <c r="Y75">
        <f t="shared" si="16"/>
        <v>2.0532987480870402</v>
      </c>
      <c r="Z75">
        <f t="shared" si="17"/>
        <v>3.1220923383368313</v>
      </c>
      <c r="AA75">
        <f t="shared" si="18"/>
        <v>1.4783620633638042</v>
      </c>
      <c r="AB75">
        <f t="shared" si="19"/>
        <v>-17.448823385510142</v>
      </c>
      <c r="AC75">
        <f t="shared" si="20"/>
        <v>-235.03218857246497</v>
      </c>
      <c r="AD75">
        <f t="shared" si="21"/>
        <v>-23.883132851497237</v>
      </c>
      <c r="AE75">
        <f t="shared" si="22"/>
        <v>-0.24872847347234028</v>
      </c>
      <c r="AF75">
        <v>13</v>
      </c>
      <c r="AG75">
        <v>4</v>
      </c>
      <c r="AH75">
        <f t="shared" si="23"/>
        <v>1</v>
      </c>
      <c r="AI75">
        <f t="shared" si="24"/>
        <v>0</v>
      </c>
      <c r="AJ75">
        <f t="shared" si="25"/>
        <v>52758.413114388415</v>
      </c>
      <c r="AK75">
        <f t="shared" si="26"/>
        <v>1800</v>
      </c>
      <c r="AL75">
        <f t="shared" si="27"/>
        <v>1499.1111845999999</v>
      </c>
      <c r="AM75">
        <f t="shared" si="28"/>
        <v>0.83283954699999996</v>
      </c>
      <c r="AN75">
        <f t="shared" si="29"/>
        <v>0.15339745352</v>
      </c>
      <c r="AO75">
        <v>33</v>
      </c>
      <c r="AP75">
        <v>0.5</v>
      </c>
      <c r="AQ75" t="s">
        <v>331</v>
      </c>
      <c r="AR75">
        <v>2</v>
      </c>
      <c r="AS75">
        <v>1690304499.5</v>
      </c>
      <c r="AT75">
        <v>729.66</v>
      </c>
      <c r="AU75">
        <v>800.02800000000002</v>
      </c>
      <c r="AV75">
        <v>20.665600000000001</v>
      </c>
      <c r="AW75">
        <v>16.403300000000002</v>
      </c>
      <c r="AX75">
        <v>729.85299999999995</v>
      </c>
      <c r="AY75">
        <v>20.393799999999999</v>
      </c>
      <c r="AZ75">
        <v>300.005</v>
      </c>
      <c r="BA75">
        <v>99.258399999999995</v>
      </c>
      <c r="BB75">
        <v>9.9893399999999993E-2</v>
      </c>
      <c r="BC75">
        <v>24.6938</v>
      </c>
      <c r="BD75">
        <v>27.0624</v>
      </c>
      <c r="BE75">
        <v>26.181100000000001</v>
      </c>
      <c r="BF75">
        <v>0</v>
      </c>
      <c r="BG75">
        <v>0</v>
      </c>
      <c r="BH75">
        <v>9973.75</v>
      </c>
      <c r="BI75">
        <v>1049.07</v>
      </c>
      <c r="BJ75">
        <v>1.68198</v>
      </c>
      <c r="BK75">
        <v>-70.368399999999994</v>
      </c>
      <c r="BL75">
        <v>745.05700000000002</v>
      </c>
      <c r="BM75">
        <v>813.37</v>
      </c>
      <c r="BN75">
        <v>4.2623300000000004</v>
      </c>
      <c r="BO75">
        <v>800.02800000000002</v>
      </c>
      <c r="BP75">
        <v>16.403300000000002</v>
      </c>
      <c r="BQ75">
        <v>2.05124</v>
      </c>
      <c r="BR75">
        <v>1.6281600000000001</v>
      </c>
      <c r="BS75">
        <v>17.845500000000001</v>
      </c>
      <c r="BT75">
        <v>14.228</v>
      </c>
      <c r="BU75">
        <v>1800</v>
      </c>
      <c r="BV75">
        <v>0.90999600000000003</v>
      </c>
      <c r="BW75">
        <v>3.4000000000000002E-2</v>
      </c>
      <c r="BX75">
        <v>2.2001099999999999E-2</v>
      </c>
      <c r="BY75">
        <v>3.4002600000000001E-2</v>
      </c>
      <c r="BZ75">
        <v>25.041699999999999</v>
      </c>
      <c r="CA75">
        <v>33528.300000000003</v>
      </c>
      <c r="CB75">
        <v>1690303320.5</v>
      </c>
      <c r="CC75" t="s">
        <v>332</v>
      </c>
      <c r="CD75">
        <v>1690303320.5</v>
      </c>
      <c r="CE75">
        <v>1690303310.0999999</v>
      </c>
      <c r="CF75">
        <v>8</v>
      </c>
      <c r="CG75">
        <v>7.3999999999999996E-2</v>
      </c>
      <c r="CH75">
        <v>-0.01</v>
      </c>
      <c r="CI75">
        <v>-0.24199999999999999</v>
      </c>
      <c r="CJ75">
        <v>0.27200000000000002</v>
      </c>
      <c r="CK75">
        <v>800</v>
      </c>
      <c r="CL75">
        <v>23</v>
      </c>
      <c r="CM75">
        <v>0.06</v>
      </c>
      <c r="CN75">
        <v>0.09</v>
      </c>
      <c r="CO75">
        <v>-67.682850000000002</v>
      </c>
      <c r="CP75">
        <v>-14.78567504690422</v>
      </c>
      <c r="CQ75">
        <v>1.4240241337491439</v>
      </c>
      <c r="CR75">
        <v>-1</v>
      </c>
      <c r="CS75">
        <v>4.4095117500000001</v>
      </c>
      <c r="CT75">
        <v>-1.0539889305816159</v>
      </c>
      <c r="CU75">
        <v>0.1036514803292143</v>
      </c>
      <c r="CV75">
        <v>-1</v>
      </c>
      <c r="CW75">
        <v>0</v>
      </c>
      <c r="CX75">
        <v>0</v>
      </c>
      <c r="CY75" t="s">
        <v>333</v>
      </c>
      <c r="CZ75">
        <v>2.36361</v>
      </c>
      <c r="DA75">
        <v>2.71366</v>
      </c>
      <c r="DB75">
        <v>0.13805500000000001</v>
      </c>
      <c r="DC75">
        <v>0.14646799999999999</v>
      </c>
      <c r="DD75">
        <v>0.102197</v>
      </c>
      <c r="DE75">
        <v>8.5702600000000004E-2</v>
      </c>
      <c r="DF75">
        <v>31466.2</v>
      </c>
      <c r="DG75">
        <v>27506.1</v>
      </c>
      <c r="DH75">
        <v>31166.3</v>
      </c>
      <c r="DI75">
        <v>28081.3</v>
      </c>
      <c r="DJ75">
        <v>37994.5</v>
      </c>
      <c r="DK75">
        <v>36513.9</v>
      </c>
      <c r="DL75">
        <v>44354</v>
      </c>
      <c r="DM75">
        <v>42569</v>
      </c>
      <c r="DN75">
        <v>1.43222</v>
      </c>
      <c r="DO75">
        <v>2.05023</v>
      </c>
      <c r="DP75">
        <v>0.16933699999999999</v>
      </c>
      <c r="DQ75">
        <v>0.13211400000000001</v>
      </c>
      <c r="DR75">
        <v>24.287099999999999</v>
      </c>
      <c r="DS75">
        <v>24.0138</v>
      </c>
      <c r="DT75">
        <v>56.9</v>
      </c>
      <c r="DU75">
        <v>29.1</v>
      </c>
      <c r="DV75">
        <v>23.186699999999998</v>
      </c>
      <c r="DW75">
        <v>61.871200000000002</v>
      </c>
      <c r="DX75">
        <v>36.442300000000003</v>
      </c>
      <c r="DY75">
        <v>1</v>
      </c>
      <c r="DZ75">
        <v>-6.1455799999999998E-2</v>
      </c>
      <c r="EA75">
        <v>2.8997700000000002</v>
      </c>
      <c r="EB75">
        <v>20.159700000000001</v>
      </c>
      <c r="EC75">
        <v>5.2388500000000002</v>
      </c>
      <c r="ED75">
        <v>12.039899999999999</v>
      </c>
      <c r="EE75">
        <v>5.0166000000000004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1.8689100000000001</v>
      </c>
      <c r="EL75">
        <v>1.8646199999999999</v>
      </c>
      <c r="EM75">
        <v>1.8692</v>
      </c>
      <c r="EN75">
        <v>1.8672500000000001</v>
      </c>
      <c r="EO75">
        <v>1.8633999999999999</v>
      </c>
      <c r="EP75">
        <v>1.8644700000000001</v>
      </c>
      <c r="EQ75">
        <v>1.8701700000000001</v>
      </c>
      <c r="ER75">
        <v>1.8694500000000001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-0.193</v>
      </c>
      <c r="FG75">
        <v>0.27179999999999999</v>
      </c>
      <c r="FH75">
        <v>0.30965466913576151</v>
      </c>
      <c r="FI75">
        <v>-6.1462078757559423E-4</v>
      </c>
      <c r="FJ75">
        <v>-1.8861989874597051E-7</v>
      </c>
      <c r="FK75">
        <v>1.1980462299894961E-10</v>
      </c>
      <c r="FL75">
        <v>0.27184999999999349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19.600000000000001</v>
      </c>
      <c r="FU75">
        <v>19.8</v>
      </c>
      <c r="FV75">
        <v>1.78711</v>
      </c>
      <c r="FW75">
        <v>2.5952099999999998</v>
      </c>
      <c r="FX75">
        <v>1.5490699999999999</v>
      </c>
      <c r="FY75">
        <v>2.3303199999999999</v>
      </c>
      <c r="FZ75">
        <v>1.50146</v>
      </c>
      <c r="GA75">
        <v>2.34619</v>
      </c>
      <c r="GB75">
        <v>33.918700000000001</v>
      </c>
      <c r="GC75">
        <v>23.973700000000001</v>
      </c>
      <c r="GD75">
        <v>19</v>
      </c>
      <c r="GE75">
        <v>265.78199999999998</v>
      </c>
      <c r="GF75">
        <v>597.98800000000006</v>
      </c>
      <c r="GG75">
        <v>20.463799999999999</v>
      </c>
      <c r="GH75">
        <v>26.545999999999999</v>
      </c>
      <c r="GI75">
        <v>30.0001</v>
      </c>
      <c r="GJ75">
        <v>26.648800000000001</v>
      </c>
      <c r="GK75">
        <v>26.624700000000001</v>
      </c>
      <c r="GL75">
        <v>35.7376</v>
      </c>
      <c r="GM75">
        <v>36.360799999999998</v>
      </c>
      <c r="GN75">
        <v>94.662499999999994</v>
      </c>
      <c r="GO75">
        <v>20.460899999999999</v>
      </c>
      <c r="GP75">
        <v>800</v>
      </c>
      <c r="GQ75">
        <v>16.503399999999999</v>
      </c>
      <c r="GR75">
        <v>99.720699999999994</v>
      </c>
      <c r="GS75">
        <v>99.576899999999995</v>
      </c>
    </row>
    <row r="76" spans="1:201" x14ac:dyDescent="0.25">
      <c r="A76">
        <v>60</v>
      </c>
      <c r="B76">
        <v>1690304509.5</v>
      </c>
      <c r="C76">
        <v>759.5</v>
      </c>
      <c r="D76" t="s">
        <v>451</v>
      </c>
      <c r="E76" t="s">
        <v>452</v>
      </c>
      <c r="F76" t="s">
        <v>330</v>
      </c>
      <c r="H76">
        <v>1690304509.5</v>
      </c>
      <c r="I76">
        <f t="shared" si="0"/>
        <v>3.8788453565178694E-4</v>
      </c>
      <c r="J76">
        <f t="shared" si="1"/>
        <v>0.38788453565178693</v>
      </c>
      <c r="K76">
        <f t="shared" si="2"/>
        <v>6.3451633056887262</v>
      </c>
      <c r="L76">
        <f t="shared" si="3"/>
        <v>727.09199999999998</v>
      </c>
      <c r="M76">
        <f t="shared" si="4"/>
        <v>314.85242603299372</v>
      </c>
      <c r="N76">
        <f t="shared" si="5"/>
        <v>31.283174724205359</v>
      </c>
      <c r="O76">
        <f t="shared" si="6"/>
        <v>72.242562533688002</v>
      </c>
      <c r="P76">
        <f t="shared" si="7"/>
        <v>2.5558847843465897E-2</v>
      </c>
      <c r="Q76">
        <f t="shared" si="8"/>
        <v>2.094391537736096</v>
      </c>
      <c r="R76">
        <f t="shared" si="9"/>
        <v>2.5386825465623115E-2</v>
      </c>
      <c r="S76">
        <f t="shared" si="10"/>
        <v>1.5882124822752034E-2</v>
      </c>
      <c r="T76">
        <f t="shared" si="11"/>
        <v>276.11399102686113</v>
      </c>
      <c r="U76">
        <f t="shared" si="12"/>
        <v>26.738123298005533</v>
      </c>
      <c r="V76">
        <f t="shared" si="13"/>
        <v>26.738123298005533</v>
      </c>
      <c r="W76">
        <f t="shared" si="14"/>
        <v>3.5244779908991006</v>
      </c>
      <c r="X76">
        <f t="shared" si="15"/>
        <v>65.784239469283293</v>
      </c>
      <c r="Y76">
        <f t="shared" si="16"/>
        <v>2.048965089108</v>
      </c>
      <c r="Z76">
        <f t="shared" si="17"/>
        <v>3.1146747391747618</v>
      </c>
      <c r="AA76">
        <f t="shared" si="18"/>
        <v>1.4755129017911006</v>
      </c>
      <c r="AB76">
        <f t="shared" si="19"/>
        <v>-17.105708022243803</v>
      </c>
      <c r="AC76">
        <f t="shared" si="20"/>
        <v>-235.32427336533053</v>
      </c>
      <c r="AD76">
        <f t="shared" si="21"/>
        <v>-23.933919980159114</v>
      </c>
      <c r="AE76">
        <f t="shared" si="22"/>
        <v>-0.24991034087233288</v>
      </c>
      <c r="AF76">
        <v>13</v>
      </c>
      <c r="AG76">
        <v>4</v>
      </c>
      <c r="AH76">
        <f t="shared" si="23"/>
        <v>1</v>
      </c>
      <c r="AI76">
        <f t="shared" si="24"/>
        <v>0</v>
      </c>
      <c r="AJ76">
        <f t="shared" si="25"/>
        <v>52647.878097894187</v>
      </c>
      <c r="AK76">
        <f t="shared" si="26"/>
        <v>1799.99</v>
      </c>
      <c r="AL76">
        <f t="shared" si="27"/>
        <v>1499.1026708055599</v>
      </c>
      <c r="AM76">
        <f t="shared" si="28"/>
        <v>0.83283944399999998</v>
      </c>
      <c r="AN76">
        <f t="shared" si="29"/>
        <v>0.15339751389</v>
      </c>
      <c r="AO76">
        <v>33</v>
      </c>
      <c r="AP76">
        <v>0.5</v>
      </c>
      <c r="AQ76" t="s">
        <v>331</v>
      </c>
      <c r="AR76">
        <v>2</v>
      </c>
      <c r="AS76">
        <v>1690304509.5</v>
      </c>
      <c r="AT76">
        <v>727.09199999999998</v>
      </c>
      <c r="AU76">
        <v>799.952</v>
      </c>
      <c r="AV76">
        <v>20.622</v>
      </c>
      <c r="AW76">
        <v>16.445499999999999</v>
      </c>
      <c r="AX76">
        <v>727.28300000000002</v>
      </c>
      <c r="AY76">
        <v>20.350200000000001</v>
      </c>
      <c r="AZ76">
        <v>300.161</v>
      </c>
      <c r="BA76">
        <v>99.258200000000002</v>
      </c>
      <c r="BB76">
        <v>0.10001400000000001</v>
      </c>
      <c r="BC76">
        <v>24.654</v>
      </c>
      <c r="BD76">
        <v>27.043800000000001</v>
      </c>
      <c r="BE76">
        <v>26.136299999999999</v>
      </c>
      <c r="BF76">
        <v>0</v>
      </c>
      <c r="BG76">
        <v>0</v>
      </c>
      <c r="BH76">
        <v>9950.6200000000008</v>
      </c>
      <c r="BI76">
        <v>1048.83</v>
      </c>
      <c r="BJ76">
        <v>1.68198</v>
      </c>
      <c r="BK76">
        <v>-72.859899999999996</v>
      </c>
      <c r="BL76">
        <v>742.40099999999995</v>
      </c>
      <c r="BM76">
        <v>813.327</v>
      </c>
      <c r="BN76">
        <v>4.1765400000000001</v>
      </c>
      <c r="BO76">
        <v>799.952</v>
      </c>
      <c r="BP76">
        <v>16.445499999999999</v>
      </c>
      <c r="BQ76">
        <v>2.0468999999999999</v>
      </c>
      <c r="BR76">
        <v>1.63235</v>
      </c>
      <c r="BS76">
        <v>17.811900000000001</v>
      </c>
      <c r="BT76">
        <v>14.2676</v>
      </c>
      <c r="BU76">
        <v>1799.99</v>
      </c>
      <c r="BV76">
        <v>0.90999399999999997</v>
      </c>
      <c r="BW76">
        <v>3.4003499999999999E-2</v>
      </c>
      <c r="BX76">
        <v>2.2000700000000002E-2</v>
      </c>
      <c r="BY76">
        <v>3.4001900000000002E-2</v>
      </c>
      <c r="BZ76">
        <v>25.083300000000001</v>
      </c>
      <c r="CA76">
        <v>33528.199999999997</v>
      </c>
      <c r="CB76">
        <v>1690303320.5</v>
      </c>
      <c r="CC76" t="s">
        <v>332</v>
      </c>
      <c r="CD76">
        <v>1690303320.5</v>
      </c>
      <c r="CE76">
        <v>1690303310.0999999</v>
      </c>
      <c r="CF76">
        <v>8</v>
      </c>
      <c r="CG76">
        <v>7.3999999999999996E-2</v>
      </c>
      <c r="CH76">
        <v>-0.01</v>
      </c>
      <c r="CI76">
        <v>-0.24199999999999999</v>
      </c>
      <c r="CJ76">
        <v>0.27200000000000002</v>
      </c>
      <c r="CK76">
        <v>800</v>
      </c>
      <c r="CL76">
        <v>23</v>
      </c>
      <c r="CM76">
        <v>0.06</v>
      </c>
      <c r="CN76">
        <v>0.09</v>
      </c>
      <c r="CO76">
        <v>-69.974885365853666</v>
      </c>
      <c r="CP76">
        <v>-15.30500487804891</v>
      </c>
      <c r="CQ76">
        <v>1.5095442863555779</v>
      </c>
      <c r="CR76">
        <v>-1</v>
      </c>
      <c r="CS76">
        <v>4.2807978048780484</v>
      </c>
      <c r="CT76">
        <v>-0.60148494773519512</v>
      </c>
      <c r="CU76">
        <v>5.9971757642190489E-2</v>
      </c>
      <c r="CV76">
        <v>-1</v>
      </c>
      <c r="CW76">
        <v>0</v>
      </c>
      <c r="CX76">
        <v>0</v>
      </c>
      <c r="CY76" t="s">
        <v>333</v>
      </c>
      <c r="CZ76">
        <v>2.3641200000000002</v>
      </c>
      <c r="DA76">
        <v>2.7137600000000002</v>
      </c>
      <c r="DB76">
        <v>0.13772499999999999</v>
      </c>
      <c r="DC76">
        <v>0.14646100000000001</v>
      </c>
      <c r="DD76">
        <v>0.10204199999999999</v>
      </c>
      <c r="DE76">
        <v>8.5863099999999998E-2</v>
      </c>
      <c r="DF76">
        <v>31478.5</v>
      </c>
      <c r="DG76">
        <v>27506.7</v>
      </c>
      <c r="DH76">
        <v>31166.5</v>
      </c>
      <c r="DI76">
        <v>28081.7</v>
      </c>
      <c r="DJ76">
        <v>38001.4</v>
      </c>
      <c r="DK76">
        <v>36507.699999999997</v>
      </c>
      <c r="DL76">
        <v>44354.3</v>
      </c>
      <c r="DM76">
        <v>42569.4</v>
      </c>
      <c r="DN76">
        <v>1.4329000000000001</v>
      </c>
      <c r="DO76">
        <v>2.05002</v>
      </c>
      <c r="DP76">
        <v>0.16919500000000001</v>
      </c>
      <c r="DQ76">
        <v>0.130303</v>
      </c>
      <c r="DR76">
        <v>24.270700000000001</v>
      </c>
      <c r="DS76">
        <v>23.9986</v>
      </c>
      <c r="DT76">
        <v>56.9</v>
      </c>
      <c r="DU76">
        <v>29</v>
      </c>
      <c r="DV76">
        <v>23.0548</v>
      </c>
      <c r="DW76">
        <v>62.221200000000003</v>
      </c>
      <c r="DX76">
        <v>36.189900000000002</v>
      </c>
      <c r="DY76">
        <v>1</v>
      </c>
      <c r="DZ76">
        <v>-6.2276400000000003E-2</v>
      </c>
      <c r="EA76">
        <v>2.7368999999999999</v>
      </c>
      <c r="EB76">
        <v>20.163499999999999</v>
      </c>
      <c r="EC76">
        <v>5.2400500000000001</v>
      </c>
      <c r="ED76">
        <v>12.039899999999999</v>
      </c>
      <c r="EE76">
        <v>5.0163500000000001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1.8689100000000001</v>
      </c>
      <c r="EL76">
        <v>1.86463</v>
      </c>
      <c r="EM76">
        <v>1.8692</v>
      </c>
      <c r="EN76">
        <v>1.8672500000000001</v>
      </c>
      <c r="EO76">
        <v>1.8633999999999999</v>
      </c>
      <c r="EP76">
        <v>1.8644700000000001</v>
      </c>
      <c r="EQ76">
        <v>1.87016</v>
      </c>
      <c r="ER76">
        <v>1.86944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-0.191</v>
      </c>
      <c r="FG76">
        <v>0.27179999999999999</v>
      </c>
      <c r="FH76">
        <v>0.30965466913576151</v>
      </c>
      <c r="FI76">
        <v>-6.1462078757559423E-4</v>
      </c>
      <c r="FJ76">
        <v>-1.8861989874597051E-7</v>
      </c>
      <c r="FK76">
        <v>1.1980462299894961E-10</v>
      </c>
      <c r="FL76">
        <v>0.27184999999999349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19.8</v>
      </c>
      <c r="FU76">
        <v>20</v>
      </c>
      <c r="FV76">
        <v>1.78833</v>
      </c>
      <c r="FW76">
        <v>2.5915499999999998</v>
      </c>
      <c r="FX76">
        <v>1.5490699999999999</v>
      </c>
      <c r="FY76">
        <v>2.3290999999999999</v>
      </c>
      <c r="FZ76">
        <v>1.50146</v>
      </c>
      <c r="GA76">
        <v>2.3791500000000001</v>
      </c>
      <c r="GB76">
        <v>33.918700000000001</v>
      </c>
      <c r="GC76">
        <v>23.982399999999998</v>
      </c>
      <c r="GD76">
        <v>19</v>
      </c>
      <c r="GE76">
        <v>266.05700000000002</v>
      </c>
      <c r="GF76">
        <v>597.81899999999996</v>
      </c>
      <c r="GG76">
        <v>20.322600000000001</v>
      </c>
      <c r="GH76">
        <v>26.5428</v>
      </c>
      <c r="GI76">
        <v>29.9998</v>
      </c>
      <c r="GJ76">
        <v>26.648800000000001</v>
      </c>
      <c r="GK76">
        <v>26.624700000000001</v>
      </c>
      <c r="GL76">
        <v>35.7423</v>
      </c>
      <c r="GM76">
        <v>36.077300000000001</v>
      </c>
      <c r="GN76">
        <v>94.287599999999998</v>
      </c>
      <c r="GO76">
        <v>20.319800000000001</v>
      </c>
      <c r="GP76">
        <v>800</v>
      </c>
      <c r="GQ76">
        <v>16.4192</v>
      </c>
      <c r="GR76">
        <v>99.721400000000003</v>
      </c>
      <c r="GS76">
        <v>99.5779</v>
      </c>
    </row>
    <row r="77" spans="1:201" x14ac:dyDescent="0.25">
      <c r="A77">
        <v>61</v>
      </c>
      <c r="B77">
        <v>1690304519.5</v>
      </c>
      <c r="C77">
        <v>769.5</v>
      </c>
      <c r="D77" t="s">
        <v>453</v>
      </c>
      <c r="E77" t="s">
        <v>454</v>
      </c>
      <c r="F77" t="s">
        <v>330</v>
      </c>
      <c r="H77">
        <v>1690304519.5</v>
      </c>
      <c r="I77">
        <f t="shared" si="0"/>
        <v>3.8978377281347396E-4</v>
      </c>
      <c r="J77">
        <f t="shared" si="1"/>
        <v>0.38978377281347398</v>
      </c>
      <c r="K77">
        <f t="shared" si="2"/>
        <v>6.5857881405329133</v>
      </c>
      <c r="L77">
        <f t="shared" si="3"/>
        <v>724.51400000000001</v>
      </c>
      <c r="M77">
        <f t="shared" si="4"/>
        <v>302.48095208097163</v>
      </c>
      <c r="N77">
        <f t="shared" si="5"/>
        <v>30.05450981861296</v>
      </c>
      <c r="O77">
        <f t="shared" si="6"/>
        <v>71.987716836112014</v>
      </c>
      <c r="P77">
        <f t="shared" si="7"/>
        <v>2.5877322689337966E-2</v>
      </c>
      <c r="Q77">
        <f t="shared" si="8"/>
        <v>2.1011510433400984</v>
      </c>
      <c r="R77">
        <f t="shared" si="9"/>
        <v>2.5701565679914686E-2</v>
      </c>
      <c r="S77">
        <f t="shared" si="10"/>
        <v>1.607917000228884E-2</v>
      </c>
      <c r="T77">
        <f t="shared" si="11"/>
        <v>276.11556681600001</v>
      </c>
      <c r="U77">
        <f t="shared" si="12"/>
        <v>26.690348979770089</v>
      </c>
      <c r="V77">
        <f t="shared" si="13"/>
        <v>26.690348979770089</v>
      </c>
      <c r="W77">
        <f t="shared" si="14"/>
        <v>3.51458143878429</v>
      </c>
      <c r="X77">
        <f t="shared" si="15"/>
        <v>65.976369179672503</v>
      </c>
      <c r="Y77">
        <f t="shared" si="16"/>
        <v>2.0499062610487999</v>
      </c>
      <c r="Z77">
        <f t="shared" si="17"/>
        <v>3.1070310272247927</v>
      </c>
      <c r="AA77">
        <f t="shared" si="18"/>
        <v>1.4646751777354901</v>
      </c>
      <c r="AB77">
        <f t="shared" si="19"/>
        <v>-17.189464381074202</v>
      </c>
      <c r="AC77">
        <f t="shared" si="20"/>
        <v>-235.32771793176931</v>
      </c>
      <c r="AD77">
        <f t="shared" si="21"/>
        <v>-23.846624635777957</v>
      </c>
      <c r="AE77">
        <f t="shared" si="22"/>
        <v>-0.2482401326214756</v>
      </c>
      <c r="AF77">
        <v>13</v>
      </c>
      <c r="AG77">
        <v>4</v>
      </c>
      <c r="AH77">
        <f t="shared" si="23"/>
        <v>1</v>
      </c>
      <c r="AI77">
        <f t="shared" si="24"/>
        <v>0</v>
      </c>
      <c r="AJ77">
        <f t="shared" si="25"/>
        <v>52957.597232652057</v>
      </c>
      <c r="AK77">
        <f t="shared" si="26"/>
        <v>1800</v>
      </c>
      <c r="AL77">
        <f t="shared" si="27"/>
        <v>1499.1102036</v>
      </c>
      <c r="AM77">
        <f t="shared" si="28"/>
        <v>0.83283900199999994</v>
      </c>
      <c r="AN77">
        <f t="shared" si="29"/>
        <v>0.15339753712000001</v>
      </c>
      <c r="AO77">
        <v>33</v>
      </c>
      <c r="AP77">
        <v>0.5</v>
      </c>
      <c r="AQ77" t="s">
        <v>331</v>
      </c>
      <c r="AR77">
        <v>2</v>
      </c>
      <c r="AS77">
        <v>1690304519.5</v>
      </c>
      <c r="AT77">
        <v>724.51400000000001</v>
      </c>
      <c r="AU77">
        <v>800.00900000000001</v>
      </c>
      <c r="AV77">
        <v>20.6311</v>
      </c>
      <c r="AW77">
        <v>16.434999999999999</v>
      </c>
      <c r="AX77">
        <v>724.70299999999997</v>
      </c>
      <c r="AY77">
        <v>20.359300000000001</v>
      </c>
      <c r="AZ77">
        <v>300.21899999999999</v>
      </c>
      <c r="BA77">
        <v>99.26</v>
      </c>
      <c r="BB77">
        <v>0.100008</v>
      </c>
      <c r="BC77">
        <v>24.6129</v>
      </c>
      <c r="BD77">
        <v>27.010400000000001</v>
      </c>
      <c r="BE77">
        <v>26.076000000000001</v>
      </c>
      <c r="BF77">
        <v>0</v>
      </c>
      <c r="BG77">
        <v>0</v>
      </c>
      <c r="BH77">
        <v>10010</v>
      </c>
      <c r="BI77">
        <v>1048.56</v>
      </c>
      <c r="BJ77">
        <v>1.68198</v>
      </c>
      <c r="BK77">
        <v>-75.494600000000005</v>
      </c>
      <c r="BL77">
        <v>739.77700000000004</v>
      </c>
      <c r="BM77">
        <v>813.37699999999995</v>
      </c>
      <c r="BN77">
        <v>4.1960699999999997</v>
      </c>
      <c r="BO77">
        <v>800.00900000000001</v>
      </c>
      <c r="BP77">
        <v>16.434999999999999</v>
      </c>
      <c r="BQ77">
        <v>2.0478399999999999</v>
      </c>
      <c r="BR77">
        <v>1.63134</v>
      </c>
      <c r="BS77">
        <v>17.819199999999999</v>
      </c>
      <c r="BT77">
        <v>14.258100000000001</v>
      </c>
      <c r="BU77">
        <v>1800</v>
      </c>
      <c r="BV77">
        <v>0.90999099999999999</v>
      </c>
      <c r="BW77">
        <v>3.4006700000000001E-2</v>
      </c>
      <c r="BX77">
        <v>2.2000599999999999E-2</v>
      </c>
      <c r="BY77">
        <v>3.4001799999999999E-2</v>
      </c>
      <c r="BZ77">
        <v>25</v>
      </c>
      <c r="CA77">
        <v>33528.199999999997</v>
      </c>
      <c r="CB77">
        <v>1690303320.5</v>
      </c>
      <c r="CC77" t="s">
        <v>332</v>
      </c>
      <c r="CD77">
        <v>1690303320.5</v>
      </c>
      <c r="CE77">
        <v>1690303310.0999999</v>
      </c>
      <c r="CF77">
        <v>8</v>
      </c>
      <c r="CG77">
        <v>7.3999999999999996E-2</v>
      </c>
      <c r="CH77">
        <v>-0.01</v>
      </c>
      <c r="CI77">
        <v>-0.24199999999999999</v>
      </c>
      <c r="CJ77">
        <v>0.27200000000000002</v>
      </c>
      <c r="CK77">
        <v>800</v>
      </c>
      <c r="CL77">
        <v>23</v>
      </c>
      <c r="CM77">
        <v>0.06</v>
      </c>
      <c r="CN77">
        <v>0.09</v>
      </c>
      <c r="CO77">
        <v>-72.513890243902438</v>
      </c>
      <c r="CP77">
        <v>-15.19917491289195</v>
      </c>
      <c r="CQ77">
        <v>1.498989693224281</v>
      </c>
      <c r="CR77">
        <v>-1</v>
      </c>
      <c r="CS77">
        <v>4.2075353658536594</v>
      </c>
      <c r="CT77">
        <v>-0.26829825783971811</v>
      </c>
      <c r="CU77">
        <v>3.062270002095616E-2</v>
      </c>
      <c r="CV77">
        <v>-1</v>
      </c>
      <c r="CW77">
        <v>0</v>
      </c>
      <c r="CX77">
        <v>0</v>
      </c>
      <c r="CY77" t="s">
        <v>333</v>
      </c>
      <c r="CZ77">
        <v>2.3643000000000001</v>
      </c>
      <c r="DA77">
        <v>2.7138100000000001</v>
      </c>
      <c r="DB77">
        <v>0.13739100000000001</v>
      </c>
      <c r="DC77">
        <v>0.14646600000000001</v>
      </c>
      <c r="DD77">
        <v>0.102072</v>
      </c>
      <c r="DE77">
        <v>8.5822700000000002E-2</v>
      </c>
      <c r="DF77">
        <v>31491.3</v>
      </c>
      <c r="DG77">
        <v>27506.799999999999</v>
      </c>
      <c r="DH77">
        <v>31167.200000000001</v>
      </c>
      <c r="DI77">
        <v>28081.9</v>
      </c>
      <c r="DJ77">
        <v>38000.9</v>
      </c>
      <c r="DK77">
        <v>36509.800000000003</v>
      </c>
      <c r="DL77">
        <v>44355.3</v>
      </c>
      <c r="DM77">
        <v>42569.9</v>
      </c>
      <c r="DN77">
        <v>1.4329799999999999</v>
      </c>
      <c r="DO77">
        <v>2.0500799999999999</v>
      </c>
      <c r="DP77">
        <v>0.168242</v>
      </c>
      <c r="DQ77">
        <v>0.12770300000000001</v>
      </c>
      <c r="DR77">
        <v>24.252800000000001</v>
      </c>
      <c r="DS77">
        <v>23.980799999999999</v>
      </c>
      <c r="DT77">
        <v>56.9</v>
      </c>
      <c r="DU77">
        <v>29</v>
      </c>
      <c r="DV77">
        <v>23.055900000000001</v>
      </c>
      <c r="DW77">
        <v>61.491199999999999</v>
      </c>
      <c r="DX77">
        <v>35.652999999999999</v>
      </c>
      <c r="DY77">
        <v>1</v>
      </c>
      <c r="DZ77">
        <v>-6.2842999999999996E-2</v>
      </c>
      <c r="EA77">
        <v>2.5026099999999998</v>
      </c>
      <c r="EB77">
        <v>20.168299999999999</v>
      </c>
      <c r="EC77">
        <v>5.2400500000000001</v>
      </c>
      <c r="ED77">
        <v>12.039899999999999</v>
      </c>
      <c r="EE77">
        <v>5.0170500000000002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</v>
      </c>
      <c r="EL77">
        <v>1.8646199999999999</v>
      </c>
      <c r="EM77">
        <v>1.8692</v>
      </c>
      <c r="EN77">
        <v>1.8672599999999999</v>
      </c>
      <c r="EO77">
        <v>1.8633999999999999</v>
      </c>
      <c r="EP77">
        <v>1.8644799999999999</v>
      </c>
      <c r="EQ77">
        <v>1.87019</v>
      </c>
      <c r="ER77">
        <v>1.86944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-0.189</v>
      </c>
      <c r="FG77">
        <v>0.27179999999999999</v>
      </c>
      <c r="FH77">
        <v>0.30965466913576151</v>
      </c>
      <c r="FI77">
        <v>-6.1462078757559423E-4</v>
      </c>
      <c r="FJ77">
        <v>-1.8861989874597051E-7</v>
      </c>
      <c r="FK77">
        <v>1.1980462299894961E-10</v>
      </c>
      <c r="FL77">
        <v>0.27184999999999349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20</v>
      </c>
      <c r="FU77">
        <v>20.2</v>
      </c>
      <c r="FV77">
        <v>1.78711</v>
      </c>
      <c r="FW77">
        <v>2.5866699999999998</v>
      </c>
      <c r="FX77">
        <v>1.5490699999999999</v>
      </c>
      <c r="FY77">
        <v>2.3303199999999999</v>
      </c>
      <c r="FZ77">
        <v>1.50146</v>
      </c>
      <c r="GA77">
        <v>2.4047900000000002</v>
      </c>
      <c r="GB77">
        <v>33.896099999999997</v>
      </c>
      <c r="GC77">
        <v>23.982399999999998</v>
      </c>
      <c r="GD77">
        <v>19</v>
      </c>
      <c r="GE77">
        <v>266.08699999999999</v>
      </c>
      <c r="GF77">
        <v>597.83500000000004</v>
      </c>
      <c r="GG77">
        <v>20.239100000000001</v>
      </c>
      <c r="GH77">
        <v>26.540600000000001</v>
      </c>
      <c r="GI77">
        <v>29.999700000000001</v>
      </c>
      <c r="GJ77">
        <v>26.648800000000001</v>
      </c>
      <c r="GK77">
        <v>26.622499999999999</v>
      </c>
      <c r="GL77">
        <v>35.740600000000001</v>
      </c>
      <c r="GM77">
        <v>36.077300000000001</v>
      </c>
      <c r="GN77">
        <v>94.287599999999998</v>
      </c>
      <c r="GO77">
        <v>20.259599999999999</v>
      </c>
      <c r="GP77">
        <v>800</v>
      </c>
      <c r="GQ77">
        <v>16.372699999999998</v>
      </c>
      <c r="GR77">
        <v>99.723600000000005</v>
      </c>
      <c r="GS77">
        <v>99.578900000000004</v>
      </c>
    </row>
    <row r="78" spans="1:201" x14ac:dyDescent="0.25">
      <c r="A78">
        <v>62</v>
      </c>
      <c r="B78">
        <v>1690304529.5</v>
      </c>
      <c r="C78">
        <v>779.5</v>
      </c>
      <c r="D78" t="s">
        <v>455</v>
      </c>
      <c r="E78" t="s">
        <v>456</v>
      </c>
      <c r="F78" t="s">
        <v>330</v>
      </c>
      <c r="H78">
        <v>1690304529.5</v>
      </c>
      <c r="I78">
        <f t="shared" si="0"/>
        <v>3.9523657248868009E-4</v>
      </c>
      <c r="J78">
        <f t="shared" si="1"/>
        <v>0.3952365724886801</v>
      </c>
      <c r="K78">
        <f t="shared" si="2"/>
        <v>6.8140726338441393</v>
      </c>
      <c r="L78">
        <f t="shared" si="3"/>
        <v>721.91700000000003</v>
      </c>
      <c r="M78">
        <f t="shared" si="4"/>
        <v>294.54238926831738</v>
      </c>
      <c r="N78">
        <f t="shared" si="5"/>
        <v>29.266231282683737</v>
      </c>
      <c r="O78">
        <f t="shared" si="6"/>
        <v>71.730897346848607</v>
      </c>
      <c r="P78">
        <f t="shared" si="7"/>
        <v>2.6419549825174526E-2</v>
      </c>
      <c r="Q78">
        <f t="shared" si="8"/>
        <v>2.1001061726009116</v>
      </c>
      <c r="R78">
        <f t="shared" si="9"/>
        <v>2.6236287790131867E-2</v>
      </c>
      <c r="S78">
        <f t="shared" si="10"/>
        <v>1.641403915964602E-2</v>
      </c>
      <c r="T78">
        <f t="shared" si="11"/>
        <v>276.11537567400001</v>
      </c>
      <c r="U78">
        <f t="shared" si="12"/>
        <v>26.663905233723884</v>
      </c>
      <c r="V78">
        <f t="shared" si="13"/>
        <v>26.663905233723884</v>
      </c>
      <c r="W78">
        <f t="shared" si="14"/>
        <v>3.509113998456856</v>
      </c>
      <c r="X78">
        <f t="shared" si="15"/>
        <v>66.214935020761999</v>
      </c>
      <c r="Y78">
        <f t="shared" si="16"/>
        <v>2.0541838266300401</v>
      </c>
      <c r="Z78">
        <f t="shared" si="17"/>
        <v>3.102296824705697</v>
      </c>
      <c r="AA78">
        <f t="shared" si="18"/>
        <v>1.4549301718268159</v>
      </c>
      <c r="AB78">
        <f t="shared" si="19"/>
        <v>-17.429932846750791</v>
      </c>
      <c r="AC78">
        <f t="shared" si="20"/>
        <v>-235.10384120583527</v>
      </c>
      <c r="AD78">
        <f t="shared" si="21"/>
        <v>-23.829573339872741</v>
      </c>
      <c r="AE78">
        <f t="shared" si="22"/>
        <v>-0.24797171845881394</v>
      </c>
      <c r="AF78">
        <v>13</v>
      </c>
      <c r="AG78">
        <v>4</v>
      </c>
      <c r="AH78">
        <f t="shared" si="23"/>
        <v>1</v>
      </c>
      <c r="AI78">
        <f t="shared" si="24"/>
        <v>0</v>
      </c>
      <c r="AJ78">
        <f t="shared" si="25"/>
        <v>52915.344917604911</v>
      </c>
      <c r="AK78">
        <f t="shared" si="26"/>
        <v>1800</v>
      </c>
      <c r="AL78">
        <f t="shared" si="27"/>
        <v>1499.1093863999997</v>
      </c>
      <c r="AM78">
        <f t="shared" si="28"/>
        <v>0.8328385479999999</v>
      </c>
      <c r="AN78">
        <f t="shared" si="29"/>
        <v>0.15339743092999999</v>
      </c>
      <c r="AO78">
        <v>33</v>
      </c>
      <c r="AP78">
        <v>0.5</v>
      </c>
      <c r="AQ78" t="s">
        <v>331</v>
      </c>
      <c r="AR78">
        <v>2</v>
      </c>
      <c r="AS78">
        <v>1690304529.5</v>
      </c>
      <c r="AT78">
        <v>721.91700000000003</v>
      </c>
      <c r="AU78">
        <v>799.95500000000004</v>
      </c>
      <c r="AV78">
        <v>20.6738</v>
      </c>
      <c r="AW78">
        <v>16.4191</v>
      </c>
      <c r="AX78">
        <v>722.10400000000004</v>
      </c>
      <c r="AY78">
        <v>20.402000000000001</v>
      </c>
      <c r="AZ78">
        <v>300.21300000000002</v>
      </c>
      <c r="BA78">
        <v>99.261700000000005</v>
      </c>
      <c r="BB78">
        <v>9.9995799999999996E-2</v>
      </c>
      <c r="BC78">
        <v>24.587399999999999</v>
      </c>
      <c r="BD78">
        <v>26.944800000000001</v>
      </c>
      <c r="BE78">
        <v>26.0518</v>
      </c>
      <c r="BF78">
        <v>0</v>
      </c>
      <c r="BG78">
        <v>0</v>
      </c>
      <c r="BH78">
        <v>10000.6</v>
      </c>
      <c r="BI78">
        <v>1048.19</v>
      </c>
      <c r="BJ78">
        <v>1.68198</v>
      </c>
      <c r="BK78">
        <v>-78.038300000000007</v>
      </c>
      <c r="BL78">
        <v>737.15599999999995</v>
      </c>
      <c r="BM78">
        <v>813.30899999999997</v>
      </c>
      <c r="BN78">
        <v>4.2547699999999997</v>
      </c>
      <c r="BO78">
        <v>799.95500000000004</v>
      </c>
      <c r="BP78">
        <v>16.4191</v>
      </c>
      <c r="BQ78">
        <v>2.0521199999999999</v>
      </c>
      <c r="BR78">
        <v>1.62978</v>
      </c>
      <c r="BS78">
        <v>17.8523</v>
      </c>
      <c r="BT78">
        <v>14.2433</v>
      </c>
      <c r="BU78">
        <v>1800</v>
      </c>
      <c r="BV78">
        <v>0.90999099999999999</v>
      </c>
      <c r="BW78">
        <v>3.4008099999999999E-2</v>
      </c>
      <c r="BX78">
        <v>2.1999899999999999E-2</v>
      </c>
      <c r="BY78">
        <v>3.4000700000000002E-2</v>
      </c>
      <c r="BZ78">
        <v>25.416699999999999</v>
      </c>
      <c r="CA78">
        <v>33528.400000000001</v>
      </c>
      <c r="CB78">
        <v>1690303320.5</v>
      </c>
      <c r="CC78" t="s">
        <v>332</v>
      </c>
      <c r="CD78">
        <v>1690303320.5</v>
      </c>
      <c r="CE78">
        <v>1690303310.0999999</v>
      </c>
      <c r="CF78">
        <v>8</v>
      </c>
      <c r="CG78">
        <v>7.3999999999999996E-2</v>
      </c>
      <c r="CH78">
        <v>-0.01</v>
      </c>
      <c r="CI78">
        <v>-0.24199999999999999</v>
      </c>
      <c r="CJ78">
        <v>0.27200000000000002</v>
      </c>
      <c r="CK78">
        <v>800</v>
      </c>
      <c r="CL78">
        <v>23</v>
      </c>
      <c r="CM78">
        <v>0.06</v>
      </c>
      <c r="CN78">
        <v>0.09</v>
      </c>
      <c r="CO78">
        <v>-75.267295000000004</v>
      </c>
      <c r="CP78">
        <v>-15.59263339587242</v>
      </c>
      <c r="CQ78">
        <v>1.500223659983738</v>
      </c>
      <c r="CR78">
        <v>-1</v>
      </c>
      <c r="CS78">
        <v>4.2009642500000002</v>
      </c>
      <c r="CT78">
        <v>0.21685812382738401</v>
      </c>
      <c r="CU78">
        <v>2.1834021604768512E-2</v>
      </c>
      <c r="CV78">
        <v>-1</v>
      </c>
      <c r="CW78">
        <v>0</v>
      </c>
      <c r="CX78">
        <v>0</v>
      </c>
      <c r="CY78" t="s">
        <v>333</v>
      </c>
      <c r="CZ78">
        <v>2.3643100000000001</v>
      </c>
      <c r="DA78">
        <v>2.7137899999999999</v>
      </c>
      <c r="DB78">
        <v>0.13705999999999999</v>
      </c>
      <c r="DC78">
        <v>0.14646200000000001</v>
      </c>
      <c r="DD78">
        <v>0.102228</v>
      </c>
      <c r="DE78">
        <v>8.5764099999999996E-2</v>
      </c>
      <c r="DF78">
        <v>31503.5</v>
      </c>
      <c r="DG78">
        <v>27507.599999999999</v>
      </c>
      <c r="DH78">
        <v>31167.200000000001</v>
      </c>
      <c r="DI78">
        <v>28082.7</v>
      </c>
      <c r="DJ78">
        <v>37994.300000000003</v>
      </c>
      <c r="DK78">
        <v>36513</v>
      </c>
      <c r="DL78">
        <v>44355.5</v>
      </c>
      <c r="DM78">
        <v>42570.9</v>
      </c>
      <c r="DN78">
        <v>1.4333</v>
      </c>
      <c r="DO78">
        <v>2.0500500000000001</v>
      </c>
      <c r="DP78">
        <v>0.165351</v>
      </c>
      <c r="DQ78">
        <v>0.12745000000000001</v>
      </c>
      <c r="DR78">
        <v>24.234400000000001</v>
      </c>
      <c r="DS78">
        <v>23.960699999999999</v>
      </c>
      <c r="DT78">
        <v>56.9</v>
      </c>
      <c r="DU78">
        <v>29</v>
      </c>
      <c r="DV78">
        <v>23.0532</v>
      </c>
      <c r="DW78">
        <v>61.541200000000003</v>
      </c>
      <c r="DX78">
        <v>35.388599999999997</v>
      </c>
      <c r="DY78">
        <v>1</v>
      </c>
      <c r="DZ78">
        <v>-6.4705299999999993E-2</v>
      </c>
      <c r="EA78">
        <v>0.15456400000000001</v>
      </c>
      <c r="EB78">
        <v>20.1859</v>
      </c>
      <c r="EC78">
        <v>5.2404999999999999</v>
      </c>
      <c r="ED78">
        <v>12.039899999999999</v>
      </c>
      <c r="EE78">
        <v>5.0171999999999999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1.8689100000000001</v>
      </c>
      <c r="EL78">
        <v>1.86463</v>
      </c>
      <c r="EM78">
        <v>1.8692</v>
      </c>
      <c r="EN78">
        <v>1.8672500000000001</v>
      </c>
      <c r="EO78">
        <v>1.8633999999999999</v>
      </c>
      <c r="EP78">
        <v>1.8644700000000001</v>
      </c>
      <c r="EQ78">
        <v>1.87019</v>
      </c>
      <c r="ER78">
        <v>1.86944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-0.187</v>
      </c>
      <c r="FG78">
        <v>0.27179999999999999</v>
      </c>
      <c r="FH78">
        <v>0.30965466913576151</v>
      </c>
      <c r="FI78">
        <v>-6.1462078757559423E-4</v>
      </c>
      <c r="FJ78">
        <v>-1.8861989874597051E-7</v>
      </c>
      <c r="FK78">
        <v>1.1980462299894961E-10</v>
      </c>
      <c r="FL78">
        <v>0.27184999999999349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20.100000000000001</v>
      </c>
      <c r="FU78">
        <v>20.3</v>
      </c>
      <c r="FV78">
        <v>1.78711</v>
      </c>
      <c r="FW78">
        <v>2.5878899999999998</v>
      </c>
      <c r="FX78">
        <v>1.5490699999999999</v>
      </c>
      <c r="FY78">
        <v>2.3290999999999999</v>
      </c>
      <c r="FZ78">
        <v>1.50146</v>
      </c>
      <c r="GA78">
        <v>2.4035600000000001</v>
      </c>
      <c r="GB78">
        <v>33.896099999999997</v>
      </c>
      <c r="GC78">
        <v>23.991199999999999</v>
      </c>
      <c r="GD78">
        <v>19</v>
      </c>
      <c r="GE78">
        <v>266.21600000000001</v>
      </c>
      <c r="GF78">
        <v>597.81399999999996</v>
      </c>
      <c r="GG78">
        <v>20.399000000000001</v>
      </c>
      <c r="GH78">
        <v>26.537600000000001</v>
      </c>
      <c r="GI78">
        <v>29.998899999999999</v>
      </c>
      <c r="GJ78">
        <v>26.647600000000001</v>
      </c>
      <c r="GK78">
        <v>26.622499999999999</v>
      </c>
      <c r="GL78">
        <v>35.741900000000001</v>
      </c>
      <c r="GM78">
        <v>36.382199999999997</v>
      </c>
      <c r="GN78">
        <v>93.916600000000003</v>
      </c>
      <c r="GO78">
        <v>20.805800000000001</v>
      </c>
      <c r="GP78">
        <v>800</v>
      </c>
      <c r="GQ78">
        <v>16.296500000000002</v>
      </c>
      <c r="GR78">
        <v>99.7239</v>
      </c>
      <c r="GS78">
        <v>99.581400000000002</v>
      </c>
    </row>
    <row r="79" spans="1:201" x14ac:dyDescent="0.25">
      <c r="A79">
        <v>63</v>
      </c>
      <c r="B79">
        <v>1690304539.5</v>
      </c>
      <c r="C79">
        <v>789.5</v>
      </c>
      <c r="D79" t="s">
        <v>457</v>
      </c>
      <c r="E79" t="s">
        <v>458</v>
      </c>
      <c r="F79" t="s">
        <v>330</v>
      </c>
      <c r="H79">
        <v>1690304539.5</v>
      </c>
      <c r="I79">
        <f t="shared" si="0"/>
        <v>4.3482244082048251E-4</v>
      </c>
      <c r="J79">
        <f t="shared" si="1"/>
        <v>0.43482244082048249</v>
      </c>
      <c r="K79">
        <f t="shared" si="2"/>
        <v>7.0529768980714849</v>
      </c>
      <c r="L79">
        <f t="shared" si="3"/>
        <v>719.24400000000003</v>
      </c>
      <c r="M79">
        <f t="shared" si="4"/>
        <v>321.13551109899754</v>
      </c>
      <c r="N79">
        <f t="shared" si="5"/>
        <v>31.909811180780149</v>
      </c>
      <c r="O79">
        <f t="shared" si="6"/>
        <v>71.468085713616006</v>
      </c>
      <c r="P79">
        <f t="shared" si="7"/>
        <v>2.9449755568105432E-2</v>
      </c>
      <c r="Q79">
        <f t="shared" si="8"/>
        <v>2.1033395119155447</v>
      </c>
      <c r="R79">
        <f t="shared" si="9"/>
        <v>2.9222586189329509E-2</v>
      </c>
      <c r="S79">
        <f t="shared" si="10"/>
        <v>1.8284380464641231E-2</v>
      </c>
      <c r="T79">
        <f t="shared" si="11"/>
        <v>276.11548284600002</v>
      </c>
      <c r="U79">
        <f t="shared" si="12"/>
        <v>26.677353423575251</v>
      </c>
      <c r="V79">
        <f t="shared" si="13"/>
        <v>26.677353423575251</v>
      </c>
      <c r="W79">
        <f t="shared" si="14"/>
        <v>3.5118935826146509</v>
      </c>
      <c r="X79">
        <f t="shared" si="15"/>
        <v>66.762256022880365</v>
      </c>
      <c r="Y79">
        <f t="shared" si="16"/>
        <v>2.0749318343352003</v>
      </c>
      <c r="Z79">
        <f t="shared" si="17"/>
        <v>3.1079414596536283</v>
      </c>
      <c r="AA79">
        <f t="shared" si="18"/>
        <v>1.4369617482794506</v>
      </c>
      <c r="AB79">
        <f t="shared" si="19"/>
        <v>-19.17566964018328</v>
      </c>
      <c r="AC79">
        <f t="shared" si="20"/>
        <v>-233.54355427800689</v>
      </c>
      <c r="AD79">
        <f t="shared" si="21"/>
        <v>-23.640238948106454</v>
      </c>
      <c r="AE79">
        <f t="shared" si="22"/>
        <v>-0.24398002029661825</v>
      </c>
      <c r="AF79">
        <v>13</v>
      </c>
      <c r="AG79">
        <v>4</v>
      </c>
      <c r="AH79">
        <f t="shared" si="23"/>
        <v>1</v>
      </c>
      <c r="AI79">
        <f t="shared" si="24"/>
        <v>0</v>
      </c>
      <c r="AJ79">
        <f t="shared" si="25"/>
        <v>53055.008877860208</v>
      </c>
      <c r="AK79">
        <f t="shared" si="26"/>
        <v>1800</v>
      </c>
      <c r="AL79">
        <f t="shared" si="27"/>
        <v>1499.1105006</v>
      </c>
      <c r="AM79">
        <f t="shared" si="28"/>
        <v>0.83283916700000005</v>
      </c>
      <c r="AN79">
        <f t="shared" si="29"/>
        <v>0.15339749047000001</v>
      </c>
      <c r="AO79">
        <v>33</v>
      </c>
      <c r="AP79">
        <v>0.5</v>
      </c>
      <c r="AQ79" t="s">
        <v>331</v>
      </c>
      <c r="AR79">
        <v>2</v>
      </c>
      <c r="AS79">
        <v>1690304539.5</v>
      </c>
      <c r="AT79">
        <v>719.24400000000003</v>
      </c>
      <c r="AU79">
        <v>800.2</v>
      </c>
      <c r="AV79">
        <v>20.881799999999998</v>
      </c>
      <c r="AW79">
        <v>16.202500000000001</v>
      </c>
      <c r="AX79">
        <v>719.43</v>
      </c>
      <c r="AY79">
        <v>20.6099</v>
      </c>
      <c r="AZ79">
        <v>300.24799999999999</v>
      </c>
      <c r="BA79">
        <v>99.265500000000003</v>
      </c>
      <c r="BB79">
        <v>0.100064</v>
      </c>
      <c r="BC79">
        <v>24.617799999999999</v>
      </c>
      <c r="BD79">
        <v>26.892900000000001</v>
      </c>
      <c r="BE79">
        <v>26.049299999999999</v>
      </c>
      <c r="BF79">
        <v>0</v>
      </c>
      <c r="BG79">
        <v>0</v>
      </c>
      <c r="BH79">
        <v>10028.799999999999</v>
      </c>
      <c r="BI79">
        <v>1047.96</v>
      </c>
      <c r="BJ79">
        <v>1.68198</v>
      </c>
      <c r="BK79">
        <v>-80.956299999999999</v>
      </c>
      <c r="BL79">
        <v>734.58299999999997</v>
      </c>
      <c r="BM79">
        <v>813.37900000000002</v>
      </c>
      <c r="BN79">
        <v>4.6792400000000001</v>
      </c>
      <c r="BO79">
        <v>800.2</v>
      </c>
      <c r="BP79">
        <v>16.202500000000001</v>
      </c>
      <c r="BQ79">
        <v>2.0728399999999998</v>
      </c>
      <c r="BR79">
        <v>1.6083499999999999</v>
      </c>
      <c r="BS79">
        <v>18.012</v>
      </c>
      <c r="BT79">
        <v>14.039</v>
      </c>
      <c r="BU79">
        <v>1800</v>
      </c>
      <c r="BV79">
        <v>0.90999300000000005</v>
      </c>
      <c r="BW79">
        <v>3.4007599999999999E-2</v>
      </c>
      <c r="BX79">
        <v>2.1999600000000001E-2</v>
      </c>
      <c r="BY79">
        <v>3.4000099999999998E-2</v>
      </c>
      <c r="BZ79">
        <v>25.541699999999999</v>
      </c>
      <c r="CA79">
        <v>33528.300000000003</v>
      </c>
      <c r="CB79">
        <v>1690303320.5</v>
      </c>
      <c r="CC79" t="s">
        <v>332</v>
      </c>
      <c r="CD79">
        <v>1690303320.5</v>
      </c>
      <c r="CE79">
        <v>1690303310.0999999</v>
      </c>
      <c r="CF79">
        <v>8</v>
      </c>
      <c r="CG79">
        <v>7.3999999999999996E-2</v>
      </c>
      <c r="CH79">
        <v>-0.01</v>
      </c>
      <c r="CI79">
        <v>-0.24199999999999999</v>
      </c>
      <c r="CJ79">
        <v>0.27200000000000002</v>
      </c>
      <c r="CK79">
        <v>800</v>
      </c>
      <c r="CL79">
        <v>23</v>
      </c>
      <c r="CM79">
        <v>0.06</v>
      </c>
      <c r="CN79">
        <v>0.09</v>
      </c>
      <c r="CO79">
        <v>-77.721082926829254</v>
      </c>
      <c r="CP79">
        <v>-16.230259233449519</v>
      </c>
      <c r="CQ79">
        <v>1.6017249509478819</v>
      </c>
      <c r="CR79">
        <v>-1</v>
      </c>
      <c r="CS79">
        <v>4.281478048780488</v>
      </c>
      <c r="CT79">
        <v>0.88234620209059189</v>
      </c>
      <c r="CU79">
        <v>0.1005275220953534</v>
      </c>
      <c r="CV79">
        <v>-1</v>
      </c>
      <c r="CW79">
        <v>0</v>
      </c>
      <c r="CX79">
        <v>0</v>
      </c>
      <c r="CY79" t="s">
        <v>333</v>
      </c>
      <c r="CZ79">
        <v>2.36442</v>
      </c>
      <c r="DA79">
        <v>2.7138800000000001</v>
      </c>
      <c r="DB79">
        <v>0.13672200000000001</v>
      </c>
      <c r="DC79">
        <v>0.14649400000000001</v>
      </c>
      <c r="DD79">
        <v>0.10297199999999999</v>
      </c>
      <c r="DE79">
        <v>8.4944599999999995E-2</v>
      </c>
      <c r="DF79">
        <v>31516.3</v>
      </c>
      <c r="DG79">
        <v>27506.799999999999</v>
      </c>
      <c r="DH79">
        <v>31167.7</v>
      </c>
      <c r="DI79">
        <v>28082.9</v>
      </c>
      <c r="DJ79">
        <v>37963</v>
      </c>
      <c r="DK79">
        <v>36546</v>
      </c>
      <c r="DL79">
        <v>44356.1</v>
      </c>
      <c r="DM79">
        <v>42571.1</v>
      </c>
      <c r="DN79">
        <v>1.4339200000000001</v>
      </c>
      <c r="DO79">
        <v>2.0497999999999998</v>
      </c>
      <c r="DP79">
        <v>0.16329399999999999</v>
      </c>
      <c r="DQ79">
        <v>0.128523</v>
      </c>
      <c r="DR79">
        <v>24.216000000000001</v>
      </c>
      <c r="DS79">
        <v>23.9405</v>
      </c>
      <c r="DT79">
        <v>56.8</v>
      </c>
      <c r="DU79">
        <v>29.1</v>
      </c>
      <c r="DV79">
        <v>23.149699999999999</v>
      </c>
      <c r="DW79">
        <v>61.711199999999998</v>
      </c>
      <c r="DX79">
        <v>35.064100000000003</v>
      </c>
      <c r="DY79">
        <v>1</v>
      </c>
      <c r="DZ79">
        <v>-6.6209299999999999E-2</v>
      </c>
      <c r="EA79">
        <v>1.2412300000000001</v>
      </c>
      <c r="EB79">
        <v>20.184899999999999</v>
      </c>
      <c r="EC79">
        <v>5.2406499999999996</v>
      </c>
      <c r="ED79">
        <v>12.039899999999999</v>
      </c>
      <c r="EE79">
        <v>5.0172499999999998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1.8689100000000001</v>
      </c>
      <c r="EL79">
        <v>1.8646199999999999</v>
      </c>
      <c r="EM79">
        <v>1.8692</v>
      </c>
      <c r="EN79">
        <v>1.86724</v>
      </c>
      <c r="EO79">
        <v>1.8633999999999999</v>
      </c>
      <c r="EP79">
        <v>1.86449</v>
      </c>
      <c r="EQ79">
        <v>1.8702000000000001</v>
      </c>
      <c r="ER79">
        <v>1.8694599999999999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-0.186</v>
      </c>
      <c r="FG79">
        <v>0.27189999999999998</v>
      </c>
      <c r="FH79">
        <v>0.30965466913576151</v>
      </c>
      <c r="FI79">
        <v>-6.1462078757559423E-4</v>
      </c>
      <c r="FJ79">
        <v>-1.8861989874597051E-7</v>
      </c>
      <c r="FK79">
        <v>1.1980462299894961E-10</v>
      </c>
      <c r="FL79">
        <v>0.27184999999999349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20.3</v>
      </c>
      <c r="FU79">
        <v>20.5</v>
      </c>
      <c r="FV79">
        <v>1.78711</v>
      </c>
      <c r="FW79">
        <v>2.5878899999999998</v>
      </c>
      <c r="FX79">
        <v>1.5490699999999999</v>
      </c>
      <c r="FY79">
        <v>2.3290999999999999</v>
      </c>
      <c r="FZ79">
        <v>1.50146</v>
      </c>
      <c r="GA79">
        <v>2.3840300000000001</v>
      </c>
      <c r="GB79">
        <v>33.918700000000001</v>
      </c>
      <c r="GC79">
        <v>23.982399999999998</v>
      </c>
      <c r="GD79">
        <v>19</v>
      </c>
      <c r="GE79">
        <v>266.47699999999998</v>
      </c>
      <c r="GF79">
        <v>597.57899999999995</v>
      </c>
      <c r="GG79">
        <v>20.921399999999998</v>
      </c>
      <c r="GH79">
        <v>26.534199999999998</v>
      </c>
      <c r="GI79">
        <v>29.9998</v>
      </c>
      <c r="GJ79">
        <v>26.648800000000001</v>
      </c>
      <c r="GK79">
        <v>26.620200000000001</v>
      </c>
      <c r="GL79">
        <v>35.730899999999998</v>
      </c>
      <c r="GM79">
        <v>37.748600000000003</v>
      </c>
      <c r="GN79">
        <v>93.534499999999994</v>
      </c>
      <c r="GO79">
        <v>20.8962</v>
      </c>
      <c r="GP79">
        <v>800</v>
      </c>
      <c r="GQ79">
        <v>15.982200000000001</v>
      </c>
      <c r="GR79">
        <v>99.725399999999993</v>
      </c>
      <c r="GS79">
        <v>99.581999999999994</v>
      </c>
    </row>
    <row r="80" spans="1:201" x14ac:dyDescent="0.25">
      <c r="A80">
        <v>64</v>
      </c>
      <c r="B80">
        <v>1690304549.5</v>
      </c>
      <c r="C80">
        <v>799.5</v>
      </c>
      <c r="D80" t="s">
        <v>459</v>
      </c>
      <c r="E80" t="s">
        <v>460</v>
      </c>
      <c r="F80" t="s">
        <v>330</v>
      </c>
      <c r="H80">
        <v>1690304549.5</v>
      </c>
      <c r="I80">
        <f t="shared" si="0"/>
        <v>4.6778439149134103E-4</v>
      </c>
      <c r="J80">
        <f t="shared" si="1"/>
        <v>0.46778439149134105</v>
      </c>
      <c r="K80">
        <f t="shared" si="2"/>
        <v>7.2635710058768099</v>
      </c>
      <c r="L80">
        <f t="shared" si="3"/>
        <v>716.58299999999997</v>
      </c>
      <c r="M80">
        <f t="shared" si="4"/>
        <v>336.18038153168033</v>
      </c>
      <c r="N80">
        <f t="shared" si="5"/>
        <v>33.403148257871131</v>
      </c>
      <c r="O80">
        <f t="shared" si="6"/>
        <v>71.200252908911708</v>
      </c>
      <c r="P80">
        <f t="shared" si="7"/>
        <v>3.1814114030366117E-2</v>
      </c>
      <c r="Q80">
        <f t="shared" si="8"/>
        <v>2.10137517692641</v>
      </c>
      <c r="R80">
        <f t="shared" si="9"/>
        <v>3.1548935674380899E-2</v>
      </c>
      <c r="S80">
        <f t="shared" si="10"/>
        <v>1.9741725687961623E-2</v>
      </c>
      <c r="T80">
        <f t="shared" si="11"/>
        <v>276.115422276</v>
      </c>
      <c r="U80">
        <f t="shared" si="12"/>
        <v>26.694989048057163</v>
      </c>
      <c r="V80">
        <f t="shared" si="13"/>
        <v>26.694989048057163</v>
      </c>
      <c r="W80">
        <f t="shared" si="14"/>
        <v>3.5155415738844962</v>
      </c>
      <c r="X80">
        <f t="shared" si="15"/>
        <v>66.937195973523131</v>
      </c>
      <c r="Y80">
        <f t="shared" si="16"/>
        <v>2.0838044218617902</v>
      </c>
      <c r="Z80">
        <f t="shared" si="17"/>
        <v>3.1130739666567968</v>
      </c>
      <c r="AA80">
        <f t="shared" si="18"/>
        <v>1.431737152022706</v>
      </c>
      <c r="AB80">
        <f t="shared" si="19"/>
        <v>-20.629291664768139</v>
      </c>
      <c r="AC80">
        <f t="shared" si="20"/>
        <v>-232.19658753006115</v>
      </c>
      <c r="AD80">
        <f t="shared" si="21"/>
        <v>-23.531207327374467</v>
      </c>
      <c r="AE80">
        <f t="shared" si="22"/>
        <v>-0.24166424620375437</v>
      </c>
      <c r="AF80">
        <v>13</v>
      </c>
      <c r="AG80">
        <v>4</v>
      </c>
      <c r="AH80">
        <f t="shared" si="23"/>
        <v>1</v>
      </c>
      <c r="AI80">
        <f t="shared" si="24"/>
        <v>0</v>
      </c>
      <c r="AJ80">
        <f t="shared" si="25"/>
        <v>52961.878930316583</v>
      </c>
      <c r="AK80">
        <f t="shared" si="26"/>
        <v>1800</v>
      </c>
      <c r="AL80">
        <f t="shared" si="27"/>
        <v>1499.1109145999999</v>
      </c>
      <c r="AM80">
        <f t="shared" si="28"/>
        <v>0.83283939699999998</v>
      </c>
      <c r="AN80">
        <f t="shared" si="29"/>
        <v>0.15339745682</v>
      </c>
      <c r="AO80">
        <v>33</v>
      </c>
      <c r="AP80">
        <v>0.5</v>
      </c>
      <c r="AQ80" t="s">
        <v>331</v>
      </c>
      <c r="AR80">
        <v>2</v>
      </c>
      <c r="AS80">
        <v>1690304549.5</v>
      </c>
      <c r="AT80">
        <v>716.58299999999997</v>
      </c>
      <c r="AU80">
        <v>800.09299999999996</v>
      </c>
      <c r="AV80">
        <v>20.972100000000001</v>
      </c>
      <c r="AW80">
        <v>15.939</v>
      </c>
      <c r="AX80">
        <v>716.76700000000005</v>
      </c>
      <c r="AY80">
        <v>20.700199999999999</v>
      </c>
      <c r="AZ80">
        <v>300.27499999999998</v>
      </c>
      <c r="BA80">
        <v>99.260800000000003</v>
      </c>
      <c r="BB80">
        <v>9.9989900000000007E-2</v>
      </c>
      <c r="BC80">
        <v>24.645399999999999</v>
      </c>
      <c r="BD80">
        <v>26.925999999999998</v>
      </c>
      <c r="BE80">
        <v>26.093499999999999</v>
      </c>
      <c r="BF80">
        <v>0</v>
      </c>
      <c r="BG80">
        <v>0</v>
      </c>
      <c r="BH80">
        <v>10011.9</v>
      </c>
      <c r="BI80">
        <v>1047.97</v>
      </c>
      <c r="BJ80">
        <v>1.68198</v>
      </c>
      <c r="BK80">
        <v>-83.510099999999994</v>
      </c>
      <c r="BL80">
        <v>731.93299999999999</v>
      </c>
      <c r="BM80">
        <v>813.05200000000002</v>
      </c>
      <c r="BN80">
        <v>5.0330500000000002</v>
      </c>
      <c r="BO80">
        <v>800.09299999999996</v>
      </c>
      <c r="BP80">
        <v>15.939</v>
      </c>
      <c r="BQ80">
        <v>2.0817000000000001</v>
      </c>
      <c r="BR80">
        <v>1.58212</v>
      </c>
      <c r="BS80">
        <v>18.079899999999999</v>
      </c>
      <c r="BT80">
        <v>13.7857</v>
      </c>
      <c r="BU80">
        <v>1800</v>
      </c>
      <c r="BV80">
        <v>0.909995</v>
      </c>
      <c r="BW80">
        <v>3.40069E-2</v>
      </c>
      <c r="BX80">
        <v>2.1999100000000001E-2</v>
      </c>
      <c r="BY80">
        <v>3.3999399999999999E-2</v>
      </c>
      <c r="BZ80">
        <v>25.333300000000001</v>
      </c>
      <c r="CA80">
        <v>33528.300000000003</v>
      </c>
      <c r="CB80">
        <v>1690303320.5</v>
      </c>
      <c r="CC80" t="s">
        <v>332</v>
      </c>
      <c r="CD80">
        <v>1690303320.5</v>
      </c>
      <c r="CE80">
        <v>1690303310.0999999</v>
      </c>
      <c r="CF80">
        <v>8</v>
      </c>
      <c r="CG80">
        <v>7.3999999999999996E-2</v>
      </c>
      <c r="CH80">
        <v>-0.01</v>
      </c>
      <c r="CI80">
        <v>-0.24199999999999999</v>
      </c>
      <c r="CJ80">
        <v>0.27200000000000002</v>
      </c>
      <c r="CK80">
        <v>800</v>
      </c>
      <c r="CL80">
        <v>23</v>
      </c>
      <c r="CM80">
        <v>0.06</v>
      </c>
      <c r="CN80">
        <v>0.09</v>
      </c>
      <c r="CO80">
        <v>-80.427373170731698</v>
      </c>
      <c r="CP80">
        <v>-16.37377839721248</v>
      </c>
      <c r="CQ80">
        <v>1.616181981727514</v>
      </c>
      <c r="CR80">
        <v>-1</v>
      </c>
      <c r="CS80">
        <v>4.5820590243902437</v>
      </c>
      <c r="CT80">
        <v>2.631394285714296</v>
      </c>
      <c r="CU80">
        <v>0.26325570996336722</v>
      </c>
      <c r="CV80">
        <v>-1</v>
      </c>
      <c r="CW80">
        <v>0</v>
      </c>
      <c r="CX80">
        <v>0</v>
      </c>
      <c r="CY80" t="s">
        <v>333</v>
      </c>
      <c r="CZ80">
        <v>2.3644799999999999</v>
      </c>
      <c r="DA80">
        <v>2.7137899999999999</v>
      </c>
      <c r="DB80">
        <v>0.13637299999999999</v>
      </c>
      <c r="DC80">
        <v>0.14646799999999999</v>
      </c>
      <c r="DD80">
        <v>0.10328900000000001</v>
      </c>
      <c r="DE80">
        <v>8.3933900000000006E-2</v>
      </c>
      <c r="DF80">
        <v>31529.4</v>
      </c>
      <c r="DG80">
        <v>27507.1</v>
      </c>
      <c r="DH80">
        <v>31168</v>
      </c>
      <c r="DI80">
        <v>28082.400000000001</v>
      </c>
      <c r="DJ80">
        <v>37949.599999999999</v>
      </c>
      <c r="DK80">
        <v>36586</v>
      </c>
      <c r="DL80">
        <v>44356.3</v>
      </c>
      <c r="DM80">
        <v>42570.6</v>
      </c>
      <c r="DN80">
        <v>1.4336500000000001</v>
      </c>
      <c r="DO80">
        <v>2.0493800000000002</v>
      </c>
      <c r="DP80">
        <v>0.16636400000000001</v>
      </c>
      <c r="DQ80">
        <v>0.13209899999999999</v>
      </c>
      <c r="DR80">
        <v>24.198799999999999</v>
      </c>
      <c r="DS80">
        <v>23.926100000000002</v>
      </c>
      <c r="DT80">
        <v>56.8</v>
      </c>
      <c r="DU80">
        <v>29</v>
      </c>
      <c r="DV80">
        <v>23.017900000000001</v>
      </c>
      <c r="DW80">
        <v>61.731200000000001</v>
      </c>
      <c r="DX80">
        <v>35.2684</v>
      </c>
      <c r="DY80">
        <v>1</v>
      </c>
      <c r="DZ80">
        <v>-6.5744399999999995E-2</v>
      </c>
      <c r="EA80">
        <v>1.42615</v>
      </c>
      <c r="EB80">
        <v>20.182500000000001</v>
      </c>
      <c r="EC80">
        <v>5.2409499999999998</v>
      </c>
      <c r="ED80">
        <v>12.039899999999999</v>
      </c>
      <c r="EE80">
        <v>5.0169499999999996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1.8689100000000001</v>
      </c>
      <c r="EL80">
        <v>1.8646199999999999</v>
      </c>
      <c r="EM80">
        <v>1.8692</v>
      </c>
      <c r="EN80">
        <v>1.8672500000000001</v>
      </c>
      <c r="EO80">
        <v>1.8633999999999999</v>
      </c>
      <c r="EP80">
        <v>1.8644799999999999</v>
      </c>
      <c r="EQ80">
        <v>1.8701700000000001</v>
      </c>
      <c r="ER80">
        <v>1.8694599999999999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-0.184</v>
      </c>
      <c r="FG80">
        <v>0.27189999999999998</v>
      </c>
      <c r="FH80">
        <v>0.30965466913576151</v>
      </c>
      <c r="FI80">
        <v>-6.1462078757559423E-4</v>
      </c>
      <c r="FJ80">
        <v>-1.8861989874597051E-7</v>
      </c>
      <c r="FK80">
        <v>1.1980462299894961E-10</v>
      </c>
      <c r="FL80">
        <v>0.27184999999999349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20.5</v>
      </c>
      <c r="FU80">
        <v>20.7</v>
      </c>
      <c r="FV80">
        <v>1.78711</v>
      </c>
      <c r="FW80">
        <v>2.5854499999999998</v>
      </c>
      <c r="FX80">
        <v>1.5490699999999999</v>
      </c>
      <c r="FY80">
        <v>2.3290999999999999</v>
      </c>
      <c r="FZ80">
        <v>1.50146</v>
      </c>
      <c r="GA80">
        <v>2.34375</v>
      </c>
      <c r="GB80">
        <v>33.918700000000001</v>
      </c>
      <c r="GC80">
        <v>23.982399999999998</v>
      </c>
      <c r="GD80">
        <v>19</v>
      </c>
      <c r="GE80">
        <v>266.35399999999998</v>
      </c>
      <c r="GF80">
        <v>597.19500000000005</v>
      </c>
      <c r="GG80">
        <v>21.027100000000001</v>
      </c>
      <c r="GH80">
        <v>26.530899999999999</v>
      </c>
      <c r="GI80">
        <v>30.0001</v>
      </c>
      <c r="GJ80">
        <v>26.6465</v>
      </c>
      <c r="GK80">
        <v>26.617999999999999</v>
      </c>
      <c r="GL80">
        <v>35.725099999999998</v>
      </c>
      <c r="GM80">
        <v>38.622700000000002</v>
      </c>
      <c r="GN80">
        <v>93.1631</v>
      </c>
      <c r="GO80">
        <v>21.023499999999999</v>
      </c>
      <c r="GP80">
        <v>800</v>
      </c>
      <c r="GQ80">
        <v>15.821199999999999</v>
      </c>
      <c r="GR80">
        <v>99.725899999999996</v>
      </c>
      <c r="GS80">
        <v>99.580500000000001</v>
      </c>
    </row>
    <row r="81" spans="1:201" x14ac:dyDescent="0.25">
      <c r="A81">
        <v>65</v>
      </c>
      <c r="B81">
        <v>1690304559.5</v>
      </c>
      <c r="C81">
        <v>809.5</v>
      </c>
      <c r="D81" t="s">
        <v>461</v>
      </c>
      <c r="E81" t="s">
        <v>462</v>
      </c>
      <c r="F81" t="s">
        <v>330</v>
      </c>
      <c r="H81">
        <v>1690304559.5</v>
      </c>
      <c r="I81">
        <f t="shared" ref="I81:I144" si="30">(J81)/1000</f>
        <v>4.8047660599582944E-4</v>
      </c>
      <c r="J81">
        <f t="shared" ref="J81:J144" si="31">1000*AZ81*AH81*(AV81-AW81)/(100*AO81*(1000-AH81*AV81))</f>
        <v>0.48047660599582942</v>
      </c>
      <c r="K81">
        <f t="shared" ref="K81:K144" si="32">AZ81*AH81*(AU81-AT81*(1000-AH81*AW81)/(1000-AH81*AV81))/(100*AO81)</f>
        <v>7.4937616570755878</v>
      </c>
      <c r="L81">
        <f t="shared" ref="L81:L144" si="33">AT81 - IF(AH81&gt;1, K81*AO81*100/(AJ81*BH81), 0)</f>
        <v>713.91899999999998</v>
      </c>
      <c r="M81">
        <f t="shared" ref="M81:M144" si="34">((S81-I81/2)*L81-K81)/(S81+I81/2)</f>
        <v>331.60998635130102</v>
      </c>
      <c r="N81">
        <f t="shared" ref="N81:N144" si="35">M81*(BA81+BB81)/1000</f>
        <v>32.949425196409223</v>
      </c>
      <c r="O81">
        <f t="shared" ref="O81:O144" si="36">(AT81 - IF(AH81&gt;1, K81*AO81*100/(AJ81*BH81), 0))*(BA81+BB81)/1000</f>
        <v>70.936406184930888</v>
      </c>
      <c r="P81">
        <f t="shared" ref="P81:P144" si="37">2/((1/R81-1/Q81)+SIGN(R81)*SQRT((1/R81-1/Q81)*(1/R81-1/Q81) + 4*AP81/((AP81+1)*(AP81+1))*(2*1/R81*1/Q81-1/Q81*1/Q81)))</f>
        <v>3.2652619220810933E-2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2.1025876537570674</v>
      </c>
      <c r="R81">
        <f t="shared" ref="R81:R144" si="39">I81*(1000-(1000*0.61365*EXP(17.502*V81/(240.97+V81))/(BA81+BB81)+AV81)/2)/(1000*0.61365*EXP(17.502*V81/(240.97+V81))/(BA81+BB81)-AV81)</f>
        <v>3.2373504130465365E-2</v>
      </c>
      <c r="S81">
        <f t="shared" ref="S81:S144" si="40">1/((AP81+1)/(P81/1.6)+1/(Q81/1.37)) + AP81/((AP81+1)/(P81/1.6) + AP81/(Q81/1.37))</f>
        <v>2.0258318506736862E-2</v>
      </c>
      <c r="T81">
        <f t="shared" ref="T81:T144" si="41">(AK81*AN81)</f>
        <v>276.11528563799999</v>
      </c>
      <c r="U81">
        <f t="shared" ref="U81:U144" si="42">(BC81+(T81+2*0.95*0.0000000567*(((BC81+$B$7)+273)^4-(BC81+273)^4)-44100*I81)/(1.84*29.3*Q81+8*0.95*0.0000000567*(BC81+273)^3))</f>
        <v>26.702002122977539</v>
      </c>
      <c r="V81">
        <f t="shared" ref="V81:V144" si="43">($C$7*BD81+$D$7*BE81+$E$7*U81)</f>
        <v>26.702002122977539</v>
      </c>
      <c r="W81">
        <f t="shared" ref="W81:W144" si="44">0.61365*EXP(17.502*V81/(240.97+V81))</f>
        <v>3.516993172363474</v>
      </c>
      <c r="X81">
        <f t="shared" ref="X81:X144" si="45">(Y81/Z81*100)</f>
        <v>66.888558430110152</v>
      </c>
      <c r="Y81">
        <f t="shared" ref="Y81:Y144" si="46">AV81*(BA81+BB81)/1000</f>
        <v>2.0838592124216397</v>
      </c>
      <c r="Z81">
        <f t="shared" ref="Z81:Z144" si="47">0.61365*EXP(17.502*BC81/(240.97+BC81))</f>
        <v>3.1154195296330118</v>
      </c>
      <c r="AA81">
        <f t="shared" ref="AA81:AA144" si="48">(W81-AV81*(BA81+BB81)/1000)</f>
        <v>1.4331339599418342</v>
      </c>
      <c r="AB81">
        <f t="shared" ref="AB81:AB144" si="49">(-I81*44100)</f>
        <v>-21.189018324416079</v>
      </c>
      <c r="AC81">
        <f t="shared" ref="AC81:AC144" si="50">2*29.3*Q81*0.92*(BC81-V81)</f>
        <v>-231.69725887412733</v>
      </c>
      <c r="AD81">
        <f t="shared" ref="AD81:AD144" si="51">2*0.95*0.0000000567*(((BC81+$B$7)+273)^4-(V81+273)^4)</f>
        <v>-23.469374286392028</v>
      </c>
      <c r="AE81">
        <f t="shared" ref="AE81:AE144" si="52">T81+AD81+AB81+AC81</f>
        <v>-0.24036584693544683</v>
      </c>
      <c r="AF81">
        <v>13</v>
      </c>
      <c r="AG81">
        <v>4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53014.032296640689</v>
      </c>
      <c r="AK81">
        <f t="shared" ref="AK81:AK144" si="56">$B$11*BI81+$C$11*BJ81+$D$11*BU81</f>
        <v>1800</v>
      </c>
      <c r="AL81">
        <f t="shared" ref="AL81:AL144" si="57">AK81*AM81</f>
        <v>1499.1106517999999</v>
      </c>
      <c r="AM81">
        <f t="shared" ref="AM81:AM144" si="58">($B$11*$D$9+$C$11*$D$9+$D$11*(BV81*$E$9+BW81*$F$9+BX81*$G$9+BY81*$H$9))/($B$11+$C$11+$D$11)</f>
        <v>0.832839251</v>
      </c>
      <c r="AN81">
        <f t="shared" ref="AN81:AN144" si="59">($B$11*$K$9+$C$11*$K$9+$D$11*(BV81*$L$9+BW81*$M$9+BX81*$N$9+BY81*$O$9))/($B$11+$C$11+$D$11)</f>
        <v>0.15339738090999999</v>
      </c>
      <c r="AO81">
        <v>33</v>
      </c>
      <c r="AP81">
        <v>0.5</v>
      </c>
      <c r="AQ81" t="s">
        <v>331</v>
      </c>
      <c r="AR81">
        <v>2</v>
      </c>
      <c r="AS81">
        <v>1690304559.5</v>
      </c>
      <c r="AT81">
        <v>713.91899999999998</v>
      </c>
      <c r="AU81">
        <v>800.05700000000002</v>
      </c>
      <c r="AV81">
        <v>20.9724</v>
      </c>
      <c r="AW81">
        <v>15.802</v>
      </c>
      <c r="AX81">
        <v>714.101</v>
      </c>
      <c r="AY81">
        <v>20.700500000000002</v>
      </c>
      <c r="AZ81">
        <v>300.23200000000003</v>
      </c>
      <c r="BA81">
        <v>99.262</v>
      </c>
      <c r="BB81">
        <v>9.9981100000000003E-2</v>
      </c>
      <c r="BC81">
        <v>24.658000000000001</v>
      </c>
      <c r="BD81">
        <v>26.957100000000001</v>
      </c>
      <c r="BE81">
        <v>26.1371</v>
      </c>
      <c r="BF81">
        <v>0</v>
      </c>
      <c r="BG81">
        <v>0</v>
      </c>
      <c r="BH81">
        <v>10022.5</v>
      </c>
      <c r="BI81">
        <v>1047.8900000000001</v>
      </c>
      <c r="BJ81">
        <v>1.68198</v>
      </c>
      <c r="BK81">
        <v>-86.137799999999999</v>
      </c>
      <c r="BL81">
        <v>729.21199999999999</v>
      </c>
      <c r="BM81">
        <v>812.90200000000004</v>
      </c>
      <c r="BN81">
        <v>5.1704100000000004</v>
      </c>
      <c r="BO81">
        <v>800.05700000000002</v>
      </c>
      <c r="BP81">
        <v>15.802</v>
      </c>
      <c r="BQ81">
        <v>2.0817600000000001</v>
      </c>
      <c r="BR81">
        <v>1.56854</v>
      </c>
      <c r="BS81">
        <v>18.080300000000001</v>
      </c>
      <c r="BT81">
        <v>13.6531</v>
      </c>
      <c r="BU81">
        <v>1800</v>
      </c>
      <c r="BV81">
        <v>0.90999600000000003</v>
      </c>
      <c r="BW81">
        <v>3.4006399999999999E-2</v>
      </c>
      <c r="BX81">
        <v>2.1998799999999999E-2</v>
      </c>
      <c r="BY81">
        <v>3.3998899999999999E-2</v>
      </c>
      <c r="BZ81">
        <v>25.625</v>
      </c>
      <c r="CA81">
        <v>33528.300000000003</v>
      </c>
      <c r="CB81">
        <v>1690303320.5</v>
      </c>
      <c r="CC81" t="s">
        <v>332</v>
      </c>
      <c r="CD81">
        <v>1690303320.5</v>
      </c>
      <c r="CE81">
        <v>1690303310.0999999</v>
      </c>
      <c r="CF81">
        <v>8</v>
      </c>
      <c r="CG81">
        <v>7.3999999999999996E-2</v>
      </c>
      <c r="CH81">
        <v>-0.01</v>
      </c>
      <c r="CI81">
        <v>-0.24199999999999999</v>
      </c>
      <c r="CJ81">
        <v>0.27200000000000002</v>
      </c>
      <c r="CK81">
        <v>800</v>
      </c>
      <c r="CL81">
        <v>23</v>
      </c>
      <c r="CM81">
        <v>0.06</v>
      </c>
      <c r="CN81">
        <v>0.09</v>
      </c>
      <c r="CO81">
        <v>-83.296599999999998</v>
      </c>
      <c r="CP81">
        <v>-15.65443001876155</v>
      </c>
      <c r="CQ81">
        <v>1.5066433164488531</v>
      </c>
      <c r="CR81">
        <v>-1</v>
      </c>
      <c r="CS81">
        <v>4.9684287500000002</v>
      </c>
      <c r="CT81">
        <v>1.438378424015007</v>
      </c>
      <c r="CU81">
        <v>0.14252277241177111</v>
      </c>
      <c r="CV81">
        <v>-1</v>
      </c>
      <c r="CW81">
        <v>0</v>
      </c>
      <c r="CX81">
        <v>0</v>
      </c>
      <c r="CY81" t="s">
        <v>333</v>
      </c>
      <c r="CZ81">
        <v>2.3643299999999998</v>
      </c>
      <c r="DA81">
        <v>2.7137899999999999</v>
      </c>
      <c r="DB81">
        <v>0.13602800000000001</v>
      </c>
      <c r="DC81">
        <v>0.14646200000000001</v>
      </c>
      <c r="DD81">
        <v>0.10329099999999999</v>
      </c>
      <c r="DE81">
        <v>8.3407800000000004E-2</v>
      </c>
      <c r="DF81">
        <v>31541.599999999999</v>
      </c>
      <c r="DG81">
        <v>27507.8</v>
      </c>
      <c r="DH81">
        <v>31167.599999999999</v>
      </c>
      <c r="DI81">
        <v>28082.799999999999</v>
      </c>
      <c r="DJ81">
        <v>37949.199999999997</v>
      </c>
      <c r="DK81">
        <v>36607.300000000003</v>
      </c>
      <c r="DL81">
        <v>44355.9</v>
      </c>
      <c r="DM81">
        <v>42570.9</v>
      </c>
      <c r="DN81">
        <v>1.43377</v>
      </c>
      <c r="DO81">
        <v>2.04915</v>
      </c>
      <c r="DP81">
        <v>0.16913600000000001</v>
      </c>
      <c r="DQ81">
        <v>0.13552600000000001</v>
      </c>
      <c r="DR81">
        <v>24.1846</v>
      </c>
      <c r="DS81">
        <v>23.913499999999999</v>
      </c>
      <c r="DT81">
        <v>56.8</v>
      </c>
      <c r="DU81">
        <v>29</v>
      </c>
      <c r="DV81">
        <v>23.014600000000002</v>
      </c>
      <c r="DW81">
        <v>61.661200000000001</v>
      </c>
      <c r="DX81">
        <v>35.649000000000001</v>
      </c>
      <c r="DY81">
        <v>1</v>
      </c>
      <c r="DZ81">
        <v>-6.6044199999999997E-2</v>
      </c>
      <c r="EA81">
        <v>1.4088499999999999</v>
      </c>
      <c r="EB81">
        <v>20.1828</v>
      </c>
      <c r="EC81">
        <v>5.2404999999999999</v>
      </c>
      <c r="ED81">
        <v>12.039899999999999</v>
      </c>
      <c r="EE81">
        <v>5.0169499999999996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1.8689199999999999</v>
      </c>
      <c r="EL81">
        <v>1.8646199999999999</v>
      </c>
      <c r="EM81">
        <v>1.8692</v>
      </c>
      <c r="EN81">
        <v>1.8672500000000001</v>
      </c>
      <c r="EO81">
        <v>1.8633999999999999</v>
      </c>
      <c r="EP81">
        <v>1.8644799999999999</v>
      </c>
      <c r="EQ81">
        <v>1.8702399999999999</v>
      </c>
      <c r="ER81">
        <v>1.8694299999999999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-0.182</v>
      </c>
      <c r="FG81">
        <v>0.27189999999999998</v>
      </c>
      <c r="FH81">
        <v>0.30965466913576151</v>
      </c>
      <c r="FI81">
        <v>-6.1462078757559423E-4</v>
      </c>
      <c r="FJ81">
        <v>-1.8861989874597051E-7</v>
      </c>
      <c r="FK81">
        <v>1.1980462299894961E-10</v>
      </c>
      <c r="FL81">
        <v>0.27184999999999349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20.6</v>
      </c>
      <c r="FU81">
        <v>20.8</v>
      </c>
      <c r="FV81">
        <v>1.78589</v>
      </c>
      <c r="FW81">
        <v>2.5927699999999998</v>
      </c>
      <c r="FX81">
        <v>1.5490699999999999</v>
      </c>
      <c r="FY81">
        <v>2.3290999999999999</v>
      </c>
      <c r="FZ81">
        <v>1.50146</v>
      </c>
      <c r="GA81">
        <v>2.2717299999999998</v>
      </c>
      <c r="GB81">
        <v>33.896099999999997</v>
      </c>
      <c r="GC81">
        <v>23.982399999999998</v>
      </c>
      <c r="GD81">
        <v>19</v>
      </c>
      <c r="GE81">
        <v>266.39400000000001</v>
      </c>
      <c r="GF81">
        <v>597.005</v>
      </c>
      <c r="GG81">
        <v>21.110600000000002</v>
      </c>
      <c r="GH81">
        <v>26.526399999999999</v>
      </c>
      <c r="GI81">
        <v>29.9999</v>
      </c>
      <c r="GJ81">
        <v>26.643599999999999</v>
      </c>
      <c r="GK81">
        <v>26.617999999999999</v>
      </c>
      <c r="GL81">
        <v>35.717599999999997</v>
      </c>
      <c r="GM81">
        <v>38.9114</v>
      </c>
      <c r="GN81">
        <v>92.7911</v>
      </c>
      <c r="GO81">
        <v>21.122</v>
      </c>
      <c r="GP81">
        <v>800</v>
      </c>
      <c r="GQ81">
        <v>15.707100000000001</v>
      </c>
      <c r="GR81">
        <v>99.724999999999994</v>
      </c>
      <c r="GS81">
        <v>99.581599999999995</v>
      </c>
    </row>
    <row r="82" spans="1:201" x14ac:dyDescent="0.25">
      <c r="A82">
        <v>66</v>
      </c>
      <c r="B82">
        <v>1690304569.5</v>
      </c>
      <c r="C82">
        <v>819.5</v>
      </c>
      <c r="D82" t="s">
        <v>463</v>
      </c>
      <c r="E82" t="s">
        <v>464</v>
      </c>
      <c r="F82" t="s">
        <v>330</v>
      </c>
      <c r="H82">
        <v>1690304569.5</v>
      </c>
      <c r="I82">
        <f t="shared" si="30"/>
        <v>4.8863496194017145E-4</v>
      </c>
      <c r="J82">
        <f t="shared" si="31"/>
        <v>0.48863496194017148</v>
      </c>
      <c r="K82">
        <f t="shared" si="32"/>
        <v>7.7207994459828617</v>
      </c>
      <c r="L82">
        <f t="shared" si="33"/>
        <v>711.20399999999995</v>
      </c>
      <c r="M82">
        <f t="shared" si="34"/>
        <v>323.1983125895423</v>
      </c>
      <c r="N82">
        <f t="shared" si="35"/>
        <v>32.113311415589266</v>
      </c>
      <c r="O82">
        <f t="shared" si="36"/>
        <v>70.665949178447988</v>
      </c>
      <c r="P82">
        <f t="shared" si="37"/>
        <v>3.3126773936096497E-2</v>
      </c>
      <c r="Q82">
        <f t="shared" si="38"/>
        <v>2.0985430958637958</v>
      </c>
      <c r="R82">
        <f t="shared" si="39"/>
        <v>3.2838983881875665E-2</v>
      </c>
      <c r="S82">
        <f t="shared" si="40"/>
        <v>2.0550013239546815E-2</v>
      </c>
      <c r="T82">
        <f t="shared" si="41"/>
        <v>276.11506969200002</v>
      </c>
      <c r="U82">
        <f t="shared" si="42"/>
        <v>26.713070871391391</v>
      </c>
      <c r="V82">
        <f t="shared" si="43"/>
        <v>26.713070871391391</v>
      </c>
      <c r="W82">
        <f t="shared" si="44"/>
        <v>3.5192852975222735</v>
      </c>
      <c r="X82">
        <f t="shared" si="45"/>
        <v>66.803311455318664</v>
      </c>
      <c r="Y82">
        <f t="shared" si="46"/>
        <v>2.0824975144067999</v>
      </c>
      <c r="Z82">
        <f t="shared" si="47"/>
        <v>3.1173567133714268</v>
      </c>
      <c r="AA82">
        <f t="shared" si="48"/>
        <v>1.4367877831154736</v>
      </c>
      <c r="AB82">
        <f t="shared" si="49"/>
        <v>-21.548801821561561</v>
      </c>
      <c r="AC82">
        <f t="shared" si="50"/>
        <v>-231.32722375073826</v>
      </c>
      <c r="AD82">
        <f t="shared" si="51"/>
        <v>-23.479584405433606</v>
      </c>
      <c r="AE82">
        <f t="shared" si="52"/>
        <v>-0.24054028573340247</v>
      </c>
      <c r="AF82">
        <v>12</v>
      </c>
      <c r="AG82">
        <v>4</v>
      </c>
      <c r="AH82">
        <f t="shared" si="53"/>
        <v>1</v>
      </c>
      <c r="AI82">
        <f t="shared" si="54"/>
        <v>0</v>
      </c>
      <c r="AJ82">
        <f t="shared" si="55"/>
        <v>52830.95102641928</v>
      </c>
      <c r="AK82">
        <f t="shared" si="56"/>
        <v>1800</v>
      </c>
      <c r="AL82">
        <f t="shared" si="57"/>
        <v>1499.1103871999999</v>
      </c>
      <c r="AM82">
        <f t="shared" si="58"/>
        <v>0.83283910399999994</v>
      </c>
      <c r="AN82">
        <f t="shared" si="59"/>
        <v>0.15339726094</v>
      </c>
      <c r="AO82">
        <v>33</v>
      </c>
      <c r="AP82">
        <v>0.5</v>
      </c>
      <c r="AQ82" t="s">
        <v>331</v>
      </c>
      <c r="AR82">
        <v>2</v>
      </c>
      <c r="AS82">
        <v>1690304569.5</v>
      </c>
      <c r="AT82">
        <v>711.20399999999995</v>
      </c>
      <c r="AU82">
        <v>799.928</v>
      </c>
      <c r="AV82">
        <v>20.9589</v>
      </c>
      <c r="AW82">
        <v>15.6982</v>
      </c>
      <c r="AX82">
        <v>711.38400000000001</v>
      </c>
      <c r="AY82">
        <v>20.687000000000001</v>
      </c>
      <c r="AZ82">
        <v>300.09300000000002</v>
      </c>
      <c r="BA82">
        <v>99.260999999999996</v>
      </c>
      <c r="BB82">
        <v>0.100012</v>
      </c>
      <c r="BC82">
        <v>24.668399999999998</v>
      </c>
      <c r="BD82">
        <v>26.923500000000001</v>
      </c>
      <c r="BE82">
        <v>26.113800000000001</v>
      </c>
      <c r="BF82">
        <v>0</v>
      </c>
      <c r="BG82">
        <v>0</v>
      </c>
      <c r="BH82">
        <v>9986.8799999999992</v>
      </c>
      <c r="BI82">
        <v>1047.7</v>
      </c>
      <c r="BJ82">
        <v>1.68198</v>
      </c>
      <c r="BK82">
        <v>-88.724199999999996</v>
      </c>
      <c r="BL82">
        <v>726.42899999999997</v>
      </c>
      <c r="BM82">
        <v>812.68600000000004</v>
      </c>
      <c r="BN82">
        <v>5.2606799999999998</v>
      </c>
      <c r="BO82">
        <v>799.928</v>
      </c>
      <c r="BP82">
        <v>15.6982</v>
      </c>
      <c r="BQ82">
        <v>2.0804</v>
      </c>
      <c r="BR82">
        <v>1.5582199999999999</v>
      </c>
      <c r="BS82">
        <v>18.069900000000001</v>
      </c>
      <c r="BT82">
        <v>13.5517</v>
      </c>
      <c r="BU82">
        <v>1800</v>
      </c>
      <c r="BV82">
        <v>0.90999799999999997</v>
      </c>
      <c r="BW82">
        <v>3.4005500000000001E-2</v>
      </c>
      <c r="BX82">
        <v>2.1998199999999999E-2</v>
      </c>
      <c r="BY82">
        <v>3.3998E-2</v>
      </c>
      <c r="BZ82">
        <v>25.583300000000001</v>
      </c>
      <c r="CA82">
        <v>33528.400000000001</v>
      </c>
      <c r="CB82">
        <v>1690303320.5</v>
      </c>
      <c r="CC82" t="s">
        <v>332</v>
      </c>
      <c r="CD82">
        <v>1690303320.5</v>
      </c>
      <c r="CE82">
        <v>1690303310.0999999</v>
      </c>
      <c r="CF82">
        <v>8</v>
      </c>
      <c r="CG82">
        <v>7.3999999999999996E-2</v>
      </c>
      <c r="CH82">
        <v>-0.01</v>
      </c>
      <c r="CI82">
        <v>-0.24199999999999999</v>
      </c>
      <c r="CJ82">
        <v>0.27200000000000002</v>
      </c>
      <c r="CK82">
        <v>800</v>
      </c>
      <c r="CL82">
        <v>23</v>
      </c>
      <c r="CM82">
        <v>0.06</v>
      </c>
      <c r="CN82">
        <v>0.09</v>
      </c>
      <c r="CO82">
        <v>-85.736475609756098</v>
      </c>
      <c r="CP82">
        <v>-15.836621602787609</v>
      </c>
      <c r="CQ82">
        <v>1.561838291929361</v>
      </c>
      <c r="CR82">
        <v>-1</v>
      </c>
      <c r="CS82">
        <v>5.1508036585365851</v>
      </c>
      <c r="CT82">
        <v>0.85149240418119498</v>
      </c>
      <c r="CU82">
        <v>8.5225953185465803E-2</v>
      </c>
      <c r="CV82">
        <v>-1</v>
      </c>
      <c r="CW82">
        <v>0</v>
      </c>
      <c r="CX82">
        <v>0</v>
      </c>
      <c r="CY82" t="s">
        <v>333</v>
      </c>
      <c r="CZ82">
        <v>2.3639100000000002</v>
      </c>
      <c r="DA82">
        <v>2.7137899999999999</v>
      </c>
      <c r="DB82">
        <v>0.13567699999999999</v>
      </c>
      <c r="DC82">
        <v>0.14644599999999999</v>
      </c>
      <c r="DD82">
        <v>0.103245</v>
      </c>
      <c r="DE82">
        <v>8.30095E-2</v>
      </c>
      <c r="DF82">
        <v>31555</v>
      </c>
      <c r="DG82">
        <v>27508.3</v>
      </c>
      <c r="DH82">
        <v>31168.2</v>
      </c>
      <c r="DI82">
        <v>28082.799999999999</v>
      </c>
      <c r="DJ82">
        <v>37951.9</v>
      </c>
      <c r="DK82">
        <v>36623.5</v>
      </c>
      <c r="DL82">
        <v>44356.800000000003</v>
      </c>
      <c r="DM82">
        <v>42571.199999999997</v>
      </c>
      <c r="DN82">
        <v>1.4338500000000001</v>
      </c>
      <c r="DO82">
        <v>2.04983</v>
      </c>
      <c r="DP82">
        <v>0.167854</v>
      </c>
      <c r="DQ82">
        <v>0.134714</v>
      </c>
      <c r="DR82">
        <v>24.171900000000001</v>
      </c>
      <c r="DS82">
        <v>23.903500000000001</v>
      </c>
      <c r="DT82">
        <v>56.8</v>
      </c>
      <c r="DU82">
        <v>29</v>
      </c>
      <c r="DV82">
        <v>23.011299999999999</v>
      </c>
      <c r="DW82">
        <v>61.711199999999998</v>
      </c>
      <c r="DX82">
        <v>36.274000000000001</v>
      </c>
      <c r="DY82">
        <v>1</v>
      </c>
      <c r="DZ82">
        <v>-6.6430400000000001E-2</v>
      </c>
      <c r="EA82">
        <v>1.38131</v>
      </c>
      <c r="EB82">
        <v>20.1829</v>
      </c>
      <c r="EC82">
        <v>5.2404999999999999</v>
      </c>
      <c r="ED82">
        <v>12.039899999999999</v>
      </c>
      <c r="EE82">
        <v>5.0171999999999999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1.8646499999999999</v>
      </c>
      <c r="EM82">
        <v>1.8692</v>
      </c>
      <c r="EN82">
        <v>1.86724</v>
      </c>
      <c r="EO82">
        <v>1.8633999999999999</v>
      </c>
      <c r="EP82">
        <v>1.86449</v>
      </c>
      <c r="EQ82">
        <v>1.8702000000000001</v>
      </c>
      <c r="ER82">
        <v>1.86948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-0.18</v>
      </c>
      <c r="FG82">
        <v>0.27189999999999998</v>
      </c>
      <c r="FH82">
        <v>0.30965466913576151</v>
      </c>
      <c r="FI82">
        <v>-6.1462078757559423E-4</v>
      </c>
      <c r="FJ82">
        <v>-1.8861989874597051E-7</v>
      </c>
      <c r="FK82">
        <v>1.1980462299894961E-10</v>
      </c>
      <c r="FL82">
        <v>0.27184999999999349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20.8</v>
      </c>
      <c r="FU82">
        <v>21</v>
      </c>
      <c r="FV82">
        <v>1.78711</v>
      </c>
      <c r="FW82">
        <v>2.5952099999999998</v>
      </c>
      <c r="FX82">
        <v>1.5490699999999999</v>
      </c>
      <c r="FY82">
        <v>2.3290999999999999</v>
      </c>
      <c r="FZ82">
        <v>1.50146</v>
      </c>
      <c r="GA82">
        <v>2.2973599999999998</v>
      </c>
      <c r="GB82">
        <v>33.918700000000001</v>
      </c>
      <c r="GC82">
        <v>23.973700000000001</v>
      </c>
      <c r="GD82">
        <v>19</v>
      </c>
      <c r="GE82">
        <v>266.41199999999998</v>
      </c>
      <c r="GF82">
        <v>597.548</v>
      </c>
      <c r="GG82">
        <v>21.1813</v>
      </c>
      <c r="GH82">
        <v>26.5213</v>
      </c>
      <c r="GI82">
        <v>29.9999</v>
      </c>
      <c r="GJ82">
        <v>26.6402</v>
      </c>
      <c r="GK82">
        <v>26.6158</v>
      </c>
      <c r="GL82">
        <v>35.719000000000001</v>
      </c>
      <c r="GM82">
        <v>38.9114</v>
      </c>
      <c r="GN82">
        <v>92.412700000000001</v>
      </c>
      <c r="GO82">
        <v>21.195399999999999</v>
      </c>
      <c r="GP82">
        <v>800</v>
      </c>
      <c r="GQ82">
        <v>15.597899999999999</v>
      </c>
      <c r="GR82">
        <v>99.726900000000001</v>
      </c>
      <c r="GS82">
        <v>99.581999999999994</v>
      </c>
    </row>
    <row r="83" spans="1:201" x14ac:dyDescent="0.25">
      <c r="A83">
        <v>67</v>
      </c>
      <c r="B83">
        <v>1690304579.5</v>
      </c>
      <c r="C83">
        <v>829.5</v>
      </c>
      <c r="D83" t="s">
        <v>465</v>
      </c>
      <c r="E83" t="s">
        <v>466</v>
      </c>
      <c r="F83" t="s">
        <v>330</v>
      </c>
      <c r="H83">
        <v>1690304579.5</v>
      </c>
      <c r="I83">
        <f t="shared" si="30"/>
        <v>4.9523611187664936E-4</v>
      </c>
      <c r="J83">
        <f t="shared" si="31"/>
        <v>0.49523611187664934</v>
      </c>
      <c r="K83">
        <f t="shared" si="32"/>
        <v>7.9740567866824117</v>
      </c>
      <c r="L83">
        <f t="shared" si="33"/>
        <v>708.43399999999997</v>
      </c>
      <c r="M83">
        <f t="shared" si="34"/>
        <v>313.32344357737941</v>
      </c>
      <c r="N83">
        <f t="shared" si="35"/>
        <v>31.130978806316374</v>
      </c>
      <c r="O83">
        <f t="shared" si="36"/>
        <v>70.388106258085799</v>
      </c>
      <c r="P83">
        <f t="shared" si="37"/>
        <v>3.3568321550206268E-2</v>
      </c>
      <c r="Q83">
        <f t="shared" si="38"/>
        <v>2.1028177066831719</v>
      </c>
      <c r="R83">
        <f t="shared" si="39"/>
        <v>3.3273440313526963E-2</v>
      </c>
      <c r="S83">
        <f t="shared" si="40"/>
        <v>2.0822178108806776E-2</v>
      </c>
      <c r="T83">
        <f t="shared" si="41"/>
        <v>276.11499887999997</v>
      </c>
      <c r="U83">
        <f t="shared" si="42"/>
        <v>26.713346769753041</v>
      </c>
      <c r="V83">
        <f t="shared" si="43"/>
        <v>26.713346769753041</v>
      </c>
      <c r="W83">
        <f t="shared" si="44"/>
        <v>3.5193424474283135</v>
      </c>
      <c r="X83">
        <f t="shared" si="45"/>
        <v>66.768594235734824</v>
      </c>
      <c r="Y83">
        <f t="shared" si="46"/>
        <v>2.0822115613161603</v>
      </c>
      <c r="Z83">
        <f t="shared" si="47"/>
        <v>3.1185493496607903</v>
      </c>
      <c r="AA83">
        <f t="shared" si="48"/>
        <v>1.4371308861121532</v>
      </c>
      <c r="AB83">
        <f t="shared" si="49"/>
        <v>-21.839912533760238</v>
      </c>
      <c r="AC83">
        <f t="shared" si="50"/>
        <v>-231.10415222286395</v>
      </c>
      <c r="AD83">
        <f t="shared" si="51"/>
        <v>-23.410042639604338</v>
      </c>
      <c r="AE83">
        <f t="shared" si="52"/>
        <v>-0.23910851622855489</v>
      </c>
      <c r="AF83">
        <v>12</v>
      </c>
      <c r="AG83">
        <v>4</v>
      </c>
      <c r="AH83">
        <f t="shared" si="53"/>
        <v>1</v>
      </c>
      <c r="AI83">
        <f t="shared" si="54"/>
        <v>0</v>
      </c>
      <c r="AJ83">
        <f t="shared" si="55"/>
        <v>53021.258027663614</v>
      </c>
      <c r="AK83">
        <f t="shared" si="56"/>
        <v>1800</v>
      </c>
      <c r="AL83">
        <f t="shared" si="57"/>
        <v>1499.111091</v>
      </c>
      <c r="AM83">
        <f t="shared" si="58"/>
        <v>0.83283949499999999</v>
      </c>
      <c r="AN83">
        <f t="shared" si="59"/>
        <v>0.15339722159999999</v>
      </c>
      <c r="AO83">
        <v>33</v>
      </c>
      <c r="AP83">
        <v>0.5</v>
      </c>
      <c r="AQ83" t="s">
        <v>331</v>
      </c>
      <c r="AR83">
        <v>2</v>
      </c>
      <c r="AS83">
        <v>1690304579.5</v>
      </c>
      <c r="AT83">
        <v>708.43399999999997</v>
      </c>
      <c r="AU83">
        <v>799.98500000000001</v>
      </c>
      <c r="AV83">
        <v>20.956800000000001</v>
      </c>
      <c r="AW83">
        <v>15.624700000000001</v>
      </c>
      <c r="AX83">
        <v>708.61199999999997</v>
      </c>
      <c r="AY83">
        <v>20.684999999999999</v>
      </c>
      <c r="AZ83">
        <v>300.07499999999999</v>
      </c>
      <c r="BA83">
        <v>99.257400000000004</v>
      </c>
      <c r="BB83">
        <v>9.9923700000000004E-2</v>
      </c>
      <c r="BC83">
        <v>24.674800000000001</v>
      </c>
      <c r="BD83">
        <v>26.948699999999999</v>
      </c>
      <c r="BE83">
        <v>26.133400000000002</v>
      </c>
      <c r="BF83">
        <v>0</v>
      </c>
      <c r="BG83">
        <v>0</v>
      </c>
      <c r="BH83">
        <v>10025</v>
      </c>
      <c r="BI83">
        <v>1047.71</v>
      </c>
      <c r="BJ83">
        <v>1.68198</v>
      </c>
      <c r="BK83">
        <v>-91.551100000000005</v>
      </c>
      <c r="BL83">
        <v>723.59799999999996</v>
      </c>
      <c r="BM83">
        <v>812.68299999999999</v>
      </c>
      <c r="BN83">
        <v>5.3320999999999996</v>
      </c>
      <c r="BO83">
        <v>799.98500000000001</v>
      </c>
      <c r="BP83">
        <v>15.624700000000001</v>
      </c>
      <c r="BQ83">
        <v>2.08012</v>
      </c>
      <c r="BR83">
        <v>1.55087</v>
      </c>
      <c r="BS83">
        <v>18.067699999999999</v>
      </c>
      <c r="BT83">
        <v>13.479100000000001</v>
      </c>
      <c r="BU83">
        <v>1800</v>
      </c>
      <c r="BV83">
        <v>0.91000099999999995</v>
      </c>
      <c r="BW83">
        <v>3.4004399999999997E-2</v>
      </c>
      <c r="BX83">
        <v>2.19975E-2</v>
      </c>
      <c r="BY83">
        <v>3.3996999999999999E-2</v>
      </c>
      <c r="BZ83">
        <v>25.625</v>
      </c>
      <c r="CA83">
        <v>33528.400000000001</v>
      </c>
      <c r="CB83">
        <v>1690303320.5</v>
      </c>
      <c r="CC83" t="s">
        <v>332</v>
      </c>
      <c r="CD83">
        <v>1690303320.5</v>
      </c>
      <c r="CE83">
        <v>1690303310.0999999</v>
      </c>
      <c r="CF83">
        <v>8</v>
      </c>
      <c r="CG83">
        <v>7.3999999999999996E-2</v>
      </c>
      <c r="CH83">
        <v>-0.01</v>
      </c>
      <c r="CI83">
        <v>-0.24199999999999999</v>
      </c>
      <c r="CJ83">
        <v>0.27200000000000002</v>
      </c>
      <c r="CK83">
        <v>800</v>
      </c>
      <c r="CL83">
        <v>23</v>
      </c>
      <c r="CM83">
        <v>0.06</v>
      </c>
      <c r="CN83">
        <v>0.09</v>
      </c>
      <c r="CO83">
        <v>-88.624442499999986</v>
      </c>
      <c r="CP83">
        <v>-16.448736585365669</v>
      </c>
      <c r="CQ83">
        <v>1.583100308553995</v>
      </c>
      <c r="CR83">
        <v>-1</v>
      </c>
      <c r="CS83">
        <v>5.2622175000000002</v>
      </c>
      <c r="CT83">
        <v>0.38687572232644091</v>
      </c>
      <c r="CU83">
        <v>3.9839862057366567E-2</v>
      </c>
      <c r="CV83">
        <v>-1</v>
      </c>
      <c r="CW83">
        <v>0</v>
      </c>
      <c r="CX83">
        <v>0</v>
      </c>
      <c r="CY83" t="s">
        <v>333</v>
      </c>
      <c r="CZ83">
        <v>2.3638300000000001</v>
      </c>
      <c r="DA83">
        <v>2.71374</v>
      </c>
      <c r="DB83">
        <v>0.13531399999999999</v>
      </c>
      <c r="DC83">
        <v>0.146449</v>
      </c>
      <c r="DD83">
        <v>0.10323499999999999</v>
      </c>
      <c r="DE83">
        <v>8.2724199999999998E-2</v>
      </c>
      <c r="DF83">
        <v>31568.6</v>
      </c>
      <c r="DG83">
        <v>27508.799999999999</v>
      </c>
      <c r="DH83">
        <v>31168.5</v>
      </c>
      <c r="DI83">
        <v>28083.3</v>
      </c>
      <c r="DJ83">
        <v>37952.800000000003</v>
      </c>
      <c r="DK83">
        <v>36635.5</v>
      </c>
      <c r="DL83">
        <v>44357.5</v>
      </c>
      <c r="DM83">
        <v>42571.9</v>
      </c>
      <c r="DN83">
        <v>1.4338500000000001</v>
      </c>
      <c r="DO83">
        <v>2.04935</v>
      </c>
      <c r="DP83">
        <v>0.17014099999999999</v>
      </c>
      <c r="DQ83">
        <v>0.13645699999999999</v>
      </c>
      <c r="DR83">
        <v>24.159600000000001</v>
      </c>
      <c r="DS83">
        <v>23.894500000000001</v>
      </c>
      <c r="DT83">
        <v>56.7</v>
      </c>
      <c r="DU83">
        <v>29</v>
      </c>
      <c r="DV83">
        <v>22.971699999999998</v>
      </c>
      <c r="DW83">
        <v>61.5212</v>
      </c>
      <c r="DX83">
        <v>36.478400000000001</v>
      </c>
      <c r="DY83">
        <v>1</v>
      </c>
      <c r="DZ83">
        <v>-6.7106200000000005E-2</v>
      </c>
      <c r="EA83">
        <v>1.20183</v>
      </c>
      <c r="EB83">
        <v>20.184699999999999</v>
      </c>
      <c r="EC83">
        <v>5.2408000000000001</v>
      </c>
      <c r="ED83">
        <v>12.039899999999999</v>
      </c>
      <c r="EE83">
        <v>5.01715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1.8689100000000001</v>
      </c>
      <c r="EL83">
        <v>1.8646199999999999</v>
      </c>
      <c r="EM83">
        <v>1.8692</v>
      </c>
      <c r="EN83">
        <v>1.86724</v>
      </c>
      <c r="EO83">
        <v>1.8633999999999999</v>
      </c>
      <c r="EP83">
        <v>1.8644700000000001</v>
      </c>
      <c r="EQ83">
        <v>1.87019</v>
      </c>
      <c r="ER83">
        <v>1.8694500000000001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-0.17799999999999999</v>
      </c>
      <c r="FG83">
        <v>0.27179999999999999</v>
      </c>
      <c r="FH83">
        <v>0.30965466913576151</v>
      </c>
      <c r="FI83">
        <v>-6.1462078757559423E-4</v>
      </c>
      <c r="FJ83">
        <v>-1.8861989874597051E-7</v>
      </c>
      <c r="FK83">
        <v>1.1980462299894961E-10</v>
      </c>
      <c r="FL83">
        <v>0.27184999999999349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21</v>
      </c>
      <c r="FU83">
        <v>21.2</v>
      </c>
      <c r="FV83">
        <v>1.78589</v>
      </c>
      <c r="FW83">
        <v>2.5927699999999998</v>
      </c>
      <c r="FX83">
        <v>1.5490699999999999</v>
      </c>
      <c r="FY83">
        <v>2.3290999999999999</v>
      </c>
      <c r="FZ83">
        <v>1.50146</v>
      </c>
      <c r="GA83">
        <v>2.34741</v>
      </c>
      <c r="GB83">
        <v>33.918700000000001</v>
      </c>
      <c r="GC83">
        <v>23.973700000000001</v>
      </c>
      <c r="GD83">
        <v>19</v>
      </c>
      <c r="GE83">
        <v>266.39999999999998</v>
      </c>
      <c r="GF83">
        <v>597.12199999999996</v>
      </c>
      <c r="GG83">
        <v>21.276499999999999</v>
      </c>
      <c r="GH83">
        <v>26.5151</v>
      </c>
      <c r="GI83">
        <v>29.9998</v>
      </c>
      <c r="GJ83">
        <v>26.637499999999999</v>
      </c>
      <c r="GK83">
        <v>26.613600000000002</v>
      </c>
      <c r="GL83">
        <v>35.714700000000001</v>
      </c>
      <c r="GM83">
        <v>39.1952</v>
      </c>
      <c r="GN83">
        <v>92.0351</v>
      </c>
      <c r="GO83">
        <v>21.305299999999999</v>
      </c>
      <c r="GP83">
        <v>800</v>
      </c>
      <c r="GQ83">
        <v>15.5718</v>
      </c>
      <c r="GR83">
        <v>99.728300000000004</v>
      </c>
      <c r="GS83">
        <v>99.583699999999993</v>
      </c>
    </row>
    <row r="84" spans="1:201" x14ac:dyDescent="0.25">
      <c r="A84">
        <v>68</v>
      </c>
      <c r="B84">
        <v>1690304589.5</v>
      </c>
      <c r="C84">
        <v>839.5</v>
      </c>
      <c r="D84" t="s">
        <v>467</v>
      </c>
      <c r="E84" t="s">
        <v>468</v>
      </c>
      <c r="F84" t="s">
        <v>330</v>
      </c>
      <c r="H84">
        <v>1690304589.5</v>
      </c>
      <c r="I84">
        <f t="shared" si="30"/>
        <v>5.0015240165193818E-4</v>
      </c>
      <c r="J84">
        <f t="shared" si="31"/>
        <v>0.50015240165193819</v>
      </c>
      <c r="K84">
        <f t="shared" si="32"/>
        <v>8.2361682565763843</v>
      </c>
      <c r="L84">
        <f t="shared" si="33"/>
        <v>705.63400000000001</v>
      </c>
      <c r="M84">
        <f t="shared" si="34"/>
        <v>301.51998079239621</v>
      </c>
      <c r="N84">
        <f t="shared" si="35"/>
        <v>29.957926070290512</v>
      </c>
      <c r="O84">
        <f t="shared" si="36"/>
        <v>70.109221780689609</v>
      </c>
      <c r="P84">
        <f t="shared" si="37"/>
        <v>3.3864032051321762E-2</v>
      </c>
      <c r="Q84">
        <f t="shared" si="38"/>
        <v>2.1007590791623079</v>
      </c>
      <c r="R84">
        <f t="shared" si="39"/>
        <v>3.3563666400973149E-2</v>
      </c>
      <c r="S84">
        <f t="shared" si="40"/>
        <v>2.1004056019593754E-2</v>
      </c>
      <c r="T84">
        <f t="shared" si="41"/>
        <v>276.11489122199998</v>
      </c>
      <c r="U84">
        <f t="shared" si="42"/>
        <v>26.728393538775322</v>
      </c>
      <c r="V84">
        <f t="shared" si="43"/>
        <v>26.728393538775322</v>
      </c>
      <c r="W84">
        <f t="shared" si="44"/>
        <v>3.5224604799138901</v>
      </c>
      <c r="X84">
        <f t="shared" si="45"/>
        <v>66.755227369549146</v>
      </c>
      <c r="Y84">
        <f t="shared" si="46"/>
        <v>2.08366172193504</v>
      </c>
      <c r="Z84">
        <f t="shared" si="47"/>
        <v>3.1213461537628082</v>
      </c>
      <c r="AA84">
        <f t="shared" si="48"/>
        <v>1.4387987579788502</v>
      </c>
      <c r="AB84">
        <f t="shared" si="49"/>
        <v>-22.056720912850473</v>
      </c>
      <c r="AC84">
        <f t="shared" si="50"/>
        <v>-230.88320154450236</v>
      </c>
      <c r="AD84">
        <f t="shared" si="51"/>
        <v>-23.414112321821285</v>
      </c>
      <c r="AE84">
        <f t="shared" si="52"/>
        <v>-0.23914355717411695</v>
      </c>
      <c r="AF84">
        <v>12</v>
      </c>
      <c r="AG84">
        <v>4</v>
      </c>
      <c r="AH84">
        <f t="shared" si="53"/>
        <v>1</v>
      </c>
      <c r="AI84">
        <f t="shared" si="54"/>
        <v>0</v>
      </c>
      <c r="AJ84">
        <f t="shared" si="55"/>
        <v>52926.274642911521</v>
      </c>
      <c r="AK84">
        <f t="shared" si="56"/>
        <v>1800</v>
      </c>
      <c r="AL84">
        <f t="shared" si="57"/>
        <v>1499.1109542000002</v>
      </c>
      <c r="AM84">
        <f t="shared" si="58"/>
        <v>0.83283941900000003</v>
      </c>
      <c r="AN84">
        <f t="shared" si="59"/>
        <v>0.15339716178999999</v>
      </c>
      <c r="AO84">
        <v>33</v>
      </c>
      <c r="AP84">
        <v>0.5</v>
      </c>
      <c r="AQ84" t="s">
        <v>331</v>
      </c>
      <c r="AR84">
        <v>2</v>
      </c>
      <c r="AS84">
        <v>1690304589.5</v>
      </c>
      <c r="AT84">
        <v>705.63400000000001</v>
      </c>
      <c r="AU84">
        <v>800.08600000000001</v>
      </c>
      <c r="AV84">
        <v>20.971599999999999</v>
      </c>
      <c r="AW84">
        <v>15.5869</v>
      </c>
      <c r="AX84">
        <v>705.81</v>
      </c>
      <c r="AY84">
        <v>20.6998</v>
      </c>
      <c r="AZ84">
        <v>300.089</v>
      </c>
      <c r="BA84">
        <v>99.256399999999999</v>
      </c>
      <c r="BB84">
        <v>9.9954399999999999E-2</v>
      </c>
      <c r="BC84">
        <v>24.689800000000002</v>
      </c>
      <c r="BD84">
        <v>26.9815</v>
      </c>
      <c r="BE84">
        <v>26.157499999999999</v>
      </c>
      <c r="BF84">
        <v>0</v>
      </c>
      <c r="BG84">
        <v>0</v>
      </c>
      <c r="BH84">
        <v>10006.9</v>
      </c>
      <c r="BI84">
        <v>1047.67</v>
      </c>
      <c r="BJ84">
        <v>1.68198</v>
      </c>
      <c r="BK84">
        <v>-94.451499999999996</v>
      </c>
      <c r="BL84">
        <v>720.74900000000002</v>
      </c>
      <c r="BM84">
        <v>812.75400000000002</v>
      </c>
      <c r="BN84">
        <v>5.3847699999999996</v>
      </c>
      <c r="BO84">
        <v>800.08600000000001</v>
      </c>
      <c r="BP84">
        <v>15.5869</v>
      </c>
      <c r="BQ84">
        <v>2.0815700000000001</v>
      </c>
      <c r="BR84">
        <v>1.5470900000000001</v>
      </c>
      <c r="BS84">
        <v>18.078800000000001</v>
      </c>
      <c r="BT84">
        <v>13.441700000000001</v>
      </c>
      <c r="BU84">
        <v>1800</v>
      </c>
      <c r="BV84">
        <v>0.91000199999999998</v>
      </c>
      <c r="BW84">
        <v>3.4004E-2</v>
      </c>
      <c r="BX84">
        <v>2.1997200000000001E-2</v>
      </c>
      <c r="BY84">
        <v>3.3996499999999999E-2</v>
      </c>
      <c r="BZ84">
        <v>25.625</v>
      </c>
      <c r="CA84">
        <v>33528.300000000003</v>
      </c>
      <c r="CB84">
        <v>1690303320.5</v>
      </c>
      <c r="CC84" t="s">
        <v>332</v>
      </c>
      <c r="CD84">
        <v>1690303320.5</v>
      </c>
      <c r="CE84">
        <v>1690303310.0999999</v>
      </c>
      <c r="CF84">
        <v>8</v>
      </c>
      <c r="CG84">
        <v>7.3999999999999996E-2</v>
      </c>
      <c r="CH84">
        <v>-0.01</v>
      </c>
      <c r="CI84">
        <v>-0.24199999999999999</v>
      </c>
      <c r="CJ84">
        <v>0.27200000000000002</v>
      </c>
      <c r="CK84">
        <v>800</v>
      </c>
      <c r="CL84">
        <v>23</v>
      </c>
      <c r="CM84">
        <v>0.06</v>
      </c>
      <c r="CN84">
        <v>0.09</v>
      </c>
      <c r="CO84">
        <v>-91.193941463414632</v>
      </c>
      <c r="CP84">
        <v>-17.117397909407781</v>
      </c>
      <c r="CQ84">
        <v>1.6882754500110619</v>
      </c>
      <c r="CR84">
        <v>-1</v>
      </c>
      <c r="CS84">
        <v>5.3186912195121954</v>
      </c>
      <c r="CT84">
        <v>0.39889630662021758</v>
      </c>
      <c r="CU84">
        <v>3.9778567902407518E-2</v>
      </c>
      <c r="CV84">
        <v>-1</v>
      </c>
      <c r="CW84">
        <v>0</v>
      </c>
      <c r="CX84">
        <v>0</v>
      </c>
      <c r="CY84" t="s">
        <v>333</v>
      </c>
      <c r="CZ84">
        <v>2.3639000000000001</v>
      </c>
      <c r="DA84">
        <v>2.7137500000000001</v>
      </c>
      <c r="DB84">
        <v>0.13494700000000001</v>
      </c>
      <c r="DC84">
        <v>0.146457</v>
      </c>
      <c r="DD84">
        <v>0.103287</v>
      </c>
      <c r="DE84">
        <v>8.2576399999999994E-2</v>
      </c>
      <c r="DF84">
        <v>31582.2</v>
      </c>
      <c r="DG84">
        <v>27508.400000000001</v>
      </c>
      <c r="DH84">
        <v>31168.6</v>
      </c>
      <c r="DI84">
        <v>28083.200000000001</v>
      </c>
      <c r="DJ84">
        <v>37950.6</v>
      </c>
      <c r="DK84">
        <v>36641.4</v>
      </c>
      <c r="DL84">
        <v>44357.5</v>
      </c>
      <c r="DM84">
        <v>42571.9</v>
      </c>
      <c r="DN84">
        <v>1.4339500000000001</v>
      </c>
      <c r="DO84">
        <v>2.0493199999999998</v>
      </c>
      <c r="DP84">
        <v>0.172846</v>
      </c>
      <c r="DQ84">
        <v>0.13838700000000001</v>
      </c>
      <c r="DR84">
        <v>24.148099999999999</v>
      </c>
      <c r="DS84">
        <v>23.887</v>
      </c>
      <c r="DT84">
        <v>56.7</v>
      </c>
      <c r="DU84">
        <v>29</v>
      </c>
      <c r="DV84">
        <v>22.9772</v>
      </c>
      <c r="DW84">
        <v>61.511200000000002</v>
      </c>
      <c r="DX84">
        <v>36.253999999999998</v>
      </c>
      <c r="DY84">
        <v>1</v>
      </c>
      <c r="DZ84">
        <v>-6.7583799999999999E-2</v>
      </c>
      <c r="EA84">
        <v>1.26532</v>
      </c>
      <c r="EB84">
        <v>20.184799999999999</v>
      </c>
      <c r="EC84">
        <v>5.2408000000000001</v>
      </c>
      <c r="ED84">
        <v>12.039899999999999</v>
      </c>
      <c r="EE84">
        <v>5.01715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1.8646199999999999</v>
      </c>
      <c r="EM84">
        <v>1.8692</v>
      </c>
      <c r="EN84">
        <v>1.8672200000000001</v>
      </c>
      <c r="EO84">
        <v>1.8633999999999999</v>
      </c>
      <c r="EP84">
        <v>1.8644700000000001</v>
      </c>
      <c r="EQ84">
        <v>1.87019</v>
      </c>
      <c r="ER84">
        <v>1.8694299999999999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-0.17599999999999999</v>
      </c>
      <c r="FG84">
        <v>0.27179999999999999</v>
      </c>
      <c r="FH84">
        <v>0.30965466913576151</v>
      </c>
      <c r="FI84">
        <v>-6.1462078757559423E-4</v>
      </c>
      <c r="FJ84">
        <v>-1.8861989874597051E-7</v>
      </c>
      <c r="FK84">
        <v>1.1980462299894961E-10</v>
      </c>
      <c r="FL84">
        <v>0.27184999999999349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21.1</v>
      </c>
      <c r="FU84">
        <v>21.3</v>
      </c>
      <c r="FV84">
        <v>1.78589</v>
      </c>
      <c r="FW84">
        <v>2.5927699999999998</v>
      </c>
      <c r="FX84">
        <v>1.5490699999999999</v>
      </c>
      <c r="FY84">
        <v>2.3290999999999999</v>
      </c>
      <c r="FZ84">
        <v>1.50146</v>
      </c>
      <c r="GA84">
        <v>2.3779300000000001</v>
      </c>
      <c r="GB84">
        <v>33.896099999999997</v>
      </c>
      <c r="GC84">
        <v>23.982399999999998</v>
      </c>
      <c r="GD84">
        <v>19</v>
      </c>
      <c r="GE84">
        <v>266.43200000000002</v>
      </c>
      <c r="GF84">
        <v>597.09500000000003</v>
      </c>
      <c r="GG84">
        <v>21.370699999999999</v>
      </c>
      <c r="GH84">
        <v>26.509</v>
      </c>
      <c r="GI84">
        <v>29.9999</v>
      </c>
      <c r="GJ84">
        <v>26.635300000000001</v>
      </c>
      <c r="GK84">
        <v>26.613</v>
      </c>
      <c r="GL84">
        <v>35.710299999999997</v>
      </c>
      <c r="GM84">
        <v>39.475499999999997</v>
      </c>
      <c r="GN84">
        <v>91.6601</v>
      </c>
      <c r="GO84">
        <v>21.37</v>
      </c>
      <c r="GP84">
        <v>800</v>
      </c>
      <c r="GQ84">
        <v>15.465999999999999</v>
      </c>
      <c r="GR84">
        <v>99.728499999999997</v>
      </c>
      <c r="GS84">
        <v>99.583600000000004</v>
      </c>
    </row>
    <row r="85" spans="1:201" x14ac:dyDescent="0.25">
      <c r="A85">
        <v>69</v>
      </c>
      <c r="B85">
        <v>1690304599.5</v>
      </c>
      <c r="C85">
        <v>849.5</v>
      </c>
      <c r="D85" t="s">
        <v>469</v>
      </c>
      <c r="E85" t="s">
        <v>470</v>
      </c>
      <c r="F85" t="s">
        <v>330</v>
      </c>
      <c r="H85">
        <v>1690304599.5</v>
      </c>
      <c r="I85">
        <f t="shared" si="30"/>
        <v>5.1387549530716465E-4</v>
      </c>
      <c r="J85">
        <f t="shared" si="31"/>
        <v>0.5138754953071647</v>
      </c>
      <c r="K85">
        <f t="shared" si="32"/>
        <v>8.4870233261346772</v>
      </c>
      <c r="L85">
        <f t="shared" si="33"/>
        <v>702.74300000000005</v>
      </c>
      <c r="M85">
        <f t="shared" si="34"/>
        <v>297.64670666607753</v>
      </c>
      <c r="N85">
        <f t="shared" si="35"/>
        <v>29.573102478083097</v>
      </c>
      <c r="O85">
        <f t="shared" si="36"/>
        <v>69.822008069690114</v>
      </c>
      <c r="P85">
        <f t="shared" si="37"/>
        <v>3.4807921321252822E-2</v>
      </c>
      <c r="Q85">
        <f t="shared" si="38"/>
        <v>2.1034401132614082</v>
      </c>
      <c r="R85">
        <f t="shared" si="39"/>
        <v>3.4491063217286885E-2</v>
      </c>
      <c r="S85">
        <f t="shared" si="40"/>
        <v>2.1585142466197596E-2</v>
      </c>
      <c r="T85">
        <f t="shared" si="41"/>
        <v>276.11338448423078</v>
      </c>
      <c r="U85">
        <f t="shared" si="42"/>
        <v>26.734045287362857</v>
      </c>
      <c r="V85">
        <f t="shared" si="43"/>
        <v>26.734045287362857</v>
      </c>
      <c r="W85">
        <f t="shared" si="44"/>
        <v>3.5236322735873933</v>
      </c>
      <c r="X85">
        <f t="shared" si="45"/>
        <v>66.750569472315931</v>
      </c>
      <c r="Y85">
        <f t="shared" si="46"/>
        <v>2.0851230221474104</v>
      </c>
      <c r="Z85">
        <f t="shared" si="47"/>
        <v>3.1237531584089218</v>
      </c>
      <c r="AA85">
        <f t="shared" si="48"/>
        <v>1.4385092514399829</v>
      </c>
      <c r="AB85">
        <f t="shared" si="49"/>
        <v>-22.661909343045959</v>
      </c>
      <c r="AC85">
        <f t="shared" si="50"/>
        <v>-230.35590315327556</v>
      </c>
      <c r="AD85">
        <f t="shared" si="51"/>
        <v>-23.333034693240101</v>
      </c>
      <c r="AE85">
        <f t="shared" si="52"/>
        <v>-0.23746270533084157</v>
      </c>
      <c r="AF85">
        <v>12</v>
      </c>
      <c r="AG85">
        <v>4</v>
      </c>
      <c r="AH85">
        <f t="shared" si="53"/>
        <v>1</v>
      </c>
      <c r="AI85">
        <f t="shared" si="54"/>
        <v>0</v>
      </c>
      <c r="AJ85">
        <f t="shared" si="55"/>
        <v>53044.192542030243</v>
      </c>
      <c r="AK85">
        <f t="shared" si="56"/>
        <v>1799.99</v>
      </c>
      <c r="AL85">
        <f t="shared" si="57"/>
        <v>1499.1037471995801</v>
      </c>
      <c r="AM85">
        <f t="shared" si="58"/>
        <v>0.83284004200000006</v>
      </c>
      <c r="AN85">
        <f t="shared" si="59"/>
        <v>0.15339717691999999</v>
      </c>
      <c r="AO85">
        <v>33</v>
      </c>
      <c r="AP85">
        <v>0.5</v>
      </c>
      <c r="AQ85" t="s">
        <v>331</v>
      </c>
      <c r="AR85">
        <v>2</v>
      </c>
      <c r="AS85">
        <v>1690304599.5</v>
      </c>
      <c r="AT85">
        <v>702.74300000000005</v>
      </c>
      <c r="AU85">
        <v>800.01099999999997</v>
      </c>
      <c r="AV85">
        <v>20.9863</v>
      </c>
      <c r="AW85">
        <v>15.4558</v>
      </c>
      <c r="AX85">
        <v>702.91700000000003</v>
      </c>
      <c r="AY85">
        <v>20.714400000000001</v>
      </c>
      <c r="AZ85">
        <v>300.19</v>
      </c>
      <c r="BA85">
        <v>99.256500000000003</v>
      </c>
      <c r="BB85">
        <v>9.9890699999999999E-2</v>
      </c>
      <c r="BC85">
        <v>24.7027</v>
      </c>
      <c r="BD85">
        <v>26.9819</v>
      </c>
      <c r="BE85">
        <v>26.197900000000001</v>
      </c>
      <c r="BF85">
        <v>0</v>
      </c>
      <c r="BG85">
        <v>0</v>
      </c>
      <c r="BH85">
        <v>10030.6</v>
      </c>
      <c r="BI85">
        <v>1047.69</v>
      </c>
      <c r="BJ85">
        <v>1.68198</v>
      </c>
      <c r="BK85">
        <v>-97.268199999999993</v>
      </c>
      <c r="BL85">
        <v>717.80700000000002</v>
      </c>
      <c r="BM85">
        <v>812.57</v>
      </c>
      <c r="BN85">
        <v>5.5305400000000002</v>
      </c>
      <c r="BO85">
        <v>800.01099999999997</v>
      </c>
      <c r="BP85">
        <v>15.4558</v>
      </c>
      <c r="BQ85">
        <v>2.0830299999999999</v>
      </c>
      <c r="BR85">
        <v>1.5340800000000001</v>
      </c>
      <c r="BS85">
        <v>18.09</v>
      </c>
      <c r="BT85">
        <v>13.312200000000001</v>
      </c>
      <c r="BU85">
        <v>1799.99</v>
      </c>
      <c r="BV85">
        <v>0.91000499999999995</v>
      </c>
      <c r="BW85">
        <v>3.4002999999999999E-2</v>
      </c>
      <c r="BX85">
        <v>2.1996600000000002E-2</v>
      </c>
      <c r="BY85">
        <v>3.3995600000000001E-2</v>
      </c>
      <c r="BZ85">
        <v>25.666699999999999</v>
      </c>
      <c r="CA85">
        <v>33528.300000000003</v>
      </c>
      <c r="CB85">
        <v>1690303320.5</v>
      </c>
      <c r="CC85" t="s">
        <v>332</v>
      </c>
      <c r="CD85">
        <v>1690303320.5</v>
      </c>
      <c r="CE85">
        <v>1690303310.0999999</v>
      </c>
      <c r="CF85">
        <v>8</v>
      </c>
      <c r="CG85">
        <v>7.3999999999999996E-2</v>
      </c>
      <c r="CH85">
        <v>-0.01</v>
      </c>
      <c r="CI85">
        <v>-0.24199999999999999</v>
      </c>
      <c r="CJ85">
        <v>0.27200000000000002</v>
      </c>
      <c r="CK85">
        <v>800</v>
      </c>
      <c r="CL85">
        <v>23</v>
      </c>
      <c r="CM85">
        <v>0.06</v>
      </c>
      <c r="CN85">
        <v>0.09</v>
      </c>
      <c r="CO85">
        <v>-94.319414634146341</v>
      </c>
      <c r="CP85">
        <v>-17.201577700348771</v>
      </c>
      <c r="CQ85">
        <v>1.6963946001146191</v>
      </c>
      <c r="CR85">
        <v>-1</v>
      </c>
      <c r="CS85">
        <v>5.4190604878048783</v>
      </c>
      <c r="CT85">
        <v>0.70872982578398336</v>
      </c>
      <c r="CU85">
        <v>7.3033825572886665E-2</v>
      </c>
      <c r="CV85">
        <v>-1</v>
      </c>
      <c r="CW85">
        <v>0</v>
      </c>
      <c r="CX85">
        <v>0</v>
      </c>
      <c r="CY85" t="s">
        <v>333</v>
      </c>
      <c r="CZ85">
        <v>2.3642400000000001</v>
      </c>
      <c r="DA85">
        <v>2.7137099999999998</v>
      </c>
      <c r="DB85">
        <v>0.13457</v>
      </c>
      <c r="DC85">
        <v>0.14644699999999999</v>
      </c>
      <c r="DD85">
        <v>0.10334</v>
      </c>
      <c r="DE85">
        <v>8.2069699999999995E-2</v>
      </c>
      <c r="DF85">
        <v>31596.400000000001</v>
      </c>
      <c r="DG85">
        <v>27509.200000000001</v>
      </c>
      <c r="DH85">
        <v>31169.1</v>
      </c>
      <c r="DI85">
        <v>28083.7</v>
      </c>
      <c r="DJ85">
        <v>37948.800000000003</v>
      </c>
      <c r="DK85">
        <v>36662.300000000003</v>
      </c>
      <c r="DL85">
        <v>44358.2</v>
      </c>
      <c r="DM85">
        <v>42572.5</v>
      </c>
      <c r="DN85">
        <v>1.4342999999999999</v>
      </c>
      <c r="DO85">
        <v>2.04895</v>
      </c>
      <c r="DP85">
        <v>0.173427</v>
      </c>
      <c r="DQ85">
        <v>0.14121800000000001</v>
      </c>
      <c r="DR85">
        <v>24.1389</v>
      </c>
      <c r="DS85">
        <v>23.881</v>
      </c>
      <c r="DT85">
        <v>56.6</v>
      </c>
      <c r="DU85">
        <v>29</v>
      </c>
      <c r="DV85">
        <v>22.935700000000001</v>
      </c>
      <c r="DW85">
        <v>61.0212</v>
      </c>
      <c r="DX85">
        <v>35.769199999999998</v>
      </c>
      <c r="DY85">
        <v>1</v>
      </c>
      <c r="DZ85">
        <v>-6.7606700000000006E-2</v>
      </c>
      <c r="EA85">
        <v>1.3688499999999999</v>
      </c>
      <c r="EB85">
        <v>20.183299999999999</v>
      </c>
      <c r="EC85">
        <v>5.2408000000000001</v>
      </c>
      <c r="ED85">
        <v>12.039899999999999</v>
      </c>
      <c r="EE85">
        <v>5.0170500000000002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</v>
      </c>
      <c r="EL85">
        <v>1.86463</v>
      </c>
      <c r="EM85">
        <v>1.8692</v>
      </c>
      <c r="EN85">
        <v>1.8672599999999999</v>
      </c>
      <c r="EO85">
        <v>1.8633999999999999</v>
      </c>
      <c r="EP85">
        <v>1.8644700000000001</v>
      </c>
      <c r="EQ85">
        <v>1.8702099999999999</v>
      </c>
      <c r="ER85">
        <v>1.8694200000000001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-0.17399999999999999</v>
      </c>
      <c r="FG85">
        <v>0.27189999999999998</v>
      </c>
      <c r="FH85">
        <v>0.30965466913576151</v>
      </c>
      <c r="FI85">
        <v>-6.1462078757559423E-4</v>
      </c>
      <c r="FJ85">
        <v>-1.8861989874597051E-7</v>
      </c>
      <c r="FK85">
        <v>1.1980462299894961E-10</v>
      </c>
      <c r="FL85">
        <v>0.27184999999999349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21.3</v>
      </c>
      <c r="FU85">
        <v>21.5</v>
      </c>
      <c r="FV85">
        <v>1.78589</v>
      </c>
      <c r="FW85">
        <v>2.5866699999999998</v>
      </c>
      <c r="FX85">
        <v>1.5490699999999999</v>
      </c>
      <c r="FY85">
        <v>2.3290999999999999</v>
      </c>
      <c r="FZ85">
        <v>1.50146</v>
      </c>
      <c r="GA85">
        <v>2.4096700000000002</v>
      </c>
      <c r="GB85">
        <v>33.918700000000001</v>
      </c>
      <c r="GC85">
        <v>23.991199999999999</v>
      </c>
      <c r="GD85">
        <v>19</v>
      </c>
      <c r="GE85">
        <v>266.56200000000001</v>
      </c>
      <c r="GF85">
        <v>596.74099999999999</v>
      </c>
      <c r="GG85">
        <v>21.3949</v>
      </c>
      <c r="GH85">
        <v>26.502600000000001</v>
      </c>
      <c r="GI85">
        <v>30</v>
      </c>
      <c r="GJ85">
        <v>26.631799999999998</v>
      </c>
      <c r="GK85">
        <v>26.6097</v>
      </c>
      <c r="GL85">
        <v>35.706899999999997</v>
      </c>
      <c r="GM85">
        <v>39.475499999999997</v>
      </c>
      <c r="GN85">
        <v>91.284199999999998</v>
      </c>
      <c r="GO85">
        <v>21.388999999999999</v>
      </c>
      <c r="GP85">
        <v>800</v>
      </c>
      <c r="GQ85">
        <v>15.3535</v>
      </c>
      <c r="GR85">
        <v>99.729900000000001</v>
      </c>
      <c r="GS85">
        <v>99.585099999999997</v>
      </c>
    </row>
    <row r="86" spans="1:201" x14ac:dyDescent="0.25">
      <c r="A86">
        <v>70</v>
      </c>
      <c r="B86">
        <v>1690304609.5</v>
      </c>
      <c r="C86">
        <v>859.5</v>
      </c>
      <c r="D86" t="s">
        <v>471</v>
      </c>
      <c r="E86" t="s">
        <v>472</v>
      </c>
      <c r="F86" t="s">
        <v>330</v>
      </c>
      <c r="H86">
        <v>1690304609.5</v>
      </c>
      <c r="I86">
        <f t="shared" si="30"/>
        <v>5.2267899750901999E-4</v>
      </c>
      <c r="J86">
        <f t="shared" si="31"/>
        <v>0.52267899750902003</v>
      </c>
      <c r="K86">
        <f t="shared" si="32"/>
        <v>8.7478420888623418</v>
      </c>
      <c r="L86">
        <f t="shared" si="33"/>
        <v>699.75199999999995</v>
      </c>
      <c r="M86">
        <f t="shared" si="34"/>
        <v>289.58979938549595</v>
      </c>
      <c r="N86">
        <f t="shared" si="35"/>
        <v>28.77545573347173</v>
      </c>
      <c r="O86">
        <f t="shared" si="36"/>
        <v>69.531740217148013</v>
      </c>
      <c r="P86">
        <f t="shared" si="37"/>
        <v>3.5414817250277036E-2</v>
      </c>
      <c r="Q86">
        <f t="shared" si="38"/>
        <v>2.0989573880652266</v>
      </c>
      <c r="R86">
        <f t="shared" si="39"/>
        <v>3.5086176396492245E-2</v>
      </c>
      <c r="S86">
        <f t="shared" si="40"/>
        <v>2.1958133063742273E-2</v>
      </c>
      <c r="T86">
        <f t="shared" si="41"/>
        <v>276.114753468</v>
      </c>
      <c r="U86">
        <f t="shared" si="42"/>
        <v>26.736178449588333</v>
      </c>
      <c r="V86">
        <f t="shared" si="43"/>
        <v>26.736178449588333</v>
      </c>
      <c r="W86">
        <f t="shared" si="44"/>
        <v>3.5240746368495413</v>
      </c>
      <c r="X86">
        <f t="shared" si="45"/>
        <v>66.760603608765948</v>
      </c>
      <c r="Y86">
        <f t="shared" si="46"/>
        <v>2.0855984626235005</v>
      </c>
      <c r="Z86">
        <f t="shared" si="47"/>
        <v>3.1239958147257565</v>
      </c>
      <c r="AA86">
        <f t="shared" si="48"/>
        <v>1.4384761742260408</v>
      </c>
      <c r="AB86">
        <f t="shared" si="49"/>
        <v>-23.050143790147782</v>
      </c>
      <c r="AC86">
        <f t="shared" si="50"/>
        <v>-229.95926228862444</v>
      </c>
      <c r="AD86">
        <f t="shared" si="51"/>
        <v>-23.34300744034595</v>
      </c>
      <c r="AE86">
        <f t="shared" si="52"/>
        <v>-0.23766005111818345</v>
      </c>
      <c r="AF86">
        <v>13</v>
      </c>
      <c r="AG86">
        <v>4</v>
      </c>
      <c r="AH86">
        <f t="shared" si="53"/>
        <v>1</v>
      </c>
      <c r="AI86">
        <f t="shared" si="54"/>
        <v>0</v>
      </c>
      <c r="AJ86">
        <f t="shared" si="55"/>
        <v>52843.28771139618</v>
      </c>
      <c r="AK86">
        <f t="shared" si="56"/>
        <v>1800</v>
      </c>
      <c r="AL86">
        <f t="shared" si="57"/>
        <v>1499.1116778000001</v>
      </c>
      <c r="AM86">
        <f t="shared" si="58"/>
        <v>0.83283982099999998</v>
      </c>
      <c r="AN86">
        <f t="shared" si="59"/>
        <v>0.15339708526000001</v>
      </c>
      <c r="AO86">
        <v>33</v>
      </c>
      <c r="AP86">
        <v>0.5</v>
      </c>
      <c r="AQ86" t="s">
        <v>331</v>
      </c>
      <c r="AR86">
        <v>2</v>
      </c>
      <c r="AS86">
        <v>1690304609.5</v>
      </c>
      <c r="AT86">
        <v>699.75199999999995</v>
      </c>
      <c r="AU86">
        <v>799.92499999999995</v>
      </c>
      <c r="AV86">
        <v>20.989000000000001</v>
      </c>
      <c r="AW86">
        <v>15.3645</v>
      </c>
      <c r="AX86">
        <v>699.92399999999998</v>
      </c>
      <c r="AY86">
        <v>20.717099999999999</v>
      </c>
      <c r="AZ86">
        <v>300.22899999999998</v>
      </c>
      <c r="BA86">
        <v>99.266300000000001</v>
      </c>
      <c r="BB86">
        <v>9.9961499999999995E-2</v>
      </c>
      <c r="BC86">
        <v>24.704000000000001</v>
      </c>
      <c r="BD86">
        <v>26.918199999999999</v>
      </c>
      <c r="BE86">
        <v>26.170500000000001</v>
      </c>
      <c r="BF86">
        <v>0</v>
      </c>
      <c r="BG86">
        <v>0</v>
      </c>
      <c r="BH86">
        <v>9990</v>
      </c>
      <c r="BI86">
        <v>1047.58</v>
      </c>
      <c r="BJ86">
        <v>1.68198</v>
      </c>
      <c r="BK86">
        <v>-100.173</v>
      </c>
      <c r="BL86">
        <v>714.75400000000002</v>
      </c>
      <c r="BM86">
        <v>812.40700000000004</v>
      </c>
      <c r="BN86">
        <v>5.6244399999999999</v>
      </c>
      <c r="BO86">
        <v>799.92499999999995</v>
      </c>
      <c r="BP86">
        <v>15.3645</v>
      </c>
      <c r="BQ86">
        <v>2.0834999999999999</v>
      </c>
      <c r="BR86">
        <v>1.52518</v>
      </c>
      <c r="BS86">
        <v>18.093599999999999</v>
      </c>
      <c r="BT86">
        <v>13.223000000000001</v>
      </c>
      <c r="BU86">
        <v>1800</v>
      </c>
      <c r="BV86">
        <v>0.91000599999999998</v>
      </c>
      <c r="BW86">
        <v>3.4002499999999998E-2</v>
      </c>
      <c r="BX86">
        <v>2.19963E-2</v>
      </c>
      <c r="BY86">
        <v>3.3994999999999997E-2</v>
      </c>
      <c r="BZ86">
        <v>25.666699999999999</v>
      </c>
      <c r="CA86">
        <v>33528.5</v>
      </c>
      <c r="CB86">
        <v>1690303320.5</v>
      </c>
      <c r="CC86" t="s">
        <v>332</v>
      </c>
      <c r="CD86">
        <v>1690303320.5</v>
      </c>
      <c r="CE86">
        <v>1690303310.0999999</v>
      </c>
      <c r="CF86">
        <v>8</v>
      </c>
      <c r="CG86">
        <v>7.3999999999999996E-2</v>
      </c>
      <c r="CH86">
        <v>-0.01</v>
      </c>
      <c r="CI86">
        <v>-0.24199999999999999</v>
      </c>
      <c r="CJ86">
        <v>0.27200000000000002</v>
      </c>
      <c r="CK86">
        <v>800</v>
      </c>
      <c r="CL86">
        <v>23</v>
      </c>
      <c r="CM86">
        <v>0.06</v>
      </c>
      <c r="CN86">
        <v>0.09</v>
      </c>
      <c r="CO86">
        <v>-97.105739999999997</v>
      </c>
      <c r="CP86">
        <v>-17.32811707317051</v>
      </c>
      <c r="CQ86">
        <v>1.6674196512575949</v>
      </c>
      <c r="CR86">
        <v>-1</v>
      </c>
      <c r="CS86">
        <v>5.5249362500000014</v>
      </c>
      <c r="CT86">
        <v>0.65349061913695994</v>
      </c>
      <c r="CU86">
        <v>6.5842205563282144E-2</v>
      </c>
      <c r="CV86">
        <v>-1</v>
      </c>
      <c r="CW86">
        <v>0</v>
      </c>
      <c r="CX86">
        <v>0</v>
      </c>
      <c r="CY86" t="s">
        <v>333</v>
      </c>
      <c r="CZ86">
        <v>2.36436</v>
      </c>
      <c r="DA86">
        <v>2.71374</v>
      </c>
      <c r="DB86">
        <v>0.13419300000000001</v>
      </c>
      <c r="DC86">
        <v>0.146451</v>
      </c>
      <c r="DD86">
        <v>0.10336099999999999</v>
      </c>
      <c r="DE86">
        <v>8.17243E-2</v>
      </c>
      <c r="DF86">
        <v>31610.5</v>
      </c>
      <c r="DG86">
        <v>27509.1</v>
      </c>
      <c r="DH86">
        <v>31169.4</v>
      </c>
      <c r="DI86">
        <v>28083.7</v>
      </c>
      <c r="DJ86">
        <v>37948.400000000001</v>
      </c>
      <c r="DK86">
        <v>36676.300000000003</v>
      </c>
      <c r="DL86">
        <v>44358.8</v>
      </c>
      <c r="DM86">
        <v>42572.800000000003</v>
      </c>
      <c r="DN86">
        <v>1.43387</v>
      </c>
      <c r="DO86">
        <v>2.0488499999999998</v>
      </c>
      <c r="DP86">
        <v>0.17005999999999999</v>
      </c>
      <c r="DQ86">
        <v>0.13975799999999999</v>
      </c>
      <c r="DR86">
        <v>24.130299999999998</v>
      </c>
      <c r="DS86">
        <v>23.877500000000001</v>
      </c>
      <c r="DT86">
        <v>56.6</v>
      </c>
      <c r="DU86">
        <v>29</v>
      </c>
      <c r="DV86">
        <v>22.929500000000001</v>
      </c>
      <c r="DW86">
        <v>61.851199999999999</v>
      </c>
      <c r="DX86">
        <v>35.264400000000002</v>
      </c>
      <c r="DY86">
        <v>1</v>
      </c>
      <c r="DZ86">
        <v>-6.8185999999999997E-2</v>
      </c>
      <c r="EA86">
        <v>1.3701300000000001</v>
      </c>
      <c r="EB86">
        <v>20.183199999999999</v>
      </c>
      <c r="EC86">
        <v>5.2408000000000001</v>
      </c>
      <c r="ED86">
        <v>12.039899999999999</v>
      </c>
      <c r="EE86">
        <v>5.0169499999999996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1.8689100000000001</v>
      </c>
      <c r="EL86">
        <v>1.8646199999999999</v>
      </c>
      <c r="EM86">
        <v>1.8692</v>
      </c>
      <c r="EN86">
        <v>1.8672299999999999</v>
      </c>
      <c r="EO86">
        <v>1.8633999999999999</v>
      </c>
      <c r="EP86">
        <v>1.8644700000000001</v>
      </c>
      <c r="EQ86">
        <v>1.8702099999999999</v>
      </c>
      <c r="ER86">
        <v>1.86944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-0.17199999999999999</v>
      </c>
      <c r="FG86">
        <v>0.27189999999999998</v>
      </c>
      <c r="FH86">
        <v>0.30965466913576151</v>
      </c>
      <c r="FI86">
        <v>-6.1462078757559423E-4</v>
      </c>
      <c r="FJ86">
        <v>-1.8861989874597051E-7</v>
      </c>
      <c r="FK86">
        <v>1.1980462299894961E-10</v>
      </c>
      <c r="FL86">
        <v>0.27184999999999349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21.5</v>
      </c>
      <c r="FU86">
        <v>21.7</v>
      </c>
      <c r="FV86">
        <v>1.78589</v>
      </c>
      <c r="FW86">
        <v>2.5878899999999998</v>
      </c>
      <c r="FX86">
        <v>1.5490699999999999</v>
      </c>
      <c r="FY86">
        <v>2.3290999999999999</v>
      </c>
      <c r="FZ86">
        <v>1.50146</v>
      </c>
      <c r="GA86">
        <v>2.32056</v>
      </c>
      <c r="GB86">
        <v>33.896099999999997</v>
      </c>
      <c r="GC86">
        <v>23.982399999999998</v>
      </c>
      <c r="GD86">
        <v>19</v>
      </c>
      <c r="GE86">
        <v>266.37299999999999</v>
      </c>
      <c r="GF86">
        <v>596.63099999999997</v>
      </c>
      <c r="GG86">
        <v>21.4084</v>
      </c>
      <c r="GH86">
        <v>26.495899999999999</v>
      </c>
      <c r="GI86">
        <v>30</v>
      </c>
      <c r="GJ86">
        <v>26.628499999999999</v>
      </c>
      <c r="GK86">
        <v>26.607500000000002</v>
      </c>
      <c r="GL86">
        <v>35.706000000000003</v>
      </c>
      <c r="GM86">
        <v>40.052100000000003</v>
      </c>
      <c r="GN86">
        <v>90.909300000000002</v>
      </c>
      <c r="GO86">
        <v>21.407800000000002</v>
      </c>
      <c r="GP86">
        <v>800</v>
      </c>
      <c r="GQ86">
        <v>15.251799999999999</v>
      </c>
      <c r="GR86">
        <v>99.731200000000001</v>
      </c>
      <c r="GS86">
        <v>99.585400000000007</v>
      </c>
    </row>
    <row r="87" spans="1:201" x14ac:dyDescent="0.25">
      <c r="A87">
        <v>71</v>
      </c>
      <c r="B87">
        <v>1690304619.5</v>
      </c>
      <c r="C87">
        <v>869.5</v>
      </c>
      <c r="D87" t="s">
        <v>473</v>
      </c>
      <c r="E87" t="s">
        <v>474</v>
      </c>
      <c r="F87" t="s">
        <v>330</v>
      </c>
      <c r="H87">
        <v>1690304619.5</v>
      </c>
      <c r="I87">
        <f t="shared" si="30"/>
        <v>5.3592742794515507E-4</v>
      </c>
      <c r="J87">
        <f t="shared" si="31"/>
        <v>0.53592742794515502</v>
      </c>
      <c r="K87">
        <f t="shared" si="32"/>
        <v>9.0127229692423239</v>
      </c>
      <c r="L87">
        <f t="shared" si="33"/>
        <v>696.851</v>
      </c>
      <c r="M87">
        <f t="shared" si="34"/>
        <v>285.64478116826319</v>
      </c>
      <c r="N87">
        <f t="shared" si="35"/>
        <v>28.384423871401417</v>
      </c>
      <c r="O87">
        <f t="shared" si="36"/>
        <v>69.245844710736804</v>
      </c>
      <c r="P87">
        <f t="shared" si="37"/>
        <v>3.6389745673831138E-2</v>
      </c>
      <c r="Q87">
        <f t="shared" si="38"/>
        <v>2.1028224701665406</v>
      </c>
      <c r="R87">
        <f t="shared" si="39"/>
        <v>3.6043488229519159E-2</v>
      </c>
      <c r="S87">
        <f t="shared" si="40"/>
        <v>2.2558015328854368E-2</v>
      </c>
      <c r="T87">
        <f t="shared" si="41"/>
        <v>276.11479094400005</v>
      </c>
      <c r="U87">
        <f t="shared" si="42"/>
        <v>26.727501198572604</v>
      </c>
      <c r="V87">
        <f t="shared" si="43"/>
        <v>26.727501198572604</v>
      </c>
      <c r="W87">
        <f t="shared" si="44"/>
        <v>3.5222754994942971</v>
      </c>
      <c r="X87">
        <f t="shared" si="45"/>
        <v>66.790407991658441</v>
      </c>
      <c r="Y87">
        <f t="shared" si="46"/>
        <v>2.0864547468639203</v>
      </c>
      <c r="Z87">
        <f t="shared" si="47"/>
        <v>3.1238838174554959</v>
      </c>
      <c r="AA87">
        <f t="shared" si="48"/>
        <v>1.4358207526303768</v>
      </c>
      <c r="AB87">
        <f t="shared" si="49"/>
        <v>-23.634399572381337</v>
      </c>
      <c r="AC87">
        <f t="shared" si="50"/>
        <v>-229.46701939903514</v>
      </c>
      <c r="AD87">
        <f t="shared" si="51"/>
        <v>-23.249141326867814</v>
      </c>
      <c r="AE87">
        <f t="shared" si="52"/>
        <v>-0.23576935428422985</v>
      </c>
      <c r="AF87">
        <v>12</v>
      </c>
      <c r="AG87">
        <v>4</v>
      </c>
      <c r="AH87">
        <f t="shared" si="53"/>
        <v>1</v>
      </c>
      <c r="AI87">
        <f t="shared" si="54"/>
        <v>0</v>
      </c>
      <c r="AJ87">
        <f t="shared" si="55"/>
        <v>53016.650376570731</v>
      </c>
      <c r="AK87">
        <f t="shared" si="56"/>
        <v>1800</v>
      </c>
      <c r="AL87">
        <f t="shared" si="57"/>
        <v>1499.1125093999999</v>
      </c>
      <c r="AM87">
        <f t="shared" si="58"/>
        <v>0.8328402829999999</v>
      </c>
      <c r="AN87">
        <f t="shared" si="59"/>
        <v>0.15339710608000001</v>
      </c>
      <c r="AO87">
        <v>33</v>
      </c>
      <c r="AP87">
        <v>0.5</v>
      </c>
      <c r="AQ87" t="s">
        <v>331</v>
      </c>
      <c r="AR87">
        <v>2</v>
      </c>
      <c r="AS87">
        <v>1690304619.5</v>
      </c>
      <c r="AT87">
        <v>696.851</v>
      </c>
      <c r="AU87">
        <v>800.01099999999997</v>
      </c>
      <c r="AV87">
        <v>20.9969</v>
      </c>
      <c r="AW87">
        <v>15.230399999999999</v>
      </c>
      <c r="AX87">
        <v>697.02099999999996</v>
      </c>
      <c r="AY87">
        <v>20.725000000000001</v>
      </c>
      <c r="AZ87">
        <v>300.25599999999997</v>
      </c>
      <c r="BA87">
        <v>99.2697</v>
      </c>
      <c r="BB87">
        <v>9.9956799999999998E-2</v>
      </c>
      <c r="BC87">
        <v>24.703399999999998</v>
      </c>
      <c r="BD87">
        <v>26.930700000000002</v>
      </c>
      <c r="BE87">
        <v>26.174700000000001</v>
      </c>
      <c r="BF87">
        <v>0</v>
      </c>
      <c r="BG87">
        <v>0</v>
      </c>
      <c r="BH87">
        <v>10023.799999999999</v>
      </c>
      <c r="BI87">
        <v>1047.6300000000001</v>
      </c>
      <c r="BJ87">
        <v>1.68198</v>
      </c>
      <c r="BK87">
        <v>-103.16</v>
      </c>
      <c r="BL87">
        <v>711.79600000000005</v>
      </c>
      <c r="BM87">
        <v>812.38400000000001</v>
      </c>
      <c r="BN87">
        <v>5.76647</v>
      </c>
      <c r="BO87">
        <v>800.01099999999997</v>
      </c>
      <c r="BP87">
        <v>15.230399999999999</v>
      </c>
      <c r="BQ87">
        <v>2.0843500000000001</v>
      </c>
      <c r="BR87">
        <v>1.5119199999999999</v>
      </c>
      <c r="BS87">
        <v>18.100100000000001</v>
      </c>
      <c r="BT87">
        <v>13.0892</v>
      </c>
      <c r="BU87">
        <v>1800</v>
      </c>
      <c r="BV87">
        <v>0.91000800000000004</v>
      </c>
      <c r="BW87">
        <v>3.4001900000000002E-2</v>
      </c>
      <c r="BX87">
        <v>2.1995899999999999E-2</v>
      </c>
      <c r="BY87">
        <v>3.3994400000000001E-2</v>
      </c>
      <c r="BZ87">
        <v>25.666699999999999</v>
      </c>
      <c r="CA87">
        <v>33528.400000000001</v>
      </c>
      <c r="CB87">
        <v>1690303320.5</v>
      </c>
      <c r="CC87" t="s">
        <v>332</v>
      </c>
      <c r="CD87">
        <v>1690303320.5</v>
      </c>
      <c r="CE87">
        <v>1690303310.0999999</v>
      </c>
      <c r="CF87">
        <v>8</v>
      </c>
      <c r="CG87">
        <v>7.3999999999999996E-2</v>
      </c>
      <c r="CH87">
        <v>-0.01</v>
      </c>
      <c r="CI87">
        <v>-0.24199999999999999</v>
      </c>
      <c r="CJ87">
        <v>0.27200000000000002</v>
      </c>
      <c r="CK87">
        <v>800</v>
      </c>
      <c r="CL87">
        <v>23</v>
      </c>
      <c r="CM87">
        <v>0.06</v>
      </c>
      <c r="CN87">
        <v>0.09</v>
      </c>
      <c r="CO87">
        <v>-100.1003682926829</v>
      </c>
      <c r="CP87">
        <v>-17.85034494773522</v>
      </c>
      <c r="CQ87">
        <v>1.7607428863753729</v>
      </c>
      <c r="CR87">
        <v>-1</v>
      </c>
      <c r="CS87">
        <v>5.6386595121951224</v>
      </c>
      <c r="CT87">
        <v>0.78158299651567897</v>
      </c>
      <c r="CU87">
        <v>7.8360482915107665E-2</v>
      </c>
      <c r="CV87">
        <v>-1</v>
      </c>
      <c r="CW87">
        <v>0</v>
      </c>
      <c r="CX87">
        <v>0</v>
      </c>
      <c r="CY87" t="s">
        <v>333</v>
      </c>
      <c r="CZ87">
        <v>2.36443</v>
      </c>
      <c r="DA87">
        <v>2.7137699999999998</v>
      </c>
      <c r="DB87">
        <v>0.13381799999999999</v>
      </c>
      <c r="DC87">
        <v>0.14646400000000001</v>
      </c>
      <c r="DD87">
        <v>0.103393</v>
      </c>
      <c r="DE87">
        <v>8.1205100000000002E-2</v>
      </c>
      <c r="DF87">
        <v>31624.2</v>
      </c>
      <c r="DG87">
        <v>27508.7</v>
      </c>
      <c r="DH87">
        <v>31169.4</v>
      </c>
      <c r="DI87">
        <v>28083.8</v>
      </c>
      <c r="DJ87">
        <v>37947</v>
      </c>
      <c r="DK87">
        <v>36697.1</v>
      </c>
      <c r="DL87">
        <v>44358.8</v>
      </c>
      <c r="DM87">
        <v>42572.800000000003</v>
      </c>
      <c r="DN87">
        <v>1.43455</v>
      </c>
      <c r="DO87">
        <v>2.0488499999999998</v>
      </c>
      <c r="DP87">
        <v>0.171348</v>
      </c>
      <c r="DQ87">
        <v>0.14025699999999999</v>
      </c>
      <c r="DR87">
        <v>24.121700000000001</v>
      </c>
      <c r="DS87">
        <v>23.8735</v>
      </c>
      <c r="DT87">
        <v>56.5</v>
      </c>
      <c r="DU87">
        <v>29</v>
      </c>
      <c r="DV87">
        <v>22.890799999999999</v>
      </c>
      <c r="DW87">
        <v>61.601199999999999</v>
      </c>
      <c r="DX87">
        <v>35.316499999999998</v>
      </c>
      <c r="DY87">
        <v>1</v>
      </c>
      <c r="DZ87">
        <v>-6.8683900000000006E-2</v>
      </c>
      <c r="EA87">
        <v>1.0859000000000001</v>
      </c>
      <c r="EB87">
        <v>20.185500000000001</v>
      </c>
      <c r="EC87">
        <v>5.2408000000000001</v>
      </c>
      <c r="ED87">
        <v>12.039899999999999</v>
      </c>
      <c r="EE87">
        <v>5.0168499999999998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1.8689100000000001</v>
      </c>
      <c r="EL87">
        <v>1.8646199999999999</v>
      </c>
      <c r="EM87">
        <v>1.8692</v>
      </c>
      <c r="EN87">
        <v>1.86724</v>
      </c>
      <c r="EO87">
        <v>1.8633999999999999</v>
      </c>
      <c r="EP87">
        <v>1.8644799999999999</v>
      </c>
      <c r="EQ87">
        <v>1.87018</v>
      </c>
      <c r="ER87">
        <v>1.86941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-0.17</v>
      </c>
      <c r="FG87">
        <v>0.27189999999999998</v>
      </c>
      <c r="FH87">
        <v>0.30965466913576151</v>
      </c>
      <c r="FI87">
        <v>-6.1462078757559423E-4</v>
      </c>
      <c r="FJ87">
        <v>-1.8861989874597051E-7</v>
      </c>
      <c r="FK87">
        <v>1.1980462299894961E-10</v>
      </c>
      <c r="FL87">
        <v>0.27184999999999349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21.6</v>
      </c>
      <c r="FU87">
        <v>21.8</v>
      </c>
      <c r="FV87">
        <v>1.78589</v>
      </c>
      <c r="FW87">
        <v>2.5866699999999998</v>
      </c>
      <c r="FX87">
        <v>1.5490699999999999</v>
      </c>
      <c r="FY87">
        <v>2.3290999999999999</v>
      </c>
      <c r="FZ87">
        <v>1.50146</v>
      </c>
      <c r="GA87">
        <v>2.3547400000000001</v>
      </c>
      <c r="GB87">
        <v>33.918700000000001</v>
      </c>
      <c r="GC87">
        <v>23.991199999999999</v>
      </c>
      <c r="GD87">
        <v>19</v>
      </c>
      <c r="GE87">
        <v>266.63400000000001</v>
      </c>
      <c r="GF87">
        <v>596.59900000000005</v>
      </c>
      <c r="GG87">
        <v>21.475100000000001</v>
      </c>
      <c r="GH87">
        <v>26.4892</v>
      </c>
      <c r="GI87">
        <v>29.999600000000001</v>
      </c>
      <c r="GJ87">
        <v>26.624600000000001</v>
      </c>
      <c r="GK87">
        <v>26.604700000000001</v>
      </c>
      <c r="GL87">
        <v>35.701300000000003</v>
      </c>
      <c r="GM87">
        <v>40.052100000000003</v>
      </c>
      <c r="GN87">
        <v>90.5334</v>
      </c>
      <c r="GO87">
        <v>21.508900000000001</v>
      </c>
      <c r="GP87">
        <v>800</v>
      </c>
      <c r="GQ87">
        <v>15.141</v>
      </c>
      <c r="GR87">
        <v>99.731200000000001</v>
      </c>
      <c r="GS87">
        <v>99.585599999999999</v>
      </c>
    </row>
    <row r="88" spans="1:201" x14ac:dyDescent="0.25">
      <c r="A88">
        <v>72</v>
      </c>
      <c r="B88">
        <v>1690304629.5</v>
      </c>
      <c r="C88">
        <v>879.5</v>
      </c>
      <c r="D88" t="s">
        <v>475</v>
      </c>
      <c r="E88" t="s">
        <v>476</v>
      </c>
      <c r="F88" t="s">
        <v>330</v>
      </c>
      <c r="H88">
        <v>1690304629.5</v>
      </c>
      <c r="I88">
        <f t="shared" si="30"/>
        <v>5.4605071135073815E-4</v>
      </c>
      <c r="J88">
        <f t="shared" si="31"/>
        <v>0.54605071135073813</v>
      </c>
      <c r="K88">
        <f t="shared" si="32"/>
        <v>9.2787283646874741</v>
      </c>
      <c r="L88">
        <f t="shared" si="33"/>
        <v>693.89599999999996</v>
      </c>
      <c r="M88">
        <f t="shared" si="34"/>
        <v>278.7935233748392</v>
      </c>
      <c r="N88">
        <f t="shared" si="35"/>
        <v>27.702664154109883</v>
      </c>
      <c r="O88">
        <f t="shared" si="36"/>
        <v>68.949836471040001</v>
      </c>
      <c r="P88">
        <f t="shared" si="37"/>
        <v>3.709666818776635E-2</v>
      </c>
      <c r="Q88">
        <f t="shared" si="38"/>
        <v>2.103200633404692</v>
      </c>
      <c r="R88">
        <f t="shared" si="39"/>
        <v>3.6736962745261774E-2</v>
      </c>
      <c r="S88">
        <f t="shared" si="40"/>
        <v>2.2992629062021076E-2</v>
      </c>
      <c r="T88">
        <f t="shared" si="41"/>
        <v>276.11297133252612</v>
      </c>
      <c r="U88">
        <f t="shared" si="42"/>
        <v>26.738150313346196</v>
      </c>
      <c r="V88">
        <f t="shared" si="43"/>
        <v>26.738150313346196</v>
      </c>
      <c r="W88">
        <f t="shared" si="44"/>
        <v>3.5244835940602193</v>
      </c>
      <c r="X88">
        <f t="shared" si="45"/>
        <v>66.821403959706899</v>
      </c>
      <c r="Y88">
        <f t="shared" si="46"/>
        <v>2.0892447523680002</v>
      </c>
      <c r="Z88">
        <f t="shared" si="47"/>
        <v>3.1266100808474611</v>
      </c>
      <c r="AA88">
        <f t="shared" si="48"/>
        <v>1.435238841692219</v>
      </c>
      <c r="AB88">
        <f t="shared" si="49"/>
        <v>-24.080836370567553</v>
      </c>
      <c r="AC88">
        <f t="shared" si="50"/>
        <v>-229.06030383969298</v>
      </c>
      <c r="AD88">
        <f t="shared" si="51"/>
        <v>-23.206701876529209</v>
      </c>
      <c r="AE88">
        <f t="shared" si="52"/>
        <v>-0.23487075426365323</v>
      </c>
      <c r="AF88">
        <v>13</v>
      </c>
      <c r="AG88">
        <v>4</v>
      </c>
      <c r="AH88">
        <f t="shared" si="53"/>
        <v>1</v>
      </c>
      <c r="AI88">
        <f t="shared" si="54"/>
        <v>0</v>
      </c>
      <c r="AJ88">
        <f t="shared" si="55"/>
        <v>53030.937244951769</v>
      </c>
      <c r="AK88">
        <f t="shared" si="56"/>
        <v>1799.99</v>
      </c>
      <c r="AL88">
        <f t="shared" si="57"/>
        <v>1499.10363380021</v>
      </c>
      <c r="AM88">
        <f t="shared" si="58"/>
        <v>0.83283997899999995</v>
      </c>
      <c r="AN88">
        <f t="shared" si="59"/>
        <v>0.15339694739000001</v>
      </c>
      <c r="AO88">
        <v>33</v>
      </c>
      <c r="AP88">
        <v>0.5</v>
      </c>
      <c r="AQ88" t="s">
        <v>331</v>
      </c>
      <c r="AR88">
        <v>2</v>
      </c>
      <c r="AS88">
        <v>1690304629.5</v>
      </c>
      <c r="AT88">
        <v>693.89599999999996</v>
      </c>
      <c r="AU88">
        <v>800.03300000000002</v>
      </c>
      <c r="AV88">
        <v>21.025700000000001</v>
      </c>
      <c r="AW88">
        <v>15.1508</v>
      </c>
      <c r="AX88">
        <v>694.06399999999996</v>
      </c>
      <c r="AY88">
        <v>20.753799999999998</v>
      </c>
      <c r="AZ88">
        <v>300.274</v>
      </c>
      <c r="BA88">
        <v>99.266199999999998</v>
      </c>
      <c r="BB88">
        <v>0.10004</v>
      </c>
      <c r="BC88">
        <v>24.718</v>
      </c>
      <c r="BD88">
        <v>27.006599999999999</v>
      </c>
      <c r="BE88">
        <v>26.172799999999999</v>
      </c>
      <c r="BF88">
        <v>0</v>
      </c>
      <c r="BG88">
        <v>0</v>
      </c>
      <c r="BH88">
        <v>10027.5</v>
      </c>
      <c r="BI88">
        <v>1047.72</v>
      </c>
      <c r="BJ88">
        <v>1.68198</v>
      </c>
      <c r="BK88">
        <v>-106.137</v>
      </c>
      <c r="BL88">
        <v>708.79899999999998</v>
      </c>
      <c r="BM88">
        <v>812.34</v>
      </c>
      <c r="BN88">
        <v>5.8748699999999996</v>
      </c>
      <c r="BO88">
        <v>800.03300000000002</v>
      </c>
      <c r="BP88">
        <v>15.1508</v>
      </c>
      <c r="BQ88">
        <v>2.0871400000000002</v>
      </c>
      <c r="BR88">
        <v>1.50396</v>
      </c>
      <c r="BS88">
        <v>18.121400000000001</v>
      </c>
      <c r="BT88">
        <v>13.0085</v>
      </c>
      <c r="BU88">
        <v>1799.99</v>
      </c>
      <c r="BV88">
        <v>0.91000999999999999</v>
      </c>
      <c r="BW88">
        <v>3.4000900000000001E-2</v>
      </c>
      <c r="BX88">
        <v>2.1995199999999999E-2</v>
      </c>
      <c r="BY88">
        <v>3.3993500000000003E-2</v>
      </c>
      <c r="BZ88">
        <v>25.666699999999999</v>
      </c>
      <c r="CA88">
        <v>33528.300000000003</v>
      </c>
      <c r="CB88">
        <v>1690303320.5</v>
      </c>
      <c r="CC88" t="s">
        <v>332</v>
      </c>
      <c r="CD88">
        <v>1690303320.5</v>
      </c>
      <c r="CE88">
        <v>1690303310.0999999</v>
      </c>
      <c r="CF88">
        <v>8</v>
      </c>
      <c r="CG88">
        <v>7.3999999999999996E-2</v>
      </c>
      <c r="CH88">
        <v>-0.01</v>
      </c>
      <c r="CI88">
        <v>-0.24199999999999999</v>
      </c>
      <c r="CJ88">
        <v>0.27200000000000002</v>
      </c>
      <c r="CK88">
        <v>800</v>
      </c>
      <c r="CL88">
        <v>23</v>
      </c>
      <c r="CM88">
        <v>0.06</v>
      </c>
      <c r="CN88">
        <v>0.09</v>
      </c>
      <c r="CO88">
        <v>-102.9795</v>
      </c>
      <c r="CP88">
        <v>-17.669065666041199</v>
      </c>
      <c r="CQ88">
        <v>1.700566684961222</v>
      </c>
      <c r="CR88">
        <v>-1</v>
      </c>
      <c r="CS88">
        <v>5.7490724999999996</v>
      </c>
      <c r="CT88">
        <v>0.67269208255158708</v>
      </c>
      <c r="CU88">
        <v>6.7065368065418032E-2</v>
      </c>
      <c r="CV88">
        <v>-1</v>
      </c>
      <c r="CW88">
        <v>0</v>
      </c>
      <c r="CX88">
        <v>0</v>
      </c>
      <c r="CY88" t="s">
        <v>333</v>
      </c>
      <c r="CZ88">
        <v>2.3645299999999998</v>
      </c>
      <c r="DA88">
        <v>2.7138599999999999</v>
      </c>
      <c r="DB88">
        <v>0.13342399999999999</v>
      </c>
      <c r="DC88">
        <v>0.14646000000000001</v>
      </c>
      <c r="DD88">
        <v>0.103492</v>
      </c>
      <c r="DE88">
        <v>8.0891000000000005E-2</v>
      </c>
      <c r="DF88">
        <v>31638.7</v>
      </c>
      <c r="DG88">
        <v>27509.599999999999</v>
      </c>
      <c r="DH88">
        <v>31169.4</v>
      </c>
      <c r="DI88">
        <v>28084.5</v>
      </c>
      <c r="DJ88">
        <v>37942.699999999997</v>
      </c>
      <c r="DK88">
        <v>36710.6</v>
      </c>
      <c r="DL88">
        <v>44358.8</v>
      </c>
      <c r="DM88">
        <v>42573.9</v>
      </c>
      <c r="DN88">
        <v>1.43442</v>
      </c>
      <c r="DO88">
        <v>2.0484800000000001</v>
      </c>
      <c r="DP88">
        <v>0.176534</v>
      </c>
      <c r="DQ88">
        <v>0.14039099999999999</v>
      </c>
      <c r="DR88">
        <v>24.1127</v>
      </c>
      <c r="DS88">
        <v>23.869399999999999</v>
      </c>
      <c r="DT88">
        <v>56.5</v>
      </c>
      <c r="DU88">
        <v>29.1</v>
      </c>
      <c r="DV88">
        <v>23.023900000000001</v>
      </c>
      <c r="DW88">
        <v>61.411200000000001</v>
      </c>
      <c r="DX88">
        <v>35.588900000000002</v>
      </c>
      <c r="DY88">
        <v>1</v>
      </c>
      <c r="DZ88">
        <v>-6.9555400000000003E-2</v>
      </c>
      <c r="EA88">
        <v>0.99894300000000003</v>
      </c>
      <c r="EB88">
        <v>20.186299999999999</v>
      </c>
      <c r="EC88">
        <v>5.2406499999999996</v>
      </c>
      <c r="ED88">
        <v>12.039899999999999</v>
      </c>
      <c r="EE88">
        <v>5.0167999999999999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1.8689100000000001</v>
      </c>
      <c r="EL88">
        <v>1.8646199999999999</v>
      </c>
      <c r="EM88">
        <v>1.8692</v>
      </c>
      <c r="EN88">
        <v>1.86727</v>
      </c>
      <c r="EO88">
        <v>1.8633999999999999</v>
      </c>
      <c r="EP88">
        <v>1.86449</v>
      </c>
      <c r="EQ88">
        <v>1.8702000000000001</v>
      </c>
      <c r="ER88">
        <v>1.86944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-0.16800000000000001</v>
      </c>
      <c r="FG88">
        <v>0.27189999999999998</v>
      </c>
      <c r="FH88">
        <v>0.30965466913576151</v>
      </c>
      <c r="FI88">
        <v>-6.1462078757559423E-4</v>
      </c>
      <c r="FJ88">
        <v>-1.8861989874597051E-7</v>
      </c>
      <c r="FK88">
        <v>1.1980462299894961E-10</v>
      </c>
      <c r="FL88">
        <v>0.27184999999999349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21.8</v>
      </c>
      <c r="FU88">
        <v>22</v>
      </c>
      <c r="FV88">
        <v>1.78467</v>
      </c>
      <c r="FW88">
        <v>2.5903299999999998</v>
      </c>
      <c r="FX88">
        <v>1.5490699999999999</v>
      </c>
      <c r="FY88">
        <v>2.3290999999999999</v>
      </c>
      <c r="FZ88">
        <v>1.50146</v>
      </c>
      <c r="GA88">
        <v>2.3303199999999999</v>
      </c>
      <c r="GB88">
        <v>33.918700000000001</v>
      </c>
      <c r="GC88">
        <v>23.982399999999998</v>
      </c>
      <c r="GD88">
        <v>19</v>
      </c>
      <c r="GE88">
        <v>266.56700000000001</v>
      </c>
      <c r="GF88">
        <v>596.25699999999995</v>
      </c>
      <c r="GG88">
        <v>21.586200000000002</v>
      </c>
      <c r="GH88">
        <v>26.482500000000002</v>
      </c>
      <c r="GI88">
        <v>29.9998</v>
      </c>
      <c r="GJ88">
        <v>26.620699999999999</v>
      </c>
      <c r="GK88">
        <v>26.602399999999999</v>
      </c>
      <c r="GL88">
        <v>35.697699999999998</v>
      </c>
      <c r="GM88">
        <v>40.624899999999997</v>
      </c>
      <c r="GN88">
        <v>90.156499999999994</v>
      </c>
      <c r="GO88">
        <v>21.604900000000001</v>
      </c>
      <c r="GP88">
        <v>800</v>
      </c>
      <c r="GQ88">
        <v>15.015499999999999</v>
      </c>
      <c r="GR88">
        <v>99.731200000000001</v>
      </c>
      <c r="GS88">
        <v>99.588200000000001</v>
      </c>
    </row>
    <row r="89" spans="1:201" x14ac:dyDescent="0.25">
      <c r="A89">
        <v>73</v>
      </c>
      <c r="B89">
        <v>1690304639.5</v>
      </c>
      <c r="C89">
        <v>889.5</v>
      </c>
      <c r="D89" t="s">
        <v>477</v>
      </c>
      <c r="E89" t="s">
        <v>478</v>
      </c>
      <c r="F89" t="s">
        <v>330</v>
      </c>
      <c r="H89">
        <v>1690304639.5</v>
      </c>
      <c r="I89">
        <f t="shared" si="30"/>
        <v>5.6137861690957341E-4</v>
      </c>
      <c r="J89">
        <f t="shared" si="31"/>
        <v>0.56137861690957336</v>
      </c>
      <c r="K89">
        <f t="shared" si="32"/>
        <v>9.5403348214058816</v>
      </c>
      <c r="L89">
        <f t="shared" si="33"/>
        <v>690.87300000000005</v>
      </c>
      <c r="M89">
        <f t="shared" si="34"/>
        <v>275.44841621073243</v>
      </c>
      <c r="N89">
        <f t="shared" si="35"/>
        <v>27.369000310235805</v>
      </c>
      <c r="O89">
        <f t="shared" si="36"/>
        <v>68.646259112514002</v>
      </c>
      <c r="P89">
        <f t="shared" si="37"/>
        <v>3.8116109919685233E-2</v>
      </c>
      <c r="Q89">
        <f t="shared" si="38"/>
        <v>2.0937199573189633</v>
      </c>
      <c r="R89">
        <f t="shared" si="39"/>
        <v>3.7734771566653252E-2</v>
      </c>
      <c r="S89">
        <f t="shared" si="40"/>
        <v>2.3618175944166649E-2</v>
      </c>
      <c r="T89">
        <f t="shared" si="41"/>
        <v>276.11432045999999</v>
      </c>
      <c r="U89">
        <f t="shared" si="42"/>
        <v>26.756601996156057</v>
      </c>
      <c r="V89">
        <f t="shared" si="43"/>
        <v>26.756601996156057</v>
      </c>
      <c r="W89">
        <f t="shared" si="44"/>
        <v>3.5283124127610277</v>
      </c>
      <c r="X89">
        <f t="shared" si="45"/>
        <v>66.844633348492096</v>
      </c>
      <c r="Y89">
        <f t="shared" si="46"/>
        <v>2.0919197607248003</v>
      </c>
      <c r="Z89">
        <f t="shared" si="47"/>
        <v>3.1295253723939993</v>
      </c>
      <c r="AA89">
        <f t="shared" si="48"/>
        <v>1.4363926520362273</v>
      </c>
      <c r="AB89">
        <f t="shared" si="49"/>
        <v>-24.756797005712187</v>
      </c>
      <c r="AC89">
        <f t="shared" si="50"/>
        <v>-228.3496484951259</v>
      </c>
      <c r="AD89">
        <f t="shared" si="51"/>
        <v>-23.243435408161751</v>
      </c>
      <c r="AE89">
        <f t="shared" si="52"/>
        <v>-0.23556044899987683</v>
      </c>
      <c r="AF89">
        <v>12</v>
      </c>
      <c r="AG89">
        <v>4</v>
      </c>
      <c r="AH89">
        <f t="shared" si="53"/>
        <v>1</v>
      </c>
      <c r="AI89">
        <f t="shared" si="54"/>
        <v>0</v>
      </c>
      <c r="AJ89">
        <f t="shared" si="55"/>
        <v>52603.904696662459</v>
      </c>
      <c r="AK89">
        <f t="shared" si="56"/>
        <v>1800</v>
      </c>
      <c r="AL89">
        <f t="shared" si="57"/>
        <v>1499.1121350000001</v>
      </c>
      <c r="AM89">
        <f t="shared" si="58"/>
        <v>0.83284007500000001</v>
      </c>
      <c r="AN89">
        <f t="shared" si="59"/>
        <v>0.15339684470000001</v>
      </c>
      <c r="AO89">
        <v>33</v>
      </c>
      <c r="AP89">
        <v>0.5</v>
      </c>
      <c r="AQ89" t="s">
        <v>331</v>
      </c>
      <c r="AR89">
        <v>2</v>
      </c>
      <c r="AS89">
        <v>1690304639.5</v>
      </c>
      <c r="AT89">
        <v>690.87300000000005</v>
      </c>
      <c r="AU89">
        <v>800.04399999999998</v>
      </c>
      <c r="AV89">
        <v>21.053599999999999</v>
      </c>
      <c r="AW89">
        <v>15.0106</v>
      </c>
      <c r="AX89">
        <v>691.03899999999999</v>
      </c>
      <c r="AY89">
        <v>20.7818</v>
      </c>
      <c r="AZ89">
        <v>300.10700000000003</v>
      </c>
      <c r="BA89">
        <v>99.261600000000001</v>
      </c>
      <c r="BB89">
        <v>0.100018</v>
      </c>
      <c r="BC89">
        <v>24.733599999999999</v>
      </c>
      <c r="BD89">
        <v>27.0197</v>
      </c>
      <c r="BE89">
        <v>26.195</v>
      </c>
      <c r="BF89">
        <v>0</v>
      </c>
      <c r="BG89">
        <v>0</v>
      </c>
      <c r="BH89">
        <v>9944.3799999999992</v>
      </c>
      <c r="BI89">
        <v>1047.6600000000001</v>
      </c>
      <c r="BJ89">
        <v>1.68198</v>
      </c>
      <c r="BK89">
        <v>-109.17100000000001</v>
      </c>
      <c r="BL89">
        <v>705.73099999999999</v>
      </c>
      <c r="BM89">
        <v>812.23599999999999</v>
      </c>
      <c r="BN89">
        <v>6.0430000000000001</v>
      </c>
      <c r="BO89">
        <v>800.04399999999998</v>
      </c>
      <c r="BP89">
        <v>15.0106</v>
      </c>
      <c r="BQ89">
        <v>2.08982</v>
      </c>
      <c r="BR89">
        <v>1.4899800000000001</v>
      </c>
      <c r="BS89">
        <v>18.1418</v>
      </c>
      <c r="BT89">
        <v>12.8657</v>
      </c>
      <c r="BU89">
        <v>1800</v>
      </c>
      <c r="BV89">
        <v>0.91001299999999996</v>
      </c>
      <c r="BW89">
        <v>3.3999700000000001E-2</v>
      </c>
      <c r="BX89">
        <v>2.19945E-2</v>
      </c>
      <c r="BY89">
        <v>3.39922E-2</v>
      </c>
      <c r="BZ89">
        <v>25.666699999999999</v>
      </c>
      <c r="CA89">
        <v>33528.400000000001</v>
      </c>
      <c r="CB89">
        <v>1690303320.5</v>
      </c>
      <c r="CC89" t="s">
        <v>332</v>
      </c>
      <c r="CD89">
        <v>1690303320.5</v>
      </c>
      <c r="CE89">
        <v>1690303310.0999999</v>
      </c>
      <c r="CF89">
        <v>8</v>
      </c>
      <c r="CG89">
        <v>7.3999999999999996E-2</v>
      </c>
      <c r="CH89">
        <v>-0.01</v>
      </c>
      <c r="CI89">
        <v>-0.24199999999999999</v>
      </c>
      <c r="CJ89">
        <v>0.27200000000000002</v>
      </c>
      <c r="CK89">
        <v>800</v>
      </c>
      <c r="CL89">
        <v>23</v>
      </c>
      <c r="CM89">
        <v>0.06</v>
      </c>
      <c r="CN89">
        <v>0.09</v>
      </c>
      <c r="CO89">
        <v>-105.930575</v>
      </c>
      <c r="CP89">
        <v>-17.895253283301951</v>
      </c>
      <c r="CQ89">
        <v>1.721803166559696</v>
      </c>
      <c r="CR89">
        <v>-1</v>
      </c>
      <c r="CS89">
        <v>5.8861469999999994</v>
      </c>
      <c r="CT89">
        <v>0.98264352720447601</v>
      </c>
      <c r="CU89">
        <v>9.637671495750412E-2</v>
      </c>
      <c r="CV89">
        <v>-1</v>
      </c>
      <c r="CW89">
        <v>0</v>
      </c>
      <c r="CX89">
        <v>0</v>
      </c>
      <c r="CY89" t="s">
        <v>333</v>
      </c>
      <c r="CZ89">
        <v>2.3639899999999998</v>
      </c>
      <c r="DA89">
        <v>2.7137600000000002</v>
      </c>
      <c r="DB89">
        <v>0.133021</v>
      </c>
      <c r="DC89">
        <v>0.146453</v>
      </c>
      <c r="DD89">
        <v>0.103588</v>
      </c>
      <c r="DE89">
        <v>8.03392E-2</v>
      </c>
      <c r="DF89">
        <v>31653.8</v>
      </c>
      <c r="DG89">
        <v>27510.1</v>
      </c>
      <c r="DH89">
        <v>31169.8</v>
      </c>
      <c r="DI89">
        <v>28084.799999999999</v>
      </c>
      <c r="DJ89">
        <v>37939</v>
      </c>
      <c r="DK89">
        <v>36733</v>
      </c>
      <c r="DL89">
        <v>44359.3</v>
      </c>
      <c r="DM89">
        <v>42574.3</v>
      </c>
      <c r="DN89">
        <v>1.4341999999999999</v>
      </c>
      <c r="DO89">
        <v>2.0487799999999998</v>
      </c>
      <c r="DP89">
        <v>0.177644</v>
      </c>
      <c r="DQ89">
        <v>0.14185900000000001</v>
      </c>
      <c r="DR89">
        <v>24.107700000000001</v>
      </c>
      <c r="DS89">
        <v>23.8675</v>
      </c>
      <c r="DT89">
        <v>56.4</v>
      </c>
      <c r="DU89">
        <v>29</v>
      </c>
      <c r="DV89">
        <v>22.851900000000001</v>
      </c>
      <c r="DW89">
        <v>62.061199999999999</v>
      </c>
      <c r="DX89">
        <v>36.2179</v>
      </c>
      <c r="DY89">
        <v>1</v>
      </c>
      <c r="DZ89">
        <v>-6.8328299999999995E-2</v>
      </c>
      <c r="EA89">
        <v>2.8007599999999999</v>
      </c>
      <c r="EB89">
        <v>20.159199999999998</v>
      </c>
      <c r="EC89">
        <v>5.2409499999999998</v>
      </c>
      <c r="ED89">
        <v>12.039899999999999</v>
      </c>
      <c r="EE89">
        <v>5.0164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1.8689199999999999</v>
      </c>
      <c r="EL89">
        <v>1.8646199999999999</v>
      </c>
      <c r="EM89">
        <v>1.8692</v>
      </c>
      <c r="EN89">
        <v>1.8672599999999999</v>
      </c>
      <c r="EO89">
        <v>1.8633999999999999</v>
      </c>
      <c r="EP89">
        <v>1.8644799999999999</v>
      </c>
      <c r="EQ89">
        <v>1.8702000000000001</v>
      </c>
      <c r="ER89">
        <v>1.8694299999999999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-0.16600000000000001</v>
      </c>
      <c r="FG89">
        <v>0.27179999999999999</v>
      </c>
      <c r="FH89">
        <v>0.30965466913576151</v>
      </c>
      <c r="FI89">
        <v>-6.1462078757559423E-4</v>
      </c>
      <c r="FJ89">
        <v>-1.8861989874597051E-7</v>
      </c>
      <c r="FK89">
        <v>1.1980462299894961E-10</v>
      </c>
      <c r="FL89">
        <v>0.27184999999999349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22</v>
      </c>
      <c r="FU89">
        <v>22.2</v>
      </c>
      <c r="FV89">
        <v>1.78589</v>
      </c>
      <c r="FW89">
        <v>2.5915499999999998</v>
      </c>
      <c r="FX89">
        <v>1.5490699999999999</v>
      </c>
      <c r="FY89">
        <v>2.3290999999999999</v>
      </c>
      <c r="FZ89">
        <v>1.50146</v>
      </c>
      <c r="GA89">
        <v>2.3742700000000001</v>
      </c>
      <c r="GB89">
        <v>33.918700000000001</v>
      </c>
      <c r="GC89">
        <v>23.973700000000001</v>
      </c>
      <c r="GD89">
        <v>19</v>
      </c>
      <c r="GE89">
        <v>266.46100000000001</v>
      </c>
      <c r="GF89">
        <v>596.47900000000004</v>
      </c>
      <c r="GG89">
        <v>21.5166</v>
      </c>
      <c r="GH89">
        <v>26.474900000000002</v>
      </c>
      <c r="GI89">
        <v>30.001200000000001</v>
      </c>
      <c r="GJ89">
        <v>26.6173</v>
      </c>
      <c r="GK89">
        <v>26.599699999999999</v>
      </c>
      <c r="GL89">
        <v>35.695</v>
      </c>
      <c r="GM89">
        <v>40.921700000000001</v>
      </c>
      <c r="GN89">
        <v>89.777699999999996</v>
      </c>
      <c r="GO89">
        <v>21.216699999999999</v>
      </c>
      <c r="GP89">
        <v>800</v>
      </c>
      <c r="GQ89">
        <v>14.886799999999999</v>
      </c>
      <c r="GR89">
        <v>99.732399999999998</v>
      </c>
      <c r="GS89">
        <v>99.589100000000002</v>
      </c>
    </row>
    <row r="90" spans="1:201" x14ac:dyDescent="0.25">
      <c r="A90">
        <v>74</v>
      </c>
      <c r="B90">
        <v>1690304649.5</v>
      </c>
      <c r="C90">
        <v>899.5</v>
      </c>
      <c r="D90" t="s">
        <v>479</v>
      </c>
      <c r="E90" t="s">
        <v>480</v>
      </c>
      <c r="F90" t="s">
        <v>330</v>
      </c>
      <c r="H90">
        <v>1690304649.5</v>
      </c>
      <c r="I90">
        <f t="shared" si="30"/>
        <v>5.6600719445481346E-4</v>
      </c>
      <c r="J90">
        <f t="shared" si="31"/>
        <v>0.56600719445481351</v>
      </c>
      <c r="K90">
        <f t="shared" si="32"/>
        <v>9.8107872369973261</v>
      </c>
      <c r="L90">
        <f t="shared" si="33"/>
        <v>687.86599999999999</v>
      </c>
      <c r="M90">
        <f t="shared" si="34"/>
        <v>264.5038115246403</v>
      </c>
      <c r="N90">
        <f t="shared" si="35"/>
        <v>26.283969108450925</v>
      </c>
      <c r="O90">
        <f t="shared" si="36"/>
        <v>68.353830481832006</v>
      </c>
      <c r="P90">
        <f t="shared" si="37"/>
        <v>3.8428020959882341E-2</v>
      </c>
      <c r="Q90">
        <f t="shared" si="38"/>
        <v>2.0973771426261729</v>
      </c>
      <c r="R90">
        <f t="shared" si="39"/>
        <v>3.8041118645506446E-2</v>
      </c>
      <c r="S90">
        <f t="shared" si="40"/>
        <v>2.3810136081947895E-2</v>
      </c>
      <c r="T90">
        <f t="shared" si="41"/>
        <v>276.11438628600001</v>
      </c>
      <c r="U90">
        <f t="shared" si="42"/>
        <v>26.724308287178182</v>
      </c>
      <c r="V90">
        <f t="shared" si="43"/>
        <v>26.724308287178182</v>
      </c>
      <c r="W90">
        <f t="shared" si="44"/>
        <v>3.5216136845231869</v>
      </c>
      <c r="X90">
        <f t="shared" si="45"/>
        <v>66.726686522961771</v>
      </c>
      <c r="Y90">
        <f t="shared" si="46"/>
        <v>2.0848004749599998</v>
      </c>
      <c r="Z90">
        <f t="shared" si="47"/>
        <v>3.1243878328089689</v>
      </c>
      <c r="AA90">
        <f t="shared" si="48"/>
        <v>1.4368132095631871</v>
      </c>
      <c r="AB90">
        <f t="shared" si="49"/>
        <v>-24.960917275457273</v>
      </c>
      <c r="AC90">
        <f t="shared" si="50"/>
        <v>-228.20647318576539</v>
      </c>
      <c r="AD90">
        <f t="shared" si="51"/>
        <v>-23.181395505311411</v>
      </c>
      <c r="AE90">
        <f t="shared" si="52"/>
        <v>-0.23439968053403959</v>
      </c>
      <c r="AF90">
        <v>12</v>
      </c>
      <c r="AG90">
        <v>4</v>
      </c>
      <c r="AH90">
        <f t="shared" si="53"/>
        <v>1</v>
      </c>
      <c r="AI90">
        <f t="shared" si="54"/>
        <v>0</v>
      </c>
      <c r="AJ90">
        <f t="shared" si="55"/>
        <v>52772.318282892891</v>
      </c>
      <c r="AK90">
        <f t="shared" si="56"/>
        <v>1800</v>
      </c>
      <c r="AL90">
        <f t="shared" si="57"/>
        <v>1499.1131016000002</v>
      </c>
      <c r="AM90">
        <f t="shared" si="58"/>
        <v>0.83284061200000004</v>
      </c>
      <c r="AN90">
        <f t="shared" si="59"/>
        <v>0.15339688127000001</v>
      </c>
      <c r="AO90">
        <v>33</v>
      </c>
      <c r="AP90">
        <v>0.5</v>
      </c>
      <c r="AQ90" t="s">
        <v>331</v>
      </c>
      <c r="AR90">
        <v>2</v>
      </c>
      <c r="AS90">
        <v>1690304649.5</v>
      </c>
      <c r="AT90">
        <v>687.86599999999999</v>
      </c>
      <c r="AU90">
        <v>800.024</v>
      </c>
      <c r="AV90">
        <v>20.98</v>
      </c>
      <c r="AW90">
        <v>14.886900000000001</v>
      </c>
      <c r="AX90">
        <v>688.029</v>
      </c>
      <c r="AY90">
        <v>20.708100000000002</v>
      </c>
      <c r="AZ90">
        <v>300.11599999999999</v>
      </c>
      <c r="BA90">
        <v>99.270799999999994</v>
      </c>
      <c r="BB90">
        <v>0.100052</v>
      </c>
      <c r="BC90">
        <v>24.706099999999999</v>
      </c>
      <c r="BD90">
        <v>26.991299999999999</v>
      </c>
      <c r="BE90">
        <v>26.170100000000001</v>
      </c>
      <c r="BF90">
        <v>0</v>
      </c>
      <c r="BG90">
        <v>0</v>
      </c>
      <c r="BH90">
        <v>9975.6200000000008</v>
      </c>
      <c r="BI90">
        <v>1047.6600000000001</v>
      </c>
      <c r="BJ90">
        <v>1.68198</v>
      </c>
      <c r="BK90">
        <v>-112.15900000000001</v>
      </c>
      <c r="BL90">
        <v>702.60699999999997</v>
      </c>
      <c r="BM90">
        <v>812.11400000000003</v>
      </c>
      <c r="BN90">
        <v>6.0930799999999996</v>
      </c>
      <c r="BO90">
        <v>800.024</v>
      </c>
      <c r="BP90">
        <v>14.886900000000001</v>
      </c>
      <c r="BQ90">
        <v>2.0827</v>
      </c>
      <c r="BR90">
        <v>1.47784</v>
      </c>
      <c r="BS90">
        <v>18.087499999999999</v>
      </c>
      <c r="BT90">
        <v>12.7408</v>
      </c>
      <c r="BU90">
        <v>1800</v>
      </c>
      <c r="BV90">
        <v>0.91001500000000002</v>
      </c>
      <c r="BW90">
        <v>3.3999099999999997E-2</v>
      </c>
      <c r="BX90">
        <v>2.1994099999999999E-2</v>
      </c>
      <c r="BY90">
        <v>3.39917E-2</v>
      </c>
      <c r="BZ90">
        <v>25.666699999999999</v>
      </c>
      <c r="CA90">
        <v>33528.5</v>
      </c>
      <c r="CB90">
        <v>1690303320.5</v>
      </c>
      <c r="CC90" t="s">
        <v>332</v>
      </c>
      <c r="CD90">
        <v>1690303320.5</v>
      </c>
      <c r="CE90">
        <v>1690303310.0999999</v>
      </c>
      <c r="CF90">
        <v>8</v>
      </c>
      <c r="CG90">
        <v>7.3999999999999996E-2</v>
      </c>
      <c r="CH90">
        <v>-0.01</v>
      </c>
      <c r="CI90">
        <v>-0.24199999999999999</v>
      </c>
      <c r="CJ90">
        <v>0.27200000000000002</v>
      </c>
      <c r="CK90">
        <v>800</v>
      </c>
      <c r="CL90">
        <v>23</v>
      </c>
      <c r="CM90">
        <v>0.06</v>
      </c>
      <c r="CN90">
        <v>0.09</v>
      </c>
      <c r="CO90">
        <v>-108.945925</v>
      </c>
      <c r="CP90">
        <v>-18.276551594746401</v>
      </c>
      <c r="CQ90">
        <v>1.758237475250428</v>
      </c>
      <c r="CR90">
        <v>-1</v>
      </c>
      <c r="CS90">
        <v>6.0219134999999993</v>
      </c>
      <c r="CT90">
        <v>0.60413741088178707</v>
      </c>
      <c r="CU90">
        <v>6.4040437715165655E-2</v>
      </c>
      <c r="CV90">
        <v>-1</v>
      </c>
      <c r="CW90">
        <v>0</v>
      </c>
      <c r="CX90">
        <v>0</v>
      </c>
      <c r="CY90" t="s">
        <v>333</v>
      </c>
      <c r="CZ90">
        <v>2.3640099999999999</v>
      </c>
      <c r="DA90">
        <v>2.7138200000000001</v>
      </c>
      <c r="DB90">
        <v>0.13263900000000001</v>
      </c>
      <c r="DC90">
        <v>0.14646600000000001</v>
      </c>
      <c r="DD90">
        <v>0.10334</v>
      </c>
      <c r="DE90">
        <v>7.9862900000000001E-2</v>
      </c>
      <c r="DF90">
        <v>31667.8</v>
      </c>
      <c r="DG90">
        <v>27509.5</v>
      </c>
      <c r="DH90">
        <v>31169.8</v>
      </c>
      <c r="DI90">
        <v>28084.5</v>
      </c>
      <c r="DJ90">
        <v>37949.599999999999</v>
      </c>
      <c r="DK90">
        <v>36751.9</v>
      </c>
      <c r="DL90">
        <v>44359.3</v>
      </c>
      <c r="DM90">
        <v>42574</v>
      </c>
      <c r="DN90">
        <v>1.4347300000000001</v>
      </c>
      <c r="DO90">
        <v>2.0487799999999998</v>
      </c>
      <c r="DP90">
        <v>0.17616200000000001</v>
      </c>
      <c r="DQ90">
        <v>0.140376</v>
      </c>
      <c r="DR90">
        <v>24.1035</v>
      </c>
      <c r="DS90">
        <v>23.866900000000001</v>
      </c>
      <c r="DT90">
        <v>56.4</v>
      </c>
      <c r="DU90">
        <v>29</v>
      </c>
      <c r="DV90">
        <v>22.8505</v>
      </c>
      <c r="DW90">
        <v>61.991199999999999</v>
      </c>
      <c r="DX90">
        <v>36.546500000000002</v>
      </c>
      <c r="DY90">
        <v>1</v>
      </c>
      <c r="DZ90">
        <v>-6.8262199999999995E-2</v>
      </c>
      <c r="EA90">
        <v>1.9690000000000001</v>
      </c>
      <c r="EB90">
        <v>20.1755</v>
      </c>
      <c r="EC90">
        <v>5.2408000000000001</v>
      </c>
      <c r="ED90">
        <v>12.039899999999999</v>
      </c>
      <c r="EE90">
        <v>5.0158500000000004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1.8646199999999999</v>
      </c>
      <c r="EM90">
        <v>1.8692</v>
      </c>
      <c r="EN90">
        <v>1.86724</v>
      </c>
      <c r="EO90">
        <v>1.8633900000000001</v>
      </c>
      <c r="EP90">
        <v>1.8644700000000001</v>
      </c>
      <c r="EQ90">
        <v>1.8702000000000001</v>
      </c>
      <c r="ER90">
        <v>1.86944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-0.16300000000000001</v>
      </c>
      <c r="FG90">
        <v>0.27189999999999998</v>
      </c>
      <c r="FH90">
        <v>0.30965466913576151</v>
      </c>
      <c r="FI90">
        <v>-6.1462078757559423E-4</v>
      </c>
      <c r="FJ90">
        <v>-1.8861989874597051E-7</v>
      </c>
      <c r="FK90">
        <v>1.1980462299894961E-10</v>
      </c>
      <c r="FL90">
        <v>0.27184999999999349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22.1</v>
      </c>
      <c r="FU90">
        <v>22.3</v>
      </c>
      <c r="FV90">
        <v>1.78467</v>
      </c>
      <c r="FW90">
        <v>2.5927699999999998</v>
      </c>
      <c r="FX90">
        <v>1.5490699999999999</v>
      </c>
      <c r="FY90">
        <v>2.3290999999999999</v>
      </c>
      <c r="FZ90">
        <v>1.50146</v>
      </c>
      <c r="GA90">
        <v>2.33521</v>
      </c>
      <c r="GB90">
        <v>33.896099999999997</v>
      </c>
      <c r="GC90">
        <v>23.973700000000001</v>
      </c>
      <c r="GD90">
        <v>19</v>
      </c>
      <c r="GE90">
        <v>266.65300000000002</v>
      </c>
      <c r="GF90">
        <v>596.43299999999999</v>
      </c>
      <c r="GG90">
        <v>21.139299999999999</v>
      </c>
      <c r="GH90">
        <v>26.467600000000001</v>
      </c>
      <c r="GI90">
        <v>29.9998</v>
      </c>
      <c r="GJ90">
        <v>26.611699999999999</v>
      </c>
      <c r="GK90">
        <v>26.595800000000001</v>
      </c>
      <c r="GL90">
        <v>35.691800000000001</v>
      </c>
      <c r="GM90">
        <v>41.198700000000002</v>
      </c>
      <c r="GN90">
        <v>89.403899999999993</v>
      </c>
      <c r="GO90">
        <v>21.169799999999999</v>
      </c>
      <c r="GP90">
        <v>800</v>
      </c>
      <c r="GQ90">
        <v>14.8408</v>
      </c>
      <c r="GR90">
        <v>99.732399999999998</v>
      </c>
      <c r="GS90">
        <v>99.588399999999993</v>
      </c>
    </row>
    <row r="91" spans="1:201" x14ac:dyDescent="0.25">
      <c r="A91">
        <v>75</v>
      </c>
      <c r="B91">
        <v>1690304659.5</v>
      </c>
      <c r="C91">
        <v>909.5</v>
      </c>
      <c r="D91" t="s">
        <v>481</v>
      </c>
      <c r="E91" t="s">
        <v>482</v>
      </c>
      <c r="F91" t="s">
        <v>330</v>
      </c>
      <c r="H91">
        <v>1690304659.5</v>
      </c>
      <c r="I91">
        <f t="shared" si="30"/>
        <v>5.7361253123555428E-4</v>
      </c>
      <c r="J91">
        <f t="shared" si="31"/>
        <v>0.57361253123555433</v>
      </c>
      <c r="K91">
        <f t="shared" si="32"/>
        <v>10.076187648265858</v>
      </c>
      <c r="L91">
        <f t="shared" si="33"/>
        <v>684.9</v>
      </c>
      <c r="M91">
        <f t="shared" si="34"/>
        <v>257.66397298051254</v>
      </c>
      <c r="N91">
        <f t="shared" si="35"/>
        <v>25.602204925061002</v>
      </c>
      <c r="O91">
        <f t="shared" si="36"/>
        <v>68.053558090950006</v>
      </c>
      <c r="P91">
        <f t="shared" si="37"/>
        <v>3.9089987669036652E-2</v>
      </c>
      <c r="Q91">
        <f t="shared" si="38"/>
        <v>2.1037943589808892</v>
      </c>
      <c r="R91">
        <f t="shared" si="39"/>
        <v>3.8690923272706269E-2</v>
      </c>
      <c r="S91">
        <f t="shared" si="40"/>
        <v>2.4217341813709731E-2</v>
      </c>
      <c r="T91">
        <f t="shared" si="41"/>
        <v>276.11427862800002</v>
      </c>
      <c r="U91">
        <f t="shared" si="42"/>
        <v>26.686279483918298</v>
      </c>
      <c r="V91">
        <f t="shared" si="43"/>
        <v>26.686279483918298</v>
      </c>
      <c r="W91">
        <f t="shared" si="44"/>
        <v>3.5137395564799827</v>
      </c>
      <c r="X91">
        <f t="shared" si="45"/>
        <v>66.759575083212908</v>
      </c>
      <c r="Y91">
        <f t="shared" si="46"/>
        <v>2.08211694222285</v>
      </c>
      <c r="Z91">
        <f t="shared" si="47"/>
        <v>3.1188289314717506</v>
      </c>
      <c r="AA91">
        <f t="shared" si="48"/>
        <v>1.4316226142571327</v>
      </c>
      <c r="AB91">
        <f t="shared" si="49"/>
        <v>-25.296312627487943</v>
      </c>
      <c r="AC91">
        <f t="shared" si="50"/>
        <v>-227.9713936484759</v>
      </c>
      <c r="AD91">
        <f t="shared" si="51"/>
        <v>-23.079013786520662</v>
      </c>
      <c r="AE91">
        <f t="shared" si="52"/>
        <v>-0.23244143448445698</v>
      </c>
      <c r="AF91">
        <v>12</v>
      </c>
      <c r="AG91">
        <v>4</v>
      </c>
      <c r="AH91">
        <f t="shared" si="53"/>
        <v>1</v>
      </c>
      <c r="AI91">
        <f t="shared" si="54"/>
        <v>0</v>
      </c>
      <c r="AJ91">
        <f t="shared" si="55"/>
        <v>53064.935958857728</v>
      </c>
      <c r="AK91">
        <f t="shared" si="56"/>
        <v>1800</v>
      </c>
      <c r="AL91">
        <f t="shared" si="57"/>
        <v>1499.1129648000001</v>
      </c>
      <c r="AM91">
        <f t="shared" si="58"/>
        <v>0.83284053600000008</v>
      </c>
      <c r="AN91">
        <f t="shared" si="59"/>
        <v>0.15339682146000003</v>
      </c>
      <c r="AO91">
        <v>33</v>
      </c>
      <c r="AP91">
        <v>0.5</v>
      </c>
      <c r="AQ91" t="s">
        <v>331</v>
      </c>
      <c r="AR91">
        <v>2</v>
      </c>
      <c r="AS91">
        <v>1690304659.5</v>
      </c>
      <c r="AT91">
        <v>684.9</v>
      </c>
      <c r="AU91">
        <v>799.99400000000003</v>
      </c>
      <c r="AV91">
        <v>20.954699999999999</v>
      </c>
      <c r="AW91">
        <v>14.7807</v>
      </c>
      <c r="AX91">
        <v>685.06100000000004</v>
      </c>
      <c r="AY91">
        <v>20.6828</v>
      </c>
      <c r="AZ91">
        <v>300.17099999999999</v>
      </c>
      <c r="BA91">
        <v>99.262799999999999</v>
      </c>
      <c r="BB91">
        <v>9.9965499999999999E-2</v>
      </c>
      <c r="BC91">
        <v>24.676300000000001</v>
      </c>
      <c r="BD91">
        <v>26.906199999999998</v>
      </c>
      <c r="BE91">
        <v>26.158999999999999</v>
      </c>
      <c r="BF91">
        <v>0</v>
      </c>
      <c r="BG91">
        <v>0</v>
      </c>
      <c r="BH91">
        <v>10033.1</v>
      </c>
      <c r="BI91">
        <v>1047.6099999999999</v>
      </c>
      <c r="BJ91">
        <v>1.68198</v>
      </c>
      <c r="BK91">
        <v>-115.09399999999999</v>
      </c>
      <c r="BL91">
        <v>699.55899999999997</v>
      </c>
      <c r="BM91">
        <v>811.99599999999998</v>
      </c>
      <c r="BN91">
        <v>6.17394</v>
      </c>
      <c r="BO91">
        <v>799.99400000000003</v>
      </c>
      <c r="BP91">
        <v>14.7807</v>
      </c>
      <c r="BQ91">
        <v>2.0800200000000002</v>
      </c>
      <c r="BR91">
        <v>1.4671799999999999</v>
      </c>
      <c r="BS91">
        <v>18.067</v>
      </c>
      <c r="BT91">
        <v>12.6303</v>
      </c>
      <c r="BU91">
        <v>1800</v>
      </c>
      <c r="BV91">
        <v>0.91001600000000005</v>
      </c>
      <c r="BW91">
        <v>3.39987E-2</v>
      </c>
      <c r="BX91">
        <v>2.1993800000000001E-2</v>
      </c>
      <c r="BY91">
        <v>3.3991199999999999E-2</v>
      </c>
      <c r="BZ91">
        <v>25.666699999999999</v>
      </c>
      <c r="CA91">
        <v>33528.6</v>
      </c>
      <c r="CB91">
        <v>1690303320.5</v>
      </c>
      <c r="CC91" t="s">
        <v>332</v>
      </c>
      <c r="CD91">
        <v>1690303320.5</v>
      </c>
      <c r="CE91">
        <v>1690303310.0999999</v>
      </c>
      <c r="CF91">
        <v>8</v>
      </c>
      <c r="CG91">
        <v>7.3999999999999996E-2</v>
      </c>
      <c r="CH91">
        <v>-0.01</v>
      </c>
      <c r="CI91">
        <v>-0.24199999999999999</v>
      </c>
      <c r="CJ91">
        <v>0.27200000000000002</v>
      </c>
      <c r="CK91">
        <v>800</v>
      </c>
      <c r="CL91">
        <v>23</v>
      </c>
      <c r="CM91">
        <v>0.06</v>
      </c>
      <c r="CN91">
        <v>0.09</v>
      </c>
      <c r="CO91">
        <v>-111.96514999999999</v>
      </c>
      <c r="CP91">
        <v>-17.986221388367611</v>
      </c>
      <c r="CQ91">
        <v>1.7304439683214241</v>
      </c>
      <c r="CR91">
        <v>-1</v>
      </c>
      <c r="CS91">
        <v>6.1086412499999998</v>
      </c>
      <c r="CT91">
        <v>0.40590202626640948</v>
      </c>
      <c r="CU91">
        <v>4.2143945780354942E-2</v>
      </c>
      <c r="CV91">
        <v>-1</v>
      </c>
      <c r="CW91">
        <v>0</v>
      </c>
      <c r="CX91">
        <v>0</v>
      </c>
      <c r="CY91" t="s">
        <v>333</v>
      </c>
      <c r="CZ91">
        <v>2.3642099999999999</v>
      </c>
      <c r="DA91">
        <v>2.7137899999999999</v>
      </c>
      <c r="DB91">
        <v>0.13223499999999999</v>
      </c>
      <c r="DC91">
        <v>0.14644799999999999</v>
      </c>
      <c r="DD91">
        <v>0.103241</v>
      </c>
      <c r="DE91">
        <v>7.9437599999999997E-2</v>
      </c>
      <c r="DF91">
        <v>31682.7</v>
      </c>
      <c r="DG91">
        <v>27510.3</v>
      </c>
      <c r="DH91">
        <v>31170</v>
      </c>
      <c r="DI91">
        <v>28084.799999999999</v>
      </c>
      <c r="DJ91">
        <v>37954.1</v>
      </c>
      <c r="DK91">
        <v>36769.199999999997</v>
      </c>
      <c r="DL91">
        <v>44359.8</v>
      </c>
      <c r="DM91">
        <v>42574.400000000001</v>
      </c>
      <c r="DN91">
        <v>1.4347700000000001</v>
      </c>
      <c r="DO91">
        <v>2.0489199999999999</v>
      </c>
      <c r="DP91">
        <v>0.17135600000000001</v>
      </c>
      <c r="DQ91">
        <v>0.140011</v>
      </c>
      <c r="DR91">
        <v>24.096900000000002</v>
      </c>
      <c r="DS91">
        <v>23.861799999999999</v>
      </c>
      <c r="DT91">
        <v>56.3</v>
      </c>
      <c r="DU91">
        <v>29</v>
      </c>
      <c r="DV91">
        <v>22.812000000000001</v>
      </c>
      <c r="DW91">
        <v>61.321199999999997</v>
      </c>
      <c r="DX91">
        <v>35.973599999999998</v>
      </c>
      <c r="DY91">
        <v>1</v>
      </c>
      <c r="DZ91">
        <v>-7.0137199999999997E-2</v>
      </c>
      <c r="EA91">
        <v>1.3305400000000001</v>
      </c>
      <c r="EB91">
        <v>20.183399999999999</v>
      </c>
      <c r="EC91">
        <v>5.2408000000000001</v>
      </c>
      <c r="ED91">
        <v>12.039899999999999</v>
      </c>
      <c r="EE91">
        <v>5.0160999999999998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1.8689100000000001</v>
      </c>
      <c r="EL91">
        <v>1.8646199999999999</v>
      </c>
      <c r="EM91">
        <v>1.8692</v>
      </c>
      <c r="EN91">
        <v>1.8672599999999999</v>
      </c>
      <c r="EO91">
        <v>1.8633999999999999</v>
      </c>
      <c r="EP91">
        <v>1.8644799999999999</v>
      </c>
      <c r="EQ91">
        <v>1.87019</v>
      </c>
      <c r="ER91">
        <v>1.8694500000000001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-0.161</v>
      </c>
      <c r="FG91">
        <v>0.27189999999999998</v>
      </c>
      <c r="FH91">
        <v>0.30965466913576151</v>
      </c>
      <c r="FI91">
        <v>-6.1462078757559423E-4</v>
      </c>
      <c r="FJ91">
        <v>-1.8861989874597051E-7</v>
      </c>
      <c r="FK91">
        <v>1.1980462299894961E-10</v>
      </c>
      <c r="FL91">
        <v>0.27184999999999349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22.3</v>
      </c>
      <c r="FU91">
        <v>22.5</v>
      </c>
      <c r="FV91">
        <v>1.78467</v>
      </c>
      <c r="FW91">
        <v>2.5866699999999998</v>
      </c>
      <c r="FX91">
        <v>1.5490699999999999</v>
      </c>
      <c r="FY91">
        <v>2.3290999999999999</v>
      </c>
      <c r="FZ91">
        <v>1.50146</v>
      </c>
      <c r="GA91">
        <v>2.3803700000000001</v>
      </c>
      <c r="GB91">
        <v>33.896099999999997</v>
      </c>
      <c r="GC91">
        <v>23.982399999999998</v>
      </c>
      <c r="GD91">
        <v>19</v>
      </c>
      <c r="GE91">
        <v>266.65600000000001</v>
      </c>
      <c r="GF91">
        <v>596.53399999999999</v>
      </c>
      <c r="GG91">
        <v>21.153199999999998</v>
      </c>
      <c r="GH91">
        <v>26.460899999999999</v>
      </c>
      <c r="GI91">
        <v>29.999300000000002</v>
      </c>
      <c r="GJ91">
        <v>26.607299999999999</v>
      </c>
      <c r="GK91">
        <v>26.593499999999999</v>
      </c>
      <c r="GL91">
        <v>35.6892</v>
      </c>
      <c r="GM91">
        <v>41.198700000000002</v>
      </c>
      <c r="GN91">
        <v>89.025000000000006</v>
      </c>
      <c r="GO91">
        <v>21.2256</v>
      </c>
      <c r="GP91">
        <v>800</v>
      </c>
      <c r="GQ91">
        <v>14.753500000000001</v>
      </c>
      <c r="GR91">
        <v>99.733400000000003</v>
      </c>
      <c r="GS91">
        <v>99.589299999999994</v>
      </c>
    </row>
    <row r="92" spans="1:201" x14ac:dyDescent="0.25">
      <c r="A92">
        <v>76</v>
      </c>
      <c r="B92">
        <v>1690304669.5</v>
      </c>
      <c r="C92">
        <v>919.5</v>
      </c>
      <c r="D92" t="s">
        <v>483</v>
      </c>
      <c r="E92" t="s">
        <v>484</v>
      </c>
      <c r="F92" t="s">
        <v>330</v>
      </c>
      <c r="H92">
        <v>1690304669.5</v>
      </c>
      <c r="I92">
        <f t="shared" si="30"/>
        <v>5.8129688771469464E-4</v>
      </c>
      <c r="J92">
        <f t="shared" si="31"/>
        <v>0.58129688771469468</v>
      </c>
      <c r="K92">
        <f t="shared" si="32"/>
        <v>10.349217442879951</v>
      </c>
      <c r="L92">
        <f t="shared" si="33"/>
        <v>681.83199999999999</v>
      </c>
      <c r="M92">
        <f t="shared" si="34"/>
        <v>250.74087352043588</v>
      </c>
      <c r="N92">
        <f t="shared" si="35"/>
        <v>24.913359217559723</v>
      </c>
      <c r="O92">
        <f t="shared" si="36"/>
        <v>67.746136892367204</v>
      </c>
      <c r="P92">
        <f t="shared" si="37"/>
        <v>3.9771890202081744E-2</v>
      </c>
      <c r="Q92">
        <f t="shared" si="38"/>
        <v>2.1013546337516162</v>
      </c>
      <c r="R92">
        <f t="shared" si="39"/>
        <v>3.9358386659620159E-2</v>
      </c>
      <c r="S92">
        <f t="shared" si="40"/>
        <v>2.463578497678888E-2</v>
      </c>
      <c r="T92">
        <f t="shared" si="41"/>
        <v>276.11266535222603</v>
      </c>
      <c r="U92">
        <f t="shared" si="42"/>
        <v>26.681276963365448</v>
      </c>
      <c r="V92">
        <f t="shared" si="43"/>
        <v>26.681276963365448</v>
      </c>
      <c r="W92">
        <f t="shared" si="44"/>
        <v>3.5127048947144996</v>
      </c>
      <c r="X92">
        <f t="shared" si="45"/>
        <v>66.920540776315491</v>
      </c>
      <c r="Y92">
        <f t="shared" si="46"/>
        <v>2.08658840859355</v>
      </c>
      <c r="Z92">
        <f t="shared" si="47"/>
        <v>3.1180088869395917</v>
      </c>
      <c r="AA92">
        <f t="shared" si="48"/>
        <v>1.4261164861209497</v>
      </c>
      <c r="AB92">
        <f t="shared" si="49"/>
        <v>-25.635192748218035</v>
      </c>
      <c r="AC92">
        <f t="shared" si="50"/>
        <v>-227.63876162159659</v>
      </c>
      <c r="AD92">
        <f t="shared" si="51"/>
        <v>-23.071005917385122</v>
      </c>
      <c r="AE92">
        <f t="shared" si="52"/>
        <v>-0.23229493497370868</v>
      </c>
      <c r="AF92">
        <v>12</v>
      </c>
      <c r="AG92">
        <v>4</v>
      </c>
      <c r="AH92">
        <f t="shared" si="53"/>
        <v>1</v>
      </c>
      <c r="AI92">
        <f t="shared" si="54"/>
        <v>0</v>
      </c>
      <c r="AJ92">
        <f t="shared" si="55"/>
        <v>52956.203714210293</v>
      </c>
      <c r="AK92">
        <f t="shared" si="56"/>
        <v>1799.99</v>
      </c>
      <c r="AL92">
        <f t="shared" si="57"/>
        <v>1499.1046345946497</v>
      </c>
      <c r="AM92">
        <f t="shared" si="58"/>
        <v>0.83284053499999988</v>
      </c>
      <c r="AN92">
        <f t="shared" si="59"/>
        <v>0.15339677740000002</v>
      </c>
      <c r="AO92">
        <v>33</v>
      </c>
      <c r="AP92">
        <v>0.5</v>
      </c>
      <c r="AQ92" t="s">
        <v>331</v>
      </c>
      <c r="AR92">
        <v>2</v>
      </c>
      <c r="AS92">
        <v>1690304669.5</v>
      </c>
      <c r="AT92">
        <v>681.83199999999999</v>
      </c>
      <c r="AU92">
        <v>799.95799999999997</v>
      </c>
      <c r="AV92">
        <v>21.000499999999999</v>
      </c>
      <c r="AW92">
        <v>14.7445</v>
      </c>
      <c r="AX92">
        <v>681.99099999999999</v>
      </c>
      <c r="AY92">
        <v>20.7287</v>
      </c>
      <c r="AZ92">
        <v>300.19099999999997</v>
      </c>
      <c r="BA92">
        <v>99.259</v>
      </c>
      <c r="BB92">
        <v>9.9987099999999995E-2</v>
      </c>
      <c r="BC92">
        <v>24.671900000000001</v>
      </c>
      <c r="BD92">
        <v>26.902799999999999</v>
      </c>
      <c r="BE92">
        <v>26.1206</v>
      </c>
      <c r="BF92">
        <v>0</v>
      </c>
      <c r="BG92">
        <v>0</v>
      </c>
      <c r="BH92">
        <v>10011.9</v>
      </c>
      <c r="BI92">
        <v>1047.52</v>
      </c>
      <c r="BJ92">
        <v>1.68198</v>
      </c>
      <c r="BK92">
        <v>-118.126</v>
      </c>
      <c r="BL92">
        <v>696.45799999999997</v>
      </c>
      <c r="BM92">
        <v>811.92899999999997</v>
      </c>
      <c r="BN92">
        <v>6.2559800000000001</v>
      </c>
      <c r="BO92">
        <v>799.95799999999997</v>
      </c>
      <c r="BP92">
        <v>14.7445</v>
      </c>
      <c r="BQ92">
        <v>2.0844900000000002</v>
      </c>
      <c r="BR92">
        <v>1.46353</v>
      </c>
      <c r="BS92">
        <v>18.101199999999999</v>
      </c>
      <c r="BT92">
        <v>12.5924</v>
      </c>
      <c r="BU92">
        <v>1799.99</v>
      </c>
      <c r="BV92">
        <v>0.91001699999999996</v>
      </c>
      <c r="BW92">
        <v>3.3998300000000002E-2</v>
      </c>
      <c r="BX92">
        <v>2.1993499999999999E-2</v>
      </c>
      <c r="BY92">
        <v>3.3990800000000002E-2</v>
      </c>
      <c r="BZ92">
        <v>25.666699999999999</v>
      </c>
      <c r="CA92">
        <v>33528.400000000001</v>
      </c>
      <c r="CB92">
        <v>1690303320.5</v>
      </c>
      <c r="CC92" t="s">
        <v>332</v>
      </c>
      <c r="CD92">
        <v>1690303320.5</v>
      </c>
      <c r="CE92">
        <v>1690303310.0999999</v>
      </c>
      <c r="CF92">
        <v>8</v>
      </c>
      <c r="CG92">
        <v>7.3999999999999996E-2</v>
      </c>
      <c r="CH92">
        <v>-0.01</v>
      </c>
      <c r="CI92">
        <v>-0.24199999999999999</v>
      </c>
      <c r="CJ92">
        <v>0.27200000000000002</v>
      </c>
      <c r="CK92">
        <v>800</v>
      </c>
      <c r="CL92">
        <v>23</v>
      </c>
      <c r="CM92">
        <v>0.06</v>
      </c>
      <c r="CN92">
        <v>0.09</v>
      </c>
      <c r="CO92">
        <v>-114.94052499999999</v>
      </c>
      <c r="CP92">
        <v>-17.933662288930449</v>
      </c>
      <c r="CQ92">
        <v>1.725532627734115</v>
      </c>
      <c r="CR92">
        <v>-1</v>
      </c>
      <c r="CS92">
        <v>6.1761794999999999</v>
      </c>
      <c r="CT92">
        <v>0.3893340337710916</v>
      </c>
      <c r="CU92">
        <v>3.8656024688914943E-2</v>
      </c>
      <c r="CV92">
        <v>-1</v>
      </c>
      <c r="CW92">
        <v>0</v>
      </c>
      <c r="CX92">
        <v>0</v>
      </c>
      <c r="CY92" t="s">
        <v>333</v>
      </c>
      <c r="CZ92">
        <v>2.3642799999999999</v>
      </c>
      <c r="DA92">
        <v>2.7137899999999999</v>
      </c>
      <c r="DB92">
        <v>0.131825</v>
      </c>
      <c r="DC92">
        <v>0.14643900000000001</v>
      </c>
      <c r="DD92">
        <v>0.10340199999999999</v>
      </c>
      <c r="DE92">
        <v>7.9292799999999997E-2</v>
      </c>
      <c r="DF92">
        <v>31698.1</v>
      </c>
      <c r="DG92">
        <v>27511.4</v>
      </c>
      <c r="DH92">
        <v>31170.400000000001</v>
      </c>
      <c r="DI92">
        <v>28085.599999999999</v>
      </c>
      <c r="DJ92">
        <v>37947.800000000003</v>
      </c>
      <c r="DK92">
        <v>36776</v>
      </c>
      <c r="DL92">
        <v>44360.5</v>
      </c>
      <c r="DM92">
        <v>42575.5</v>
      </c>
      <c r="DN92">
        <v>1.4349499999999999</v>
      </c>
      <c r="DO92">
        <v>2.0489700000000002</v>
      </c>
      <c r="DP92">
        <v>0.17161699999999999</v>
      </c>
      <c r="DQ92">
        <v>0.138126</v>
      </c>
      <c r="DR92">
        <v>24.089200000000002</v>
      </c>
      <c r="DS92">
        <v>23.854199999999999</v>
      </c>
      <c r="DT92">
        <v>56.2</v>
      </c>
      <c r="DU92">
        <v>29</v>
      </c>
      <c r="DV92">
        <v>22.77</v>
      </c>
      <c r="DW92">
        <v>61.401200000000003</v>
      </c>
      <c r="DX92">
        <v>35.432699999999997</v>
      </c>
      <c r="DY92">
        <v>1</v>
      </c>
      <c r="DZ92">
        <v>-7.1458300000000002E-2</v>
      </c>
      <c r="EA92">
        <v>0.97221900000000006</v>
      </c>
      <c r="EB92">
        <v>20.186599999999999</v>
      </c>
      <c r="EC92">
        <v>5.2408000000000001</v>
      </c>
      <c r="ED92">
        <v>12.039899999999999</v>
      </c>
      <c r="EE92">
        <v>5.0164499999999999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1.8689199999999999</v>
      </c>
      <c r="EL92">
        <v>1.8646400000000001</v>
      </c>
      <c r="EM92">
        <v>1.8692</v>
      </c>
      <c r="EN92">
        <v>1.86724</v>
      </c>
      <c r="EO92">
        <v>1.8633999999999999</v>
      </c>
      <c r="EP92">
        <v>1.8644700000000001</v>
      </c>
      <c r="EQ92">
        <v>1.8701700000000001</v>
      </c>
      <c r="ER92">
        <v>1.86947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-0.159</v>
      </c>
      <c r="FG92">
        <v>0.27179999999999999</v>
      </c>
      <c r="FH92">
        <v>0.30965466913576151</v>
      </c>
      <c r="FI92">
        <v>-6.1462078757559423E-4</v>
      </c>
      <c r="FJ92">
        <v>-1.8861989874597051E-7</v>
      </c>
      <c r="FK92">
        <v>1.1980462299894961E-10</v>
      </c>
      <c r="FL92">
        <v>0.27184999999999349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22.5</v>
      </c>
      <c r="FU92">
        <v>22.7</v>
      </c>
      <c r="FV92">
        <v>1.78467</v>
      </c>
      <c r="FW92">
        <v>2.5854499999999998</v>
      </c>
      <c r="FX92">
        <v>1.5490699999999999</v>
      </c>
      <c r="FY92">
        <v>2.3290999999999999</v>
      </c>
      <c r="FZ92">
        <v>1.50146</v>
      </c>
      <c r="GA92">
        <v>2.4206500000000002</v>
      </c>
      <c r="GB92">
        <v>33.896099999999997</v>
      </c>
      <c r="GC92">
        <v>23.991199999999999</v>
      </c>
      <c r="GD92">
        <v>19</v>
      </c>
      <c r="GE92">
        <v>266.714</v>
      </c>
      <c r="GF92">
        <v>596.53800000000001</v>
      </c>
      <c r="GG92">
        <v>21.323399999999999</v>
      </c>
      <c r="GH92">
        <v>26.4542</v>
      </c>
      <c r="GI92">
        <v>29.999600000000001</v>
      </c>
      <c r="GJ92">
        <v>26.603999999999999</v>
      </c>
      <c r="GK92">
        <v>26.590199999999999</v>
      </c>
      <c r="GL92">
        <v>35.686399999999999</v>
      </c>
      <c r="GM92">
        <v>41.484099999999998</v>
      </c>
      <c r="GN92">
        <v>88.644599999999997</v>
      </c>
      <c r="GO92">
        <v>21.373699999999999</v>
      </c>
      <c r="GP92">
        <v>800</v>
      </c>
      <c r="GQ92">
        <v>14.6144</v>
      </c>
      <c r="GR92">
        <v>99.734800000000007</v>
      </c>
      <c r="GS92">
        <v>99.591999999999999</v>
      </c>
    </row>
    <row r="93" spans="1:201" x14ac:dyDescent="0.25">
      <c r="A93">
        <v>77</v>
      </c>
      <c r="B93">
        <v>1690304679.5</v>
      </c>
      <c r="C93">
        <v>929.5</v>
      </c>
      <c r="D93" t="s">
        <v>485</v>
      </c>
      <c r="E93" t="s">
        <v>486</v>
      </c>
      <c r="F93" t="s">
        <v>330</v>
      </c>
      <c r="H93">
        <v>1690304679.5</v>
      </c>
      <c r="I93">
        <f t="shared" si="30"/>
        <v>6.0286865506290236E-4</v>
      </c>
      <c r="J93">
        <f t="shared" si="31"/>
        <v>0.60286865506290233</v>
      </c>
      <c r="K93">
        <f t="shared" si="32"/>
        <v>10.632540919892071</v>
      </c>
      <c r="L93">
        <f t="shared" si="33"/>
        <v>678.77700000000004</v>
      </c>
      <c r="M93">
        <f t="shared" si="34"/>
        <v>253.79536177527413</v>
      </c>
      <c r="N93">
        <f t="shared" si="35"/>
        <v>25.217299269080105</v>
      </c>
      <c r="O93">
        <f t="shared" si="36"/>
        <v>67.443796554189021</v>
      </c>
      <c r="P93">
        <f t="shared" si="37"/>
        <v>4.1473542230844207E-2</v>
      </c>
      <c r="Q93">
        <f t="shared" si="38"/>
        <v>2.1034891935647826</v>
      </c>
      <c r="R93">
        <f t="shared" si="39"/>
        <v>4.1024564406033082E-2</v>
      </c>
      <c r="S93">
        <f t="shared" si="40"/>
        <v>2.5680286537149613E-2</v>
      </c>
      <c r="T93">
        <f t="shared" si="41"/>
        <v>276.11433484200006</v>
      </c>
      <c r="U93">
        <f t="shared" si="42"/>
        <v>26.684389315271204</v>
      </c>
      <c r="V93">
        <f t="shared" si="43"/>
        <v>26.684389315271204</v>
      </c>
      <c r="W93">
        <f t="shared" si="44"/>
        <v>3.5133485852411055</v>
      </c>
      <c r="X93">
        <f t="shared" si="45"/>
        <v>67.121005428310355</v>
      </c>
      <c r="Y93">
        <f t="shared" si="46"/>
        <v>2.0944154607273004</v>
      </c>
      <c r="Z93">
        <f t="shared" si="47"/>
        <v>3.1203576992961972</v>
      </c>
      <c r="AA93">
        <f t="shared" si="48"/>
        <v>1.418933124513805</v>
      </c>
      <c r="AB93">
        <f t="shared" si="49"/>
        <v>-26.586507688273993</v>
      </c>
      <c r="AC93">
        <f t="shared" si="50"/>
        <v>-226.79406679238326</v>
      </c>
      <c r="AD93">
        <f t="shared" si="51"/>
        <v>-22.963881380112785</v>
      </c>
      <c r="AE93">
        <f t="shared" si="52"/>
        <v>-0.23012101876997804</v>
      </c>
      <c r="AF93">
        <v>12</v>
      </c>
      <c r="AG93">
        <v>4</v>
      </c>
      <c r="AH93">
        <f t="shared" si="53"/>
        <v>1</v>
      </c>
      <c r="AI93">
        <f t="shared" si="54"/>
        <v>0</v>
      </c>
      <c r="AJ93">
        <f t="shared" si="55"/>
        <v>53049.733713581343</v>
      </c>
      <c r="AK93">
        <f t="shared" si="56"/>
        <v>1800</v>
      </c>
      <c r="AL93">
        <f t="shared" si="57"/>
        <v>1499.1142122000001</v>
      </c>
      <c r="AM93">
        <f t="shared" si="58"/>
        <v>0.83284122900000002</v>
      </c>
      <c r="AN93">
        <f t="shared" si="59"/>
        <v>0.15339685269000003</v>
      </c>
      <c r="AO93">
        <v>33</v>
      </c>
      <c r="AP93">
        <v>0.5</v>
      </c>
      <c r="AQ93" t="s">
        <v>331</v>
      </c>
      <c r="AR93">
        <v>2</v>
      </c>
      <c r="AS93">
        <v>1690304679.5</v>
      </c>
      <c r="AT93">
        <v>678.77700000000004</v>
      </c>
      <c r="AU93">
        <v>800.11900000000003</v>
      </c>
      <c r="AV93">
        <v>21.078900000000001</v>
      </c>
      <c r="AW93">
        <v>14.593400000000001</v>
      </c>
      <c r="AX93">
        <v>678.93399999999997</v>
      </c>
      <c r="AY93">
        <v>20.806999999999999</v>
      </c>
      <c r="AZ93">
        <v>300.29000000000002</v>
      </c>
      <c r="BA93">
        <v>99.260800000000003</v>
      </c>
      <c r="BB93">
        <v>9.9957000000000004E-2</v>
      </c>
      <c r="BC93">
        <v>24.6845</v>
      </c>
      <c r="BD93">
        <v>26.886800000000001</v>
      </c>
      <c r="BE93">
        <v>26.128499999999999</v>
      </c>
      <c r="BF93">
        <v>0</v>
      </c>
      <c r="BG93">
        <v>0</v>
      </c>
      <c r="BH93">
        <v>10030.6</v>
      </c>
      <c r="BI93">
        <v>1047.56</v>
      </c>
      <c r="BJ93">
        <v>1.68198</v>
      </c>
      <c r="BK93">
        <v>-121.342</v>
      </c>
      <c r="BL93">
        <v>693.39300000000003</v>
      </c>
      <c r="BM93">
        <v>811.96799999999996</v>
      </c>
      <c r="BN93">
        <v>6.4854399999999996</v>
      </c>
      <c r="BO93">
        <v>800.11900000000003</v>
      </c>
      <c r="BP93">
        <v>14.593400000000001</v>
      </c>
      <c r="BQ93">
        <v>2.0923099999999999</v>
      </c>
      <c r="BR93">
        <v>1.4485600000000001</v>
      </c>
      <c r="BS93">
        <v>18.160699999999999</v>
      </c>
      <c r="BT93">
        <v>12.435700000000001</v>
      </c>
      <c r="BU93">
        <v>1800</v>
      </c>
      <c r="BV93">
        <v>0.91001900000000002</v>
      </c>
      <c r="BW93">
        <v>3.3997800000000002E-2</v>
      </c>
      <c r="BX93">
        <v>2.1993200000000001E-2</v>
      </c>
      <c r="BY93">
        <v>3.3990300000000001E-2</v>
      </c>
      <c r="BZ93">
        <v>25.666699999999999</v>
      </c>
      <c r="CA93">
        <v>33528.5</v>
      </c>
      <c r="CB93">
        <v>1690303320.5</v>
      </c>
      <c r="CC93" t="s">
        <v>332</v>
      </c>
      <c r="CD93">
        <v>1690303320.5</v>
      </c>
      <c r="CE93">
        <v>1690303310.0999999</v>
      </c>
      <c r="CF93">
        <v>8</v>
      </c>
      <c r="CG93">
        <v>7.3999999999999996E-2</v>
      </c>
      <c r="CH93">
        <v>-0.01</v>
      </c>
      <c r="CI93">
        <v>-0.24199999999999999</v>
      </c>
      <c r="CJ93">
        <v>0.27200000000000002</v>
      </c>
      <c r="CK93">
        <v>800</v>
      </c>
      <c r="CL93">
        <v>23</v>
      </c>
      <c r="CM93">
        <v>0.06</v>
      </c>
      <c r="CN93">
        <v>0.09</v>
      </c>
      <c r="CO93">
        <v>-117.98165</v>
      </c>
      <c r="CP93">
        <v>-18.736232645403319</v>
      </c>
      <c r="CQ93">
        <v>1.8027476743848541</v>
      </c>
      <c r="CR93">
        <v>-1</v>
      </c>
      <c r="CS93">
        <v>6.2769919999999999</v>
      </c>
      <c r="CT93">
        <v>0.84660900562850305</v>
      </c>
      <c r="CU93">
        <v>8.4021860822050334E-2</v>
      </c>
      <c r="CV93">
        <v>-1</v>
      </c>
      <c r="CW93">
        <v>0</v>
      </c>
      <c r="CX93">
        <v>0</v>
      </c>
      <c r="CY93" t="s">
        <v>333</v>
      </c>
      <c r="CZ93">
        <v>2.3645800000000001</v>
      </c>
      <c r="DA93">
        <v>2.7137799999999999</v>
      </c>
      <c r="DB93">
        <v>0.13142100000000001</v>
      </c>
      <c r="DC93">
        <v>0.146457</v>
      </c>
      <c r="DD93">
        <v>0.10367999999999999</v>
      </c>
      <c r="DE93">
        <v>7.8695000000000001E-2</v>
      </c>
      <c r="DF93">
        <v>31713.1</v>
      </c>
      <c r="DG93">
        <v>27511.599999999999</v>
      </c>
      <c r="DH93">
        <v>31170.6</v>
      </c>
      <c r="DI93">
        <v>28086.3</v>
      </c>
      <c r="DJ93">
        <v>37936.1</v>
      </c>
      <c r="DK93">
        <v>36800.800000000003</v>
      </c>
      <c r="DL93">
        <v>44360.800000000003</v>
      </c>
      <c r="DM93">
        <v>42576.5</v>
      </c>
      <c r="DN93">
        <v>1.43543</v>
      </c>
      <c r="DO93">
        <v>2.04853</v>
      </c>
      <c r="DP93">
        <v>0.17110300000000001</v>
      </c>
      <c r="DQ93">
        <v>0.13905799999999999</v>
      </c>
      <c r="DR93">
        <v>24.081600000000002</v>
      </c>
      <c r="DS93">
        <v>23.846800000000002</v>
      </c>
      <c r="DT93">
        <v>56.1</v>
      </c>
      <c r="DU93">
        <v>29</v>
      </c>
      <c r="DV93">
        <v>22.735499999999998</v>
      </c>
      <c r="DW93">
        <v>61.331200000000003</v>
      </c>
      <c r="DX93">
        <v>35.196300000000001</v>
      </c>
      <c r="DY93">
        <v>1</v>
      </c>
      <c r="DZ93">
        <v>-7.1923299999999996E-2</v>
      </c>
      <c r="EA93">
        <v>0.916574</v>
      </c>
      <c r="EB93">
        <v>20.186800000000002</v>
      </c>
      <c r="EC93">
        <v>5.2403500000000003</v>
      </c>
      <c r="ED93">
        <v>12.039899999999999</v>
      </c>
      <c r="EE93">
        <v>5.0165499999999996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1.8689100000000001</v>
      </c>
      <c r="EL93">
        <v>1.86463</v>
      </c>
      <c r="EM93">
        <v>1.8692</v>
      </c>
      <c r="EN93">
        <v>1.8672500000000001</v>
      </c>
      <c r="EO93">
        <v>1.8633999999999999</v>
      </c>
      <c r="EP93">
        <v>1.8644799999999999</v>
      </c>
      <c r="EQ93">
        <v>1.8702099999999999</v>
      </c>
      <c r="ER93">
        <v>1.86944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-0.157</v>
      </c>
      <c r="FG93">
        <v>0.27189999999999998</v>
      </c>
      <c r="FH93">
        <v>0.30965466913576151</v>
      </c>
      <c r="FI93">
        <v>-6.1462078757559423E-4</v>
      </c>
      <c r="FJ93">
        <v>-1.8861989874597051E-7</v>
      </c>
      <c r="FK93">
        <v>1.1980462299894961E-10</v>
      </c>
      <c r="FL93">
        <v>0.27184999999999349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22.6</v>
      </c>
      <c r="FU93">
        <v>22.8</v>
      </c>
      <c r="FV93">
        <v>1.78467</v>
      </c>
      <c r="FW93">
        <v>2.5891099999999998</v>
      </c>
      <c r="FX93">
        <v>1.5490699999999999</v>
      </c>
      <c r="FY93">
        <v>2.3290999999999999</v>
      </c>
      <c r="FZ93">
        <v>1.50146</v>
      </c>
      <c r="GA93">
        <v>2.4011200000000001</v>
      </c>
      <c r="GB93">
        <v>33.896099999999997</v>
      </c>
      <c r="GC93">
        <v>23.991199999999999</v>
      </c>
      <c r="GD93">
        <v>19</v>
      </c>
      <c r="GE93">
        <v>266.892</v>
      </c>
      <c r="GF93">
        <v>596.12</v>
      </c>
      <c r="GG93">
        <v>21.4879</v>
      </c>
      <c r="GH93">
        <v>26.446999999999999</v>
      </c>
      <c r="GI93">
        <v>29.999700000000001</v>
      </c>
      <c r="GJ93">
        <v>26.6</v>
      </c>
      <c r="GK93">
        <v>26.5869</v>
      </c>
      <c r="GL93">
        <v>35.680100000000003</v>
      </c>
      <c r="GM93">
        <v>42.074800000000003</v>
      </c>
      <c r="GN93">
        <v>88.2577</v>
      </c>
      <c r="GO93">
        <v>21.5121</v>
      </c>
      <c r="GP93">
        <v>800</v>
      </c>
      <c r="GQ93">
        <v>14.449400000000001</v>
      </c>
      <c r="GR93">
        <v>99.735399999999998</v>
      </c>
      <c r="GS93">
        <v>99.594399999999993</v>
      </c>
    </row>
    <row r="94" spans="1:201" x14ac:dyDescent="0.25">
      <c r="A94">
        <v>78</v>
      </c>
      <c r="B94">
        <v>1690304689.5</v>
      </c>
      <c r="C94">
        <v>939.5</v>
      </c>
      <c r="D94" t="s">
        <v>487</v>
      </c>
      <c r="E94" t="s">
        <v>488</v>
      </c>
      <c r="F94" t="s">
        <v>330</v>
      </c>
      <c r="H94">
        <v>1690304689.5</v>
      </c>
      <c r="I94">
        <f t="shared" si="30"/>
        <v>6.261616234468809E-4</v>
      </c>
      <c r="J94">
        <f t="shared" si="31"/>
        <v>0.62616162344688087</v>
      </c>
      <c r="K94">
        <f t="shared" si="32"/>
        <v>10.893750808915307</v>
      </c>
      <c r="L94">
        <f t="shared" si="33"/>
        <v>675.75699999999995</v>
      </c>
      <c r="M94">
        <f t="shared" si="34"/>
        <v>256.95320377024444</v>
      </c>
      <c r="N94">
        <f t="shared" si="35"/>
        <v>25.530575678372724</v>
      </c>
      <c r="O94">
        <f t="shared" si="36"/>
        <v>67.142440629448089</v>
      </c>
      <c r="P94">
        <f t="shared" si="37"/>
        <v>4.3151423555209498E-2</v>
      </c>
      <c r="Q94">
        <f t="shared" si="38"/>
        <v>2.1005725059684988</v>
      </c>
      <c r="R94">
        <f t="shared" si="39"/>
        <v>4.266494574189076E-2</v>
      </c>
      <c r="S94">
        <f t="shared" si="40"/>
        <v>2.6708842129210132E-2</v>
      </c>
      <c r="T94">
        <f t="shared" si="41"/>
        <v>276.11265399428913</v>
      </c>
      <c r="U94">
        <f t="shared" si="42"/>
        <v>26.700316374018684</v>
      </c>
      <c r="V94">
        <f t="shared" si="43"/>
        <v>26.700316374018684</v>
      </c>
      <c r="W94">
        <f t="shared" si="44"/>
        <v>3.5166442005296203</v>
      </c>
      <c r="X94">
        <f t="shared" si="45"/>
        <v>67.201286103562879</v>
      </c>
      <c r="Y94">
        <f t="shared" si="46"/>
        <v>2.0996413520502704</v>
      </c>
      <c r="Z94">
        <f t="shared" si="47"/>
        <v>3.124406501409132</v>
      </c>
      <c r="AA94">
        <f t="shared" si="48"/>
        <v>1.41700284847935</v>
      </c>
      <c r="AB94">
        <f t="shared" si="49"/>
        <v>-27.613727594007447</v>
      </c>
      <c r="AC94">
        <f t="shared" si="50"/>
        <v>-225.82583239357425</v>
      </c>
      <c r="AD94">
        <f t="shared" si="51"/>
        <v>-22.901918722458426</v>
      </c>
      <c r="AE94">
        <f t="shared" si="52"/>
        <v>-0.22882471575098862</v>
      </c>
      <c r="AF94">
        <v>12</v>
      </c>
      <c r="AG94">
        <v>4</v>
      </c>
      <c r="AH94">
        <f t="shared" si="53"/>
        <v>1</v>
      </c>
      <c r="AI94">
        <f t="shared" si="54"/>
        <v>0</v>
      </c>
      <c r="AJ94">
        <f t="shared" si="55"/>
        <v>52915.055407155742</v>
      </c>
      <c r="AK94">
        <f t="shared" si="56"/>
        <v>1799.99</v>
      </c>
      <c r="AL94">
        <f t="shared" si="57"/>
        <v>1499.1059107875599</v>
      </c>
      <c r="AM94">
        <f t="shared" si="58"/>
        <v>0.83284124399999993</v>
      </c>
      <c r="AN94">
        <f t="shared" si="59"/>
        <v>0.15339677109000002</v>
      </c>
      <c r="AO94">
        <v>33</v>
      </c>
      <c r="AP94">
        <v>0.5</v>
      </c>
      <c r="AQ94" t="s">
        <v>331</v>
      </c>
      <c r="AR94">
        <v>2</v>
      </c>
      <c r="AS94">
        <v>1690304689.5</v>
      </c>
      <c r="AT94">
        <v>675.75699999999995</v>
      </c>
      <c r="AU94">
        <v>800.13699999999994</v>
      </c>
      <c r="AV94">
        <v>21.131900000000002</v>
      </c>
      <c r="AW94">
        <v>14.3954</v>
      </c>
      <c r="AX94">
        <v>675.91099999999994</v>
      </c>
      <c r="AY94">
        <v>20.860099999999999</v>
      </c>
      <c r="AZ94">
        <v>300.255</v>
      </c>
      <c r="BA94">
        <v>99.258899999999997</v>
      </c>
      <c r="BB94">
        <v>9.9953299999999995E-2</v>
      </c>
      <c r="BC94">
        <v>24.706199999999999</v>
      </c>
      <c r="BD94">
        <v>26.966899999999999</v>
      </c>
      <c r="BE94">
        <v>26.1493</v>
      </c>
      <c r="BF94">
        <v>0</v>
      </c>
      <c r="BG94">
        <v>0</v>
      </c>
      <c r="BH94">
        <v>10005</v>
      </c>
      <c r="BI94">
        <v>1047.51</v>
      </c>
      <c r="BJ94">
        <v>1.68198</v>
      </c>
      <c r="BK94">
        <v>-124.381</v>
      </c>
      <c r="BL94">
        <v>690.34500000000003</v>
      </c>
      <c r="BM94">
        <v>811.82399999999996</v>
      </c>
      <c r="BN94">
        <v>6.7364800000000002</v>
      </c>
      <c r="BO94">
        <v>800.13699999999994</v>
      </c>
      <c r="BP94">
        <v>14.3954</v>
      </c>
      <c r="BQ94">
        <v>2.0975299999999999</v>
      </c>
      <c r="BR94">
        <v>1.4288799999999999</v>
      </c>
      <c r="BS94">
        <v>18.200399999999998</v>
      </c>
      <c r="BT94">
        <v>12.227600000000001</v>
      </c>
      <c r="BU94">
        <v>1799.99</v>
      </c>
      <c r="BV94">
        <v>0.91002099999999997</v>
      </c>
      <c r="BW94">
        <v>3.3996899999999997E-2</v>
      </c>
      <c r="BX94">
        <v>2.19927E-2</v>
      </c>
      <c r="BY94">
        <v>3.3989499999999999E-2</v>
      </c>
      <c r="BZ94">
        <v>25.708300000000001</v>
      </c>
      <c r="CA94">
        <v>33528.300000000003</v>
      </c>
      <c r="CB94">
        <v>1690303320.5</v>
      </c>
      <c r="CC94" t="s">
        <v>332</v>
      </c>
      <c r="CD94">
        <v>1690303320.5</v>
      </c>
      <c r="CE94">
        <v>1690303310.0999999</v>
      </c>
      <c r="CF94">
        <v>8</v>
      </c>
      <c r="CG94">
        <v>7.3999999999999996E-2</v>
      </c>
      <c r="CH94">
        <v>-0.01</v>
      </c>
      <c r="CI94">
        <v>-0.24199999999999999</v>
      </c>
      <c r="CJ94">
        <v>0.27200000000000002</v>
      </c>
      <c r="CK94">
        <v>800</v>
      </c>
      <c r="CL94">
        <v>23</v>
      </c>
      <c r="CM94">
        <v>0.06</v>
      </c>
      <c r="CN94">
        <v>0.09</v>
      </c>
      <c r="CO94">
        <v>-120.8478292682927</v>
      </c>
      <c r="CP94">
        <v>-18.61685017421609</v>
      </c>
      <c r="CQ94">
        <v>1.836292804411543</v>
      </c>
      <c r="CR94">
        <v>-1</v>
      </c>
      <c r="CS94">
        <v>6.4544636585365858</v>
      </c>
      <c r="CT94">
        <v>1.429482439024383</v>
      </c>
      <c r="CU94">
        <v>0.1415024895541761</v>
      </c>
      <c r="CV94">
        <v>-1</v>
      </c>
      <c r="CW94">
        <v>0</v>
      </c>
      <c r="CX94">
        <v>0</v>
      </c>
      <c r="CY94" t="s">
        <v>333</v>
      </c>
      <c r="CZ94">
        <v>2.3645200000000002</v>
      </c>
      <c r="DA94">
        <v>2.7137500000000001</v>
      </c>
      <c r="DB94">
        <v>0.131018</v>
      </c>
      <c r="DC94">
        <v>0.146454</v>
      </c>
      <c r="DD94">
        <v>0.103868</v>
      </c>
      <c r="DE94">
        <v>7.7907500000000005E-2</v>
      </c>
      <c r="DF94">
        <v>31727.9</v>
      </c>
      <c r="DG94">
        <v>27512</v>
      </c>
      <c r="DH94">
        <v>31170.7</v>
      </c>
      <c r="DI94">
        <v>28086.6</v>
      </c>
      <c r="DJ94">
        <v>37928.1</v>
      </c>
      <c r="DK94">
        <v>36832.699999999997</v>
      </c>
      <c r="DL94">
        <v>44360.9</v>
      </c>
      <c r="DM94">
        <v>42576.9</v>
      </c>
      <c r="DN94">
        <v>1.4353199999999999</v>
      </c>
      <c r="DO94">
        <v>2.0481799999999999</v>
      </c>
      <c r="DP94">
        <v>0.17633299999999999</v>
      </c>
      <c r="DQ94">
        <v>0.14063700000000001</v>
      </c>
      <c r="DR94">
        <v>24.0761</v>
      </c>
      <c r="DS94">
        <v>23.841799999999999</v>
      </c>
      <c r="DT94">
        <v>56</v>
      </c>
      <c r="DU94">
        <v>29</v>
      </c>
      <c r="DV94">
        <v>22.691099999999999</v>
      </c>
      <c r="DW94">
        <v>61.261200000000002</v>
      </c>
      <c r="DX94">
        <v>35.5929</v>
      </c>
      <c r="DY94">
        <v>1</v>
      </c>
      <c r="DZ94">
        <v>-7.2522900000000001E-2</v>
      </c>
      <c r="EA94">
        <v>0.908829</v>
      </c>
      <c r="EB94">
        <v>20.186900000000001</v>
      </c>
      <c r="EC94">
        <v>5.2411000000000003</v>
      </c>
      <c r="ED94">
        <v>12.039899999999999</v>
      </c>
      <c r="EE94">
        <v>5.0167999999999999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1.86893</v>
      </c>
      <c r="EL94">
        <v>1.8646199999999999</v>
      </c>
      <c r="EM94">
        <v>1.8692</v>
      </c>
      <c r="EN94">
        <v>1.8672299999999999</v>
      </c>
      <c r="EO94">
        <v>1.8633999999999999</v>
      </c>
      <c r="EP94">
        <v>1.8644700000000001</v>
      </c>
      <c r="EQ94">
        <v>1.87018</v>
      </c>
      <c r="ER94">
        <v>1.8694299999999999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-0.154</v>
      </c>
      <c r="FG94">
        <v>0.27179999999999999</v>
      </c>
      <c r="FH94">
        <v>0.30965466913576151</v>
      </c>
      <c r="FI94">
        <v>-6.1462078757559423E-4</v>
      </c>
      <c r="FJ94">
        <v>-1.8861989874597051E-7</v>
      </c>
      <c r="FK94">
        <v>1.1980462299894961E-10</v>
      </c>
      <c r="FL94">
        <v>0.27184999999999349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22.8</v>
      </c>
      <c r="FU94">
        <v>23</v>
      </c>
      <c r="FV94">
        <v>1.78345</v>
      </c>
      <c r="FW94">
        <v>2.5866699999999998</v>
      </c>
      <c r="FX94">
        <v>1.5490699999999999</v>
      </c>
      <c r="FY94">
        <v>2.3290999999999999</v>
      </c>
      <c r="FZ94">
        <v>1.50146</v>
      </c>
      <c r="GA94">
        <v>2.34741</v>
      </c>
      <c r="GB94">
        <v>33.896099999999997</v>
      </c>
      <c r="GC94">
        <v>23.982399999999998</v>
      </c>
      <c r="GD94">
        <v>19</v>
      </c>
      <c r="GE94">
        <v>266.83300000000003</v>
      </c>
      <c r="GF94">
        <v>595.77499999999998</v>
      </c>
      <c r="GG94">
        <v>21.626200000000001</v>
      </c>
      <c r="GH94">
        <v>26.440300000000001</v>
      </c>
      <c r="GI94">
        <v>29.9999</v>
      </c>
      <c r="GJ94">
        <v>26.595500000000001</v>
      </c>
      <c r="GK94">
        <v>26.5824</v>
      </c>
      <c r="GL94">
        <v>35.672400000000003</v>
      </c>
      <c r="GM94">
        <v>42.375900000000001</v>
      </c>
      <c r="GN94">
        <v>87.869500000000002</v>
      </c>
      <c r="GO94">
        <v>21.635899999999999</v>
      </c>
      <c r="GP94">
        <v>800</v>
      </c>
      <c r="GQ94">
        <v>14.289400000000001</v>
      </c>
      <c r="GR94">
        <v>99.735600000000005</v>
      </c>
      <c r="GS94">
        <v>99.595399999999998</v>
      </c>
    </row>
    <row r="95" spans="1:201" x14ac:dyDescent="0.25">
      <c r="A95">
        <v>79</v>
      </c>
      <c r="B95">
        <v>1690304699.5</v>
      </c>
      <c r="C95">
        <v>949.5</v>
      </c>
      <c r="D95" t="s">
        <v>489</v>
      </c>
      <c r="E95" t="s">
        <v>490</v>
      </c>
      <c r="F95" t="s">
        <v>330</v>
      </c>
      <c r="H95">
        <v>1690304699.5</v>
      </c>
      <c r="I95">
        <f t="shared" si="30"/>
        <v>6.4042446358290211E-4</v>
      </c>
      <c r="J95">
        <f t="shared" si="31"/>
        <v>0.64042446358290206</v>
      </c>
      <c r="K95">
        <f t="shared" si="32"/>
        <v>11.157198277525628</v>
      </c>
      <c r="L95">
        <f t="shared" si="33"/>
        <v>672.71799999999996</v>
      </c>
      <c r="M95">
        <f t="shared" si="34"/>
        <v>253.27078130695071</v>
      </c>
      <c r="N95">
        <f t="shared" si="35"/>
        <v>25.165213027632586</v>
      </c>
      <c r="O95">
        <f t="shared" si="36"/>
        <v>66.841866598918003</v>
      </c>
      <c r="P95">
        <f t="shared" si="37"/>
        <v>4.4127189521549252E-2</v>
      </c>
      <c r="Q95">
        <f t="shared" si="38"/>
        <v>2.0993922900258015</v>
      </c>
      <c r="R95">
        <f t="shared" si="39"/>
        <v>4.3618319398437938E-2</v>
      </c>
      <c r="S95">
        <f t="shared" si="40"/>
        <v>2.7306680558021719E-2</v>
      </c>
      <c r="T95">
        <f t="shared" si="41"/>
        <v>276.11394366600001</v>
      </c>
      <c r="U95">
        <f t="shared" si="42"/>
        <v>26.717157150699901</v>
      </c>
      <c r="V95">
        <f t="shared" si="43"/>
        <v>26.717157150699901</v>
      </c>
      <c r="W95">
        <f t="shared" si="44"/>
        <v>3.5201318170213138</v>
      </c>
      <c r="X95">
        <f t="shared" si="45"/>
        <v>67.210281687867791</v>
      </c>
      <c r="Y95">
        <f t="shared" si="46"/>
        <v>2.1025462177907004</v>
      </c>
      <c r="Z95">
        <f t="shared" si="47"/>
        <v>3.1283103789910669</v>
      </c>
      <c r="AA95">
        <f t="shared" si="48"/>
        <v>1.4175855992306134</v>
      </c>
      <c r="AB95">
        <f t="shared" si="49"/>
        <v>-28.242718844005982</v>
      </c>
      <c r="AC95">
        <f t="shared" si="50"/>
        <v>-225.23951836384236</v>
      </c>
      <c r="AD95">
        <f t="shared" si="51"/>
        <v>-22.859630389161605</v>
      </c>
      <c r="AE95">
        <f t="shared" si="52"/>
        <v>-0.22792393100993991</v>
      </c>
      <c r="AF95">
        <v>12</v>
      </c>
      <c r="AG95">
        <v>4</v>
      </c>
      <c r="AH95">
        <f t="shared" si="53"/>
        <v>1</v>
      </c>
      <c r="AI95">
        <f t="shared" si="54"/>
        <v>0</v>
      </c>
      <c r="AJ95">
        <f t="shared" si="55"/>
        <v>52858.536104858998</v>
      </c>
      <c r="AK95">
        <f t="shared" si="56"/>
        <v>1800</v>
      </c>
      <c r="AL95">
        <f t="shared" si="57"/>
        <v>1499.1138395999999</v>
      </c>
      <c r="AM95">
        <f t="shared" si="58"/>
        <v>0.83284102199999999</v>
      </c>
      <c r="AN95">
        <f t="shared" si="59"/>
        <v>0.15339663537000001</v>
      </c>
      <c r="AO95">
        <v>33</v>
      </c>
      <c r="AP95">
        <v>0.5</v>
      </c>
      <c r="AQ95" t="s">
        <v>331</v>
      </c>
      <c r="AR95">
        <v>2</v>
      </c>
      <c r="AS95">
        <v>1690304699.5</v>
      </c>
      <c r="AT95">
        <v>672.71799999999996</v>
      </c>
      <c r="AU95">
        <v>800.09199999999998</v>
      </c>
      <c r="AV95">
        <v>21.160699999999999</v>
      </c>
      <c r="AW95">
        <v>14.270200000000001</v>
      </c>
      <c r="AX95">
        <v>672.87099999999998</v>
      </c>
      <c r="AY95">
        <v>20.8888</v>
      </c>
      <c r="AZ95">
        <v>300.22199999999998</v>
      </c>
      <c r="BA95">
        <v>99.260900000000007</v>
      </c>
      <c r="BB95">
        <v>0.10000100000000001</v>
      </c>
      <c r="BC95">
        <v>24.7271</v>
      </c>
      <c r="BD95">
        <v>26.962700000000002</v>
      </c>
      <c r="BE95">
        <v>26.139099999999999</v>
      </c>
      <c r="BF95">
        <v>0</v>
      </c>
      <c r="BG95">
        <v>0</v>
      </c>
      <c r="BH95">
        <v>9994.3799999999992</v>
      </c>
      <c r="BI95">
        <v>1047.52</v>
      </c>
      <c r="BJ95">
        <v>1.68198</v>
      </c>
      <c r="BK95">
        <v>-127.374</v>
      </c>
      <c r="BL95">
        <v>687.26099999999997</v>
      </c>
      <c r="BM95">
        <v>811.67499999999995</v>
      </c>
      <c r="BN95">
        <v>6.8904100000000001</v>
      </c>
      <c r="BO95">
        <v>800.09199999999998</v>
      </c>
      <c r="BP95">
        <v>14.270200000000001</v>
      </c>
      <c r="BQ95">
        <v>2.1004299999999998</v>
      </c>
      <c r="BR95">
        <v>1.41648</v>
      </c>
      <c r="BS95">
        <v>18.2224</v>
      </c>
      <c r="BT95">
        <v>12.0952</v>
      </c>
      <c r="BU95">
        <v>1800</v>
      </c>
      <c r="BV95">
        <v>0.91002300000000003</v>
      </c>
      <c r="BW95">
        <v>3.3995999999999998E-2</v>
      </c>
      <c r="BX95">
        <v>2.1992100000000001E-2</v>
      </c>
      <c r="BY95">
        <v>3.3988499999999998E-2</v>
      </c>
      <c r="BZ95">
        <v>25.916699999999999</v>
      </c>
      <c r="CA95">
        <v>33528.5</v>
      </c>
      <c r="CB95">
        <v>1690303320.5</v>
      </c>
      <c r="CC95" t="s">
        <v>332</v>
      </c>
      <c r="CD95">
        <v>1690303320.5</v>
      </c>
      <c r="CE95">
        <v>1690303310.0999999</v>
      </c>
      <c r="CF95">
        <v>8</v>
      </c>
      <c r="CG95">
        <v>7.3999999999999996E-2</v>
      </c>
      <c r="CH95">
        <v>-0.01</v>
      </c>
      <c r="CI95">
        <v>-0.24199999999999999</v>
      </c>
      <c r="CJ95">
        <v>0.27200000000000002</v>
      </c>
      <c r="CK95">
        <v>800</v>
      </c>
      <c r="CL95">
        <v>23</v>
      </c>
      <c r="CM95">
        <v>0.06</v>
      </c>
      <c r="CN95">
        <v>0.09</v>
      </c>
      <c r="CO95">
        <v>-123.9076585365854</v>
      </c>
      <c r="CP95">
        <v>-18.01561672473877</v>
      </c>
      <c r="CQ95">
        <v>1.7765761618946969</v>
      </c>
      <c r="CR95">
        <v>-1</v>
      </c>
      <c r="CS95">
        <v>6.6826587804878068</v>
      </c>
      <c r="CT95">
        <v>1.2456585365853641</v>
      </c>
      <c r="CU95">
        <v>0.124078636674492</v>
      </c>
      <c r="CV95">
        <v>-1</v>
      </c>
      <c r="CW95">
        <v>0</v>
      </c>
      <c r="CX95">
        <v>0</v>
      </c>
      <c r="CY95" t="s">
        <v>333</v>
      </c>
      <c r="CZ95">
        <v>2.3643999999999998</v>
      </c>
      <c r="DA95">
        <v>2.7137899999999999</v>
      </c>
      <c r="DB95">
        <v>0.13061500000000001</v>
      </c>
      <c r="DC95">
        <v>0.146449</v>
      </c>
      <c r="DD95">
        <v>0.10397199999999999</v>
      </c>
      <c r="DE95">
        <v>7.74093E-2</v>
      </c>
      <c r="DF95">
        <v>31743.1</v>
      </c>
      <c r="DG95">
        <v>27512.7</v>
      </c>
      <c r="DH95">
        <v>31171.200000000001</v>
      </c>
      <c r="DI95">
        <v>28087.200000000001</v>
      </c>
      <c r="DJ95">
        <v>37924.1</v>
      </c>
      <c r="DK95">
        <v>36853.199999999997</v>
      </c>
      <c r="DL95">
        <v>44361.5</v>
      </c>
      <c r="DM95">
        <v>42577.599999999999</v>
      </c>
      <c r="DN95">
        <v>1.4355800000000001</v>
      </c>
      <c r="DO95">
        <v>2.0477799999999999</v>
      </c>
      <c r="DP95">
        <v>0.17625099999999999</v>
      </c>
      <c r="DQ95">
        <v>0.14016000000000001</v>
      </c>
      <c r="DR95">
        <v>24.0732</v>
      </c>
      <c r="DS95">
        <v>23.839400000000001</v>
      </c>
      <c r="DT95">
        <v>55.9</v>
      </c>
      <c r="DU95">
        <v>29</v>
      </c>
      <c r="DV95">
        <v>22.652699999999999</v>
      </c>
      <c r="DW95">
        <v>62.001199999999997</v>
      </c>
      <c r="DX95">
        <v>36.229999999999997</v>
      </c>
      <c r="DY95">
        <v>1</v>
      </c>
      <c r="DZ95">
        <v>-7.2827699999999995E-2</v>
      </c>
      <c r="EA95">
        <v>1.12442</v>
      </c>
      <c r="EB95">
        <v>20.185400000000001</v>
      </c>
      <c r="EC95">
        <v>5.2408000000000001</v>
      </c>
      <c r="ED95">
        <v>12.039899999999999</v>
      </c>
      <c r="EE95">
        <v>5.0167999999999999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1.8689100000000001</v>
      </c>
      <c r="EL95">
        <v>1.86463</v>
      </c>
      <c r="EM95">
        <v>1.8692</v>
      </c>
      <c r="EN95">
        <v>1.8672500000000001</v>
      </c>
      <c r="EO95">
        <v>1.8633999999999999</v>
      </c>
      <c r="EP95">
        <v>1.8644799999999999</v>
      </c>
      <c r="EQ95">
        <v>1.87018</v>
      </c>
      <c r="ER95">
        <v>1.8694299999999999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-0.153</v>
      </c>
      <c r="FG95">
        <v>0.27189999999999998</v>
      </c>
      <c r="FH95">
        <v>0.30965466913576151</v>
      </c>
      <c r="FI95">
        <v>-6.1462078757559423E-4</v>
      </c>
      <c r="FJ95">
        <v>-1.8861989874597051E-7</v>
      </c>
      <c r="FK95">
        <v>1.1980462299894961E-10</v>
      </c>
      <c r="FL95">
        <v>0.27184999999999349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23</v>
      </c>
      <c r="FU95">
        <v>23.2</v>
      </c>
      <c r="FV95">
        <v>1.78345</v>
      </c>
      <c r="FW95">
        <v>2.5976599999999999</v>
      </c>
      <c r="FX95">
        <v>1.5490699999999999</v>
      </c>
      <c r="FY95">
        <v>2.3290999999999999</v>
      </c>
      <c r="FZ95">
        <v>1.50146</v>
      </c>
      <c r="GA95">
        <v>2.2839399999999999</v>
      </c>
      <c r="GB95">
        <v>33.896099999999997</v>
      </c>
      <c r="GC95">
        <v>23.973700000000001</v>
      </c>
      <c r="GD95">
        <v>19</v>
      </c>
      <c r="GE95">
        <v>266.91800000000001</v>
      </c>
      <c r="GF95">
        <v>595.39499999999998</v>
      </c>
      <c r="GG95">
        <v>21.6828</v>
      </c>
      <c r="GH95">
        <v>26.433599999999998</v>
      </c>
      <c r="GI95">
        <v>29.9998</v>
      </c>
      <c r="GJ95">
        <v>26.591100000000001</v>
      </c>
      <c r="GK95">
        <v>26.578499999999998</v>
      </c>
      <c r="GL95">
        <v>35.665799999999997</v>
      </c>
      <c r="GM95">
        <v>42.944800000000001</v>
      </c>
      <c r="GN95">
        <v>87.497600000000006</v>
      </c>
      <c r="GO95">
        <v>21.6661</v>
      </c>
      <c r="GP95">
        <v>800</v>
      </c>
      <c r="GQ95">
        <v>14.1419</v>
      </c>
      <c r="GR95">
        <v>99.737099999999998</v>
      </c>
      <c r="GS95">
        <v>99.597200000000001</v>
      </c>
    </row>
    <row r="96" spans="1:201" x14ac:dyDescent="0.25">
      <c r="A96">
        <v>80</v>
      </c>
      <c r="B96">
        <v>1690304709.5</v>
      </c>
      <c r="C96">
        <v>959.5</v>
      </c>
      <c r="D96" t="s">
        <v>491</v>
      </c>
      <c r="E96" t="s">
        <v>492</v>
      </c>
      <c r="F96" t="s">
        <v>330</v>
      </c>
      <c r="H96">
        <v>1690304709.5</v>
      </c>
      <c r="I96">
        <f t="shared" si="30"/>
        <v>6.5415151886032412E-4</v>
      </c>
      <c r="J96">
        <f t="shared" si="31"/>
        <v>0.65415151886032408</v>
      </c>
      <c r="K96">
        <f t="shared" si="32"/>
        <v>11.429213331789208</v>
      </c>
      <c r="L96">
        <f t="shared" si="33"/>
        <v>669.62699999999995</v>
      </c>
      <c r="M96">
        <f t="shared" si="34"/>
        <v>249.29656276508584</v>
      </c>
      <c r="N96">
        <f t="shared" si="35"/>
        <v>24.769976592829728</v>
      </c>
      <c r="O96">
        <f t="shared" si="36"/>
        <v>66.533789844332986</v>
      </c>
      <c r="P96">
        <f t="shared" si="37"/>
        <v>4.5105094670683167E-2</v>
      </c>
      <c r="Q96">
        <f t="shared" si="38"/>
        <v>2.1020605187350991</v>
      </c>
      <c r="R96">
        <f t="shared" si="39"/>
        <v>4.4574233081004541E-2</v>
      </c>
      <c r="S96">
        <f t="shared" si="40"/>
        <v>2.7906070831086018E-2</v>
      </c>
      <c r="T96">
        <f t="shared" si="41"/>
        <v>276.11248465122992</v>
      </c>
      <c r="U96">
        <f t="shared" si="42"/>
        <v>26.716882585055327</v>
      </c>
      <c r="V96">
        <f t="shared" si="43"/>
        <v>26.716882585055327</v>
      </c>
      <c r="W96">
        <f t="shared" si="44"/>
        <v>3.5200749320368607</v>
      </c>
      <c r="X96">
        <f t="shared" si="45"/>
        <v>67.202892760410776</v>
      </c>
      <c r="Y96">
        <f t="shared" si="46"/>
        <v>2.1031818357845999</v>
      </c>
      <c r="Z96">
        <f t="shared" si="47"/>
        <v>3.129600154687961</v>
      </c>
      <c r="AA96">
        <f t="shared" si="48"/>
        <v>1.4168930962522608</v>
      </c>
      <c r="AB96">
        <f t="shared" si="49"/>
        <v>-28.848081981740293</v>
      </c>
      <c r="AC96">
        <f t="shared" si="50"/>
        <v>-224.7127202987491</v>
      </c>
      <c r="AD96">
        <f t="shared" si="51"/>
        <v>-22.777972672814283</v>
      </c>
      <c r="AE96">
        <f t="shared" si="52"/>
        <v>-0.22629030207377809</v>
      </c>
      <c r="AF96">
        <v>12</v>
      </c>
      <c r="AG96">
        <v>4</v>
      </c>
      <c r="AH96">
        <f t="shared" si="53"/>
        <v>1</v>
      </c>
      <c r="AI96">
        <f t="shared" si="54"/>
        <v>0</v>
      </c>
      <c r="AJ96">
        <f t="shared" si="55"/>
        <v>52976.806495974837</v>
      </c>
      <c r="AK96">
        <f t="shared" si="56"/>
        <v>1799.99</v>
      </c>
      <c r="AL96">
        <f t="shared" si="57"/>
        <v>1499.1071743805398</v>
      </c>
      <c r="AM96">
        <f t="shared" si="58"/>
        <v>0.83284194599999994</v>
      </c>
      <c r="AN96">
        <f t="shared" si="59"/>
        <v>0.15339667701000001</v>
      </c>
      <c r="AO96">
        <v>33</v>
      </c>
      <c r="AP96">
        <v>0.5</v>
      </c>
      <c r="AQ96" t="s">
        <v>331</v>
      </c>
      <c r="AR96">
        <v>2</v>
      </c>
      <c r="AS96">
        <v>1690304709.5</v>
      </c>
      <c r="AT96">
        <v>669.62699999999995</v>
      </c>
      <c r="AU96">
        <v>800.125</v>
      </c>
      <c r="AV96">
        <v>21.167400000000001</v>
      </c>
      <c r="AW96">
        <v>14.126300000000001</v>
      </c>
      <c r="AX96">
        <v>669.77800000000002</v>
      </c>
      <c r="AY96">
        <v>20.895600000000002</v>
      </c>
      <c r="AZ96">
        <v>300.096</v>
      </c>
      <c r="BA96">
        <v>99.259399999999999</v>
      </c>
      <c r="BB96">
        <v>0.100079</v>
      </c>
      <c r="BC96">
        <v>24.734000000000002</v>
      </c>
      <c r="BD96">
        <v>26.976099999999999</v>
      </c>
      <c r="BE96">
        <v>26.175799999999999</v>
      </c>
      <c r="BF96">
        <v>0</v>
      </c>
      <c r="BG96">
        <v>0</v>
      </c>
      <c r="BH96">
        <v>10018.1</v>
      </c>
      <c r="BI96">
        <v>1047.5</v>
      </c>
      <c r="BJ96">
        <v>1.68198</v>
      </c>
      <c r="BK96">
        <v>-130.49799999999999</v>
      </c>
      <c r="BL96">
        <v>684.10799999999995</v>
      </c>
      <c r="BM96">
        <v>811.59</v>
      </c>
      <c r="BN96">
        <v>7.0411799999999998</v>
      </c>
      <c r="BO96">
        <v>800.125</v>
      </c>
      <c r="BP96">
        <v>14.126300000000001</v>
      </c>
      <c r="BQ96">
        <v>2.10107</v>
      </c>
      <c r="BR96">
        <v>1.4021699999999999</v>
      </c>
      <c r="BS96">
        <v>18.2273</v>
      </c>
      <c r="BT96">
        <v>11.9411</v>
      </c>
      <c r="BU96">
        <v>1799.99</v>
      </c>
      <c r="BV96">
        <v>0.91002700000000003</v>
      </c>
      <c r="BW96">
        <v>3.3994799999999999E-2</v>
      </c>
      <c r="BX96">
        <v>2.1991299999999998E-2</v>
      </c>
      <c r="BY96">
        <v>3.3987299999999998E-2</v>
      </c>
      <c r="BZ96">
        <v>25.958300000000001</v>
      </c>
      <c r="CA96">
        <v>33528.400000000001</v>
      </c>
      <c r="CB96">
        <v>1690303320.5</v>
      </c>
      <c r="CC96" t="s">
        <v>332</v>
      </c>
      <c r="CD96">
        <v>1690303320.5</v>
      </c>
      <c r="CE96">
        <v>1690303310.0999999</v>
      </c>
      <c r="CF96">
        <v>8</v>
      </c>
      <c r="CG96">
        <v>7.3999999999999996E-2</v>
      </c>
      <c r="CH96">
        <v>-0.01</v>
      </c>
      <c r="CI96">
        <v>-0.24199999999999999</v>
      </c>
      <c r="CJ96">
        <v>0.27200000000000002</v>
      </c>
      <c r="CK96">
        <v>800</v>
      </c>
      <c r="CL96">
        <v>23</v>
      </c>
      <c r="CM96">
        <v>0.06</v>
      </c>
      <c r="CN96">
        <v>0.09</v>
      </c>
      <c r="CO96">
        <v>-127.1433</v>
      </c>
      <c r="CP96">
        <v>-18.04435272045011</v>
      </c>
      <c r="CQ96">
        <v>1.736014893369294</v>
      </c>
      <c r="CR96">
        <v>-1</v>
      </c>
      <c r="CS96">
        <v>6.8875100000000007</v>
      </c>
      <c r="CT96">
        <v>0.99621275797375108</v>
      </c>
      <c r="CU96">
        <v>9.6324398285169685E-2</v>
      </c>
      <c r="CV96">
        <v>-1</v>
      </c>
      <c r="CW96">
        <v>0</v>
      </c>
      <c r="CX96">
        <v>0</v>
      </c>
      <c r="CY96" t="s">
        <v>333</v>
      </c>
      <c r="CZ96">
        <v>2.3639800000000002</v>
      </c>
      <c r="DA96">
        <v>2.7138900000000001</v>
      </c>
      <c r="DB96">
        <v>0.13020000000000001</v>
      </c>
      <c r="DC96">
        <v>0.146449</v>
      </c>
      <c r="DD96">
        <v>0.10399600000000001</v>
      </c>
      <c r="DE96">
        <v>7.6831499999999997E-2</v>
      </c>
      <c r="DF96">
        <v>31759</v>
      </c>
      <c r="DG96">
        <v>27512.799999999999</v>
      </c>
      <c r="DH96">
        <v>31171.8</v>
      </c>
      <c r="DI96">
        <v>28087.3</v>
      </c>
      <c r="DJ96">
        <v>37924.1</v>
      </c>
      <c r="DK96">
        <v>36876.6</v>
      </c>
      <c r="DL96">
        <v>44362.7</v>
      </c>
      <c r="DM96">
        <v>42577.9</v>
      </c>
      <c r="DN96">
        <v>1.4356199999999999</v>
      </c>
      <c r="DO96">
        <v>2.0478499999999999</v>
      </c>
      <c r="DP96">
        <v>0.177234</v>
      </c>
      <c r="DQ96">
        <v>0.14252200000000001</v>
      </c>
      <c r="DR96">
        <v>24.070599999999999</v>
      </c>
      <c r="DS96">
        <v>23.837399999999999</v>
      </c>
      <c r="DT96">
        <v>55.8</v>
      </c>
      <c r="DU96">
        <v>29</v>
      </c>
      <c r="DV96">
        <v>22.608499999999999</v>
      </c>
      <c r="DW96">
        <v>61.571199999999997</v>
      </c>
      <c r="DX96">
        <v>36.646599999999999</v>
      </c>
      <c r="DY96">
        <v>1</v>
      </c>
      <c r="DZ96">
        <v>-7.3279999999999998E-2</v>
      </c>
      <c r="EA96">
        <v>0.97577599999999998</v>
      </c>
      <c r="EB96">
        <v>20.186299999999999</v>
      </c>
      <c r="EC96">
        <v>5.2408000000000001</v>
      </c>
      <c r="ED96">
        <v>12.039899999999999</v>
      </c>
      <c r="EE96">
        <v>5.0170500000000002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1.8689100000000001</v>
      </c>
      <c r="EL96">
        <v>1.86463</v>
      </c>
      <c r="EM96">
        <v>1.8692</v>
      </c>
      <c r="EN96">
        <v>1.8672500000000001</v>
      </c>
      <c r="EO96">
        <v>1.8633999999999999</v>
      </c>
      <c r="EP96">
        <v>1.8644799999999999</v>
      </c>
      <c r="EQ96">
        <v>1.87016</v>
      </c>
      <c r="ER96">
        <v>1.8694599999999999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-0.151</v>
      </c>
      <c r="FG96">
        <v>0.27179999999999999</v>
      </c>
      <c r="FH96">
        <v>0.30965466913576151</v>
      </c>
      <c r="FI96">
        <v>-6.1462078757559423E-4</v>
      </c>
      <c r="FJ96">
        <v>-1.8861989874597051E-7</v>
      </c>
      <c r="FK96">
        <v>1.1980462299894961E-10</v>
      </c>
      <c r="FL96">
        <v>0.27184999999999349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23.1</v>
      </c>
      <c r="FU96">
        <v>23.3</v>
      </c>
      <c r="FV96">
        <v>1.78345</v>
      </c>
      <c r="FW96">
        <v>2.5939899999999998</v>
      </c>
      <c r="FX96">
        <v>1.5490699999999999</v>
      </c>
      <c r="FY96">
        <v>2.3290999999999999</v>
      </c>
      <c r="FZ96">
        <v>1.50146</v>
      </c>
      <c r="GA96">
        <v>2.34131</v>
      </c>
      <c r="GB96">
        <v>33.896099999999997</v>
      </c>
      <c r="GC96">
        <v>23.982399999999998</v>
      </c>
      <c r="GD96">
        <v>19</v>
      </c>
      <c r="GE96">
        <v>266.91699999999997</v>
      </c>
      <c r="GF96">
        <v>595.41999999999996</v>
      </c>
      <c r="GG96">
        <v>21.713200000000001</v>
      </c>
      <c r="GH96">
        <v>26.4267</v>
      </c>
      <c r="GI96">
        <v>29.9998</v>
      </c>
      <c r="GJ96">
        <v>26.585999999999999</v>
      </c>
      <c r="GK96">
        <v>26.575199999999999</v>
      </c>
      <c r="GL96">
        <v>35.659799999999997</v>
      </c>
      <c r="GM96">
        <v>43.244700000000002</v>
      </c>
      <c r="GN96">
        <v>86.739599999999996</v>
      </c>
      <c r="GO96">
        <v>21.7379</v>
      </c>
      <c r="GP96">
        <v>800</v>
      </c>
      <c r="GQ96">
        <v>14.0044</v>
      </c>
      <c r="GR96">
        <v>99.739599999999996</v>
      </c>
      <c r="GS96">
        <v>99.597700000000003</v>
      </c>
    </row>
    <row r="97" spans="1:201" x14ac:dyDescent="0.25">
      <c r="A97">
        <v>81</v>
      </c>
      <c r="B97">
        <v>1690304719.5</v>
      </c>
      <c r="C97">
        <v>969.5</v>
      </c>
      <c r="D97" t="s">
        <v>493</v>
      </c>
      <c r="E97" t="s">
        <v>494</v>
      </c>
      <c r="F97" t="s">
        <v>330</v>
      </c>
      <c r="H97">
        <v>1690304719.5</v>
      </c>
      <c r="I97">
        <f t="shared" si="30"/>
        <v>6.6753836791259402E-4</v>
      </c>
      <c r="J97">
        <f t="shared" si="31"/>
        <v>0.66753836791259402</v>
      </c>
      <c r="K97">
        <f t="shared" si="32"/>
        <v>11.700995825159415</v>
      </c>
      <c r="L97">
        <f t="shared" si="33"/>
        <v>666.52700000000004</v>
      </c>
      <c r="M97">
        <f t="shared" si="34"/>
        <v>244.87199969113522</v>
      </c>
      <c r="N97">
        <f t="shared" si="35"/>
        <v>24.331102150086412</v>
      </c>
      <c r="O97">
        <f t="shared" si="36"/>
        <v>66.227811032890997</v>
      </c>
      <c r="P97">
        <f t="shared" si="37"/>
        <v>4.6029474720555685E-2</v>
      </c>
      <c r="Q97">
        <f t="shared" si="38"/>
        <v>2.0985602126656335</v>
      </c>
      <c r="R97">
        <f t="shared" si="39"/>
        <v>4.5475865177656526E-2</v>
      </c>
      <c r="S97">
        <f t="shared" si="40"/>
        <v>2.8471600518791509E-2</v>
      </c>
      <c r="T97">
        <f t="shared" si="41"/>
        <v>276.11380267199996</v>
      </c>
      <c r="U97">
        <f t="shared" si="42"/>
        <v>26.724839301824485</v>
      </c>
      <c r="V97">
        <f t="shared" si="43"/>
        <v>26.724839301824485</v>
      </c>
      <c r="W97">
        <f t="shared" si="44"/>
        <v>3.5217237437658411</v>
      </c>
      <c r="X97">
        <f t="shared" si="45"/>
        <v>67.205374532049859</v>
      </c>
      <c r="Y97">
        <f t="shared" si="46"/>
        <v>2.1044785764334</v>
      </c>
      <c r="Z97">
        <f t="shared" si="47"/>
        <v>3.1314141035398677</v>
      </c>
      <c r="AA97">
        <f t="shared" si="48"/>
        <v>1.4172451673324411</v>
      </c>
      <c r="AB97">
        <f t="shared" si="49"/>
        <v>-29.438442024945395</v>
      </c>
      <c r="AC97">
        <f t="shared" si="50"/>
        <v>-224.14130265599886</v>
      </c>
      <c r="AD97">
        <f t="shared" si="51"/>
        <v>-22.759964380184016</v>
      </c>
      <c r="AE97">
        <f t="shared" si="52"/>
        <v>-0.22590638912831196</v>
      </c>
      <c r="AF97">
        <v>12</v>
      </c>
      <c r="AG97">
        <v>4</v>
      </c>
      <c r="AH97">
        <f t="shared" si="53"/>
        <v>1</v>
      </c>
      <c r="AI97">
        <f t="shared" si="54"/>
        <v>0</v>
      </c>
      <c r="AJ97">
        <f t="shared" si="55"/>
        <v>52818.388131469037</v>
      </c>
      <c r="AK97">
        <f t="shared" si="56"/>
        <v>1800</v>
      </c>
      <c r="AL97">
        <f t="shared" si="57"/>
        <v>1499.1152381999998</v>
      </c>
      <c r="AM97">
        <f t="shared" si="58"/>
        <v>0.83284179899999988</v>
      </c>
      <c r="AN97">
        <f t="shared" si="59"/>
        <v>0.15339655703999996</v>
      </c>
      <c r="AO97">
        <v>33</v>
      </c>
      <c r="AP97">
        <v>0.5</v>
      </c>
      <c r="AQ97" t="s">
        <v>331</v>
      </c>
      <c r="AR97">
        <v>2</v>
      </c>
      <c r="AS97">
        <v>1690304719.5</v>
      </c>
      <c r="AT97">
        <v>666.52700000000004</v>
      </c>
      <c r="AU97">
        <v>800.06899999999996</v>
      </c>
      <c r="AV97">
        <v>21.1798</v>
      </c>
      <c r="AW97">
        <v>13.995799999999999</v>
      </c>
      <c r="AX97">
        <v>666.67600000000004</v>
      </c>
      <c r="AY97">
        <v>20.907900000000001</v>
      </c>
      <c r="AZ97">
        <v>300.142</v>
      </c>
      <c r="BA97">
        <v>99.262500000000003</v>
      </c>
      <c r="BB97">
        <v>0.100033</v>
      </c>
      <c r="BC97">
        <v>24.7437</v>
      </c>
      <c r="BD97">
        <v>26.993200000000002</v>
      </c>
      <c r="BE97">
        <v>26.1767</v>
      </c>
      <c r="BF97">
        <v>0</v>
      </c>
      <c r="BG97">
        <v>0</v>
      </c>
      <c r="BH97">
        <v>9986.8799999999992</v>
      </c>
      <c r="BI97">
        <v>1047.58</v>
      </c>
      <c r="BJ97">
        <v>1.68198</v>
      </c>
      <c r="BK97">
        <v>-133.541</v>
      </c>
      <c r="BL97">
        <v>680.95</v>
      </c>
      <c r="BM97">
        <v>811.42499999999995</v>
      </c>
      <c r="BN97">
        <v>7.18398</v>
      </c>
      <c r="BO97">
        <v>800.06899999999996</v>
      </c>
      <c r="BP97">
        <v>13.995799999999999</v>
      </c>
      <c r="BQ97">
        <v>2.10236</v>
      </c>
      <c r="BR97">
        <v>1.3892599999999999</v>
      </c>
      <c r="BS97">
        <v>18.236999999999998</v>
      </c>
      <c r="BT97">
        <v>11.8009</v>
      </c>
      <c r="BU97">
        <v>1800</v>
      </c>
      <c r="BV97">
        <v>0.91002899999999998</v>
      </c>
      <c r="BW97">
        <v>3.3993900000000001E-2</v>
      </c>
      <c r="BX97">
        <v>2.1990699999999998E-2</v>
      </c>
      <c r="BY97">
        <v>3.39864E-2</v>
      </c>
      <c r="BZ97">
        <v>26</v>
      </c>
      <c r="CA97">
        <v>33528.6</v>
      </c>
      <c r="CB97">
        <v>1690303320.5</v>
      </c>
      <c r="CC97" t="s">
        <v>332</v>
      </c>
      <c r="CD97">
        <v>1690303320.5</v>
      </c>
      <c r="CE97">
        <v>1690303310.0999999</v>
      </c>
      <c r="CF97">
        <v>8</v>
      </c>
      <c r="CG97">
        <v>7.3999999999999996E-2</v>
      </c>
      <c r="CH97">
        <v>-0.01</v>
      </c>
      <c r="CI97">
        <v>-0.24199999999999999</v>
      </c>
      <c r="CJ97">
        <v>0.27200000000000002</v>
      </c>
      <c r="CK97">
        <v>800</v>
      </c>
      <c r="CL97">
        <v>23</v>
      </c>
      <c r="CM97">
        <v>0.06</v>
      </c>
      <c r="CN97">
        <v>0.09</v>
      </c>
      <c r="CO97">
        <v>-130.2771219512195</v>
      </c>
      <c r="CP97">
        <v>-18.509728222996429</v>
      </c>
      <c r="CQ97">
        <v>1.825434037195615</v>
      </c>
      <c r="CR97">
        <v>-1</v>
      </c>
      <c r="CS97">
        <v>7.0418112195121942</v>
      </c>
      <c r="CT97">
        <v>0.83614452961674501</v>
      </c>
      <c r="CU97">
        <v>8.305621902076317E-2</v>
      </c>
      <c r="CV97">
        <v>-1</v>
      </c>
      <c r="CW97">
        <v>0</v>
      </c>
      <c r="CX97">
        <v>0</v>
      </c>
      <c r="CY97" t="s">
        <v>333</v>
      </c>
      <c r="CZ97">
        <v>2.3641700000000001</v>
      </c>
      <c r="DA97">
        <v>2.7138100000000001</v>
      </c>
      <c r="DB97">
        <v>0.12978899999999999</v>
      </c>
      <c r="DC97">
        <v>0.14644499999999999</v>
      </c>
      <c r="DD97">
        <v>0.104044</v>
      </c>
      <c r="DE97">
        <v>7.6309600000000005E-2</v>
      </c>
      <c r="DF97">
        <v>31774</v>
      </c>
      <c r="DG97">
        <v>27513.5</v>
      </c>
      <c r="DH97">
        <v>31171.8</v>
      </c>
      <c r="DI97">
        <v>28087.9</v>
      </c>
      <c r="DJ97">
        <v>37921.9</v>
      </c>
      <c r="DK97">
        <v>36898.400000000001</v>
      </c>
      <c r="DL97">
        <v>44362.7</v>
      </c>
      <c r="DM97">
        <v>42579</v>
      </c>
      <c r="DN97">
        <v>1.4357</v>
      </c>
      <c r="DO97">
        <v>2.0477799999999999</v>
      </c>
      <c r="DP97">
        <v>0.17840400000000001</v>
      </c>
      <c r="DQ97">
        <v>0.14247699999999999</v>
      </c>
      <c r="DR97">
        <v>24.0686</v>
      </c>
      <c r="DS97">
        <v>23.838999999999999</v>
      </c>
      <c r="DT97">
        <v>55.7</v>
      </c>
      <c r="DU97">
        <v>29</v>
      </c>
      <c r="DV97">
        <v>22.5703</v>
      </c>
      <c r="DW97">
        <v>61.861199999999997</v>
      </c>
      <c r="DX97">
        <v>35.805300000000003</v>
      </c>
      <c r="DY97">
        <v>1</v>
      </c>
      <c r="DZ97">
        <v>-7.3938000000000004E-2</v>
      </c>
      <c r="EA97">
        <v>0.93424600000000002</v>
      </c>
      <c r="EB97">
        <v>20.186800000000002</v>
      </c>
      <c r="EC97">
        <v>5.2406499999999996</v>
      </c>
      <c r="ED97">
        <v>12.039899999999999</v>
      </c>
      <c r="EE97">
        <v>5.01715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1.8689199999999999</v>
      </c>
      <c r="EL97">
        <v>1.86463</v>
      </c>
      <c r="EM97">
        <v>1.8692</v>
      </c>
      <c r="EN97">
        <v>1.8672599999999999</v>
      </c>
      <c r="EO97">
        <v>1.8633999999999999</v>
      </c>
      <c r="EP97">
        <v>1.8644700000000001</v>
      </c>
      <c r="EQ97">
        <v>1.87018</v>
      </c>
      <c r="ER97">
        <v>1.8694599999999999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-0.14899999999999999</v>
      </c>
      <c r="FG97">
        <v>0.27189999999999998</v>
      </c>
      <c r="FH97">
        <v>0.30965466913576151</v>
      </c>
      <c r="FI97">
        <v>-6.1462078757559423E-4</v>
      </c>
      <c r="FJ97">
        <v>-1.8861989874597051E-7</v>
      </c>
      <c r="FK97">
        <v>1.1980462299894961E-10</v>
      </c>
      <c r="FL97">
        <v>0.27184999999999349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23.3</v>
      </c>
      <c r="FU97">
        <v>23.5</v>
      </c>
      <c r="FV97">
        <v>1.78345</v>
      </c>
      <c r="FW97">
        <v>2.5891099999999998</v>
      </c>
      <c r="FX97">
        <v>1.5490699999999999</v>
      </c>
      <c r="FY97">
        <v>2.3290999999999999</v>
      </c>
      <c r="FZ97">
        <v>1.50146</v>
      </c>
      <c r="GA97">
        <v>2.3962400000000001</v>
      </c>
      <c r="GB97">
        <v>33.896099999999997</v>
      </c>
      <c r="GC97">
        <v>23.982399999999998</v>
      </c>
      <c r="GD97">
        <v>19</v>
      </c>
      <c r="GE97">
        <v>266.92700000000002</v>
      </c>
      <c r="GF97">
        <v>595.31100000000004</v>
      </c>
      <c r="GG97">
        <v>21.7852</v>
      </c>
      <c r="GH97">
        <v>26.42</v>
      </c>
      <c r="GI97">
        <v>29.9998</v>
      </c>
      <c r="GJ97">
        <v>26.581</v>
      </c>
      <c r="GK97">
        <v>26.571300000000001</v>
      </c>
      <c r="GL97">
        <v>35.658299999999997</v>
      </c>
      <c r="GM97">
        <v>43.813400000000001</v>
      </c>
      <c r="GN97">
        <v>86.351299999999995</v>
      </c>
      <c r="GO97">
        <v>21.8</v>
      </c>
      <c r="GP97">
        <v>800</v>
      </c>
      <c r="GQ97">
        <v>13.8588</v>
      </c>
      <c r="GR97">
        <v>99.739500000000007</v>
      </c>
      <c r="GS97">
        <v>99.600099999999998</v>
      </c>
    </row>
    <row r="98" spans="1:201" x14ac:dyDescent="0.25">
      <c r="A98">
        <v>82</v>
      </c>
      <c r="B98">
        <v>1690304729.5</v>
      </c>
      <c r="C98">
        <v>979.5</v>
      </c>
      <c r="D98" t="s">
        <v>495</v>
      </c>
      <c r="E98" t="s">
        <v>496</v>
      </c>
      <c r="F98" t="s">
        <v>330</v>
      </c>
      <c r="H98">
        <v>1690304729.5</v>
      </c>
      <c r="I98">
        <f t="shared" si="30"/>
        <v>6.8369047659294494E-4</v>
      </c>
      <c r="J98">
        <f t="shared" si="31"/>
        <v>0.68369047659294491</v>
      </c>
      <c r="K98">
        <f t="shared" si="32"/>
        <v>11.977944550988378</v>
      </c>
      <c r="L98">
        <f t="shared" si="33"/>
        <v>663.476</v>
      </c>
      <c r="M98">
        <f t="shared" si="34"/>
        <v>242.03193948027544</v>
      </c>
      <c r="N98">
        <f t="shared" si="35"/>
        <v>24.04862271860425</v>
      </c>
      <c r="O98">
        <f t="shared" si="36"/>
        <v>65.923877820055196</v>
      </c>
      <c r="P98">
        <f t="shared" si="37"/>
        <v>4.7146671741192921E-2</v>
      </c>
      <c r="Q98">
        <f t="shared" si="38"/>
        <v>2.1008161426656944</v>
      </c>
      <c r="R98">
        <f t="shared" si="39"/>
        <v>4.6566660418857528E-2</v>
      </c>
      <c r="S98">
        <f t="shared" si="40"/>
        <v>2.9155679909657374E-2</v>
      </c>
      <c r="T98">
        <f t="shared" si="41"/>
        <v>276.11492147999996</v>
      </c>
      <c r="U98">
        <f t="shared" si="42"/>
        <v>26.732172571102588</v>
      </c>
      <c r="V98">
        <f t="shared" si="43"/>
        <v>26.732172571102588</v>
      </c>
      <c r="W98">
        <f t="shared" si="44"/>
        <v>3.5232439601166115</v>
      </c>
      <c r="X98">
        <f t="shared" si="45"/>
        <v>67.185608236267981</v>
      </c>
      <c r="Y98">
        <f t="shared" si="46"/>
        <v>2.1057454344465594</v>
      </c>
      <c r="Z98">
        <f t="shared" si="47"/>
        <v>3.1342209882827863</v>
      </c>
      <c r="AA98">
        <f t="shared" si="48"/>
        <v>1.4174985256700521</v>
      </c>
      <c r="AB98">
        <f t="shared" si="49"/>
        <v>-30.150750017748873</v>
      </c>
      <c r="AC98">
        <f t="shared" si="50"/>
        <v>-223.51392439490121</v>
      </c>
      <c r="AD98">
        <f t="shared" si="51"/>
        <v>-22.674427080263275</v>
      </c>
      <c r="AE98">
        <f t="shared" si="52"/>
        <v>-0.22418001291339351</v>
      </c>
      <c r="AF98">
        <v>12</v>
      </c>
      <c r="AG98">
        <v>4</v>
      </c>
      <c r="AH98">
        <f t="shared" si="53"/>
        <v>1</v>
      </c>
      <c r="AI98">
        <f t="shared" si="54"/>
        <v>0</v>
      </c>
      <c r="AJ98">
        <f t="shared" si="55"/>
        <v>52916.693267473296</v>
      </c>
      <c r="AK98">
        <f t="shared" si="56"/>
        <v>1800</v>
      </c>
      <c r="AL98">
        <f t="shared" si="57"/>
        <v>1499.1153479999996</v>
      </c>
      <c r="AM98">
        <f t="shared" si="58"/>
        <v>0.83284185999999982</v>
      </c>
      <c r="AN98">
        <f t="shared" si="59"/>
        <v>0.15339717859999999</v>
      </c>
      <c r="AO98">
        <v>33</v>
      </c>
      <c r="AP98">
        <v>0.5</v>
      </c>
      <c r="AQ98" t="s">
        <v>331</v>
      </c>
      <c r="AR98">
        <v>2</v>
      </c>
      <c r="AS98">
        <v>1690304729.5</v>
      </c>
      <c r="AT98">
        <v>663.476</v>
      </c>
      <c r="AU98">
        <v>800.11699999999996</v>
      </c>
      <c r="AV98">
        <v>21.192799999999998</v>
      </c>
      <c r="AW98">
        <v>13.837300000000001</v>
      </c>
      <c r="AX98">
        <v>663.62199999999996</v>
      </c>
      <c r="AY98">
        <v>20.920999999999999</v>
      </c>
      <c r="AZ98">
        <v>300.233</v>
      </c>
      <c r="BA98">
        <v>99.261399999999995</v>
      </c>
      <c r="BB98">
        <v>9.9960199999999999E-2</v>
      </c>
      <c r="BC98">
        <v>24.758700000000001</v>
      </c>
      <c r="BD98">
        <v>26.966699999999999</v>
      </c>
      <c r="BE98">
        <v>26.164899999999999</v>
      </c>
      <c r="BF98">
        <v>0</v>
      </c>
      <c r="BG98">
        <v>0</v>
      </c>
      <c r="BH98">
        <v>10006.9</v>
      </c>
      <c r="BI98">
        <v>1047.71</v>
      </c>
      <c r="BJ98">
        <v>1.68198</v>
      </c>
      <c r="BK98">
        <v>-136.64099999999999</v>
      </c>
      <c r="BL98">
        <v>677.84100000000001</v>
      </c>
      <c r="BM98">
        <v>811.34400000000005</v>
      </c>
      <c r="BN98">
        <v>7.3555000000000001</v>
      </c>
      <c r="BO98">
        <v>800.11699999999996</v>
      </c>
      <c r="BP98">
        <v>13.837300000000001</v>
      </c>
      <c r="BQ98">
        <v>2.1036299999999999</v>
      </c>
      <c r="BR98">
        <v>1.37351</v>
      </c>
      <c r="BS98">
        <v>18.246700000000001</v>
      </c>
      <c r="BT98">
        <v>11.628299999999999</v>
      </c>
      <c r="BU98">
        <v>1800</v>
      </c>
      <c r="BV98">
        <v>0.91001699999999996</v>
      </c>
      <c r="BW98">
        <v>3.3993099999999998E-2</v>
      </c>
      <c r="BX98">
        <v>2.1998E-2</v>
      </c>
      <c r="BY98">
        <v>3.39922E-2</v>
      </c>
      <c r="BZ98">
        <v>26</v>
      </c>
      <c r="CA98">
        <v>33528.5</v>
      </c>
      <c r="CB98">
        <v>1690303320.5</v>
      </c>
      <c r="CC98" t="s">
        <v>332</v>
      </c>
      <c r="CD98">
        <v>1690303320.5</v>
      </c>
      <c r="CE98">
        <v>1690303310.0999999</v>
      </c>
      <c r="CF98">
        <v>8</v>
      </c>
      <c r="CG98">
        <v>7.3999999999999996E-2</v>
      </c>
      <c r="CH98">
        <v>-0.01</v>
      </c>
      <c r="CI98">
        <v>-0.24199999999999999</v>
      </c>
      <c r="CJ98">
        <v>0.27200000000000002</v>
      </c>
      <c r="CK98">
        <v>800</v>
      </c>
      <c r="CL98">
        <v>23</v>
      </c>
      <c r="CM98">
        <v>0.06</v>
      </c>
      <c r="CN98">
        <v>0.09</v>
      </c>
      <c r="CO98">
        <v>-133.36421951219509</v>
      </c>
      <c r="CP98">
        <v>-18.47142857142876</v>
      </c>
      <c r="CQ98">
        <v>1.821524884000739</v>
      </c>
      <c r="CR98">
        <v>-1</v>
      </c>
      <c r="CS98">
        <v>7.1912809756097564</v>
      </c>
      <c r="CT98">
        <v>0.99027993031359107</v>
      </c>
      <c r="CU98">
        <v>9.8129459931079147E-2</v>
      </c>
      <c r="CV98">
        <v>-1</v>
      </c>
      <c r="CW98">
        <v>0</v>
      </c>
      <c r="CX98">
        <v>0</v>
      </c>
      <c r="CY98" t="s">
        <v>333</v>
      </c>
      <c r="CZ98">
        <v>2.3644599999999998</v>
      </c>
      <c r="DA98">
        <v>2.7137600000000002</v>
      </c>
      <c r="DB98">
        <v>0.129381</v>
      </c>
      <c r="DC98">
        <v>0.146451</v>
      </c>
      <c r="DD98">
        <v>0.104092</v>
      </c>
      <c r="DE98">
        <v>7.5671299999999997E-2</v>
      </c>
      <c r="DF98">
        <v>31789.9</v>
      </c>
      <c r="DG98">
        <v>27514.1</v>
      </c>
      <c r="DH98">
        <v>31172.7</v>
      </c>
      <c r="DI98">
        <v>28088.6</v>
      </c>
      <c r="DJ98">
        <v>37921</v>
      </c>
      <c r="DK98">
        <v>36924.800000000003</v>
      </c>
      <c r="DL98">
        <v>44364</v>
      </c>
      <c r="DM98">
        <v>42579.9</v>
      </c>
      <c r="DN98">
        <v>1.4358</v>
      </c>
      <c r="DO98">
        <v>2.04752</v>
      </c>
      <c r="DP98">
        <v>0.176869</v>
      </c>
      <c r="DQ98">
        <v>0.141732</v>
      </c>
      <c r="DR98">
        <v>24.0671</v>
      </c>
      <c r="DS98">
        <v>23.839400000000001</v>
      </c>
      <c r="DT98">
        <v>55.6</v>
      </c>
      <c r="DU98">
        <v>29</v>
      </c>
      <c r="DV98">
        <v>22.527899999999999</v>
      </c>
      <c r="DW98">
        <v>61.821199999999997</v>
      </c>
      <c r="DX98">
        <v>35.296500000000002</v>
      </c>
      <c r="DY98">
        <v>1</v>
      </c>
      <c r="DZ98">
        <v>-7.4260699999999999E-2</v>
      </c>
      <c r="EA98">
        <v>1.0526599999999999</v>
      </c>
      <c r="EB98">
        <v>20.186</v>
      </c>
      <c r="EC98">
        <v>5.2404999999999999</v>
      </c>
      <c r="ED98">
        <v>12.039899999999999</v>
      </c>
      <c r="EE98">
        <v>5.0171999999999999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1.8646199999999999</v>
      </c>
      <c r="EM98">
        <v>1.8692</v>
      </c>
      <c r="EN98">
        <v>1.86724</v>
      </c>
      <c r="EO98">
        <v>1.8633999999999999</v>
      </c>
      <c r="EP98">
        <v>1.8644700000000001</v>
      </c>
      <c r="EQ98">
        <v>1.8702000000000001</v>
      </c>
      <c r="ER98">
        <v>1.86938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-0.14599999999999999</v>
      </c>
      <c r="FG98">
        <v>0.27179999999999999</v>
      </c>
      <c r="FH98">
        <v>0.30965466913576151</v>
      </c>
      <c r="FI98">
        <v>-6.1462078757559423E-4</v>
      </c>
      <c r="FJ98">
        <v>-1.8861989874597051E-7</v>
      </c>
      <c r="FK98">
        <v>1.1980462299894961E-10</v>
      </c>
      <c r="FL98">
        <v>0.27184999999999349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23.5</v>
      </c>
      <c r="FU98">
        <v>23.7</v>
      </c>
      <c r="FV98">
        <v>1.78345</v>
      </c>
      <c r="FW98">
        <v>2.5878899999999998</v>
      </c>
      <c r="FX98">
        <v>1.5490699999999999</v>
      </c>
      <c r="FY98">
        <v>2.3278799999999999</v>
      </c>
      <c r="FZ98">
        <v>1.50146</v>
      </c>
      <c r="GA98">
        <v>2.3083499999999999</v>
      </c>
      <c r="GB98">
        <v>33.896099999999997</v>
      </c>
      <c r="GC98">
        <v>23.982399999999998</v>
      </c>
      <c r="GD98">
        <v>19</v>
      </c>
      <c r="GE98">
        <v>266.95</v>
      </c>
      <c r="GF98">
        <v>595.05100000000004</v>
      </c>
      <c r="GG98">
        <v>21.828700000000001</v>
      </c>
      <c r="GH98">
        <v>26.412400000000002</v>
      </c>
      <c r="GI98">
        <v>30</v>
      </c>
      <c r="GJ98">
        <v>26.576499999999999</v>
      </c>
      <c r="GK98">
        <v>26.5669</v>
      </c>
      <c r="GL98">
        <v>35.650799999999997</v>
      </c>
      <c r="GM98">
        <v>44.0869</v>
      </c>
      <c r="GN98">
        <v>85.972300000000004</v>
      </c>
      <c r="GO98">
        <v>21.820599999999999</v>
      </c>
      <c r="GP98">
        <v>800</v>
      </c>
      <c r="GQ98">
        <v>13.7113</v>
      </c>
      <c r="GR98">
        <v>99.742400000000004</v>
      </c>
      <c r="GS98">
        <v>99.602500000000006</v>
      </c>
    </row>
    <row r="99" spans="1:201" x14ac:dyDescent="0.25">
      <c r="A99">
        <v>83</v>
      </c>
      <c r="B99">
        <v>1690304739.5</v>
      </c>
      <c r="C99">
        <v>989.5</v>
      </c>
      <c r="D99" t="s">
        <v>497</v>
      </c>
      <c r="E99" t="s">
        <v>498</v>
      </c>
      <c r="F99" t="s">
        <v>330</v>
      </c>
      <c r="H99">
        <v>1690304739.5</v>
      </c>
      <c r="I99">
        <f t="shared" si="30"/>
        <v>6.9209931769210879E-4</v>
      </c>
      <c r="J99">
        <f t="shared" si="31"/>
        <v>0.69209931769210875</v>
      </c>
      <c r="K99">
        <f t="shared" si="32"/>
        <v>12.23796738712794</v>
      </c>
      <c r="L99">
        <f t="shared" si="33"/>
        <v>660.38</v>
      </c>
      <c r="M99">
        <f t="shared" si="34"/>
        <v>235.81961200062199</v>
      </c>
      <c r="N99">
        <f t="shared" si="35"/>
        <v>23.431734603687442</v>
      </c>
      <c r="O99">
        <f t="shared" si="36"/>
        <v>65.617311326686007</v>
      </c>
      <c r="P99">
        <f t="shared" si="37"/>
        <v>4.7798401004324496E-2</v>
      </c>
      <c r="Q99">
        <f t="shared" si="38"/>
        <v>2.1081699192387995</v>
      </c>
      <c r="R99">
        <f t="shared" si="39"/>
        <v>4.7204403956489213E-2</v>
      </c>
      <c r="S99">
        <f t="shared" si="40"/>
        <v>2.9555505675525021E-2</v>
      </c>
      <c r="T99">
        <f t="shared" si="41"/>
        <v>276.11507807999993</v>
      </c>
      <c r="U99">
        <f t="shared" si="42"/>
        <v>26.72834062467053</v>
      </c>
      <c r="V99">
        <f t="shared" si="43"/>
        <v>26.72834062467053</v>
      </c>
      <c r="W99">
        <f t="shared" si="44"/>
        <v>3.5224495106844871</v>
      </c>
      <c r="X99">
        <f t="shared" si="45"/>
        <v>67.200202659766717</v>
      </c>
      <c r="Y99">
        <f t="shared" si="46"/>
        <v>2.1068822611828302</v>
      </c>
      <c r="Z99">
        <f t="shared" si="47"/>
        <v>3.1352320049538136</v>
      </c>
      <c r="AA99">
        <f t="shared" si="48"/>
        <v>1.4155672495016569</v>
      </c>
      <c r="AB99">
        <f t="shared" si="49"/>
        <v>-30.521579910221998</v>
      </c>
      <c r="AC99">
        <f t="shared" si="50"/>
        <v>-223.24705808625225</v>
      </c>
      <c r="AD99">
        <f t="shared" si="51"/>
        <v>-22.56853101682713</v>
      </c>
      <c r="AE99">
        <f t="shared" si="52"/>
        <v>-0.22209093330144469</v>
      </c>
      <c r="AF99">
        <v>12</v>
      </c>
      <c r="AG99">
        <v>4</v>
      </c>
      <c r="AH99">
        <f t="shared" si="53"/>
        <v>1</v>
      </c>
      <c r="AI99">
        <f t="shared" si="54"/>
        <v>0</v>
      </c>
      <c r="AJ99">
        <f t="shared" si="55"/>
        <v>53245.888951136847</v>
      </c>
      <c r="AK99">
        <f t="shared" si="56"/>
        <v>1800</v>
      </c>
      <c r="AL99">
        <f t="shared" si="57"/>
        <v>1499.1132960000002</v>
      </c>
      <c r="AM99">
        <f t="shared" si="58"/>
        <v>0.83284072000000009</v>
      </c>
      <c r="AN99">
        <f t="shared" si="59"/>
        <v>0.15339726559999997</v>
      </c>
      <c r="AO99">
        <v>33</v>
      </c>
      <c r="AP99">
        <v>0.5</v>
      </c>
      <c r="AQ99" t="s">
        <v>331</v>
      </c>
      <c r="AR99">
        <v>2</v>
      </c>
      <c r="AS99">
        <v>1690304739.5</v>
      </c>
      <c r="AT99">
        <v>660.38</v>
      </c>
      <c r="AU99">
        <v>799.93399999999997</v>
      </c>
      <c r="AV99">
        <v>21.203900000000001</v>
      </c>
      <c r="AW99">
        <v>13.757099999999999</v>
      </c>
      <c r="AX99">
        <v>660.524</v>
      </c>
      <c r="AY99">
        <v>20.931999999999999</v>
      </c>
      <c r="AZ99">
        <v>300.19600000000003</v>
      </c>
      <c r="BA99">
        <v>99.263000000000005</v>
      </c>
      <c r="BB99">
        <v>9.9959699999999999E-2</v>
      </c>
      <c r="BC99">
        <v>24.764099999999999</v>
      </c>
      <c r="BD99">
        <v>26.9465</v>
      </c>
      <c r="BE99">
        <v>26.206499999999998</v>
      </c>
      <c r="BF99">
        <v>0</v>
      </c>
      <c r="BG99">
        <v>0</v>
      </c>
      <c r="BH99">
        <v>10071.9</v>
      </c>
      <c r="BI99">
        <v>1047.6300000000001</v>
      </c>
      <c r="BJ99">
        <v>1.68198</v>
      </c>
      <c r="BK99">
        <v>-139.554</v>
      </c>
      <c r="BL99">
        <v>674.68600000000004</v>
      </c>
      <c r="BM99">
        <v>811.09199999999998</v>
      </c>
      <c r="BN99">
        <v>7.4467299999999996</v>
      </c>
      <c r="BO99">
        <v>799.93399999999997</v>
      </c>
      <c r="BP99">
        <v>13.757099999999999</v>
      </c>
      <c r="BQ99">
        <v>2.1047600000000002</v>
      </c>
      <c r="BR99">
        <v>1.36557</v>
      </c>
      <c r="BS99">
        <v>18.255199999999999</v>
      </c>
      <c r="BT99">
        <v>11.540699999999999</v>
      </c>
      <c r="BU99">
        <v>1800</v>
      </c>
      <c r="BV99">
        <v>0.91000700000000001</v>
      </c>
      <c r="BW99">
        <v>3.39922E-2</v>
      </c>
      <c r="BX99">
        <v>2.1999999999999999E-2</v>
      </c>
      <c r="BY99">
        <v>3.40004E-2</v>
      </c>
      <c r="BZ99">
        <v>26</v>
      </c>
      <c r="CA99">
        <v>33528.400000000001</v>
      </c>
      <c r="CB99">
        <v>1690303320.5</v>
      </c>
      <c r="CC99" t="s">
        <v>332</v>
      </c>
      <c r="CD99">
        <v>1690303320.5</v>
      </c>
      <c r="CE99">
        <v>1690303310.0999999</v>
      </c>
      <c r="CF99">
        <v>8</v>
      </c>
      <c r="CG99">
        <v>7.3999999999999996E-2</v>
      </c>
      <c r="CH99">
        <v>-0.01</v>
      </c>
      <c r="CI99">
        <v>-0.24199999999999999</v>
      </c>
      <c r="CJ99">
        <v>0.27200000000000002</v>
      </c>
      <c r="CK99">
        <v>800</v>
      </c>
      <c r="CL99">
        <v>23</v>
      </c>
      <c r="CM99">
        <v>0.06</v>
      </c>
      <c r="CN99">
        <v>0.09</v>
      </c>
      <c r="CO99">
        <v>-136.36445000000001</v>
      </c>
      <c r="CP99">
        <v>-18.325193245778308</v>
      </c>
      <c r="CQ99">
        <v>1.7634452210091469</v>
      </c>
      <c r="CR99">
        <v>-1</v>
      </c>
      <c r="CS99">
        <v>7.3382727499999989</v>
      </c>
      <c r="CT99">
        <v>0.80728604127577408</v>
      </c>
      <c r="CU99">
        <v>7.9680607332885567E-2</v>
      </c>
      <c r="CV99">
        <v>-1</v>
      </c>
      <c r="CW99">
        <v>0</v>
      </c>
      <c r="CX99">
        <v>0</v>
      </c>
      <c r="CY99" t="s">
        <v>333</v>
      </c>
      <c r="CZ99">
        <v>2.3643399999999999</v>
      </c>
      <c r="DA99">
        <v>2.7138200000000001</v>
      </c>
      <c r="DB99">
        <v>0.128964</v>
      </c>
      <c r="DC99">
        <v>0.146427</v>
      </c>
      <c r="DD99">
        <v>0.104132</v>
      </c>
      <c r="DE99">
        <v>7.5346399999999994E-2</v>
      </c>
      <c r="DF99">
        <v>31805.9</v>
      </c>
      <c r="DG99">
        <v>27515</v>
      </c>
      <c r="DH99">
        <v>31173.5</v>
      </c>
      <c r="DI99">
        <v>28088.7</v>
      </c>
      <c r="DJ99">
        <v>37920.199999999997</v>
      </c>
      <c r="DK99">
        <v>36938.1</v>
      </c>
      <c r="DL99">
        <v>44365.2</v>
      </c>
      <c r="DM99">
        <v>42580.3</v>
      </c>
      <c r="DN99">
        <v>1.4356500000000001</v>
      </c>
      <c r="DO99">
        <v>2.04752</v>
      </c>
      <c r="DP99">
        <v>0.1757</v>
      </c>
      <c r="DQ99">
        <v>0.144154</v>
      </c>
      <c r="DR99">
        <v>24.065999999999999</v>
      </c>
      <c r="DS99">
        <v>23.8414</v>
      </c>
      <c r="DT99">
        <v>55.5</v>
      </c>
      <c r="DU99">
        <v>29</v>
      </c>
      <c r="DV99">
        <v>22.486999999999998</v>
      </c>
      <c r="DW99">
        <v>60.731200000000001</v>
      </c>
      <c r="DX99">
        <v>35.568899999999999</v>
      </c>
      <c r="DY99">
        <v>1</v>
      </c>
      <c r="DZ99">
        <v>-7.5020299999999998E-2</v>
      </c>
      <c r="EA99">
        <v>0.95463799999999999</v>
      </c>
      <c r="EB99">
        <v>20.186499999999999</v>
      </c>
      <c r="EC99">
        <v>5.2409499999999998</v>
      </c>
      <c r="ED99">
        <v>12.039899999999999</v>
      </c>
      <c r="EE99">
        <v>5.0169499999999996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1.8689199999999999</v>
      </c>
      <c r="EL99">
        <v>1.86463</v>
      </c>
      <c r="EM99">
        <v>1.8692</v>
      </c>
      <c r="EN99">
        <v>1.8672599999999999</v>
      </c>
      <c r="EO99">
        <v>1.8633999999999999</v>
      </c>
      <c r="EP99">
        <v>1.8644700000000001</v>
      </c>
      <c r="EQ99">
        <v>1.8701700000000001</v>
      </c>
      <c r="ER99">
        <v>1.8694500000000001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-0.14399999999999999</v>
      </c>
      <c r="FG99">
        <v>0.27189999999999998</v>
      </c>
      <c r="FH99">
        <v>0.30965466913576151</v>
      </c>
      <c r="FI99">
        <v>-6.1462078757559423E-4</v>
      </c>
      <c r="FJ99">
        <v>-1.8861989874597051E-7</v>
      </c>
      <c r="FK99">
        <v>1.1980462299894961E-10</v>
      </c>
      <c r="FL99">
        <v>0.27184999999999349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23.6</v>
      </c>
      <c r="FU99">
        <v>23.8</v>
      </c>
      <c r="FV99">
        <v>1.78345</v>
      </c>
      <c r="FW99">
        <v>2.5854499999999998</v>
      </c>
      <c r="FX99">
        <v>1.5490699999999999</v>
      </c>
      <c r="FY99">
        <v>2.3290999999999999</v>
      </c>
      <c r="FZ99">
        <v>1.50146</v>
      </c>
      <c r="GA99">
        <v>2.34253</v>
      </c>
      <c r="GB99">
        <v>33.896099999999997</v>
      </c>
      <c r="GC99">
        <v>23.982399999999998</v>
      </c>
      <c r="GD99">
        <v>19</v>
      </c>
      <c r="GE99">
        <v>266.86900000000003</v>
      </c>
      <c r="GF99">
        <v>595.01199999999994</v>
      </c>
      <c r="GG99">
        <v>21.851900000000001</v>
      </c>
      <c r="GH99">
        <v>26.4057</v>
      </c>
      <c r="GI99">
        <v>29.9998</v>
      </c>
      <c r="GJ99">
        <v>26.5715</v>
      </c>
      <c r="GK99">
        <v>26.563500000000001</v>
      </c>
      <c r="GL99">
        <v>35.654299999999999</v>
      </c>
      <c r="GM99">
        <v>44.385899999999999</v>
      </c>
      <c r="GN99">
        <v>85.595100000000002</v>
      </c>
      <c r="GO99">
        <v>21.868400000000001</v>
      </c>
      <c r="GP99">
        <v>800</v>
      </c>
      <c r="GQ99">
        <v>13.658200000000001</v>
      </c>
      <c r="GR99">
        <v>99.745000000000005</v>
      </c>
      <c r="GS99">
        <v>99.603099999999998</v>
      </c>
    </row>
    <row r="100" spans="1:201" x14ac:dyDescent="0.25">
      <c r="A100">
        <v>84</v>
      </c>
      <c r="B100">
        <v>1690304749.5</v>
      </c>
      <c r="C100">
        <v>999.5</v>
      </c>
      <c r="D100" t="s">
        <v>499</v>
      </c>
      <c r="E100" t="s">
        <v>500</v>
      </c>
      <c r="F100" t="s">
        <v>330</v>
      </c>
      <c r="H100">
        <v>1690304749.5</v>
      </c>
      <c r="I100">
        <f t="shared" si="30"/>
        <v>7.0722393283890756E-4</v>
      </c>
      <c r="J100">
        <f t="shared" si="31"/>
        <v>0.70722393283890761</v>
      </c>
      <c r="K100">
        <f t="shared" si="32"/>
        <v>12.526789522712251</v>
      </c>
      <c r="L100">
        <f t="shared" si="33"/>
        <v>657.25300000000004</v>
      </c>
      <c r="M100">
        <f t="shared" si="34"/>
        <v>232.00037126831577</v>
      </c>
      <c r="N100">
        <f t="shared" si="35"/>
        <v>23.051130240537091</v>
      </c>
      <c r="O100">
        <f t="shared" si="36"/>
        <v>65.303449391732997</v>
      </c>
      <c r="P100">
        <f t="shared" si="37"/>
        <v>4.8848959247679964E-2</v>
      </c>
      <c r="Q100">
        <f t="shared" si="38"/>
        <v>2.0998555193183823</v>
      </c>
      <c r="R100">
        <f t="shared" si="39"/>
        <v>4.8226325134695464E-2</v>
      </c>
      <c r="S100">
        <f t="shared" si="40"/>
        <v>3.0196733161345912E-2</v>
      </c>
      <c r="T100">
        <f t="shared" si="41"/>
        <v>276.11617229999996</v>
      </c>
      <c r="U100">
        <f t="shared" si="42"/>
        <v>26.740444036753029</v>
      </c>
      <c r="V100">
        <f t="shared" si="43"/>
        <v>26.740444036753029</v>
      </c>
      <c r="W100">
        <f t="shared" si="44"/>
        <v>3.5249593558943078</v>
      </c>
      <c r="X100">
        <f t="shared" si="45"/>
        <v>67.232827498698754</v>
      </c>
      <c r="Y100">
        <f t="shared" si="46"/>
        <v>2.1092147849724001</v>
      </c>
      <c r="Z100">
        <f t="shared" si="47"/>
        <v>3.1371799512867766</v>
      </c>
      <c r="AA100">
        <f t="shared" si="48"/>
        <v>1.4157445709219076</v>
      </c>
      <c r="AB100">
        <f t="shared" si="49"/>
        <v>-31.188575438195823</v>
      </c>
      <c r="AC100">
        <f t="shared" si="50"/>
        <v>-222.55943409494341</v>
      </c>
      <c r="AD100">
        <f t="shared" si="51"/>
        <v>-22.590655421372329</v>
      </c>
      <c r="AE100">
        <f t="shared" si="52"/>
        <v>-0.22249265451159772</v>
      </c>
      <c r="AF100">
        <v>12</v>
      </c>
      <c r="AG100">
        <v>4</v>
      </c>
      <c r="AH100">
        <f t="shared" si="53"/>
        <v>1</v>
      </c>
      <c r="AI100">
        <f t="shared" si="54"/>
        <v>0</v>
      </c>
      <c r="AJ100">
        <f t="shared" si="55"/>
        <v>52870.796288088648</v>
      </c>
      <c r="AK100">
        <f t="shared" si="56"/>
        <v>1800</v>
      </c>
      <c r="AL100">
        <f t="shared" si="57"/>
        <v>1499.113791</v>
      </c>
      <c r="AM100">
        <f t="shared" si="58"/>
        <v>0.83284099499999997</v>
      </c>
      <c r="AN100">
        <f t="shared" si="59"/>
        <v>0.15339787349999998</v>
      </c>
      <c r="AO100">
        <v>33</v>
      </c>
      <c r="AP100">
        <v>0.5</v>
      </c>
      <c r="AQ100" t="s">
        <v>331</v>
      </c>
      <c r="AR100">
        <v>2</v>
      </c>
      <c r="AS100">
        <v>1690304749.5</v>
      </c>
      <c r="AT100">
        <v>657.25300000000004</v>
      </c>
      <c r="AU100">
        <v>800.10599999999999</v>
      </c>
      <c r="AV100">
        <v>21.228400000000001</v>
      </c>
      <c r="AW100">
        <v>13.617000000000001</v>
      </c>
      <c r="AX100">
        <v>657.39499999999998</v>
      </c>
      <c r="AY100">
        <v>20.956600000000002</v>
      </c>
      <c r="AZ100">
        <v>300.11500000000001</v>
      </c>
      <c r="BA100">
        <v>99.258099999999999</v>
      </c>
      <c r="BB100">
        <v>0.100061</v>
      </c>
      <c r="BC100">
        <v>24.7745</v>
      </c>
      <c r="BD100">
        <v>26.974699999999999</v>
      </c>
      <c r="BE100">
        <v>26.206800000000001</v>
      </c>
      <c r="BF100">
        <v>0</v>
      </c>
      <c r="BG100">
        <v>0</v>
      </c>
      <c r="BH100">
        <v>9998.75</v>
      </c>
      <c r="BI100">
        <v>1047.77</v>
      </c>
      <c r="BJ100">
        <v>1.68198</v>
      </c>
      <c r="BK100">
        <v>-142.85300000000001</v>
      </c>
      <c r="BL100">
        <v>671.50800000000004</v>
      </c>
      <c r="BM100">
        <v>811.15099999999995</v>
      </c>
      <c r="BN100">
        <v>7.6114499999999996</v>
      </c>
      <c r="BO100">
        <v>800.10599999999999</v>
      </c>
      <c r="BP100">
        <v>13.617000000000001</v>
      </c>
      <c r="BQ100">
        <v>2.1071</v>
      </c>
      <c r="BR100">
        <v>1.3515999999999999</v>
      </c>
      <c r="BS100">
        <v>18.2729</v>
      </c>
      <c r="BT100">
        <v>11.385199999999999</v>
      </c>
      <c r="BU100">
        <v>1800</v>
      </c>
      <c r="BV100">
        <v>0.90999600000000003</v>
      </c>
      <c r="BW100">
        <v>3.3991500000000001E-2</v>
      </c>
      <c r="BX100">
        <v>2.2006499999999998E-2</v>
      </c>
      <c r="BY100">
        <v>3.40062E-2</v>
      </c>
      <c r="BZ100">
        <v>26</v>
      </c>
      <c r="CA100">
        <v>33528.400000000001</v>
      </c>
      <c r="CB100">
        <v>1690303320.5</v>
      </c>
      <c r="CC100" t="s">
        <v>332</v>
      </c>
      <c r="CD100">
        <v>1690303320.5</v>
      </c>
      <c r="CE100">
        <v>1690303310.0999999</v>
      </c>
      <c r="CF100">
        <v>8</v>
      </c>
      <c r="CG100">
        <v>7.3999999999999996E-2</v>
      </c>
      <c r="CH100">
        <v>-0.01</v>
      </c>
      <c r="CI100">
        <v>-0.24199999999999999</v>
      </c>
      <c r="CJ100">
        <v>0.27200000000000002</v>
      </c>
      <c r="CK100">
        <v>800</v>
      </c>
      <c r="CL100">
        <v>23</v>
      </c>
      <c r="CM100">
        <v>0.06</v>
      </c>
      <c r="CN100">
        <v>0.09</v>
      </c>
      <c r="CO100">
        <v>-139.45689999999999</v>
      </c>
      <c r="CP100">
        <v>-18.563076923076871</v>
      </c>
      <c r="CQ100">
        <v>1.786915691911624</v>
      </c>
      <c r="CR100">
        <v>-1</v>
      </c>
      <c r="CS100">
        <v>7.4615315000000004</v>
      </c>
      <c r="CT100">
        <v>0.70122844277672525</v>
      </c>
      <c r="CU100">
        <v>6.9933603029945474E-2</v>
      </c>
      <c r="CV100">
        <v>-1</v>
      </c>
      <c r="CW100">
        <v>0</v>
      </c>
      <c r="CX100">
        <v>0</v>
      </c>
      <c r="CY100" t="s">
        <v>333</v>
      </c>
      <c r="CZ100">
        <v>2.36409</v>
      </c>
      <c r="DA100">
        <v>2.7138499999999999</v>
      </c>
      <c r="DB100">
        <v>0.12853899999999999</v>
      </c>
      <c r="DC100">
        <v>0.14644199999999999</v>
      </c>
      <c r="DD100">
        <v>0.104216</v>
      </c>
      <c r="DE100">
        <v>7.4775400000000006E-2</v>
      </c>
      <c r="DF100">
        <v>31821.599999999999</v>
      </c>
      <c r="DG100">
        <v>27515.1</v>
      </c>
      <c r="DH100">
        <v>31173.599999999999</v>
      </c>
      <c r="DI100">
        <v>28089.3</v>
      </c>
      <c r="DJ100">
        <v>37916.800000000003</v>
      </c>
      <c r="DK100">
        <v>36961.699999999997</v>
      </c>
      <c r="DL100">
        <v>44365.5</v>
      </c>
      <c r="DM100">
        <v>42581.1</v>
      </c>
      <c r="DN100">
        <v>1.43615</v>
      </c>
      <c r="DO100">
        <v>2.0475500000000002</v>
      </c>
      <c r="DP100">
        <v>0.17751800000000001</v>
      </c>
      <c r="DQ100">
        <v>0.14416899999999999</v>
      </c>
      <c r="DR100">
        <v>24.064499999999999</v>
      </c>
      <c r="DS100">
        <v>23.8414</v>
      </c>
      <c r="DT100">
        <v>55.4</v>
      </c>
      <c r="DU100">
        <v>29</v>
      </c>
      <c r="DV100">
        <v>22.447399999999998</v>
      </c>
      <c r="DW100">
        <v>61.441200000000002</v>
      </c>
      <c r="DX100">
        <v>36.538499999999999</v>
      </c>
      <c r="DY100">
        <v>1</v>
      </c>
      <c r="DZ100">
        <v>-7.5658000000000003E-2</v>
      </c>
      <c r="EA100">
        <v>0.91807499999999997</v>
      </c>
      <c r="EB100">
        <v>20.186800000000002</v>
      </c>
      <c r="EC100">
        <v>5.2408000000000001</v>
      </c>
      <c r="ED100">
        <v>12.039899999999999</v>
      </c>
      <c r="EE100">
        <v>5.0168999999999997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1.8646199999999999</v>
      </c>
      <c r="EM100">
        <v>1.8692</v>
      </c>
      <c r="EN100">
        <v>1.8672500000000001</v>
      </c>
      <c r="EO100">
        <v>1.8633999999999999</v>
      </c>
      <c r="EP100">
        <v>1.8644799999999999</v>
      </c>
      <c r="EQ100">
        <v>1.87018</v>
      </c>
      <c r="ER100">
        <v>1.8694500000000001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-0.14199999999999999</v>
      </c>
      <c r="FG100">
        <v>0.27179999999999999</v>
      </c>
      <c r="FH100">
        <v>0.30965466913576151</v>
      </c>
      <c r="FI100">
        <v>-6.1462078757559423E-4</v>
      </c>
      <c r="FJ100">
        <v>-1.8861989874597051E-7</v>
      </c>
      <c r="FK100">
        <v>1.1980462299894961E-10</v>
      </c>
      <c r="FL100">
        <v>0.27184999999999349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23.8</v>
      </c>
      <c r="FU100">
        <v>24</v>
      </c>
      <c r="FV100">
        <v>1.78345</v>
      </c>
      <c r="FW100">
        <v>2.5976599999999999</v>
      </c>
      <c r="FX100">
        <v>1.5490699999999999</v>
      </c>
      <c r="FY100">
        <v>2.3278799999999999</v>
      </c>
      <c r="FZ100">
        <v>1.50146</v>
      </c>
      <c r="GA100">
        <v>2.3022499999999999</v>
      </c>
      <c r="GB100">
        <v>33.896099999999997</v>
      </c>
      <c r="GC100">
        <v>23.973700000000001</v>
      </c>
      <c r="GD100">
        <v>19</v>
      </c>
      <c r="GE100">
        <v>267.053</v>
      </c>
      <c r="GF100">
        <v>594.98199999999997</v>
      </c>
      <c r="GG100">
        <v>21.9177</v>
      </c>
      <c r="GH100">
        <v>26.399000000000001</v>
      </c>
      <c r="GI100">
        <v>29.9998</v>
      </c>
      <c r="GJ100">
        <v>26.566500000000001</v>
      </c>
      <c r="GK100">
        <v>26.559100000000001</v>
      </c>
      <c r="GL100">
        <v>35.646500000000003</v>
      </c>
      <c r="GM100">
        <v>44.385899999999999</v>
      </c>
      <c r="GN100">
        <v>85.219399999999993</v>
      </c>
      <c r="GO100">
        <v>21.921399999999998</v>
      </c>
      <c r="GP100">
        <v>800</v>
      </c>
      <c r="GQ100">
        <v>13.5151</v>
      </c>
      <c r="GR100">
        <v>99.745500000000007</v>
      </c>
      <c r="GS100">
        <v>99.605099999999993</v>
      </c>
    </row>
    <row r="101" spans="1:201" x14ac:dyDescent="0.25">
      <c r="A101">
        <v>85</v>
      </c>
      <c r="B101">
        <v>1690304759.5</v>
      </c>
      <c r="C101">
        <v>1009.5</v>
      </c>
      <c r="D101" t="s">
        <v>501</v>
      </c>
      <c r="E101" t="s">
        <v>502</v>
      </c>
      <c r="F101" t="s">
        <v>330</v>
      </c>
      <c r="H101">
        <v>1690304759.5</v>
      </c>
      <c r="I101">
        <f t="shared" si="30"/>
        <v>7.213559971891891E-4</v>
      </c>
      <c r="J101">
        <f t="shared" si="31"/>
        <v>0.72135599718918908</v>
      </c>
      <c r="K101">
        <f t="shared" si="32"/>
        <v>12.798707659853775</v>
      </c>
      <c r="L101">
        <f t="shared" si="33"/>
        <v>654.125</v>
      </c>
      <c r="M101">
        <f t="shared" si="34"/>
        <v>228.67308907296015</v>
      </c>
      <c r="N101">
        <f t="shared" si="35"/>
        <v>22.720519466702555</v>
      </c>
      <c r="O101">
        <f t="shared" si="36"/>
        <v>64.992605192012505</v>
      </c>
      <c r="P101">
        <f t="shared" si="37"/>
        <v>4.988627980464861E-2</v>
      </c>
      <c r="Q101">
        <f t="shared" si="38"/>
        <v>2.1010625964146747</v>
      </c>
      <c r="R101">
        <f t="shared" si="39"/>
        <v>4.9237478549500745E-2</v>
      </c>
      <c r="S101">
        <f t="shared" si="40"/>
        <v>3.0831013261174843E-2</v>
      </c>
      <c r="T101">
        <f t="shared" si="41"/>
        <v>276.116645898</v>
      </c>
      <c r="U101">
        <f t="shared" si="42"/>
        <v>26.746499891309146</v>
      </c>
      <c r="V101">
        <f t="shared" si="43"/>
        <v>26.746499891309146</v>
      </c>
      <c r="W101">
        <f t="shared" si="44"/>
        <v>3.5262157246819283</v>
      </c>
      <c r="X101">
        <f t="shared" si="45"/>
        <v>67.268711009966083</v>
      </c>
      <c r="Y101">
        <f t="shared" si="46"/>
        <v>2.1118659623416698</v>
      </c>
      <c r="Z101">
        <f t="shared" si="47"/>
        <v>3.1394476430933689</v>
      </c>
      <c r="AA101">
        <f t="shared" si="48"/>
        <v>1.4143497623402586</v>
      </c>
      <c r="AB101">
        <f t="shared" si="49"/>
        <v>-31.811799476043241</v>
      </c>
      <c r="AC101">
        <f t="shared" si="50"/>
        <v>-222.00273436754645</v>
      </c>
      <c r="AD101">
        <f t="shared" si="51"/>
        <v>-22.523253681118867</v>
      </c>
      <c r="AE101">
        <f t="shared" si="52"/>
        <v>-0.22114162670854398</v>
      </c>
      <c r="AF101">
        <v>12</v>
      </c>
      <c r="AG101">
        <v>4</v>
      </c>
      <c r="AH101">
        <f t="shared" si="53"/>
        <v>1</v>
      </c>
      <c r="AI101">
        <f t="shared" si="54"/>
        <v>0</v>
      </c>
      <c r="AJ101">
        <f t="shared" si="55"/>
        <v>52922.705119448648</v>
      </c>
      <c r="AK101">
        <f t="shared" si="56"/>
        <v>1800</v>
      </c>
      <c r="AL101">
        <f t="shared" si="57"/>
        <v>1499.1146478000001</v>
      </c>
      <c r="AM101">
        <f t="shared" si="58"/>
        <v>0.83284147100000006</v>
      </c>
      <c r="AN101">
        <f t="shared" si="59"/>
        <v>0.15339813660999999</v>
      </c>
      <c r="AO101">
        <v>33</v>
      </c>
      <c r="AP101">
        <v>0.5</v>
      </c>
      <c r="AQ101" t="s">
        <v>331</v>
      </c>
      <c r="AR101">
        <v>2</v>
      </c>
      <c r="AS101">
        <v>1690304759.5</v>
      </c>
      <c r="AT101">
        <v>654.125</v>
      </c>
      <c r="AU101">
        <v>800.05499999999995</v>
      </c>
      <c r="AV101">
        <v>21.255099999999999</v>
      </c>
      <c r="AW101">
        <v>13.491300000000001</v>
      </c>
      <c r="AX101">
        <v>654.26499999999999</v>
      </c>
      <c r="AY101">
        <v>20.9833</v>
      </c>
      <c r="AZ101">
        <v>300.09500000000003</v>
      </c>
      <c r="BA101">
        <v>99.258200000000002</v>
      </c>
      <c r="BB101">
        <v>9.9881700000000004E-2</v>
      </c>
      <c r="BC101">
        <v>24.7866</v>
      </c>
      <c r="BD101">
        <v>26.9634</v>
      </c>
      <c r="BE101">
        <v>26.2242</v>
      </c>
      <c r="BF101">
        <v>0</v>
      </c>
      <c r="BG101">
        <v>0</v>
      </c>
      <c r="BH101">
        <v>10009.4</v>
      </c>
      <c r="BI101">
        <v>1047.93</v>
      </c>
      <c r="BJ101">
        <v>1.68198</v>
      </c>
      <c r="BK101">
        <v>-145.93</v>
      </c>
      <c r="BL101">
        <v>668.33100000000002</v>
      </c>
      <c r="BM101">
        <v>810.99599999999998</v>
      </c>
      <c r="BN101">
        <v>7.7637900000000002</v>
      </c>
      <c r="BO101">
        <v>800.05499999999995</v>
      </c>
      <c r="BP101">
        <v>13.491300000000001</v>
      </c>
      <c r="BQ101">
        <v>2.1097399999999999</v>
      </c>
      <c r="BR101">
        <v>1.3391200000000001</v>
      </c>
      <c r="BS101">
        <v>18.292899999999999</v>
      </c>
      <c r="BT101">
        <v>11.2453</v>
      </c>
      <c r="BU101">
        <v>1800</v>
      </c>
      <c r="BV101">
        <v>0.909995</v>
      </c>
      <c r="BW101">
        <v>3.3991100000000003E-2</v>
      </c>
      <c r="BX101">
        <v>2.20098E-2</v>
      </c>
      <c r="BY101">
        <v>3.40045E-2</v>
      </c>
      <c r="BZ101">
        <v>26</v>
      </c>
      <c r="CA101">
        <v>33528.199999999997</v>
      </c>
      <c r="CB101">
        <v>1690303320.5</v>
      </c>
      <c r="CC101" t="s">
        <v>332</v>
      </c>
      <c r="CD101">
        <v>1690303320.5</v>
      </c>
      <c r="CE101">
        <v>1690303310.0999999</v>
      </c>
      <c r="CF101">
        <v>8</v>
      </c>
      <c r="CG101">
        <v>7.3999999999999996E-2</v>
      </c>
      <c r="CH101">
        <v>-0.01</v>
      </c>
      <c r="CI101">
        <v>-0.24199999999999999</v>
      </c>
      <c r="CJ101">
        <v>0.27200000000000002</v>
      </c>
      <c r="CK101">
        <v>800</v>
      </c>
      <c r="CL101">
        <v>23</v>
      </c>
      <c r="CM101">
        <v>0.06</v>
      </c>
      <c r="CN101">
        <v>0.09</v>
      </c>
      <c r="CO101">
        <v>-142.3165609756098</v>
      </c>
      <c r="CP101">
        <v>-18.743874564459659</v>
      </c>
      <c r="CQ101">
        <v>1.8489263337800641</v>
      </c>
      <c r="CR101">
        <v>-1</v>
      </c>
      <c r="CS101">
        <v>7.578399512195122</v>
      </c>
      <c r="CT101">
        <v>0.90086216027875077</v>
      </c>
      <c r="CU101">
        <v>8.9475758099984426E-2</v>
      </c>
      <c r="CV101">
        <v>-1</v>
      </c>
      <c r="CW101">
        <v>0</v>
      </c>
      <c r="CX101">
        <v>0</v>
      </c>
      <c r="CY101" t="s">
        <v>333</v>
      </c>
      <c r="CZ101">
        <v>2.3640500000000002</v>
      </c>
      <c r="DA101">
        <v>2.7136800000000001</v>
      </c>
      <c r="DB101">
        <v>0.12811600000000001</v>
      </c>
      <c r="DC101">
        <v>0.14643400000000001</v>
      </c>
      <c r="DD101">
        <v>0.104312</v>
      </c>
      <c r="DE101">
        <v>7.4263200000000001E-2</v>
      </c>
      <c r="DF101">
        <v>31837.200000000001</v>
      </c>
      <c r="DG101">
        <v>27515.8</v>
      </c>
      <c r="DH101">
        <v>31173.8</v>
      </c>
      <c r="DI101">
        <v>28089.7</v>
      </c>
      <c r="DJ101">
        <v>37912.800000000003</v>
      </c>
      <c r="DK101">
        <v>36982.699999999997</v>
      </c>
      <c r="DL101">
        <v>44365.7</v>
      </c>
      <c r="DM101">
        <v>42581.599999999999</v>
      </c>
      <c r="DN101">
        <v>1.43645</v>
      </c>
      <c r="DO101">
        <v>2.04732</v>
      </c>
      <c r="DP101">
        <v>0.17707000000000001</v>
      </c>
      <c r="DQ101">
        <v>0.145234</v>
      </c>
      <c r="DR101">
        <v>24.060500000000001</v>
      </c>
      <c r="DS101">
        <v>23.8414</v>
      </c>
      <c r="DT101">
        <v>55.2</v>
      </c>
      <c r="DU101">
        <v>29.1</v>
      </c>
      <c r="DV101">
        <v>22.497699999999998</v>
      </c>
      <c r="DW101">
        <v>61.611199999999997</v>
      </c>
      <c r="DX101">
        <v>36.326099999999997</v>
      </c>
      <c r="DY101">
        <v>1</v>
      </c>
      <c r="DZ101">
        <v>-7.6102600000000006E-2</v>
      </c>
      <c r="EA101">
        <v>0.85763900000000004</v>
      </c>
      <c r="EB101">
        <v>20.187000000000001</v>
      </c>
      <c r="EC101">
        <v>5.2408000000000001</v>
      </c>
      <c r="ED101">
        <v>12.039899999999999</v>
      </c>
      <c r="EE101">
        <v>5.0169499999999996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1.8689199999999999</v>
      </c>
      <c r="EL101">
        <v>1.8646199999999999</v>
      </c>
      <c r="EM101">
        <v>1.8692</v>
      </c>
      <c r="EN101">
        <v>1.8672299999999999</v>
      </c>
      <c r="EO101">
        <v>1.8633999999999999</v>
      </c>
      <c r="EP101">
        <v>1.8644700000000001</v>
      </c>
      <c r="EQ101">
        <v>1.87018</v>
      </c>
      <c r="ER101">
        <v>1.86944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-0.14000000000000001</v>
      </c>
      <c r="FG101">
        <v>0.27179999999999999</v>
      </c>
      <c r="FH101">
        <v>0.30965466913576151</v>
      </c>
      <c r="FI101">
        <v>-6.1462078757559423E-4</v>
      </c>
      <c r="FJ101">
        <v>-1.8861989874597051E-7</v>
      </c>
      <c r="FK101">
        <v>1.1980462299894961E-10</v>
      </c>
      <c r="FL101">
        <v>0.27184999999999349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24</v>
      </c>
      <c r="FU101">
        <v>24.2</v>
      </c>
      <c r="FV101">
        <v>1.78223</v>
      </c>
      <c r="FW101">
        <v>2.5878899999999998</v>
      </c>
      <c r="FX101">
        <v>1.5490699999999999</v>
      </c>
      <c r="FY101">
        <v>2.3278799999999999</v>
      </c>
      <c r="FZ101">
        <v>1.50146</v>
      </c>
      <c r="GA101">
        <v>2.3974600000000001</v>
      </c>
      <c r="GB101">
        <v>33.896099999999997</v>
      </c>
      <c r="GC101">
        <v>23.991199999999999</v>
      </c>
      <c r="GD101">
        <v>19</v>
      </c>
      <c r="GE101">
        <v>267.15499999999997</v>
      </c>
      <c r="GF101">
        <v>594.74900000000002</v>
      </c>
      <c r="GG101">
        <v>21.960699999999999</v>
      </c>
      <c r="GH101">
        <v>26.3918</v>
      </c>
      <c r="GI101">
        <v>29.999600000000001</v>
      </c>
      <c r="GJ101">
        <v>26.561599999999999</v>
      </c>
      <c r="GK101">
        <v>26.555199999999999</v>
      </c>
      <c r="GL101">
        <v>35.643500000000003</v>
      </c>
      <c r="GM101">
        <v>44.979100000000003</v>
      </c>
      <c r="GN101">
        <v>84.443200000000004</v>
      </c>
      <c r="GO101">
        <v>21.976199999999999</v>
      </c>
      <c r="GP101">
        <v>800</v>
      </c>
      <c r="GQ101">
        <v>13.3672</v>
      </c>
      <c r="GR101">
        <v>99.746099999999998</v>
      </c>
      <c r="GS101">
        <v>99.606399999999994</v>
      </c>
    </row>
    <row r="102" spans="1:201" x14ac:dyDescent="0.25">
      <c r="A102">
        <v>86</v>
      </c>
      <c r="B102">
        <v>1690304769.5</v>
      </c>
      <c r="C102">
        <v>1019.5</v>
      </c>
      <c r="D102" t="s">
        <v>503</v>
      </c>
      <c r="E102" t="s">
        <v>504</v>
      </c>
      <c r="F102" t="s">
        <v>330</v>
      </c>
      <c r="H102">
        <v>1690304769.5</v>
      </c>
      <c r="I102">
        <f t="shared" si="30"/>
        <v>7.3788150899795784E-4</v>
      </c>
      <c r="J102">
        <f t="shared" si="31"/>
        <v>0.73788150899795779</v>
      </c>
      <c r="K102">
        <f t="shared" si="32"/>
        <v>13.08390024054648</v>
      </c>
      <c r="L102">
        <f t="shared" si="33"/>
        <v>650.93499999999995</v>
      </c>
      <c r="M102">
        <f t="shared" si="34"/>
        <v>226.28729099817019</v>
      </c>
      <c r="N102">
        <f t="shared" si="35"/>
        <v>22.48366717934806</v>
      </c>
      <c r="O102">
        <f t="shared" si="36"/>
        <v>64.676216816379991</v>
      </c>
      <c r="P102">
        <f t="shared" si="37"/>
        <v>5.1101542212420907E-2</v>
      </c>
      <c r="Q102">
        <f t="shared" si="38"/>
        <v>2.1000742184884227</v>
      </c>
      <c r="R102">
        <f t="shared" si="39"/>
        <v>5.0420662330370021E-2</v>
      </c>
      <c r="S102">
        <f t="shared" si="40"/>
        <v>3.1573332459431447E-2</v>
      </c>
      <c r="T102">
        <f t="shared" si="41"/>
        <v>276.11669534399999</v>
      </c>
      <c r="U102">
        <f t="shared" si="42"/>
        <v>26.751271835291554</v>
      </c>
      <c r="V102">
        <f t="shared" si="43"/>
        <v>26.751271835291554</v>
      </c>
      <c r="W102">
        <f t="shared" si="44"/>
        <v>3.5272060042737348</v>
      </c>
      <c r="X102">
        <f t="shared" si="45"/>
        <v>67.31060068388004</v>
      </c>
      <c r="Y102">
        <f t="shared" si="46"/>
        <v>2.1144180288087999</v>
      </c>
      <c r="Z102">
        <f t="shared" si="47"/>
        <v>3.1412853359295214</v>
      </c>
      <c r="AA102">
        <f t="shared" si="48"/>
        <v>1.4127879754649348</v>
      </c>
      <c r="AB102">
        <f t="shared" si="49"/>
        <v>-32.540574546809943</v>
      </c>
      <c r="AC102">
        <f t="shared" si="50"/>
        <v>-221.32902777135337</v>
      </c>
      <c r="AD102">
        <f t="shared" si="51"/>
        <v>-22.467113420832746</v>
      </c>
      <c r="AE102">
        <f t="shared" si="52"/>
        <v>-0.2200203949960553</v>
      </c>
      <c r="AF102">
        <v>12</v>
      </c>
      <c r="AG102">
        <v>4</v>
      </c>
      <c r="AH102">
        <f t="shared" si="53"/>
        <v>1</v>
      </c>
      <c r="AI102">
        <f t="shared" si="54"/>
        <v>0</v>
      </c>
      <c r="AJ102">
        <f t="shared" si="55"/>
        <v>52876.716173643596</v>
      </c>
      <c r="AK102">
        <f t="shared" si="56"/>
        <v>1800</v>
      </c>
      <c r="AL102">
        <f t="shared" si="57"/>
        <v>1499.1131484</v>
      </c>
      <c r="AM102">
        <f t="shared" si="58"/>
        <v>0.83284063799999997</v>
      </c>
      <c r="AN102">
        <f t="shared" si="59"/>
        <v>0.15339816407999998</v>
      </c>
      <c r="AO102">
        <v>33</v>
      </c>
      <c r="AP102">
        <v>0.5</v>
      </c>
      <c r="AQ102" t="s">
        <v>331</v>
      </c>
      <c r="AR102">
        <v>2</v>
      </c>
      <c r="AS102">
        <v>1690304769.5</v>
      </c>
      <c r="AT102">
        <v>650.93499999999995</v>
      </c>
      <c r="AU102">
        <v>800.03300000000002</v>
      </c>
      <c r="AV102">
        <v>21.2806</v>
      </c>
      <c r="AW102">
        <v>13.3424</v>
      </c>
      <c r="AX102">
        <v>651.07299999999998</v>
      </c>
      <c r="AY102">
        <v>21.008700000000001</v>
      </c>
      <c r="AZ102">
        <v>300.21800000000002</v>
      </c>
      <c r="BA102">
        <v>99.258899999999997</v>
      </c>
      <c r="BB102">
        <v>0.100048</v>
      </c>
      <c r="BC102">
        <v>24.796399999999998</v>
      </c>
      <c r="BD102">
        <v>26.951899999999998</v>
      </c>
      <c r="BE102">
        <v>26.216799999999999</v>
      </c>
      <c r="BF102">
        <v>0</v>
      </c>
      <c r="BG102">
        <v>0</v>
      </c>
      <c r="BH102">
        <v>10000.6</v>
      </c>
      <c r="BI102">
        <v>1048</v>
      </c>
      <c r="BJ102">
        <v>1.68198</v>
      </c>
      <c r="BK102">
        <v>-149.09800000000001</v>
      </c>
      <c r="BL102">
        <v>665.08900000000006</v>
      </c>
      <c r="BM102">
        <v>810.85199999999998</v>
      </c>
      <c r="BN102">
        <v>7.9382099999999998</v>
      </c>
      <c r="BO102">
        <v>800.03300000000002</v>
      </c>
      <c r="BP102">
        <v>13.3424</v>
      </c>
      <c r="BQ102">
        <v>2.1122899999999998</v>
      </c>
      <c r="BR102">
        <v>1.3243499999999999</v>
      </c>
      <c r="BS102">
        <v>18.312100000000001</v>
      </c>
      <c r="BT102">
        <v>11.078099999999999</v>
      </c>
      <c r="BU102">
        <v>1800</v>
      </c>
      <c r="BV102">
        <v>0.90998599999999996</v>
      </c>
      <c r="BW102">
        <v>3.3990600000000003E-2</v>
      </c>
      <c r="BX102">
        <v>2.2009399999999998E-2</v>
      </c>
      <c r="BY102">
        <v>3.40144E-2</v>
      </c>
      <c r="BZ102">
        <v>26</v>
      </c>
      <c r="CA102">
        <v>33528.199999999997</v>
      </c>
      <c r="CB102">
        <v>1690303320.5</v>
      </c>
      <c r="CC102" t="s">
        <v>332</v>
      </c>
      <c r="CD102">
        <v>1690303320.5</v>
      </c>
      <c r="CE102">
        <v>1690303310.0999999</v>
      </c>
      <c r="CF102">
        <v>8</v>
      </c>
      <c r="CG102">
        <v>7.3999999999999996E-2</v>
      </c>
      <c r="CH102">
        <v>-0.01</v>
      </c>
      <c r="CI102">
        <v>-0.24199999999999999</v>
      </c>
      <c r="CJ102">
        <v>0.27200000000000002</v>
      </c>
      <c r="CK102">
        <v>800</v>
      </c>
      <c r="CL102">
        <v>23</v>
      </c>
      <c r="CM102">
        <v>0.06</v>
      </c>
      <c r="CN102">
        <v>0.09</v>
      </c>
      <c r="CO102">
        <v>-145.79921951219509</v>
      </c>
      <c r="CP102">
        <v>-19.210306620208801</v>
      </c>
      <c r="CQ102">
        <v>1.8947392704628001</v>
      </c>
      <c r="CR102">
        <v>-1</v>
      </c>
      <c r="CS102">
        <v>7.7589204878048772</v>
      </c>
      <c r="CT102">
        <v>1.0680832055749281</v>
      </c>
      <c r="CU102">
        <v>0.10575823033073541</v>
      </c>
      <c r="CV102">
        <v>-1</v>
      </c>
      <c r="CW102">
        <v>0</v>
      </c>
      <c r="CX102">
        <v>0</v>
      </c>
      <c r="CY102" t="s">
        <v>333</v>
      </c>
      <c r="CZ102">
        <v>2.3644599999999998</v>
      </c>
      <c r="DA102">
        <v>2.7138399999999998</v>
      </c>
      <c r="DB102">
        <v>0.12768399999999999</v>
      </c>
      <c r="DC102">
        <v>0.14643</v>
      </c>
      <c r="DD102">
        <v>0.104403</v>
      </c>
      <c r="DE102">
        <v>7.36541E-2</v>
      </c>
      <c r="DF102">
        <v>31853.4</v>
      </c>
      <c r="DG102">
        <v>27516.2</v>
      </c>
      <c r="DH102">
        <v>31174.2</v>
      </c>
      <c r="DI102">
        <v>28090</v>
      </c>
      <c r="DJ102">
        <v>37909.599999999999</v>
      </c>
      <c r="DK102">
        <v>37007.199999999997</v>
      </c>
      <c r="DL102">
        <v>44366.5</v>
      </c>
      <c r="DM102">
        <v>42581.8</v>
      </c>
      <c r="DN102">
        <v>1.4367700000000001</v>
      </c>
      <c r="DO102">
        <v>2.0471699999999999</v>
      </c>
      <c r="DP102">
        <v>0.17657900000000001</v>
      </c>
      <c r="DQ102">
        <v>0.14477999999999999</v>
      </c>
      <c r="DR102">
        <v>24.056999999999999</v>
      </c>
      <c r="DS102">
        <v>23.8414</v>
      </c>
      <c r="DT102">
        <v>55.1</v>
      </c>
      <c r="DU102">
        <v>29</v>
      </c>
      <c r="DV102">
        <v>22.327100000000002</v>
      </c>
      <c r="DW102">
        <v>61.811199999999999</v>
      </c>
      <c r="DX102">
        <v>35.512799999999999</v>
      </c>
      <c r="DY102">
        <v>1</v>
      </c>
      <c r="DZ102">
        <v>-7.6402399999999995E-2</v>
      </c>
      <c r="EA102">
        <v>0.82750500000000005</v>
      </c>
      <c r="EB102">
        <v>20.1874</v>
      </c>
      <c r="EC102">
        <v>5.2408000000000001</v>
      </c>
      <c r="ED102">
        <v>12.039899999999999</v>
      </c>
      <c r="EE102">
        <v>5.0169499999999996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1.86893</v>
      </c>
      <c r="EL102">
        <v>1.8646199999999999</v>
      </c>
      <c r="EM102">
        <v>1.8692</v>
      </c>
      <c r="EN102">
        <v>1.8672299999999999</v>
      </c>
      <c r="EO102">
        <v>1.8633999999999999</v>
      </c>
      <c r="EP102">
        <v>1.8644799999999999</v>
      </c>
      <c r="EQ102">
        <v>1.8701700000000001</v>
      </c>
      <c r="ER102">
        <v>1.8694299999999999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-0.13800000000000001</v>
      </c>
      <c r="FG102">
        <v>0.27189999999999998</v>
      </c>
      <c r="FH102">
        <v>0.30965466913576151</v>
      </c>
      <c r="FI102">
        <v>-6.1462078757559423E-4</v>
      </c>
      <c r="FJ102">
        <v>-1.8861989874597051E-7</v>
      </c>
      <c r="FK102">
        <v>1.1980462299894961E-10</v>
      </c>
      <c r="FL102">
        <v>0.27184999999999349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24.1</v>
      </c>
      <c r="FU102">
        <v>24.3</v>
      </c>
      <c r="FV102">
        <v>1.78223</v>
      </c>
      <c r="FW102">
        <v>2.5854499999999998</v>
      </c>
      <c r="FX102">
        <v>1.5490699999999999</v>
      </c>
      <c r="FY102">
        <v>2.3278799999999999</v>
      </c>
      <c r="FZ102">
        <v>1.50146</v>
      </c>
      <c r="GA102">
        <v>2.4047900000000002</v>
      </c>
      <c r="GB102">
        <v>33.896099999999997</v>
      </c>
      <c r="GC102">
        <v>23.982399999999998</v>
      </c>
      <c r="GD102">
        <v>19</v>
      </c>
      <c r="GE102">
        <v>267.27</v>
      </c>
      <c r="GF102">
        <v>594.57100000000003</v>
      </c>
      <c r="GG102">
        <v>22.0183</v>
      </c>
      <c r="GH102">
        <v>26.385100000000001</v>
      </c>
      <c r="GI102">
        <v>29.9998</v>
      </c>
      <c r="GJ102">
        <v>26.556999999999999</v>
      </c>
      <c r="GK102">
        <v>26.550699999999999</v>
      </c>
      <c r="GL102">
        <v>35.637999999999998</v>
      </c>
      <c r="GM102">
        <v>45.536000000000001</v>
      </c>
      <c r="GN102">
        <v>84.066199999999995</v>
      </c>
      <c r="GO102">
        <v>22.029800000000002</v>
      </c>
      <c r="GP102">
        <v>800</v>
      </c>
      <c r="GQ102">
        <v>13.2156</v>
      </c>
      <c r="GR102">
        <v>99.747600000000006</v>
      </c>
      <c r="GS102">
        <v>99.607100000000003</v>
      </c>
    </row>
    <row r="103" spans="1:201" x14ac:dyDescent="0.25">
      <c r="A103">
        <v>87</v>
      </c>
      <c r="B103">
        <v>1690304779.5</v>
      </c>
      <c r="C103">
        <v>1029.5</v>
      </c>
      <c r="D103" t="s">
        <v>505</v>
      </c>
      <c r="E103" t="s">
        <v>506</v>
      </c>
      <c r="F103" t="s">
        <v>330</v>
      </c>
      <c r="H103">
        <v>1690304779.5</v>
      </c>
      <c r="I103">
        <f t="shared" si="30"/>
        <v>7.538288321941259E-4</v>
      </c>
      <c r="J103">
        <f t="shared" si="31"/>
        <v>0.75382883219412589</v>
      </c>
      <c r="K103">
        <f t="shared" si="32"/>
        <v>13.352613458081674</v>
      </c>
      <c r="L103">
        <f t="shared" si="33"/>
        <v>647.90800000000002</v>
      </c>
      <c r="M103">
        <f t="shared" si="34"/>
        <v>223.5583098141594</v>
      </c>
      <c r="N103">
        <f t="shared" si="35"/>
        <v>22.211745862274235</v>
      </c>
      <c r="O103">
        <f t="shared" si="36"/>
        <v>64.373218110736005</v>
      </c>
      <c r="P103">
        <f t="shared" si="37"/>
        <v>5.2194473313041605E-2</v>
      </c>
      <c r="Q103">
        <f t="shared" si="38"/>
        <v>2.0966335941100209</v>
      </c>
      <c r="R103">
        <f t="shared" si="39"/>
        <v>5.1483227494851742E-2</v>
      </c>
      <c r="S103">
        <f t="shared" si="40"/>
        <v>3.224011231727781E-2</v>
      </c>
      <c r="T103">
        <f t="shared" si="41"/>
        <v>276.11651593800002</v>
      </c>
      <c r="U103">
        <f t="shared" si="42"/>
        <v>26.764004346910053</v>
      </c>
      <c r="V103">
        <f t="shared" si="43"/>
        <v>26.764004346910053</v>
      </c>
      <c r="W103">
        <f t="shared" si="44"/>
        <v>3.5298494587760287</v>
      </c>
      <c r="X103">
        <f t="shared" si="45"/>
        <v>67.311408565128644</v>
      </c>
      <c r="Y103">
        <f t="shared" si="46"/>
        <v>2.1164011417395998</v>
      </c>
      <c r="Z103">
        <f t="shared" si="47"/>
        <v>3.144193810313491</v>
      </c>
      <c r="AA103">
        <f t="shared" si="48"/>
        <v>1.4134483170364289</v>
      </c>
      <c r="AB103">
        <f t="shared" si="49"/>
        <v>-33.24385149976095</v>
      </c>
      <c r="AC103">
        <f t="shared" si="50"/>
        <v>-220.65359727409137</v>
      </c>
      <c r="AD103">
        <f t="shared" si="51"/>
        <v>-22.438486471377917</v>
      </c>
      <c r="AE103">
        <f t="shared" si="52"/>
        <v>-0.21941930723022551</v>
      </c>
      <c r="AF103">
        <v>12</v>
      </c>
      <c r="AG103">
        <v>4</v>
      </c>
      <c r="AH103">
        <f t="shared" si="53"/>
        <v>1</v>
      </c>
      <c r="AI103">
        <f t="shared" si="54"/>
        <v>0</v>
      </c>
      <c r="AJ103">
        <f t="shared" si="55"/>
        <v>52720.01279602314</v>
      </c>
      <c r="AK103">
        <f t="shared" si="56"/>
        <v>1800</v>
      </c>
      <c r="AL103">
        <f t="shared" si="57"/>
        <v>1499.1107418000004</v>
      </c>
      <c r="AM103">
        <f t="shared" si="58"/>
        <v>0.83283930100000014</v>
      </c>
      <c r="AN103">
        <f t="shared" si="59"/>
        <v>0.15339806441000001</v>
      </c>
      <c r="AO103">
        <v>33</v>
      </c>
      <c r="AP103">
        <v>0.5</v>
      </c>
      <c r="AQ103" t="s">
        <v>331</v>
      </c>
      <c r="AR103">
        <v>2</v>
      </c>
      <c r="AS103">
        <v>1690304779.5</v>
      </c>
      <c r="AT103">
        <v>647.90800000000002</v>
      </c>
      <c r="AU103">
        <v>800.03200000000004</v>
      </c>
      <c r="AV103">
        <v>21.301300000000001</v>
      </c>
      <c r="AW103">
        <v>13.192600000000001</v>
      </c>
      <c r="AX103">
        <v>648.04399999999998</v>
      </c>
      <c r="AY103">
        <v>21.029499999999999</v>
      </c>
      <c r="AZ103">
        <v>300.25099999999998</v>
      </c>
      <c r="BA103">
        <v>99.255399999999995</v>
      </c>
      <c r="BB103">
        <v>0.100092</v>
      </c>
      <c r="BC103">
        <v>24.811900000000001</v>
      </c>
      <c r="BD103">
        <v>26.9754</v>
      </c>
      <c r="BE103">
        <v>26.229500000000002</v>
      </c>
      <c r="BF103">
        <v>0</v>
      </c>
      <c r="BG103">
        <v>0</v>
      </c>
      <c r="BH103">
        <v>9970.6200000000008</v>
      </c>
      <c r="BI103">
        <v>1048.08</v>
      </c>
      <c r="BJ103">
        <v>1.68198</v>
      </c>
      <c r="BK103">
        <v>-152.12299999999999</v>
      </c>
      <c r="BL103">
        <v>662.01</v>
      </c>
      <c r="BM103">
        <v>810.72699999999998</v>
      </c>
      <c r="BN103">
        <v>8.1086899999999993</v>
      </c>
      <c r="BO103">
        <v>800.03200000000004</v>
      </c>
      <c r="BP103">
        <v>13.192600000000001</v>
      </c>
      <c r="BQ103">
        <v>2.1142699999999999</v>
      </c>
      <c r="BR103">
        <v>1.3094399999999999</v>
      </c>
      <c r="BS103">
        <v>18.327100000000002</v>
      </c>
      <c r="BT103">
        <v>10.9077</v>
      </c>
      <c r="BU103">
        <v>1800</v>
      </c>
      <c r="BV103">
        <v>0.90998100000000004</v>
      </c>
      <c r="BW103">
        <v>3.3996400000000003E-2</v>
      </c>
      <c r="BX103">
        <v>2.2008799999999999E-2</v>
      </c>
      <c r="BY103">
        <v>3.4013500000000002E-2</v>
      </c>
      <c r="BZ103">
        <v>26</v>
      </c>
      <c r="CA103">
        <v>33528.199999999997</v>
      </c>
      <c r="CB103">
        <v>1690303320.5</v>
      </c>
      <c r="CC103" t="s">
        <v>332</v>
      </c>
      <c r="CD103">
        <v>1690303320.5</v>
      </c>
      <c r="CE103">
        <v>1690303310.0999999</v>
      </c>
      <c r="CF103">
        <v>8</v>
      </c>
      <c r="CG103">
        <v>7.3999999999999996E-2</v>
      </c>
      <c r="CH103">
        <v>-0.01</v>
      </c>
      <c r="CI103">
        <v>-0.24199999999999999</v>
      </c>
      <c r="CJ103">
        <v>0.27200000000000002</v>
      </c>
      <c r="CK103">
        <v>800</v>
      </c>
      <c r="CL103">
        <v>23</v>
      </c>
      <c r="CM103">
        <v>0.06</v>
      </c>
      <c r="CN103">
        <v>0.09</v>
      </c>
      <c r="CO103">
        <v>-148.86432500000001</v>
      </c>
      <c r="CP103">
        <v>-18.274682926828969</v>
      </c>
      <c r="CQ103">
        <v>1.758739497303395</v>
      </c>
      <c r="CR103">
        <v>-1</v>
      </c>
      <c r="CS103">
        <v>7.9394017499999991</v>
      </c>
      <c r="CT103">
        <v>1.099908405253287</v>
      </c>
      <c r="CU103">
        <v>0.1063660558845608</v>
      </c>
      <c r="CV103">
        <v>-1</v>
      </c>
      <c r="CW103">
        <v>0</v>
      </c>
      <c r="CX103">
        <v>0</v>
      </c>
      <c r="CY103" t="s">
        <v>333</v>
      </c>
      <c r="CZ103">
        <v>2.3645900000000002</v>
      </c>
      <c r="DA103">
        <v>2.7138599999999999</v>
      </c>
      <c r="DB103">
        <v>0.12726999999999999</v>
      </c>
      <c r="DC103">
        <v>0.146424</v>
      </c>
      <c r="DD103">
        <v>0.104474</v>
      </c>
      <c r="DE103">
        <v>7.3037299999999999E-2</v>
      </c>
      <c r="DF103">
        <v>31868.799999999999</v>
      </c>
      <c r="DG103">
        <v>27517.3</v>
      </c>
      <c r="DH103">
        <v>31174.400000000001</v>
      </c>
      <c r="DI103">
        <v>28090.9</v>
      </c>
      <c r="DJ103">
        <v>37906.6</v>
      </c>
      <c r="DK103">
        <v>37033</v>
      </c>
      <c r="DL103">
        <v>44366.7</v>
      </c>
      <c r="DM103">
        <v>42583.1</v>
      </c>
      <c r="DN103">
        <v>1.4367000000000001</v>
      </c>
      <c r="DO103">
        <v>2.0471499999999998</v>
      </c>
      <c r="DP103">
        <v>0.17801700000000001</v>
      </c>
      <c r="DQ103">
        <v>0.14548700000000001</v>
      </c>
      <c r="DR103">
        <v>24.056999999999999</v>
      </c>
      <c r="DS103">
        <v>23.842500000000001</v>
      </c>
      <c r="DT103">
        <v>55</v>
      </c>
      <c r="DU103">
        <v>29</v>
      </c>
      <c r="DV103">
        <v>22.285399999999999</v>
      </c>
      <c r="DW103">
        <v>61.651200000000003</v>
      </c>
      <c r="DX103">
        <v>35.348599999999998</v>
      </c>
      <c r="DY103">
        <v>1</v>
      </c>
      <c r="DZ103">
        <v>-7.7347600000000002E-2</v>
      </c>
      <c r="EA103">
        <v>0.71217900000000001</v>
      </c>
      <c r="EB103">
        <v>20.187899999999999</v>
      </c>
      <c r="EC103">
        <v>5.2408000000000001</v>
      </c>
      <c r="ED103">
        <v>12.039899999999999</v>
      </c>
      <c r="EE103">
        <v>5.0171999999999999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1.8689100000000001</v>
      </c>
      <c r="EL103">
        <v>1.8646199999999999</v>
      </c>
      <c r="EM103">
        <v>1.8692</v>
      </c>
      <c r="EN103">
        <v>1.8672299999999999</v>
      </c>
      <c r="EO103">
        <v>1.8633999999999999</v>
      </c>
      <c r="EP103">
        <v>1.8644700000000001</v>
      </c>
      <c r="EQ103">
        <v>1.87019</v>
      </c>
      <c r="ER103">
        <v>1.8694299999999999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-0.13600000000000001</v>
      </c>
      <c r="FG103">
        <v>0.27179999999999999</v>
      </c>
      <c r="FH103">
        <v>0.30965466913576151</v>
      </c>
      <c r="FI103">
        <v>-6.1462078757559423E-4</v>
      </c>
      <c r="FJ103">
        <v>-1.8861989874597051E-7</v>
      </c>
      <c r="FK103">
        <v>1.1980462299894961E-10</v>
      </c>
      <c r="FL103">
        <v>0.27184999999999349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24.3</v>
      </c>
      <c r="FU103">
        <v>24.5</v>
      </c>
      <c r="FV103">
        <v>1.78223</v>
      </c>
      <c r="FW103">
        <v>2.5854499999999998</v>
      </c>
      <c r="FX103">
        <v>1.5490699999999999</v>
      </c>
      <c r="FY103">
        <v>2.3278799999999999</v>
      </c>
      <c r="FZ103">
        <v>1.50146</v>
      </c>
      <c r="GA103">
        <v>2.3767100000000001</v>
      </c>
      <c r="GB103">
        <v>33.896099999999997</v>
      </c>
      <c r="GC103">
        <v>23.991199999999999</v>
      </c>
      <c r="GD103">
        <v>19</v>
      </c>
      <c r="GE103">
        <v>267.21600000000001</v>
      </c>
      <c r="GF103">
        <v>594.49300000000005</v>
      </c>
      <c r="GG103">
        <v>22.089099999999998</v>
      </c>
      <c r="GH103">
        <v>26.377600000000001</v>
      </c>
      <c r="GI103">
        <v>29.999600000000001</v>
      </c>
      <c r="GJ103">
        <v>26.551400000000001</v>
      </c>
      <c r="GK103">
        <v>26.5458</v>
      </c>
      <c r="GL103">
        <v>35.634900000000002</v>
      </c>
      <c r="GM103">
        <v>45.807899999999997</v>
      </c>
      <c r="GN103">
        <v>83.686599999999999</v>
      </c>
      <c r="GO103">
        <v>22.110199999999999</v>
      </c>
      <c r="GP103">
        <v>800</v>
      </c>
      <c r="GQ103">
        <v>13.0626</v>
      </c>
      <c r="GR103">
        <v>99.748199999999997</v>
      </c>
      <c r="GS103">
        <v>99.610200000000006</v>
      </c>
    </row>
    <row r="104" spans="1:201" x14ac:dyDescent="0.25">
      <c r="A104">
        <v>88</v>
      </c>
      <c r="B104">
        <v>1690304789.5</v>
      </c>
      <c r="C104">
        <v>1039.5</v>
      </c>
      <c r="D104" t="s">
        <v>507</v>
      </c>
      <c r="E104" t="s">
        <v>508</v>
      </c>
      <c r="F104" t="s">
        <v>330</v>
      </c>
      <c r="H104">
        <v>1690304789.5</v>
      </c>
      <c r="I104">
        <f t="shared" si="30"/>
        <v>7.7256249419785058E-4</v>
      </c>
      <c r="J104">
        <f t="shared" si="31"/>
        <v>0.77256249419785061</v>
      </c>
      <c r="K104">
        <f t="shared" si="32"/>
        <v>13.62822742656493</v>
      </c>
      <c r="L104">
        <f t="shared" si="33"/>
        <v>644.77300000000002</v>
      </c>
      <c r="M104">
        <f t="shared" si="34"/>
        <v>222.69620481927754</v>
      </c>
      <c r="N104">
        <f t="shared" si="35"/>
        <v>22.125812180703658</v>
      </c>
      <c r="O104">
        <f t="shared" si="36"/>
        <v>64.06093138752</v>
      </c>
      <c r="P104">
        <f t="shared" si="37"/>
        <v>5.3573007872907259E-2</v>
      </c>
      <c r="Q104">
        <f t="shared" si="38"/>
        <v>2.1018654614937944</v>
      </c>
      <c r="R104">
        <f t="shared" si="39"/>
        <v>5.2825822871017794E-2</v>
      </c>
      <c r="S104">
        <f t="shared" si="40"/>
        <v>3.3082402710254893E-2</v>
      </c>
      <c r="T104">
        <f t="shared" si="41"/>
        <v>276.116660352</v>
      </c>
      <c r="U104">
        <f t="shared" si="42"/>
        <v>26.76763845566499</v>
      </c>
      <c r="V104">
        <f t="shared" si="43"/>
        <v>26.76763845566499</v>
      </c>
      <c r="W104">
        <f t="shared" si="44"/>
        <v>3.5306042697906075</v>
      </c>
      <c r="X104">
        <f t="shared" si="45"/>
        <v>67.331391025546651</v>
      </c>
      <c r="Y104">
        <f t="shared" si="46"/>
        <v>2.1188881347840001</v>
      </c>
      <c r="Z104">
        <f t="shared" si="47"/>
        <v>3.146954344044457</v>
      </c>
      <c r="AA104">
        <f t="shared" si="48"/>
        <v>1.4117161350066074</v>
      </c>
      <c r="AB104">
        <f t="shared" si="49"/>
        <v>-34.070005994125211</v>
      </c>
      <c r="AC104">
        <f t="shared" si="50"/>
        <v>-219.95026867858229</v>
      </c>
      <c r="AD104">
        <f t="shared" si="51"/>
        <v>-22.313340395263278</v>
      </c>
      <c r="AE104">
        <f t="shared" si="52"/>
        <v>-0.21695471597078608</v>
      </c>
      <c r="AF104">
        <v>12</v>
      </c>
      <c r="AG104">
        <v>4</v>
      </c>
      <c r="AH104">
        <f t="shared" si="53"/>
        <v>1</v>
      </c>
      <c r="AI104">
        <f t="shared" si="54"/>
        <v>0</v>
      </c>
      <c r="AJ104">
        <f t="shared" si="55"/>
        <v>52951.479008274262</v>
      </c>
      <c r="AK104">
        <f t="shared" si="56"/>
        <v>1800</v>
      </c>
      <c r="AL104">
        <f t="shared" si="57"/>
        <v>1499.1107291999999</v>
      </c>
      <c r="AM104">
        <f t="shared" si="58"/>
        <v>0.83283929400000001</v>
      </c>
      <c r="AN104">
        <f t="shared" si="59"/>
        <v>0.15339814464000001</v>
      </c>
      <c r="AO104">
        <v>33</v>
      </c>
      <c r="AP104">
        <v>0.5</v>
      </c>
      <c r="AQ104" t="s">
        <v>331</v>
      </c>
      <c r="AR104">
        <v>2</v>
      </c>
      <c r="AS104">
        <v>1690304789.5</v>
      </c>
      <c r="AT104">
        <v>644.77300000000002</v>
      </c>
      <c r="AU104">
        <v>800.048</v>
      </c>
      <c r="AV104">
        <v>21.326599999999999</v>
      </c>
      <c r="AW104">
        <v>13.0158</v>
      </c>
      <c r="AX104">
        <v>644.90599999999995</v>
      </c>
      <c r="AY104">
        <v>21.0548</v>
      </c>
      <c r="AZ104">
        <v>300.22199999999998</v>
      </c>
      <c r="BA104">
        <v>99.254199999999997</v>
      </c>
      <c r="BB104">
        <v>0.10004</v>
      </c>
      <c r="BC104">
        <v>24.826599999999999</v>
      </c>
      <c r="BD104">
        <v>26.953199999999999</v>
      </c>
      <c r="BE104">
        <v>26.2559</v>
      </c>
      <c r="BF104">
        <v>0</v>
      </c>
      <c r="BG104">
        <v>0</v>
      </c>
      <c r="BH104">
        <v>10016.9</v>
      </c>
      <c r="BI104">
        <v>1048.0999999999999</v>
      </c>
      <c r="BJ104">
        <v>1.68198</v>
      </c>
      <c r="BK104">
        <v>-155.27500000000001</v>
      </c>
      <c r="BL104">
        <v>658.82399999999996</v>
      </c>
      <c r="BM104">
        <v>810.59900000000005</v>
      </c>
      <c r="BN104">
        <v>8.3108799999999992</v>
      </c>
      <c r="BO104">
        <v>800.048</v>
      </c>
      <c r="BP104">
        <v>13.0158</v>
      </c>
      <c r="BQ104">
        <v>2.1167600000000002</v>
      </c>
      <c r="BR104">
        <v>1.2918700000000001</v>
      </c>
      <c r="BS104">
        <v>18.3459</v>
      </c>
      <c r="BT104">
        <v>10.704599999999999</v>
      </c>
      <c r="BU104">
        <v>1800</v>
      </c>
      <c r="BV104">
        <v>0.90997899999999998</v>
      </c>
      <c r="BW104">
        <v>3.4000500000000003E-2</v>
      </c>
      <c r="BX104">
        <v>2.2008199999999999E-2</v>
      </c>
      <c r="BY104">
        <v>3.4012599999999997E-2</v>
      </c>
      <c r="BZ104">
        <v>26</v>
      </c>
      <c r="CA104">
        <v>33528.199999999997</v>
      </c>
      <c r="CB104">
        <v>1690303320.5</v>
      </c>
      <c r="CC104" t="s">
        <v>332</v>
      </c>
      <c r="CD104">
        <v>1690303320.5</v>
      </c>
      <c r="CE104">
        <v>1690303310.0999999</v>
      </c>
      <c r="CF104">
        <v>8</v>
      </c>
      <c r="CG104">
        <v>7.3999999999999996E-2</v>
      </c>
      <c r="CH104">
        <v>-0.01</v>
      </c>
      <c r="CI104">
        <v>-0.24199999999999999</v>
      </c>
      <c r="CJ104">
        <v>0.27200000000000002</v>
      </c>
      <c r="CK104">
        <v>800</v>
      </c>
      <c r="CL104">
        <v>23</v>
      </c>
      <c r="CM104">
        <v>0.06</v>
      </c>
      <c r="CN104">
        <v>0.09</v>
      </c>
      <c r="CO104">
        <v>-152.02931707317069</v>
      </c>
      <c r="CP104">
        <v>-18.59487804878075</v>
      </c>
      <c r="CQ104">
        <v>1.8344341513290039</v>
      </c>
      <c r="CR104">
        <v>-1</v>
      </c>
      <c r="CS104">
        <v>8.1154651219512193</v>
      </c>
      <c r="CT104">
        <v>1.0173215331010601</v>
      </c>
      <c r="CU104">
        <v>0.1016901189319776</v>
      </c>
      <c r="CV104">
        <v>-1</v>
      </c>
      <c r="CW104">
        <v>0</v>
      </c>
      <c r="CX104">
        <v>0</v>
      </c>
      <c r="CY104" t="s">
        <v>333</v>
      </c>
      <c r="CZ104">
        <v>2.3645</v>
      </c>
      <c r="DA104">
        <v>2.7138499999999999</v>
      </c>
      <c r="DB104">
        <v>0.12684200000000001</v>
      </c>
      <c r="DC104">
        <v>0.146422</v>
      </c>
      <c r="DD104">
        <v>0.104563</v>
      </c>
      <c r="DE104">
        <v>7.2306400000000007E-2</v>
      </c>
      <c r="DF104">
        <v>31884.7</v>
      </c>
      <c r="DG104">
        <v>27517.7</v>
      </c>
      <c r="DH104">
        <v>31174.7</v>
      </c>
      <c r="DI104">
        <v>28091.3</v>
      </c>
      <c r="DJ104">
        <v>37903.199999999997</v>
      </c>
      <c r="DK104">
        <v>37062.800000000003</v>
      </c>
      <c r="DL104">
        <v>44367.199999999997</v>
      </c>
      <c r="DM104">
        <v>42583.7</v>
      </c>
      <c r="DN104">
        <v>1.4370499999999999</v>
      </c>
      <c r="DO104">
        <v>2.0468999999999999</v>
      </c>
      <c r="DP104">
        <v>0.17677999999999999</v>
      </c>
      <c r="DQ104">
        <v>0.14689199999999999</v>
      </c>
      <c r="DR104">
        <v>24.055</v>
      </c>
      <c r="DS104">
        <v>23.846</v>
      </c>
      <c r="DT104">
        <v>54.9</v>
      </c>
      <c r="DU104">
        <v>29</v>
      </c>
      <c r="DV104">
        <v>22.2441</v>
      </c>
      <c r="DW104">
        <v>61.461199999999998</v>
      </c>
      <c r="DX104">
        <v>35.9816</v>
      </c>
      <c r="DY104">
        <v>1</v>
      </c>
      <c r="DZ104">
        <v>-7.8117400000000004E-2</v>
      </c>
      <c r="EA104">
        <v>0.68220599999999998</v>
      </c>
      <c r="EB104">
        <v>20.188199999999998</v>
      </c>
      <c r="EC104">
        <v>5.2408000000000001</v>
      </c>
      <c r="ED104">
        <v>12.039899999999999</v>
      </c>
      <c r="EE104">
        <v>5.0171999999999999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1.8689100000000001</v>
      </c>
      <c r="EL104">
        <v>1.8646199999999999</v>
      </c>
      <c r="EM104">
        <v>1.8692</v>
      </c>
      <c r="EN104">
        <v>1.8672200000000001</v>
      </c>
      <c r="EO104">
        <v>1.8633999999999999</v>
      </c>
      <c r="EP104">
        <v>1.8644700000000001</v>
      </c>
      <c r="EQ104">
        <v>1.8701700000000001</v>
      </c>
      <c r="ER104">
        <v>1.8694299999999999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-0.13300000000000001</v>
      </c>
      <c r="FG104">
        <v>0.27179999999999999</v>
      </c>
      <c r="FH104">
        <v>0.30965466913576151</v>
      </c>
      <c r="FI104">
        <v>-6.1462078757559423E-4</v>
      </c>
      <c r="FJ104">
        <v>-1.8861989874597051E-7</v>
      </c>
      <c r="FK104">
        <v>1.1980462299894961E-10</v>
      </c>
      <c r="FL104">
        <v>0.27184999999999349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24.5</v>
      </c>
      <c r="FU104">
        <v>24.7</v>
      </c>
      <c r="FV104">
        <v>1.78223</v>
      </c>
      <c r="FW104">
        <v>2.5952099999999998</v>
      </c>
      <c r="FX104">
        <v>1.5490699999999999</v>
      </c>
      <c r="FY104">
        <v>2.3290999999999999</v>
      </c>
      <c r="FZ104">
        <v>1.50146</v>
      </c>
      <c r="GA104">
        <v>2.34375</v>
      </c>
      <c r="GB104">
        <v>33.896099999999997</v>
      </c>
      <c r="GC104">
        <v>23.982399999999998</v>
      </c>
      <c r="GD104">
        <v>19</v>
      </c>
      <c r="GE104">
        <v>267.33800000000002</v>
      </c>
      <c r="GF104">
        <v>594.22699999999998</v>
      </c>
      <c r="GG104">
        <v>22.160699999999999</v>
      </c>
      <c r="GH104">
        <v>26.371099999999998</v>
      </c>
      <c r="GI104">
        <v>29.9998</v>
      </c>
      <c r="GJ104">
        <v>26.5459</v>
      </c>
      <c r="GK104">
        <v>26.540800000000001</v>
      </c>
      <c r="GL104">
        <v>35.6297</v>
      </c>
      <c r="GM104">
        <v>46.3735</v>
      </c>
      <c r="GN104">
        <v>82.930199999999999</v>
      </c>
      <c r="GO104">
        <v>22.178899999999999</v>
      </c>
      <c r="GP104">
        <v>800</v>
      </c>
      <c r="GQ104">
        <v>12.9047</v>
      </c>
      <c r="GR104">
        <v>99.749200000000002</v>
      </c>
      <c r="GS104">
        <v>99.611500000000007</v>
      </c>
    </row>
    <row r="105" spans="1:201" x14ac:dyDescent="0.25">
      <c r="A105">
        <v>89</v>
      </c>
      <c r="B105">
        <v>1690304799.5</v>
      </c>
      <c r="C105">
        <v>1049.5</v>
      </c>
      <c r="D105" t="s">
        <v>509</v>
      </c>
      <c r="E105" t="s">
        <v>510</v>
      </c>
      <c r="F105" t="s">
        <v>330</v>
      </c>
      <c r="H105">
        <v>1690304799.5</v>
      </c>
      <c r="I105">
        <f t="shared" si="30"/>
        <v>7.879403948108291E-4</v>
      </c>
      <c r="J105">
        <f t="shared" si="31"/>
        <v>0.78794039481082911</v>
      </c>
      <c r="K105">
        <f t="shared" si="32"/>
        <v>13.906351762427935</v>
      </c>
      <c r="L105">
        <f t="shared" si="33"/>
        <v>641.61900000000003</v>
      </c>
      <c r="M105">
        <f t="shared" si="34"/>
        <v>219.35131798419212</v>
      </c>
      <c r="N105">
        <f t="shared" si="35"/>
        <v>21.794010395118672</v>
      </c>
      <c r="O105">
        <f t="shared" si="36"/>
        <v>63.749109347559902</v>
      </c>
      <c r="P105">
        <f t="shared" si="37"/>
        <v>5.4644630447665439E-2</v>
      </c>
      <c r="Q105">
        <f t="shared" si="38"/>
        <v>2.1005473980029743</v>
      </c>
      <c r="R105">
        <f t="shared" si="39"/>
        <v>5.3867008190806531E-2</v>
      </c>
      <c r="S105">
        <f t="shared" si="40"/>
        <v>3.3735824490662952E-2</v>
      </c>
      <c r="T105">
        <f t="shared" si="41"/>
        <v>276.11663498999997</v>
      </c>
      <c r="U105">
        <f t="shared" si="42"/>
        <v>26.780273184898785</v>
      </c>
      <c r="V105">
        <f t="shared" si="43"/>
        <v>26.780273184898785</v>
      </c>
      <c r="W105">
        <f t="shared" si="44"/>
        <v>3.5332296228016835</v>
      </c>
      <c r="X105">
        <f t="shared" si="45"/>
        <v>67.337898678792428</v>
      </c>
      <c r="Y105">
        <f t="shared" si="46"/>
        <v>2.1212444375065798</v>
      </c>
      <c r="Z105">
        <f t="shared" si="47"/>
        <v>3.1501494390626861</v>
      </c>
      <c r="AA105">
        <f t="shared" si="48"/>
        <v>1.4119851852951038</v>
      </c>
      <c r="AB105">
        <f t="shared" si="49"/>
        <v>-34.748171411157564</v>
      </c>
      <c r="AC105">
        <f t="shared" si="50"/>
        <v>-219.31799574724883</v>
      </c>
      <c r="AD105">
        <f t="shared" si="51"/>
        <v>-22.266470305738579</v>
      </c>
      <c r="AE105">
        <f t="shared" si="52"/>
        <v>-0.21600247414500018</v>
      </c>
      <c r="AF105">
        <v>12</v>
      </c>
      <c r="AG105">
        <v>4</v>
      </c>
      <c r="AH105">
        <f t="shared" si="53"/>
        <v>1</v>
      </c>
      <c r="AI105">
        <f t="shared" si="54"/>
        <v>0</v>
      </c>
      <c r="AJ105">
        <f t="shared" si="55"/>
        <v>52889.472566716649</v>
      </c>
      <c r="AK105">
        <f t="shared" si="56"/>
        <v>1800</v>
      </c>
      <c r="AL105">
        <f t="shared" si="57"/>
        <v>1499.1079949999998</v>
      </c>
      <c r="AM105">
        <f t="shared" si="58"/>
        <v>0.83283777499999989</v>
      </c>
      <c r="AN105">
        <f t="shared" si="59"/>
        <v>0.15339813054999998</v>
      </c>
      <c r="AO105">
        <v>33</v>
      </c>
      <c r="AP105">
        <v>0.5</v>
      </c>
      <c r="AQ105" t="s">
        <v>331</v>
      </c>
      <c r="AR105">
        <v>2</v>
      </c>
      <c r="AS105">
        <v>1690304799.5</v>
      </c>
      <c r="AT105">
        <v>641.61900000000003</v>
      </c>
      <c r="AU105">
        <v>800.12199999999996</v>
      </c>
      <c r="AV105">
        <v>21.349799999999998</v>
      </c>
      <c r="AW105">
        <v>12.869</v>
      </c>
      <c r="AX105">
        <v>641.75</v>
      </c>
      <c r="AY105">
        <v>21.077999999999999</v>
      </c>
      <c r="AZ105">
        <v>300.053</v>
      </c>
      <c r="BA105">
        <v>99.256699999999995</v>
      </c>
      <c r="BB105">
        <v>9.9942100000000006E-2</v>
      </c>
      <c r="BC105">
        <v>24.843599999999999</v>
      </c>
      <c r="BD105">
        <v>26.959599999999998</v>
      </c>
      <c r="BE105">
        <v>26.2438</v>
      </c>
      <c r="BF105">
        <v>0</v>
      </c>
      <c r="BG105">
        <v>0</v>
      </c>
      <c r="BH105">
        <v>10005</v>
      </c>
      <c r="BI105">
        <v>1048.3599999999999</v>
      </c>
      <c r="BJ105">
        <v>1.68198</v>
      </c>
      <c r="BK105">
        <v>-158.50299999999999</v>
      </c>
      <c r="BL105">
        <v>655.61599999999999</v>
      </c>
      <c r="BM105">
        <v>810.553</v>
      </c>
      <c r="BN105">
        <v>8.4808000000000003</v>
      </c>
      <c r="BO105">
        <v>800.12199999999996</v>
      </c>
      <c r="BP105">
        <v>12.869</v>
      </c>
      <c r="BQ105">
        <v>2.11911</v>
      </c>
      <c r="BR105">
        <v>1.2773300000000001</v>
      </c>
      <c r="BS105">
        <v>18.363600000000002</v>
      </c>
      <c r="BT105">
        <v>10.534800000000001</v>
      </c>
      <c r="BU105">
        <v>1800</v>
      </c>
      <c r="BV105">
        <v>0.90997099999999997</v>
      </c>
      <c r="BW105">
        <v>3.4008499999999997E-2</v>
      </c>
      <c r="BX105">
        <v>2.2008E-2</v>
      </c>
      <c r="BY105">
        <v>3.4012300000000002E-2</v>
      </c>
      <c r="BZ105">
        <v>26</v>
      </c>
      <c r="CA105">
        <v>33528.199999999997</v>
      </c>
      <c r="CB105">
        <v>1690303320.5</v>
      </c>
      <c r="CC105" t="s">
        <v>332</v>
      </c>
      <c r="CD105">
        <v>1690303320.5</v>
      </c>
      <c r="CE105">
        <v>1690303310.0999999</v>
      </c>
      <c r="CF105">
        <v>8</v>
      </c>
      <c r="CG105">
        <v>7.3999999999999996E-2</v>
      </c>
      <c r="CH105">
        <v>-0.01</v>
      </c>
      <c r="CI105">
        <v>-0.24199999999999999</v>
      </c>
      <c r="CJ105">
        <v>0.27200000000000002</v>
      </c>
      <c r="CK105">
        <v>800</v>
      </c>
      <c r="CL105">
        <v>23</v>
      </c>
      <c r="CM105">
        <v>0.06</v>
      </c>
      <c r="CN105">
        <v>0.09</v>
      </c>
      <c r="CO105">
        <v>-155.1296829268293</v>
      </c>
      <c r="CP105">
        <v>-18.671477351916579</v>
      </c>
      <c r="CQ105">
        <v>1.842025945091827</v>
      </c>
      <c r="CR105">
        <v>-1</v>
      </c>
      <c r="CS105">
        <v>8.2843146341463409</v>
      </c>
      <c r="CT105">
        <v>1.0928086411149971</v>
      </c>
      <c r="CU105">
        <v>0.10833638501237269</v>
      </c>
      <c r="CV105">
        <v>-1</v>
      </c>
      <c r="CW105">
        <v>0</v>
      </c>
      <c r="CX105">
        <v>0</v>
      </c>
      <c r="CY105" t="s">
        <v>333</v>
      </c>
      <c r="CZ105">
        <v>2.3639600000000001</v>
      </c>
      <c r="DA105">
        <v>2.71374</v>
      </c>
      <c r="DB105">
        <v>0.126416</v>
      </c>
      <c r="DC105">
        <v>0.14643300000000001</v>
      </c>
      <c r="DD105">
        <v>0.10464900000000001</v>
      </c>
      <c r="DE105">
        <v>7.17E-2</v>
      </c>
      <c r="DF105">
        <v>31900.6</v>
      </c>
      <c r="DG105">
        <v>27518.2</v>
      </c>
      <c r="DH105">
        <v>31175</v>
      </c>
      <c r="DI105">
        <v>28092.1</v>
      </c>
      <c r="DJ105">
        <v>37899.699999999997</v>
      </c>
      <c r="DK105">
        <v>37087.9</v>
      </c>
      <c r="DL105">
        <v>44367.5</v>
      </c>
      <c r="DM105">
        <v>42584.6</v>
      </c>
      <c r="DN105">
        <v>1.4368300000000001</v>
      </c>
      <c r="DO105">
        <v>2.0470799999999998</v>
      </c>
      <c r="DP105">
        <v>0.17698900000000001</v>
      </c>
      <c r="DQ105">
        <v>0.145845</v>
      </c>
      <c r="DR105">
        <v>24.0581</v>
      </c>
      <c r="DS105">
        <v>23.850999999999999</v>
      </c>
      <c r="DT105">
        <v>54.8</v>
      </c>
      <c r="DU105">
        <v>29</v>
      </c>
      <c r="DV105">
        <v>22.2074</v>
      </c>
      <c r="DW105">
        <v>61.541200000000003</v>
      </c>
      <c r="DX105">
        <v>36.630600000000001</v>
      </c>
      <c r="DY105">
        <v>1</v>
      </c>
      <c r="DZ105">
        <v>-7.9090400000000005E-2</v>
      </c>
      <c r="EA105">
        <v>0.66562100000000002</v>
      </c>
      <c r="EB105">
        <v>20.188199999999998</v>
      </c>
      <c r="EC105">
        <v>5.2404999999999999</v>
      </c>
      <c r="ED105">
        <v>12.039899999999999</v>
      </c>
      <c r="EE105">
        <v>5.0168499999999998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1.8689100000000001</v>
      </c>
      <c r="EL105">
        <v>1.8646199999999999</v>
      </c>
      <c r="EM105">
        <v>1.8692</v>
      </c>
      <c r="EN105">
        <v>1.86724</v>
      </c>
      <c r="EO105">
        <v>1.8633999999999999</v>
      </c>
      <c r="EP105">
        <v>1.8644700000000001</v>
      </c>
      <c r="EQ105">
        <v>1.8702000000000001</v>
      </c>
      <c r="ER105">
        <v>1.86947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-0.13100000000000001</v>
      </c>
      <c r="FG105">
        <v>0.27179999999999999</v>
      </c>
      <c r="FH105">
        <v>0.30965466913576151</v>
      </c>
      <c r="FI105">
        <v>-6.1462078757559423E-4</v>
      </c>
      <c r="FJ105">
        <v>-1.8861989874597051E-7</v>
      </c>
      <c r="FK105">
        <v>1.1980462299894961E-10</v>
      </c>
      <c r="FL105">
        <v>0.27184999999999349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24.6</v>
      </c>
      <c r="FU105">
        <v>24.8</v>
      </c>
      <c r="FV105">
        <v>1.78223</v>
      </c>
      <c r="FW105">
        <v>2.5939899999999998</v>
      </c>
      <c r="FX105">
        <v>1.5490699999999999</v>
      </c>
      <c r="FY105">
        <v>2.3278799999999999</v>
      </c>
      <c r="FZ105">
        <v>1.50146</v>
      </c>
      <c r="GA105">
        <v>2.323</v>
      </c>
      <c r="GB105">
        <v>33.896099999999997</v>
      </c>
      <c r="GC105">
        <v>23.973700000000001</v>
      </c>
      <c r="GD105">
        <v>19</v>
      </c>
      <c r="GE105">
        <v>267.22399999999999</v>
      </c>
      <c r="GF105">
        <v>594.31700000000001</v>
      </c>
      <c r="GG105">
        <v>22.236799999999999</v>
      </c>
      <c r="GH105">
        <v>26.3644</v>
      </c>
      <c r="GI105">
        <v>29.999600000000001</v>
      </c>
      <c r="GJ105">
        <v>26.540900000000001</v>
      </c>
      <c r="GK105">
        <v>26.535799999999998</v>
      </c>
      <c r="GL105">
        <v>35.629800000000003</v>
      </c>
      <c r="GM105">
        <v>46.672499999999999</v>
      </c>
      <c r="GN105">
        <v>82.557500000000005</v>
      </c>
      <c r="GO105">
        <v>22.2471</v>
      </c>
      <c r="GP105">
        <v>800</v>
      </c>
      <c r="GQ105">
        <v>12.743600000000001</v>
      </c>
      <c r="GR105">
        <v>99.75</v>
      </c>
      <c r="GS105">
        <v>99.614000000000004</v>
      </c>
    </row>
    <row r="106" spans="1:201" x14ac:dyDescent="0.25">
      <c r="A106">
        <v>90</v>
      </c>
      <c r="B106">
        <v>1690304809.5</v>
      </c>
      <c r="C106">
        <v>1059.5</v>
      </c>
      <c r="D106" t="s">
        <v>511</v>
      </c>
      <c r="E106" t="s">
        <v>512</v>
      </c>
      <c r="F106" t="s">
        <v>330</v>
      </c>
      <c r="H106">
        <v>1690304809.5</v>
      </c>
      <c r="I106">
        <f t="shared" si="30"/>
        <v>8.0345623903370301E-4</v>
      </c>
      <c r="J106">
        <f t="shared" si="31"/>
        <v>0.803456239033703</v>
      </c>
      <c r="K106">
        <f t="shared" si="32"/>
        <v>14.169011407948446</v>
      </c>
      <c r="L106">
        <f t="shared" si="33"/>
        <v>638.59199999999998</v>
      </c>
      <c r="M106">
        <f t="shared" si="34"/>
        <v>216.3510857825971</v>
      </c>
      <c r="N106">
        <f t="shared" si="35"/>
        <v>21.495968867971204</v>
      </c>
      <c r="O106">
        <f t="shared" si="36"/>
        <v>63.448508712959999</v>
      </c>
      <c r="P106">
        <f t="shared" si="37"/>
        <v>5.5686645605790383E-2</v>
      </c>
      <c r="Q106">
        <f t="shared" si="38"/>
        <v>2.0955131041825785</v>
      </c>
      <c r="R106">
        <f t="shared" si="39"/>
        <v>5.4877410824185645E-2</v>
      </c>
      <c r="S106">
        <f t="shared" si="40"/>
        <v>3.4370108621500528E-2</v>
      </c>
      <c r="T106">
        <f t="shared" si="41"/>
        <v>276.11648874000002</v>
      </c>
      <c r="U106">
        <f t="shared" si="42"/>
        <v>26.795866356538504</v>
      </c>
      <c r="V106">
        <f t="shared" si="43"/>
        <v>26.795866356538504</v>
      </c>
      <c r="W106">
        <f t="shared" si="44"/>
        <v>3.5364720560329235</v>
      </c>
      <c r="X106">
        <f t="shared" si="45"/>
        <v>67.332873357617402</v>
      </c>
      <c r="Y106">
        <f t="shared" si="46"/>
        <v>2.1232267185360003</v>
      </c>
      <c r="Z106">
        <f t="shared" si="47"/>
        <v>3.1533285491310439</v>
      </c>
      <c r="AA106">
        <f t="shared" si="48"/>
        <v>1.4132453374969232</v>
      </c>
      <c r="AB106">
        <f t="shared" si="49"/>
        <v>-35.432420141386302</v>
      </c>
      <c r="AC106">
        <f t="shared" si="50"/>
        <v>-218.64472879269485</v>
      </c>
      <c r="AD106">
        <f t="shared" si="51"/>
        <v>-22.255074666883218</v>
      </c>
      <c r="AE106">
        <f t="shared" si="52"/>
        <v>-0.21573486096434635</v>
      </c>
      <c r="AF106">
        <v>11</v>
      </c>
      <c r="AG106">
        <v>4</v>
      </c>
      <c r="AH106">
        <f t="shared" si="53"/>
        <v>1</v>
      </c>
      <c r="AI106">
        <f t="shared" si="54"/>
        <v>0</v>
      </c>
      <c r="AJ106">
        <f t="shared" si="55"/>
        <v>52661.402785271806</v>
      </c>
      <c r="AK106">
        <f t="shared" si="56"/>
        <v>1800</v>
      </c>
      <c r="AL106">
        <f t="shared" si="57"/>
        <v>1499.108013</v>
      </c>
      <c r="AM106">
        <f t="shared" si="58"/>
        <v>0.83283778500000005</v>
      </c>
      <c r="AN106">
        <f t="shared" si="59"/>
        <v>0.15339804930000001</v>
      </c>
      <c r="AO106">
        <v>33</v>
      </c>
      <c r="AP106">
        <v>0.5</v>
      </c>
      <c r="AQ106" t="s">
        <v>331</v>
      </c>
      <c r="AR106">
        <v>2</v>
      </c>
      <c r="AS106">
        <v>1690304809.5</v>
      </c>
      <c r="AT106">
        <v>638.59199999999998</v>
      </c>
      <c r="AU106">
        <v>800.01</v>
      </c>
      <c r="AV106">
        <v>21.369700000000002</v>
      </c>
      <c r="AW106">
        <v>12.725099999999999</v>
      </c>
      <c r="AX106">
        <v>638.721</v>
      </c>
      <c r="AY106">
        <v>21.097899999999999</v>
      </c>
      <c r="AZ106">
        <v>300.15800000000002</v>
      </c>
      <c r="BA106">
        <v>99.256799999999998</v>
      </c>
      <c r="BB106">
        <v>0.10008</v>
      </c>
      <c r="BC106">
        <v>24.860499999999998</v>
      </c>
      <c r="BD106">
        <v>27.0747</v>
      </c>
      <c r="BE106">
        <v>26.269300000000001</v>
      </c>
      <c r="BF106">
        <v>0</v>
      </c>
      <c r="BG106">
        <v>0</v>
      </c>
      <c r="BH106">
        <v>9960.6200000000008</v>
      </c>
      <c r="BI106">
        <v>1048.54</v>
      </c>
      <c r="BJ106">
        <v>1.68198</v>
      </c>
      <c r="BK106">
        <v>-161.41800000000001</v>
      </c>
      <c r="BL106">
        <v>652.53700000000003</v>
      </c>
      <c r="BM106">
        <v>810.322</v>
      </c>
      <c r="BN106">
        <v>8.6446199999999997</v>
      </c>
      <c r="BO106">
        <v>800.01</v>
      </c>
      <c r="BP106">
        <v>12.725099999999999</v>
      </c>
      <c r="BQ106">
        <v>2.1210900000000001</v>
      </c>
      <c r="BR106">
        <v>1.26305</v>
      </c>
      <c r="BS106">
        <v>18.378499999999999</v>
      </c>
      <c r="BT106">
        <v>10.366300000000001</v>
      </c>
      <c r="BU106">
        <v>1800</v>
      </c>
      <c r="BV106">
        <v>0.90997300000000003</v>
      </c>
      <c r="BW106">
        <v>3.4007700000000002E-2</v>
      </c>
      <c r="BX106">
        <v>2.2007499999999999E-2</v>
      </c>
      <c r="BY106">
        <v>3.4011399999999997E-2</v>
      </c>
      <c r="BZ106">
        <v>26</v>
      </c>
      <c r="CA106">
        <v>33528.199999999997</v>
      </c>
      <c r="CB106">
        <v>1690303320.5</v>
      </c>
      <c r="CC106" t="s">
        <v>332</v>
      </c>
      <c r="CD106">
        <v>1690303320.5</v>
      </c>
      <c r="CE106">
        <v>1690303310.0999999</v>
      </c>
      <c r="CF106">
        <v>8</v>
      </c>
      <c r="CG106">
        <v>7.3999999999999996E-2</v>
      </c>
      <c r="CH106">
        <v>-0.01</v>
      </c>
      <c r="CI106">
        <v>-0.24199999999999999</v>
      </c>
      <c r="CJ106">
        <v>0.27200000000000002</v>
      </c>
      <c r="CK106">
        <v>800</v>
      </c>
      <c r="CL106">
        <v>23</v>
      </c>
      <c r="CM106">
        <v>0.06</v>
      </c>
      <c r="CN106">
        <v>0.09</v>
      </c>
      <c r="CO106">
        <v>-158.24807317073169</v>
      </c>
      <c r="CP106">
        <v>-18.826808362369398</v>
      </c>
      <c r="CQ106">
        <v>1.858018593073552</v>
      </c>
      <c r="CR106">
        <v>-1</v>
      </c>
      <c r="CS106">
        <v>8.4666417073170717</v>
      </c>
      <c r="CT106">
        <v>1.0671574912892241</v>
      </c>
      <c r="CU106">
        <v>0.1055568889943156</v>
      </c>
      <c r="CV106">
        <v>-1</v>
      </c>
      <c r="CW106">
        <v>0</v>
      </c>
      <c r="CX106">
        <v>0</v>
      </c>
      <c r="CY106" t="s">
        <v>333</v>
      </c>
      <c r="CZ106">
        <v>2.3643399999999999</v>
      </c>
      <c r="DA106">
        <v>2.7138399999999998</v>
      </c>
      <c r="DB106">
        <v>0.126002</v>
      </c>
      <c r="DC106">
        <v>0.14641799999999999</v>
      </c>
      <c r="DD106">
        <v>0.10472099999999999</v>
      </c>
      <c r="DE106">
        <v>7.1101300000000006E-2</v>
      </c>
      <c r="DF106">
        <v>31916.2</v>
      </c>
      <c r="DG106">
        <v>27518.5</v>
      </c>
      <c r="DH106">
        <v>31175.5</v>
      </c>
      <c r="DI106">
        <v>28091.9</v>
      </c>
      <c r="DJ106">
        <v>37897.1</v>
      </c>
      <c r="DK106">
        <v>37111.800000000003</v>
      </c>
      <c r="DL106">
        <v>44368.1</v>
      </c>
      <c r="DM106">
        <v>42584.5</v>
      </c>
      <c r="DN106">
        <v>1.4377</v>
      </c>
      <c r="DO106">
        <v>2.0468199999999999</v>
      </c>
      <c r="DP106">
        <v>0.183839</v>
      </c>
      <c r="DQ106">
        <v>0.147067</v>
      </c>
      <c r="DR106">
        <v>24.0611</v>
      </c>
      <c r="DS106">
        <v>23.8565</v>
      </c>
      <c r="DT106">
        <v>54.7</v>
      </c>
      <c r="DU106">
        <v>29</v>
      </c>
      <c r="DV106">
        <v>22.163699999999999</v>
      </c>
      <c r="DW106">
        <v>61.741199999999999</v>
      </c>
      <c r="DX106">
        <v>36.306100000000001</v>
      </c>
      <c r="DY106">
        <v>1</v>
      </c>
      <c r="DZ106">
        <v>-7.9606200000000002E-2</v>
      </c>
      <c r="EA106">
        <v>0.76450700000000005</v>
      </c>
      <c r="EB106">
        <v>20.1877</v>
      </c>
      <c r="EC106">
        <v>5.2406499999999996</v>
      </c>
      <c r="ED106">
        <v>12.039899999999999</v>
      </c>
      <c r="EE106">
        <v>5.0170000000000003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1.8689100000000001</v>
      </c>
      <c r="EL106">
        <v>1.8646199999999999</v>
      </c>
      <c r="EM106">
        <v>1.8692</v>
      </c>
      <c r="EN106">
        <v>1.8672299999999999</v>
      </c>
      <c r="EO106">
        <v>1.8633999999999999</v>
      </c>
      <c r="EP106">
        <v>1.8644799999999999</v>
      </c>
      <c r="EQ106">
        <v>1.8701700000000001</v>
      </c>
      <c r="ER106">
        <v>1.8694299999999999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-0.129</v>
      </c>
      <c r="FG106">
        <v>0.27179999999999999</v>
      </c>
      <c r="FH106">
        <v>0.30965466913576151</v>
      </c>
      <c r="FI106">
        <v>-6.1462078757559423E-4</v>
      </c>
      <c r="FJ106">
        <v>-1.8861989874597051E-7</v>
      </c>
      <c r="FK106">
        <v>1.1980462299894961E-10</v>
      </c>
      <c r="FL106">
        <v>0.27184999999999349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24.8</v>
      </c>
      <c r="FU106">
        <v>25</v>
      </c>
      <c r="FV106">
        <v>1.78223</v>
      </c>
      <c r="FW106">
        <v>2.5927699999999998</v>
      </c>
      <c r="FX106">
        <v>1.5490699999999999</v>
      </c>
      <c r="FY106">
        <v>2.3290999999999999</v>
      </c>
      <c r="FZ106">
        <v>1.50146</v>
      </c>
      <c r="GA106">
        <v>2.3535200000000001</v>
      </c>
      <c r="GB106">
        <v>33.896099999999997</v>
      </c>
      <c r="GC106">
        <v>23.982399999999998</v>
      </c>
      <c r="GD106">
        <v>19</v>
      </c>
      <c r="GE106">
        <v>267.56</v>
      </c>
      <c r="GF106">
        <v>594.05600000000004</v>
      </c>
      <c r="GG106">
        <v>22.2882</v>
      </c>
      <c r="GH106">
        <v>26.357299999999999</v>
      </c>
      <c r="GI106">
        <v>29.9999</v>
      </c>
      <c r="GJ106">
        <v>26.535299999999999</v>
      </c>
      <c r="GK106">
        <v>26.531400000000001</v>
      </c>
      <c r="GL106">
        <v>35.620800000000003</v>
      </c>
      <c r="GM106">
        <v>46.962499999999999</v>
      </c>
      <c r="GN106">
        <v>82.184200000000004</v>
      </c>
      <c r="GO106">
        <v>22.278199999999998</v>
      </c>
      <c r="GP106">
        <v>800</v>
      </c>
      <c r="GQ106">
        <v>12.6698</v>
      </c>
      <c r="GR106">
        <v>99.751499999999993</v>
      </c>
      <c r="GS106">
        <v>99.613500000000002</v>
      </c>
    </row>
    <row r="107" spans="1:201" x14ac:dyDescent="0.25">
      <c r="A107">
        <v>91</v>
      </c>
      <c r="B107">
        <v>1690304819.5</v>
      </c>
      <c r="C107">
        <v>1069.5</v>
      </c>
      <c r="D107" t="s">
        <v>513</v>
      </c>
      <c r="E107" t="s">
        <v>514</v>
      </c>
      <c r="F107" t="s">
        <v>330</v>
      </c>
      <c r="H107">
        <v>1690304819.5</v>
      </c>
      <c r="I107">
        <f t="shared" si="30"/>
        <v>8.0669844937735651E-4</v>
      </c>
      <c r="J107">
        <f t="shared" si="31"/>
        <v>0.80669844937735646</v>
      </c>
      <c r="K107">
        <f t="shared" si="32"/>
        <v>14.468935700317417</v>
      </c>
      <c r="L107">
        <f t="shared" si="33"/>
        <v>635.36500000000001</v>
      </c>
      <c r="M107">
        <f t="shared" si="34"/>
        <v>206.82309100584243</v>
      </c>
      <c r="N107">
        <f t="shared" si="35"/>
        <v>20.548836232449805</v>
      </c>
      <c r="O107">
        <f t="shared" si="36"/>
        <v>63.126468467980004</v>
      </c>
      <c r="P107">
        <f t="shared" si="37"/>
        <v>5.5989405138273912E-2</v>
      </c>
      <c r="Q107">
        <f t="shared" si="38"/>
        <v>2.1014413281907118</v>
      </c>
      <c r="R107">
        <f t="shared" si="39"/>
        <v>5.5173688076588311E-2</v>
      </c>
      <c r="S107">
        <f t="shared" si="40"/>
        <v>3.4555853938823412E-2</v>
      </c>
      <c r="T107">
        <f t="shared" si="41"/>
        <v>276.11654495400001</v>
      </c>
      <c r="U107">
        <f t="shared" si="42"/>
        <v>26.777480794902417</v>
      </c>
      <c r="V107">
        <f t="shared" si="43"/>
        <v>26.777480794902417</v>
      </c>
      <c r="W107">
        <f t="shared" si="44"/>
        <v>3.5326492492588111</v>
      </c>
      <c r="X107">
        <f t="shared" si="45"/>
        <v>67.321532538676692</v>
      </c>
      <c r="Y107">
        <f t="shared" si="46"/>
        <v>2.1213112393868001</v>
      </c>
      <c r="Z107">
        <f t="shared" si="47"/>
        <v>3.151014481389133</v>
      </c>
      <c r="AA107">
        <f t="shared" si="48"/>
        <v>1.411338009872011</v>
      </c>
      <c r="AB107">
        <f t="shared" si="49"/>
        <v>-35.575401617541424</v>
      </c>
      <c r="AC107">
        <f t="shared" si="50"/>
        <v>-218.57382559414265</v>
      </c>
      <c r="AD107">
        <f t="shared" si="51"/>
        <v>-22.181677440406389</v>
      </c>
      <c r="AE107">
        <f t="shared" si="52"/>
        <v>-0.21435969809044764</v>
      </c>
      <c r="AF107">
        <v>12</v>
      </c>
      <c r="AG107">
        <v>4</v>
      </c>
      <c r="AH107">
        <f t="shared" si="53"/>
        <v>1</v>
      </c>
      <c r="AI107">
        <f t="shared" si="54"/>
        <v>0</v>
      </c>
      <c r="AJ107">
        <f t="shared" si="55"/>
        <v>52928.647504611232</v>
      </c>
      <c r="AK107">
        <f t="shared" si="56"/>
        <v>1800</v>
      </c>
      <c r="AL107">
        <f t="shared" si="57"/>
        <v>1499.1092604</v>
      </c>
      <c r="AM107">
        <f t="shared" si="58"/>
        <v>0.83283847799999999</v>
      </c>
      <c r="AN107">
        <f t="shared" si="59"/>
        <v>0.15339808053000001</v>
      </c>
      <c r="AO107">
        <v>33</v>
      </c>
      <c r="AP107">
        <v>0.5</v>
      </c>
      <c r="AQ107" t="s">
        <v>331</v>
      </c>
      <c r="AR107">
        <v>2</v>
      </c>
      <c r="AS107">
        <v>1690304819.5</v>
      </c>
      <c r="AT107">
        <v>635.36500000000001</v>
      </c>
      <c r="AU107">
        <v>800.08500000000004</v>
      </c>
      <c r="AV107">
        <v>21.350899999999999</v>
      </c>
      <c r="AW107">
        <v>12.6707</v>
      </c>
      <c r="AX107">
        <v>635.49199999999996</v>
      </c>
      <c r="AY107">
        <v>21.079000000000001</v>
      </c>
      <c r="AZ107">
        <v>300.13900000000001</v>
      </c>
      <c r="BA107">
        <v>99.2547</v>
      </c>
      <c r="BB107">
        <v>9.9951999999999999E-2</v>
      </c>
      <c r="BC107">
        <v>24.848199999999999</v>
      </c>
      <c r="BD107">
        <v>27.006799999999998</v>
      </c>
      <c r="BE107">
        <v>26.247699999999998</v>
      </c>
      <c r="BF107">
        <v>0</v>
      </c>
      <c r="BG107">
        <v>0</v>
      </c>
      <c r="BH107">
        <v>10013.1</v>
      </c>
      <c r="BI107">
        <v>1048.6300000000001</v>
      </c>
      <c r="BJ107">
        <v>1.68198</v>
      </c>
      <c r="BK107">
        <v>-164.71899999999999</v>
      </c>
      <c r="BL107">
        <v>649.22699999999998</v>
      </c>
      <c r="BM107">
        <v>810.35199999999998</v>
      </c>
      <c r="BN107">
        <v>8.6801999999999992</v>
      </c>
      <c r="BO107">
        <v>800.08500000000004</v>
      </c>
      <c r="BP107">
        <v>12.6707</v>
      </c>
      <c r="BQ107">
        <v>2.1191800000000001</v>
      </c>
      <c r="BR107">
        <v>1.25762</v>
      </c>
      <c r="BS107">
        <v>18.364000000000001</v>
      </c>
      <c r="BT107">
        <v>10.3018</v>
      </c>
      <c r="BU107">
        <v>1800</v>
      </c>
      <c r="BV107">
        <v>0.90997600000000001</v>
      </c>
      <c r="BW107">
        <v>3.4006799999999997E-2</v>
      </c>
      <c r="BX107">
        <v>2.2006899999999999E-2</v>
      </c>
      <c r="BY107">
        <v>3.4010499999999999E-2</v>
      </c>
      <c r="BZ107">
        <v>26</v>
      </c>
      <c r="CA107">
        <v>33528.199999999997</v>
      </c>
      <c r="CB107">
        <v>1690303320.5</v>
      </c>
      <c r="CC107" t="s">
        <v>332</v>
      </c>
      <c r="CD107">
        <v>1690303320.5</v>
      </c>
      <c r="CE107">
        <v>1690303310.0999999</v>
      </c>
      <c r="CF107">
        <v>8</v>
      </c>
      <c r="CG107">
        <v>7.3999999999999996E-2</v>
      </c>
      <c r="CH107">
        <v>-0.01</v>
      </c>
      <c r="CI107">
        <v>-0.24199999999999999</v>
      </c>
      <c r="CJ107">
        <v>0.27200000000000002</v>
      </c>
      <c r="CK107">
        <v>800</v>
      </c>
      <c r="CL107">
        <v>23</v>
      </c>
      <c r="CM107">
        <v>0.06</v>
      </c>
      <c r="CN107">
        <v>0.09</v>
      </c>
      <c r="CO107">
        <v>-161.03973170731709</v>
      </c>
      <c r="CP107">
        <v>-18.043756097560959</v>
      </c>
      <c r="CQ107">
        <v>1.780039298338324</v>
      </c>
      <c r="CR107">
        <v>-1</v>
      </c>
      <c r="CS107">
        <v>8.6021404878048795</v>
      </c>
      <c r="CT107">
        <v>0.73141254355399843</v>
      </c>
      <c r="CU107">
        <v>7.4149884165204655E-2</v>
      </c>
      <c r="CV107">
        <v>-1</v>
      </c>
      <c r="CW107">
        <v>0</v>
      </c>
      <c r="CX107">
        <v>0</v>
      </c>
      <c r="CY107" t="s">
        <v>333</v>
      </c>
      <c r="CZ107">
        <v>2.36429</v>
      </c>
      <c r="DA107">
        <v>2.7137500000000001</v>
      </c>
      <c r="DB107">
        <v>0.125558</v>
      </c>
      <c r="DC107">
        <v>0.146426</v>
      </c>
      <c r="DD107">
        <v>0.104654</v>
      </c>
      <c r="DE107">
        <v>7.0873500000000006E-2</v>
      </c>
      <c r="DF107">
        <v>31932.400000000001</v>
      </c>
      <c r="DG107">
        <v>27518.1</v>
      </c>
      <c r="DH107">
        <v>31175.4</v>
      </c>
      <c r="DI107">
        <v>28091.7</v>
      </c>
      <c r="DJ107">
        <v>37900</v>
      </c>
      <c r="DK107">
        <v>37120.800000000003</v>
      </c>
      <c r="DL107">
        <v>44368.2</v>
      </c>
      <c r="DM107">
        <v>42584.4</v>
      </c>
      <c r="DN107">
        <v>1.4363999999999999</v>
      </c>
      <c r="DO107">
        <v>2.0468199999999999</v>
      </c>
      <c r="DP107">
        <v>0.17944399999999999</v>
      </c>
      <c r="DQ107">
        <v>0.14544699999999999</v>
      </c>
      <c r="DR107">
        <v>24.065100000000001</v>
      </c>
      <c r="DS107">
        <v>23.861499999999999</v>
      </c>
      <c r="DT107">
        <v>54.5</v>
      </c>
      <c r="DU107">
        <v>29</v>
      </c>
      <c r="DV107">
        <v>22.085599999999999</v>
      </c>
      <c r="DW107">
        <v>61.851199999999999</v>
      </c>
      <c r="DX107">
        <v>35.789299999999997</v>
      </c>
      <c r="DY107">
        <v>1</v>
      </c>
      <c r="DZ107">
        <v>-7.6128100000000004E-2</v>
      </c>
      <c r="EA107">
        <v>2.2825600000000001</v>
      </c>
      <c r="EB107">
        <v>20.169799999999999</v>
      </c>
      <c r="EC107">
        <v>5.2406499999999996</v>
      </c>
      <c r="ED107">
        <v>12.039899999999999</v>
      </c>
      <c r="EE107">
        <v>5.0171000000000001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1.86893</v>
      </c>
      <c r="EL107">
        <v>1.86463</v>
      </c>
      <c r="EM107">
        <v>1.8692</v>
      </c>
      <c r="EN107">
        <v>1.8672500000000001</v>
      </c>
      <c r="EO107">
        <v>1.8633999999999999</v>
      </c>
      <c r="EP107">
        <v>1.86449</v>
      </c>
      <c r="EQ107">
        <v>1.8702000000000001</v>
      </c>
      <c r="ER107">
        <v>1.8694900000000001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-0.127</v>
      </c>
      <c r="FG107">
        <v>0.27189999999999998</v>
      </c>
      <c r="FH107">
        <v>0.30965466913576151</v>
      </c>
      <c r="FI107">
        <v>-6.1462078757559423E-4</v>
      </c>
      <c r="FJ107">
        <v>-1.8861989874597051E-7</v>
      </c>
      <c r="FK107">
        <v>1.1980462299894961E-10</v>
      </c>
      <c r="FL107">
        <v>0.27184999999999349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25</v>
      </c>
      <c r="FU107">
        <v>25.2</v>
      </c>
      <c r="FV107">
        <v>1.78223</v>
      </c>
      <c r="FW107">
        <v>2.5939899999999998</v>
      </c>
      <c r="FX107">
        <v>1.5490699999999999</v>
      </c>
      <c r="FY107">
        <v>2.3290999999999999</v>
      </c>
      <c r="FZ107">
        <v>1.50146</v>
      </c>
      <c r="GA107">
        <v>2.3547400000000001</v>
      </c>
      <c r="GB107">
        <v>33.8735</v>
      </c>
      <c r="GC107">
        <v>23.982399999999998</v>
      </c>
      <c r="GD107">
        <v>19</v>
      </c>
      <c r="GE107">
        <v>267.005</v>
      </c>
      <c r="GF107">
        <v>594.005</v>
      </c>
      <c r="GG107">
        <v>21.722200000000001</v>
      </c>
      <c r="GH107">
        <v>26.3506</v>
      </c>
      <c r="GI107">
        <v>30.000800000000002</v>
      </c>
      <c r="GJ107">
        <v>26.529699999999998</v>
      </c>
      <c r="GK107">
        <v>26.526900000000001</v>
      </c>
      <c r="GL107">
        <v>35.620100000000001</v>
      </c>
      <c r="GM107">
        <v>47.2577</v>
      </c>
      <c r="GN107">
        <v>81.407300000000006</v>
      </c>
      <c r="GO107">
        <v>21.6998</v>
      </c>
      <c r="GP107">
        <v>800</v>
      </c>
      <c r="GQ107">
        <v>12.561400000000001</v>
      </c>
      <c r="GR107">
        <v>99.751499999999993</v>
      </c>
      <c r="GS107">
        <v>99.613100000000003</v>
      </c>
    </row>
    <row r="108" spans="1:201" x14ac:dyDescent="0.25">
      <c r="A108">
        <v>92</v>
      </c>
      <c r="B108">
        <v>1690304829.5</v>
      </c>
      <c r="C108">
        <v>1079.5</v>
      </c>
      <c r="D108" t="s">
        <v>515</v>
      </c>
      <c r="E108" t="s">
        <v>516</v>
      </c>
      <c r="F108" t="s">
        <v>330</v>
      </c>
      <c r="H108">
        <v>1690304829.5</v>
      </c>
      <c r="I108">
        <f t="shared" si="30"/>
        <v>8.1455914853740099E-4</v>
      </c>
      <c r="J108">
        <f t="shared" si="31"/>
        <v>0.81455914853740097</v>
      </c>
      <c r="K108">
        <f t="shared" si="32"/>
        <v>14.731527235478296</v>
      </c>
      <c r="L108">
        <f t="shared" si="33"/>
        <v>632.32600000000002</v>
      </c>
      <c r="M108">
        <f t="shared" si="34"/>
        <v>201.3017097001543</v>
      </c>
      <c r="N108">
        <f t="shared" si="35"/>
        <v>19.999537614487313</v>
      </c>
      <c r="O108">
        <f t="shared" si="36"/>
        <v>62.8222564053494</v>
      </c>
      <c r="P108">
        <f t="shared" si="37"/>
        <v>5.6662023718336882E-2</v>
      </c>
      <c r="Q108">
        <f t="shared" si="38"/>
        <v>2.1010494654758585</v>
      </c>
      <c r="R108">
        <f t="shared" si="39"/>
        <v>5.5826594326802925E-2</v>
      </c>
      <c r="S108">
        <f t="shared" si="40"/>
        <v>3.496565533162705E-2</v>
      </c>
      <c r="T108">
        <f t="shared" si="41"/>
        <v>276.11655344999997</v>
      </c>
      <c r="U108">
        <f t="shared" si="42"/>
        <v>26.73080548223259</v>
      </c>
      <c r="V108">
        <f t="shared" si="43"/>
        <v>26.73080548223259</v>
      </c>
      <c r="W108">
        <f t="shared" si="44"/>
        <v>3.5229605136308133</v>
      </c>
      <c r="X108">
        <f t="shared" si="45"/>
        <v>67.282076190034871</v>
      </c>
      <c r="Y108">
        <f t="shared" si="46"/>
        <v>2.1144686737913196</v>
      </c>
      <c r="Z108">
        <f t="shared" si="47"/>
        <v>3.1426923684981247</v>
      </c>
      <c r="AA108">
        <f t="shared" si="48"/>
        <v>1.4084918398394937</v>
      </c>
      <c r="AB108">
        <f t="shared" si="49"/>
        <v>-35.922058450499385</v>
      </c>
      <c r="AC108">
        <f t="shared" si="50"/>
        <v>-218.26401151868839</v>
      </c>
      <c r="AD108">
        <f t="shared" si="51"/>
        <v>-22.14425106690674</v>
      </c>
      <c r="AE108">
        <f t="shared" si="52"/>
        <v>-0.21376758609454782</v>
      </c>
      <c r="AF108">
        <v>12</v>
      </c>
      <c r="AG108">
        <v>4</v>
      </c>
      <c r="AH108">
        <f t="shared" si="53"/>
        <v>1</v>
      </c>
      <c r="AI108">
        <f t="shared" si="54"/>
        <v>0</v>
      </c>
      <c r="AJ108">
        <f t="shared" si="55"/>
        <v>52918.886942202822</v>
      </c>
      <c r="AK108">
        <f t="shared" si="56"/>
        <v>1800</v>
      </c>
      <c r="AL108">
        <f t="shared" si="57"/>
        <v>1499.1099659999998</v>
      </c>
      <c r="AM108">
        <f t="shared" si="58"/>
        <v>0.8328388699999999</v>
      </c>
      <c r="AN108">
        <f t="shared" si="59"/>
        <v>0.15339808524999998</v>
      </c>
      <c r="AO108">
        <v>33</v>
      </c>
      <c r="AP108">
        <v>0.5</v>
      </c>
      <c r="AQ108" t="s">
        <v>331</v>
      </c>
      <c r="AR108">
        <v>2</v>
      </c>
      <c r="AS108">
        <v>1690304829.5</v>
      </c>
      <c r="AT108">
        <v>632.32600000000002</v>
      </c>
      <c r="AU108">
        <v>800.005</v>
      </c>
      <c r="AV108">
        <v>21.282800000000002</v>
      </c>
      <c r="AW108">
        <v>12.5151</v>
      </c>
      <c r="AX108">
        <v>632.45000000000005</v>
      </c>
      <c r="AY108">
        <v>21.010999999999999</v>
      </c>
      <c r="AZ108">
        <v>300.06</v>
      </c>
      <c r="BA108">
        <v>99.251099999999994</v>
      </c>
      <c r="BB108">
        <v>9.9956900000000001E-2</v>
      </c>
      <c r="BC108">
        <v>24.803899999999999</v>
      </c>
      <c r="BD108">
        <v>26.954699999999999</v>
      </c>
      <c r="BE108">
        <v>26.2227</v>
      </c>
      <c r="BF108">
        <v>0</v>
      </c>
      <c r="BG108">
        <v>0</v>
      </c>
      <c r="BH108">
        <v>10010</v>
      </c>
      <c r="BI108">
        <v>1048.56</v>
      </c>
      <c r="BJ108">
        <v>1.68198</v>
      </c>
      <c r="BK108">
        <v>-167.679</v>
      </c>
      <c r="BL108">
        <v>646.07600000000002</v>
      </c>
      <c r="BM108">
        <v>810.14400000000001</v>
      </c>
      <c r="BN108">
        <v>8.7676999999999996</v>
      </c>
      <c r="BO108">
        <v>800.005</v>
      </c>
      <c r="BP108">
        <v>12.5151</v>
      </c>
      <c r="BQ108">
        <v>2.1123400000000001</v>
      </c>
      <c r="BR108">
        <v>1.24214</v>
      </c>
      <c r="BS108">
        <v>18.3126</v>
      </c>
      <c r="BT108">
        <v>10.116400000000001</v>
      </c>
      <c r="BU108">
        <v>1800</v>
      </c>
      <c r="BV108">
        <v>0.90997799999999995</v>
      </c>
      <c r="BW108">
        <v>3.4006099999999997E-2</v>
      </c>
      <c r="BX108">
        <v>2.2006499999999998E-2</v>
      </c>
      <c r="BY108">
        <v>3.4009900000000003E-2</v>
      </c>
      <c r="BZ108">
        <v>26</v>
      </c>
      <c r="CA108">
        <v>33528.199999999997</v>
      </c>
      <c r="CB108">
        <v>1690303320.5</v>
      </c>
      <c r="CC108" t="s">
        <v>332</v>
      </c>
      <c r="CD108">
        <v>1690303320.5</v>
      </c>
      <c r="CE108">
        <v>1690303310.0999999</v>
      </c>
      <c r="CF108">
        <v>8</v>
      </c>
      <c r="CG108">
        <v>7.3999999999999996E-2</v>
      </c>
      <c r="CH108">
        <v>-0.01</v>
      </c>
      <c r="CI108">
        <v>-0.24199999999999999</v>
      </c>
      <c r="CJ108">
        <v>0.27200000000000002</v>
      </c>
      <c r="CK108">
        <v>800</v>
      </c>
      <c r="CL108">
        <v>23</v>
      </c>
      <c r="CM108">
        <v>0.06</v>
      </c>
      <c r="CN108">
        <v>0.09</v>
      </c>
      <c r="CO108">
        <v>-164.46075609756099</v>
      </c>
      <c r="CP108">
        <v>-18.97076655052285</v>
      </c>
      <c r="CQ108">
        <v>1.871740454965779</v>
      </c>
      <c r="CR108">
        <v>-1</v>
      </c>
      <c r="CS108">
        <v>8.7023434146341465</v>
      </c>
      <c r="CT108">
        <v>0.39410696864112971</v>
      </c>
      <c r="CU108">
        <v>4.0462549297558402E-2</v>
      </c>
      <c r="CV108">
        <v>-1</v>
      </c>
      <c r="CW108">
        <v>0</v>
      </c>
      <c r="CX108">
        <v>0</v>
      </c>
      <c r="CY108" t="s">
        <v>333</v>
      </c>
      <c r="CZ108">
        <v>2.3640500000000002</v>
      </c>
      <c r="DA108">
        <v>2.7137600000000002</v>
      </c>
      <c r="DB108">
        <v>0.125134</v>
      </c>
      <c r="DC108">
        <v>0.14640800000000001</v>
      </c>
      <c r="DD108">
        <v>0.104411</v>
      </c>
      <c r="DE108">
        <v>7.0219000000000004E-2</v>
      </c>
      <c r="DF108">
        <v>31948.2</v>
      </c>
      <c r="DG108">
        <v>27518.799999999999</v>
      </c>
      <c r="DH108">
        <v>31175.7</v>
      </c>
      <c r="DI108">
        <v>28091.9</v>
      </c>
      <c r="DJ108">
        <v>37910.6</v>
      </c>
      <c r="DK108">
        <v>37147.199999999997</v>
      </c>
      <c r="DL108">
        <v>44368.5</v>
      </c>
      <c r="DM108">
        <v>42584.6</v>
      </c>
      <c r="DN108">
        <v>1.43658</v>
      </c>
      <c r="DO108">
        <v>2.0467300000000002</v>
      </c>
      <c r="DP108">
        <v>0.17613200000000001</v>
      </c>
      <c r="DQ108">
        <v>0.14379600000000001</v>
      </c>
      <c r="DR108">
        <v>24.0671</v>
      </c>
      <c r="DS108">
        <v>23.863499999999998</v>
      </c>
      <c r="DT108">
        <v>54.4</v>
      </c>
      <c r="DU108">
        <v>29</v>
      </c>
      <c r="DV108">
        <v>22.0444</v>
      </c>
      <c r="DW108">
        <v>61.841200000000001</v>
      </c>
      <c r="DX108">
        <v>36.638599999999997</v>
      </c>
      <c r="DY108">
        <v>1</v>
      </c>
      <c r="DZ108">
        <v>-7.9092999999999997E-2</v>
      </c>
      <c r="EA108">
        <v>1.4137999999999999</v>
      </c>
      <c r="EB108">
        <v>20.182099999999998</v>
      </c>
      <c r="EC108">
        <v>5.2406499999999996</v>
      </c>
      <c r="ED108">
        <v>12.039899999999999</v>
      </c>
      <c r="EE108">
        <v>5.0170500000000002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1.8689100000000001</v>
      </c>
      <c r="EL108">
        <v>1.86463</v>
      </c>
      <c r="EM108">
        <v>1.8692</v>
      </c>
      <c r="EN108">
        <v>1.86724</v>
      </c>
      <c r="EO108">
        <v>1.8633999999999999</v>
      </c>
      <c r="EP108">
        <v>1.8644700000000001</v>
      </c>
      <c r="EQ108">
        <v>1.87018</v>
      </c>
      <c r="ER108">
        <v>1.8694299999999999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-0.124</v>
      </c>
      <c r="FG108">
        <v>0.27179999999999999</v>
      </c>
      <c r="FH108">
        <v>0.30965466913576151</v>
      </c>
      <c r="FI108">
        <v>-6.1462078757559423E-4</v>
      </c>
      <c r="FJ108">
        <v>-1.8861989874597051E-7</v>
      </c>
      <c r="FK108">
        <v>1.1980462299894961E-10</v>
      </c>
      <c r="FL108">
        <v>0.27184999999999349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25.1</v>
      </c>
      <c r="FU108">
        <v>25.3</v>
      </c>
      <c r="FV108">
        <v>1.78101</v>
      </c>
      <c r="FW108">
        <v>2.5817899999999998</v>
      </c>
      <c r="FX108">
        <v>1.5490699999999999</v>
      </c>
      <c r="FY108">
        <v>2.3290999999999999</v>
      </c>
      <c r="FZ108">
        <v>1.50146</v>
      </c>
      <c r="GA108">
        <v>2.3742700000000001</v>
      </c>
      <c r="GB108">
        <v>33.896099999999997</v>
      </c>
      <c r="GC108">
        <v>23.991199999999999</v>
      </c>
      <c r="GD108">
        <v>19</v>
      </c>
      <c r="GE108">
        <v>267.05200000000002</v>
      </c>
      <c r="GF108">
        <v>593.86900000000003</v>
      </c>
      <c r="GG108">
        <v>21.611499999999999</v>
      </c>
      <c r="GH108">
        <v>26.3444</v>
      </c>
      <c r="GI108">
        <v>29.999099999999999</v>
      </c>
      <c r="GJ108">
        <v>26.523599999999998</v>
      </c>
      <c r="GK108">
        <v>26.522500000000001</v>
      </c>
      <c r="GL108">
        <v>35.618600000000001</v>
      </c>
      <c r="GM108">
        <v>47.2577</v>
      </c>
      <c r="GN108">
        <v>81.018699999999995</v>
      </c>
      <c r="GO108">
        <v>21.6721</v>
      </c>
      <c r="GP108">
        <v>800</v>
      </c>
      <c r="GQ108">
        <v>12.4832</v>
      </c>
      <c r="GR108">
        <v>99.752300000000005</v>
      </c>
      <c r="GS108">
        <v>99.613699999999994</v>
      </c>
    </row>
    <row r="109" spans="1:201" x14ac:dyDescent="0.25">
      <c r="A109">
        <v>93</v>
      </c>
      <c r="B109">
        <v>1690304839.5</v>
      </c>
      <c r="C109">
        <v>1089.5</v>
      </c>
      <c r="D109" t="s">
        <v>517</v>
      </c>
      <c r="E109" t="s">
        <v>518</v>
      </c>
      <c r="F109" t="s">
        <v>330</v>
      </c>
      <c r="H109">
        <v>1690304839.5</v>
      </c>
      <c r="I109">
        <f t="shared" si="30"/>
        <v>8.2415456013001747E-4</v>
      </c>
      <c r="J109">
        <f t="shared" si="31"/>
        <v>0.82415456013001742</v>
      </c>
      <c r="K109">
        <f t="shared" si="32"/>
        <v>15.033059932476521</v>
      </c>
      <c r="L109">
        <f t="shared" si="33"/>
        <v>629.11599999999999</v>
      </c>
      <c r="M109">
        <f t="shared" si="34"/>
        <v>196.4248193346734</v>
      </c>
      <c r="N109">
        <f t="shared" si="35"/>
        <v>19.515680873469936</v>
      </c>
      <c r="O109">
        <f t="shared" si="36"/>
        <v>62.505477311779998</v>
      </c>
      <c r="P109">
        <f t="shared" si="37"/>
        <v>5.7588948949042797E-2</v>
      </c>
      <c r="Q109">
        <f t="shared" si="38"/>
        <v>2.096765301374321</v>
      </c>
      <c r="R109">
        <f t="shared" si="39"/>
        <v>5.6724452770773794E-2</v>
      </c>
      <c r="S109">
        <f t="shared" si="40"/>
        <v>3.5529373453491601E-2</v>
      </c>
      <c r="T109">
        <f t="shared" si="41"/>
        <v>276.11482337823691</v>
      </c>
      <c r="U109">
        <f t="shared" si="42"/>
        <v>26.715994190747242</v>
      </c>
      <c r="V109">
        <f t="shared" si="43"/>
        <v>26.715994190747242</v>
      </c>
      <c r="W109">
        <f t="shared" si="44"/>
        <v>3.519890878469262</v>
      </c>
      <c r="X109">
        <f t="shared" si="45"/>
        <v>67.432951481732715</v>
      </c>
      <c r="Y109">
        <f t="shared" si="46"/>
        <v>2.1173129841685001</v>
      </c>
      <c r="Z109">
        <f t="shared" si="47"/>
        <v>3.1398788539488303</v>
      </c>
      <c r="AA109">
        <f t="shared" si="48"/>
        <v>1.4025778943007619</v>
      </c>
      <c r="AB109">
        <f t="shared" si="49"/>
        <v>-36.345216101733769</v>
      </c>
      <c r="AC109">
        <f t="shared" si="50"/>
        <v>-217.84029005611322</v>
      </c>
      <c r="AD109">
        <f t="shared" si="51"/>
        <v>-22.143105277081606</v>
      </c>
      <c r="AE109">
        <f t="shared" si="52"/>
        <v>-0.21378805669169765</v>
      </c>
      <c r="AF109">
        <v>11</v>
      </c>
      <c r="AG109">
        <v>4</v>
      </c>
      <c r="AH109">
        <f t="shared" si="53"/>
        <v>1</v>
      </c>
      <c r="AI109">
        <f t="shared" si="54"/>
        <v>0</v>
      </c>
      <c r="AJ109">
        <f t="shared" si="55"/>
        <v>52729.948501175772</v>
      </c>
      <c r="AK109">
        <f t="shared" si="56"/>
        <v>1799.99</v>
      </c>
      <c r="AL109">
        <f t="shared" si="57"/>
        <v>1499.1008024159401</v>
      </c>
      <c r="AM109">
        <f t="shared" si="58"/>
        <v>0.83283840600000003</v>
      </c>
      <c r="AN109">
        <f t="shared" si="59"/>
        <v>0.15339797630999999</v>
      </c>
      <c r="AO109">
        <v>33</v>
      </c>
      <c r="AP109">
        <v>0.5</v>
      </c>
      <c r="AQ109" t="s">
        <v>331</v>
      </c>
      <c r="AR109">
        <v>2</v>
      </c>
      <c r="AS109">
        <v>1690304839.5</v>
      </c>
      <c r="AT109">
        <v>629.11599999999999</v>
      </c>
      <c r="AU109">
        <v>800.048</v>
      </c>
      <c r="AV109">
        <v>21.310700000000001</v>
      </c>
      <c r="AW109">
        <v>12.4452</v>
      </c>
      <c r="AX109">
        <v>629.23800000000006</v>
      </c>
      <c r="AY109">
        <v>21.038799999999998</v>
      </c>
      <c r="AZ109">
        <v>300.23700000000002</v>
      </c>
      <c r="BA109">
        <v>99.254400000000004</v>
      </c>
      <c r="BB109">
        <v>0.10005500000000001</v>
      </c>
      <c r="BC109">
        <v>24.788900000000002</v>
      </c>
      <c r="BD109">
        <v>26.925999999999998</v>
      </c>
      <c r="BE109">
        <v>26.213200000000001</v>
      </c>
      <c r="BF109">
        <v>0</v>
      </c>
      <c r="BG109">
        <v>0</v>
      </c>
      <c r="BH109">
        <v>9971.8799999999992</v>
      </c>
      <c r="BI109">
        <v>1048.6199999999999</v>
      </c>
      <c r="BJ109">
        <v>1.68198</v>
      </c>
      <c r="BK109">
        <v>-170.93199999999999</v>
      </c>
      <c r="BL109">
        <v>642.81500000000005</v>
      </c>
      <c r="BM109">
        <v>810.13</v>
      </c>
      <c r="BN109">
        <v>8.8654600000000006</v>
      </c>
      <c r="BO109">
        <v>800.048</v>
      </c>
      <c r="BP109">
        <v>12.4452</v>
      </c>
      <c r="BQ109">
        <v>2.1151800000000001</v>
      </c>
      <c r="BR109">
        <v>1.2352399999999999</v>
      </c>
      <c r="BS109">
        <v>18.334</v>
      </c>
      <c r="BT109">
        <v>10.033200000000001</v>
      </c>
      <c r="BU109">
        <v>1799.99</v>
      </c>
      <c r="BV109">
        <v>0.90997799999999995</v>
      </c>
      <c r="BW109">
        <v>3.4005899999999999E-2</v>
      </c>
      <c r="BX109">
        <v>2.2006299999999999E-2</v>
      </c>
      <c r="BY109">
        <v>3.4009699999999997E-2</v>
      </c>
      <c r="BZ109">
        <v>26</v>
      </c>
      <c r="CA109">
        <v>33528.1</v>
      </c>
      <c r="CB109">
        <v>1690303320.5</v>
      </c>
      <c r="CC109" t="s">
        <v>332</v>
      </c>
      <c r="CD109">
        <v>1690303320.5</v>
      </c>
      <c r="CE109">
        <v>1690303310.0999999</v>
      </c>
      <c r="CF109">
        <v>8</v>
      </c>
      <c r="CG109">
        <v>7.3999999999999996E-2</v>
      </c>
      <c r="CH109">
        <v>-0.01</v>
      </c>
      <c r="CI109">
        <v>-0.24199999999999999</v>
      </c>
      <c r="CJ109">
        <v>0.27200000000000002</v>
      </c>
      <c r="CK109">
        <v>800</v>
      </c>
      <c r="CL109">
        <v>23</v>
      </c>
      <c r="CM109">
        <v>0.06</v>
      </c>
      <c r="CN109">
        <v>0.09</v>
      </c>
      <c r="CO109">
        <v>-167.58590243902441</v>
      </c>
      <c r="CP109">
        <v>-18.261219512195041</v>
      </c>
      <c r="CQ109">
        <v>1.801027359996916</v>
      </c>
      <c r="CR109">
        <v>-1</v>
      </c>
      <c r="CS109">
        <v>8.768419268292682</v>
      </c>
      <c r="CT109">
        <v>0.44411310104526419</v>
      </c>
      <c r="CU109">
        <v>4.5178240628580051E-2</v>
      </c>
      <c r="CV109">
        <v>-1</v>
      </c>
      <c r="CW109">
        <v>0</v>
      </c>
      <c r="CX109">
        <v>0</v>
      </c>
      <c r="CY109" t="s">
        <v>333</v>
      </c>
      <c r="CZ109">
        <v>2.3646400000000001</v>
      </c>
      <c r="DA109">
        <v>2.7138200000000001</v>
      </c>
      <c r="DB109">
        <v>0.124696</v>
      </c>
      <c r="DC109">
        <v>0.14641799999999999</v>
      </c>
      <c r="DD109">
        <v>0.104514</v>
      </c>
      <c r="DE109">
        <v>6.9928199999999996E-2</v>
      </c>
      <c r="DF109">
        <v>31964.5</v>
      </c>
      <c r="DG109">
        <v>27519.200000000001</v>
      </c>
      <c r="DH109">
        <v>31176</v>
      </c>
      <c r="DI109">
        <v>28092.6</v>
      </c>
      <c r="DJ109">
        <v>37906.699999999997</v>
      </c>
      <c r="DK109">
        <v>37159.699999999997</v>
      </c>
      <c r="DL109">
        <v>44369.2</v>
      </c>
      <c r="DM109">
        <v>42585.599999999999</v>
      </c>
      <c r="DN109">
        <v>1.4377800000000001</v>
      </c>
      <c r="DO109">
        <v>2.0465499999999999</v>
      </c>
      <c r="DP109">
        <v>0.17438100000000001</v>
      </c>
      <c r="DQ109">
        <v>0.14333799999999999</v>
      </c>
      <c r="DR109">
        <v>24.0671</v>
      </c>
      <c r="DS109">
        <v>23.861499999999999</v>
      </c>
      <c r="DT109">
        <v>54.2</v>
      </c>
      <c r="DU109">
        <v>29</v>
      </c>
      <c r="DV109">
        <v>21.965199999999999</v>
      </c>
      <c r="DW109">
        <v>61.891199999999998</v>
      </c>
      <c r="DX109">
        <v>35.733199999999997</v>
      </c>
      <c r="DY109">
        <v>1</v>
      </c>
      <c r="DZ109">
        <v>-8.0307400000000001E-2</v>
      </c>
      <c r="EA109">
        <v>0.97345000000000004</v>
      </c>
      <c r="EB109">
        <v>20.186299999999999</v>
      </c>
      <c r="EC109">
        <v>5.2404999999999999</v>
      </c>
      <c r="ED109">
        <v>12.039899999999999</v>
      </c>
      <c r="EE109">
        <v>5.0170500000000002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</v>
      </c>
      <c r="EL109">
        <v>1.8646199999999999</v>
      </c>
      <c r="EM109">
        <v>1.8692</v>
      </c>
      <c r="EN109">
        <v>1.8672200000000001</v>
      </c>
      <c r="EO109">
        <v>1.8633999999999999</v>
      </c>
      <c r="EP109">
        <v>1.8644700000000001</v>
      </c>
      <c r="EQ109">
        <v>1.87018</v>
      </c>
      <c r="ER109">
        <v>1.86941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-0.122</v>
      </c>
      <c r="FG109">
        <v>0.27189999999999998</v>
      </c>
      <c r="FH109">
        <v>0.30965466913576151</v>
      </c>
      <c r="FI109">
        <v>-6.1462078757559423E-4</v>
      </c>
      <c r="FJ109">
        <v>-1.8861989874597051E-7</v>
      </c>
      <c r="FK109">
        <v>1.1980462299894961E-10</v>
      </c>
      <c r="FL109">
        <v>0.27184999999999349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25.3</v>
      </c>
      <c r="FU109">
        <v>25.5</v>
      </c>
      <c r="FV109">
        <v>1.78101</v>
      </c>
      <c r="FW109">
        <v>2.5854499999999998</v>
      </c>
      <c r="FX109">
        <v>1.5490699999999999</v>
      </c>
      <c r="FY109">
        <v>2.3290999999999999</v>
      </c>
      <c r="FZ109">
        <v>1.50146</v>
      </c>
      <c r="GA109">
        <v>2.32666</v>
      </c>
      <c r="GB109">
        <v>33.896099999999997</v>
      </c>
      <c r="GC109">
        <v>23.982399999999998</v>
      </c>
      <c r="GD109">
        <v>19</v>
      </c>
      <c r="GE109">
        <v>267.52499999999998</v>
      </c>
      <c r="GF109">
        <v>593.673</v>
      </c>
      <c r="GG109">
        <v>21.687799999999999</v>
      </c>
      <c r="GH109">
        <v>26.337900000000001</v>
      </c>
      <c r="GI109">
        <v>29.999600000000001</v>
      </c>
      <c r="GJ109">
        <v>26.519100000000002</v>
      </c>
      <c r="GK109">
        <v>26.5181</v>
      </c>
      <c r="GL109">
        <v>35.617699999999999</v>
      </c>
      <c r="GM109">
        <v>47.2577</v>
      </c>
      <c r="GN109">
        <v>80.626400000000004</v>
      </c>
      <c r="GO109">
        <v>21.7395</v>
      </c>
      <c r="GP109">
        <v>800</v>
      </c>
      <c r="GQ109">
        <v>12.3371</v>
      </c>
      <c r="GR109">
        <v>99.753600000000006</v>
      </c>
      <c r="GS109">
        <v>99.616</v>
      </c>
    </row>
    <row r="110" spans="1:201" x14ac:dyDescent="0.25">
      <c r="A110">
        <v>94</v>
      </c>
      <c r="B110">
        <v>1690304849.5</v>
      </c>
      <c r="C110">
        <v>1099.5</v>
      </c>
      <c r="D110" t="s">
        <v>519</v>
      </c>
      <c r="E110" t="s">
        <v>520</v>
      </c>
      <c r="F110" t="s">
        <v>330</v>
      </c>
      <c r="H110">
        <v>1690304849.5</v>
      </c>
      <c r="I110">
        <f t="shared" si="30"/>
        <v>8.4553242298883598E-4</v>
      </c>
      <c r="J110">
        <f t="shared" si="31"/>
        <v>0.84553242298883602</v>
      </c>
      <c r="K110">
        <f t="shared" si="32"/>
        <v>15.299889571696959</v>
      </c>
      <c r="L110">
        <f t="shared" si="33"/>
        <v>626.07000000000005</v>
      </c>
      <c r="M110">
        <f t="shared" si="34"/>
        <v>199.08862098198796</v>
      </c>
      <c r="N110">
        <f t="shared" si="35"/>
        <v>19.779731227743671</v>
      </c>
      <c r="O110">
        <f t="shared" si="36"/>
        <v>62.200924737300014</v>
      </c>
      <c r="P110">
        <f t="shared" si="37"/>
        <v>5.9429824577788649E-2</v>
      </c>
      <c r="Q110">
        <f t="shared" si="38"/>
        <v>2.0953809923749027</v>
      </c>
      <c r="R110">
        <f t="shared" si="39"/>
        <v>5.8509054802026159E-2</v>
      </c>
      <c r="S110">
        <f t="shared" si="40"/>
        <v>3.6649698382072382E-2</v>
      </c>
      <c r="T110">
        <f t="shared" si="41"/>
        <v>276.116337504</v>
      </c>
      <c r="U110">
        <f t="shared" si="42"/>
        <v>26.711677470199916</v>
      </c>
      <c r="V110">
        <f t="shared" si="43"/>
        <v>26.711677470199916</v>
      </c>
      <c r="W110">
        <f t="shared" si="44"/>
        <v>3.5189966791654395</v>
      </c>
      <c r="X110">
        <f t="shared" si="45"/>
        <v>67.637869637769342</v>
      </c>
      <c r="Y110">
        <f t="shared" si="46"/>
        <v>2.1240134965319997</v>
      </c>
      <c r="Z110">
        <f t="shared" si="47"/>
        <v>3.1402726134146888</v>
      </c>
      <c r="AA110">
        <f t="shared" si="48"/>
        <v>1.3949831826334398</v>
      </c>
      <c r="AB110">
        <f t="shared" si="49"/>
        <v>-37.28797985380767</v>
      </c>
      <c r="AC110">
        <f t="shared" si="50"/>
        <v>-216.97159693754787</v>
      </c>
      <c r="AD110">
        <f t="shared" si="51"/>
        <v>-22.069127364164927</v>
      </c>
      <c r="AE110">
        <f t="shared" si="52"/>
        <v>-0.21236665152048317</v>
      </c>
      <c r="AF110">
        <v>11</v>
      </c>
      <c r="AG110">
        <v>4</v>
      </c>
      <c r="AH110">
        <f t="shared" si="53"/>
        <v>1</v>
      </c>
      <c r="AI110">
        <f t="shared" si="54"/>
        <v>0</v>
      </c>
      <c r="AJ110">
        <f t="shared" si="55"/>
        <v>52667.679852644214</v>
      </c>
      <c r="AK110">
        <f t="shared" si="56"/>
        <v>1800</v>
      </c>
      <c r="AL110">
        <f t="shared" si="57"/>
        <v>1499.1097013999999</v>
      </c>
      <c r="AM110">
        <f t="shared" si="58"/>
        <v>0.83283872299999995</v>
      </c>
      <c r="AN110">
        <f t="shared" si="59"/>
        <v>0.15339796527999999</v>
      </c>
      <c r="AO110">
        <v>33</v>
      </c>
      <c r="AP110">
        <v>0.5</v>
      </c>
      <c r="AQ110" t="s">
        <v>331</v>
      </c>
      <c r="AR110">
        <v>2</v>
      </c>
      <c r="AS110">
        <v>1690304849.5</v>
      </c>
      <c r="AT110">
        <v>626.07000000000005</v>
      </c>
      <c r="AU110">
        <v>800.09199999999998</v>
      </c>
      <c r="AV110">
        <v>21.378799999999998</v>
      </c>
      <c r="AW110">
        <v>12.282</v>
      </c>
      <c r="AX110">
        <v>626.18899999999996</v>
      </c>
      <c r="AY110">
        <v>21.1069</v>
      </c>
      <c r="AZ110">
        <v>300.17200000000003</v>
      </c>
      <c r="BA110">
        <v>99.251400000000004</v>
      </c>
      <c r="BB110">
        <v>9.9989999999999996E-2</v>
      </c>
      <c r="BC110">
        <v>24.791</v>
      </c>
      <c r="BD110">
        <v>26.8719</v>
      </c>
      <c r="BE110">
        <v>26.1936</v>
      </c>
      <c r="BF110">
        <v>0</v>
      </c>
      <c r="BG110">
        <v>0</v>
      </c>
      <c r="BH110">
        <v>9960</v>
      </c>
      <c r="BI110">
        <v>1048.53</v>
      </c>
      <c r="BJ110">
        <v>1.68198</v>
      </c>
      <c r="BK110">
        <v>-174.023</v>
      </c>
      <c r="BL110">
        <v>639.74699999999996</v>
      </c>
      <c r="BM110">
        <v>810.04100000000005</v>
      </c>
      <c r="BN110">
        <v>9.0967500000000001</v>
      </c>
      <c r="BO110">
        <v>800.09199999999998</v>
      </c>
      <c r="BP110">
        <v>12.282</v>
      </c>
      <c r="BQ110">
        <v>2.1218699999999999</v>
      </c>
      <c r="BR110">
        <v>1.2190099999999999</v>
      </c>
      <c r="BS110">
        <v>18.3843</v>
      </c>
      <c r="BT110">
        <v>9.8357299999999999</v>
      </c>
      <c r="BU110">
        <v>1800</v>
      </c>
      <c r="BV110">
        <v>0.90998000000000001</v>
      </c>
      <c r="BW110">
        <v>3.4005199999999999E-2</v>
      </c>
      <c r="BX110">
        <v>2.2005899999999998E-2</v>
      </c>
      <c r="BY110">
        <v>3.4008999999999998E-2</v>
      </c>
      <c r="BZ110">
        <v>26</v>
      </c>
      <c r="CA110">
        <v>33528.199999999997</v>
      </c>
      <c r="CB110">
        <v>1690303320.5</v>
      </c>
      <c r="CC110" t="s">
        <v>332</v>
      </c>
      <c r="CD110">
        <v>1690303320.5</v>
      </c>
      <c r="CE110">
        <v>1690303310.0999999</v>
      </c>
      <c r="CF110">
        <v>8</v>
      </c>
      <c r="CG110">
        <v>7.3999999999999996E-2</v>
      </c>
      <c r="CH110">
        <v>-0.01</v>
      </c>
      <c r="CI110">
        <v>-0.24199999999999999</v>
      </c>
      <c r="CJ110">
        <v>0.27200000000000002</v>
      </c>
      <c r="CK110">
        <v>800</v>
      </c>
      <c r="CL110">
        <v>23</v>
      </c>
      <c r="CM110">
        <v>0.06</v>
      </c>
      <c r="CN110">
        <v>0.09</v>
      </c>
      <c r="CO110">
        <v>-170.42770731707321</v>
      </c>
      <c r="CP110">
        <v>-19.40594425087092</v>
      </c>
      <c r="CQ110">
        <v>1.9142989705067111</v>
      </c>
      <c r="CR110">
        <v>-1</v>
      </c>
      <c r="CS110">
        <v>8.862488780487805</v>
      </c>
      <c r="CT110">
        <v>0.82778738675958685</v>
      </c>
      <c r="CU110">
        <v>8.4495082414134351E-2</v>
      </c>
      <c r="CV110">
        <v>-1</v>
      </c>
      <c r="CW110">
        <v>0</v>
      </c>
      <c r="CX110">
        <v>0</v>
      </c>
      <c r="CY110" t="s">
        <v>333</v>
      </c>
      <c r="CZ110">
        <v>2.3644400000000001</v>
      </c>
      <c r="DA110">
        <v>2.7137500000000001</v>
      </c>
      <c r="DB110">
        <v>0.12427299999999999</v>
      </c>
      <c r="DC110">
        <v>0.14641799999999999</v>
      </c>
      <c r="DD110">
        <v>0.104752</v>
      </c>
      <c r="DE110">
        <v>6.9237800000000002E-2</v>
      </c>
      <c r="DF110">
        <v>31980</v>
      </c>
      <c r="DG110">
        <v>27519.599999999999</v>
      </c>
      <c r="DH110">
        <v>31176</v>
      </c>
      <c r="DI110">
        <v>28092.9</v>
      </c>
      <c r="DJ110">
        <v>37896.300000000003</v>
      </c>
      <c r="DK110">
        <v>37187.800000000003</v>
      </c>
      <c r="DL110">
        <v>44369</v>
      </c>
      <c r="DM110">
        <v>42586.1</v>
      </c>
      <c r="DN110">
        <v>1.4380999999999999</v>
      </c>
      <c r="DO110">
        <v>2.0465</v>
      </c>
      <c r="DP110">
        <v>0.17119200000000001</v>
      </c>
      <c r="DQ110">
        <v>0.14229900000000001</v>
      </c>
      <c r="DR110">
        <v>24.065100000000001</v>
      </c>
      <c r="DS110">
        <v>23.858899999999998</v>
      </c>
      <c r="DT110">
        <v>54.1</v>
      </c>
      <c r="DU110">
        <v>29.1</v>
      </c>
      <c r="DV110">
        <v>22.048400000000001</v>
      </c>
      <c r="DW110">
        <v>62.001199999999997</v>
      </c>
      <c r="DX110">
        <v>36.354199999999999</v>
      </c>
      <c r="DY110">
        <v>1</v>
      </c>
      <c r="DZ110">
        <v>-8.1061999999999995E-2</v>
      </c>
      <c r="EA110">
        <v>0.75408200000000003</v>
      </c>
      <c r="EB110">
        <v>20.1877</v>
      </c>
      <c r="EC110">
        <v>5.24125</v>
      </c>
      <c r="ED110">
        <v>12.039899999999999</v>
      </c>
      <c r="EE110">
        <v>5.0170500000000002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</v>
      </c>
      <c r="EL110">
        <v>1.8646199999999999</v>
      </c>
      <c r="EM110">
        <v>1.8692</v>
      </c>
      <c r="EN110">
        <v>1.86724</v>
      </c>
      <c r="EO110">
        <v>1.8633999999999999</v>
      </c>
      <c r="EP110">
        <v>1.8644700000000001</v>
      </c>
      <c r="EQ110">
        <v>1.8702000000000001</v>
      </c>
      <c r="ER110">
        <v>1.8694299999999999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-0.11899999999999999</v>
      </c>
      <c r="FG110">
        <v>0.27189999999999998</v>
      </c>
      <c r="FH110">
        <v>0.30965466913576151</v>
      </c>
      <c r="FI110">
        <v>-6.1462078757559423E-4</v>
      </c>
      <c r="FJ110">
        <v>-1.8861989874597051E-7</v>
      </c>
      <c r="FK110">
        <v>1.1980462299894961E-10</v>
      </c>
      <c r="FL110">
        <v>0.27184999999999349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25.5</v>
      </c>
      <c r="FU110">
        <v>25.7</v>
      </c>
      <c r="FV110">
        <v>1.78101</v>
      </c>
      <c r="FW110">
        <v>2.5939899999999998</v>
      </c>
      <c r="FX110">
        <v>1.5490699999999999</v>
      </c>
      <c r="FY110">
        <v>2.3278799999999999</v>
      </c>
      <c r="FZ110">
        <v>1.50146</v>
      </c>
      <c r="GA110">
        <v>2.36328</v>
      </c>
      <c r="GB110">
        <v>33.896099999999997</v>
      </c>
      <c r="GC110">
        <v>23.982399999999998</v>
      </c>
      <c r="GD110">
        <v>19</v>
      </c>
      <c r="GE110">
        <v>267.64</v>
      </c>
      <c r="GF110">
        <v>593.58000000000004</v>
      </c>
      <c r="GG110">
        <v>21.823899999999998</v>
      </c>
      <c r="GH110">
        <v>26.3323</v>
      </c>
      <c r="GI110">
        <v>29.999600000000001</v>
      </c>
      <c r="GJ110">
        <v>26.514700000000001</v>
      </c>
      <c r="GK110">
        <v>26.5137</v>
      </c>
      <c r="GL110">
        <v>35.6098</v>
      </c>
      <c r="GM110">
        <v>47.8461</v>
      </c>
      <c r="GN110">
        <v>79.871499999999997</v>
      </c>
      <c r="GO110">
        <v>21.863800000000001</v>
      </c>
      <c r="GP110">
        <v>800</v>
      </c>
      <c r="GQ110">
        <v>12.1614</v>
      </c>
      <c r="GR110">
        <v>99.753299999999996</v>
      </c>
      <c r="GS110">
        <v>99.617199999999997</v>
      </c>
    </row>
    <row r="111" spans="1:201" x14ac:dyDescent="0.25">
      <c r="A111">
        <v>95</v>
      </c>
      <c r="B111">
        <v>1690304859.5</v>
      </c>
      <c r="C111">
        <v>1109.5</v>
      </c>
      <c r="D111" t="s">
        <v>521</v>
      </c>
      <c r="E111" t="s">
        <v>522</v>
      </c>
      <c r="F111" t="s">
        <v>330</v>
      </c>
      <c r="H111">
        <v>1690304859.5</v>
      </c>
      <c r="I111">
        <f t="shared" si="30"/>
        <v>8.6771365037201047E-4</v>
      </c>
      <c r="J111">
        <f t="shared" si="31"/>
        <v>0.86771365037201043</v>
      </c>
      <c r="K111">
        <f t="shared" si="32"/>
        <v>15.554943835433477</v>
      </c>
      <c r="L111">
        <f t="shared" si="33"/>
        <v>622.99400000000003</v>
      </c>
      <c r="M111">
        <f t="shared" si="34"/>
        <v>201.30445506017787</v>
      </c>
      <c r="N111">
        <f t="shared" si="35"/>
        <v>20.000174649449097</v>
      </c>
      <c r="O111">
        <f t="shared" si="36"/>
        <v>61.896239712300996</v>
      </c>
      <c r="P111">
        <f t="shared" si="37"/>
        <v>6.1213813897119586E-2</v>
      </c>
      <c r="Q111">
        <f t="shared" si="38"/>
        <v>2.0972444222819839</v>
      </c>
      <c r="R111">
        <f t="shared" si="39"/>
        <v>6.0238276548648155E-2</v>
      </c>
      <c r="S111">
        <f t="shared" si="40"/>
        <v>3.7735275956207175E-2</v>
      </c>
      <c r="T111">
        <f t="shared" si="41"/>
        <v>276.11613180000001</v>
      </c>
      <c r="U111">
        <f t="shared" si="42"/>
        <v>26.719434684176584</v>
      </c>
      <c r="V111">
        <f t="shared" si="43"/>
        <v>26.719434684176584</v>
      </c>
      <c r="W111">
        <f t="shared" si="44"/>
        <v>3.5206037112818458</v>
      </c>
      <c r="X111">
        <f t="shared" si="45"/>
        <v>67.763821454327328</v>
      </c>
      <c r="Y111">
        <f t="shared" si="46"/>
        <v>2.1301552636199501</v>
      </c>
      <c r="Z111">
        <f t="shared" si="47"/>
        <v>3.143499315568663</v>
      </c>
      <c r="AA111">
        <f t="shared" si="48"/>
        <v>1.3904484476618957</v>
      </c>
      <c r="AB111">
        <f t="shared" si="49"/>
        <v>-38.266171981405662</v>
      </c>
      <c r="AC111">
        <f t="shared" si="50"/>
        <v>-216.09688646457195</v>
      </c>
      <c r="AD111">
        <f t="shared" si="51"/>
        <v>-21.963376786207256</v>
      </c>
      <c r="AE111">
        <f t="shared" si="52"/>
        <v>-0.21030343218487246</v>
      </c>
      <c r="AF111">
        <v>11</v>
      </c>
      <c r="AG111">
        <v>4</v>
      </c>
      <c r="AH111">
        <f t="shared" si="53"/>
        <v>1</v>
      </c>
      <c r="AI111">
        <f t="shared" si="54"/>
        <v>0</v>
      </c>
      <c r="AJ111">
        <f t="shared" si="55"/>
        <v>52747.910368790624</v>
      </c>
      <c r="AK111">
        <f t="shared" si="56"/>
        <v>1800</v>
      </c>
      <c r="AL111">
        <f t="shared" si="57"/>
        <v>1499.1091470000001</v>
      </c>
      <c r="AM111">
        <f t="shared" si="58"/>
        <v>0.83283841500000011</v>
      </c>
      <c r="AN111">
        <f t="shared" si="59"/>
        <v>0.153397851</v>
      </c>
      <c r="AO111">
        <v>33</v>
      </c>
      <c r="AP111">
        <v>0.5</v>
      </c>
      <c r="AQ111" t="s">
        <v>331</v>
      </c>
      <c r="AR111">
        <v>2</v>
      </c>
      <c r="AS111">
        <v>1690304859.5</v>
      </c>
      <c r="AT111">
        <v>622.99400000000003</v>
      </c>
      <c r="AU111">
        <v>799.98400000000004</v>
      </c>
      <c r="AV111">
        <v>21.440300000000001</v>
      </c>
      <c r="AW111">
        <v>12.103300000000001</v>
      </c>
      <c r="AX111">
        <v>623.11099999999999</v>
      </c>
      <c r="AY111">
        <v>21.168399999999998</v>
      </c>
      <c r="AZ111">
        <v>300.10300000000001</v>
      </c>
      <c r="BA111">
        <v>99.252899999999997</v>
      </c>
      <c r="BB111">
        <v>9.99665E-2</v>
      </c>
      <c r="BC111">
        <v>24.808199999999999</v>
      </c>
      <c r="BD111">
        <v>26.904499999999999</v>
      </c>
      <c r="BE111">
        <v>26.174900000000001</v>
      </c>
      <c r="BF111">
        <v>0</v>
      </c>
      <c r="BG111">
        <v>0</v>
      </c>
      <c r="BH111">
        <v>9976.25</v>
      </c>
      <c r="BI111">
        <v>1048.58</v>
      </c>
      <c r="BJ111">
        <v>1.68058</v>
      </c>
      <c r="BK111">
        <v>-176.99</v>
      </c>
      <c r="BL111">
        <v>636.64400000000001</v>
      </c>
      <c r="BM111">
        <v>809.78499999999997</v>
      </c>
      <c r="BN111">
        <v>9.3369800000000005</v>
      </c>
      <c r="BO111">
        <v>799.98400000000004</v>
      </c>
      <c r="BP111">
        <v>12.103300000000001</v>
      </c>
      <c r="BQ111">
        <v>2.1280100000000002</v>
      </c>
      <c r="BR111">
        <v>1.20129</v>
      </c>
      <c r="BS111">
        <v>18.430399999999999</v>
      </c>
      <c r="BT111">
        <v>9.6174900000000001</v>
      </c>
      <c r="BU111">
        <v>1800</v>
      </c>
      <c r="BV111">
        <v>0.90998100000000004</v>
      </c>
      <c r="BW111">
        <v>3.4004699999999999E-2</v>
      </c>
      <c r="BX111">
        <v>2.2005500000000001E-2</v>
      </c>
      <c r="BY111">
        <v>3.4008400000000001E-2</v>
      </c>
      <c r="BZ111">
        <v>26</v>
      </c>
      <c r="CA111">
        <v>33528.300000000003</v>
      </c>
      <c r="CB111">
        <v>1690303320.5</v>
      </c>
      <c r="CC111" t="s">
        <v>332</v>
      </c>
      <c r="CD111">
        <v>1690303320.5</v>
      </c>
      <c r="CE111">
        <v>1690303310.0999999</v>
      </c>
      <c r="CF111">
        <v>8</v>
      </c>
      <c r="CG111">
        <v>7.3999999999999996E-2</v>
      </c>
      <c r="CH111">
        <v>-0.01</v>
      </c>
      <c r="CI111">
        <v>-0.24199999999999999</v>
      </c>
      <c r="CJ111">
        <v>0.27200000000000002</v>
      </c>
      <c r="CK111">
        <v>800</v>
      </c>
      <c r="CL111">
        <v>23</v>
      </c>
      <c r="CM111">
        <v>0.06</v>
      </c>
      <c r="CN111">
        <v>0.09</v>
      </c>
      <c r="CO111">
        <v>-173.79657499999999</v>
      </c>
      <c r="CP111">
        <v>-18.116904315196781</v>
      </c>
      <c r="CQ111">
        <v>1.7443981754103619</v>
      </c>
      <c r="CR111">
        <v>-1</v>
      </c>
      <c r="CS111">
        <v>9.0736719999999984</v>
      </c>
      <c r="CT111">
        <v>1.483644202626649</v>
      </c>
      <c r="CU111">
        <v>0.14335500200899859</v>
      </c>
      <c r="CV111">
        <v>-1</v>
      </c>
      <c r="CW111">
        <v>0</v>
      </c>
      <c r="CX111">
        <v>0</v>
      </c>
      <c r="CY111" t="s">
        <v>333</v>
      </c>
      <c r="CZ111">
        <v>2.36422</v>
      </c>
      <c r="DA111">
        <v>2.71374</v>
      </c>
      <c r="DB111">
        <v>0.123849</v>
      </c>
      <c r="DC111">
        <v>0.14640500000000001</v>
      </c>
      <c r="DD111">
        <v>0.104972</v>
      </c>
      <c r="DE111">
        <v>6.8481399999999998E-2</v>
      </c>
      <c r="DF111">
        <v>31996</v>
      </c>
      <c r="DG111">
        <v>27520.3</v>
      </c>
      <c r="DH111">
        <v>31176.5</v>
      </c>
      <c r="DI111">
        <v>28093.200000000001</v>
      </c>
      <c r="DJ111">
        <v>37887.800000000003</v>
      </c>
      <c r="DK111">
        <v>37218.5</v>
      </c>
      <c r="DL111">
        <v>44370</v>
      </c>
      <c r="DM111">
        <v>42586.5</v>
      </c>
      <c r="DN111">
        <v>1.4378</v>
      </c>
      <c r="DO111">
        <v>2.0459999999999998</v>
      </c>
      <c r="DP111">
        <v>0.17328199999999999</v>
      </c>
      <c r="DQ111">
        <v>0.14134099999999999</v>
      </c>
      <c r="DR111">
        <v>24.063500000000001</v>
      </c>
      <c r="DS111">
        <v>23.855899999999998</v>
      </c>
      <c r="DT111">
        <v>53.9</v>
      </c>
      <c r="DU111">
        <v>29</v>
      </c>
      <c r="DV111">
        <v>21.837</v>
      </c>
      <c r="DW111">
        <v>61.751199999999997</v>
      </c>
      <c r="DX111">
        <v>36.4343</v>
      </c>
      <c r="DY111">
        <v>1</v>
      </c>
      <c r="DZ111">
        <v>-8.1773399999999996E-2</v>
      </c>
      <c r="EA111">
        <v>0.56640000000000001</v>
      </c>
      <c r="EB111">
        <v>20.188800000000001</v>
      </c>
      <c r="EC111">
        <v>5.2411000000000003</v>
      </c>
      <c r="ED111">
        <v>12.039899999999999</v>
      </c>
      <c r="EE111">
        <v>5.0171999999999999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1.8646199999999999</v>
      </c>
      <c r="EM111">
        <v>1.8692</v>
      </c>
      <c r="EN111">
        <v>1.86724</v>
      </c>
      <c r="EO111">
        <v>1.8633999999999999</v>
      </c>
      <c r="EP111">
        <v>1.8644700000000001</v>
      </c>
      <c r="EQ111">
        <v>1.87015</v>
      </c>
      <c r="ER111">
        <v>1.8694200000000001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-0.11700000000000001</v>
      </c>
      <c r="FG111">
        <v>0.27189999999999998</v>
      </c>
      <c r="FH111">
        <v>0.30965466913576151</v>
      </c>
      <c r="FI111">
        <v>-6.1462078757559423E-4</v>
      </c>
      <c r="FJ111">
        <v>-1.8861989874597051E-7</v>
      </c>
      <c r="FK111">
        <v>1.1980462299894961E-10</v>
      </c>
      <c r="FL111">
        <v>0.27184999999999349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25.6</v>
      </c>
      <c r="FU111">
        <v>25.8</v>
      </c>
      <c r="FV111">
        <v>1.78101</v>
      </c>
      <c r="FW111">
        <v>2.5939899999999998</v>
      </c>
      <c r="FX111">
        <v>1.5490699999999999</v>
      </c>
      <c r="FY111">
        <v>2.3290999999999999</v>
      </c>
      <c r="FZ111">
        <v>1.50146</v>
      </c>
      <c r="GA111">
        <v>2.3584000000000001</v>
      </c>
      <c r="GB111">
        <v>33.896099999999997</v>
      </c>
      <c r="GC111">
        <v>23.982399999999998</v>
      </c>
      <c r="GD111">
        <v>19</v>
      </c>
      <c r="GE111">
        <v>267.49900000000002</v>
      </c>
      <c r="GF111">
        <v>593.10400000000004</v>
      </c>
      <c r="GG111">
        <v>22.000900000000001</v>
      </c>
      <c r="GH111">
        <v>26.326699999999999</v>
      </c>
      <c r="GI111">
        <v>29.9998</v>
      </c>
      <c r="GJ111">
        <v>26.510300000000001</v>
      </c>
      <c r="GK111">
        <v>26.508700000000001</v>
      </c>
      <c r="GL111">
        <v>35.603099999999998</v>
      </c>
      <c r="GM111">
        <v>48.4298</v>
      </c>
      <c r="GN111">
        <v>79.486500000000007</v>
      </c>
      <c r="GO111">
        <v>22.033200000000001</v>
      </c>
      <c r="GP111">
        <v>800</v>
      </c>
      <c r="GQ111">
        <v>11.974500000000001</v>
      </c>
      <c r="GR111">
        <v>99.755399999999995</v>
      </c>
      <c r="GS111">
        <v>99.618200000000002</v>
      </c>
    </row>
    <row r="112" spans="1:201" x14ac:dyDescent="0.25">
      <c r="A112">
        <v>96</v>
      </c>
      <c r="B112">
        <v>1690304869.5</v>
      </c>
      <c r="C112">
        <v>1119.5</v>
      </c>
      <c r="D112" t="s">
        <v>523</v>
      </c>
      <c r="E112" t="s">
        <v>524</v>
      </c>
      <c r="F112" t="s">
        <v>330</v>
      </c>
      <c r="H112">
        <v>1690304869.5</v>
      </c>
      <c r="I112">
        <f t="shared" si="30"/>
        <v>8.8926690412846079E-4</v>
      </c>
      <c r="J112">
        <f t="shared" si="31"/>
        <v>0.88926690412846077</v>
      </c>
      <c r="K112">
        <f t="shared" si="32"/>
        <v>15.829105367553366</v>
      </c>
      <c r="L112">
        <f t="shared" si="33"/>
        <v>620.00900000000001</v>
      </c>
      <c r="M112">
        <f t="shared" si="34"/>
        <v>202.39734791397041</v>
      </c>
      <c r="N112">
        <f t="shared" si="35"/>
        <v>20.108461085924127</v>
      </c>
      <c r="O112">
        <f t="shared" si="36"/>
        <v>61.598765882654</v>
      </c>
      <c r="P112">
        <f t="shared" si="37"/>
        <v>6.2929355646043406E-2</v>
      </c>
      <c r="Q112">
        <f t="shared" si="38"/>
        <v>2.1031785751950238</v>
      </c>
      <c r="R112">
        <f t="shared" si="39"/>
        <v>6.1901724990060247E-2</v>
      </c>
      <c r="S112">
        <f t="shared" si="40"/>
        <v>3.8779508809514029E-2</v>
      </c>
      <c r="T112">
        <f t="shared" si="41"/>
        <v>276.11626843799996</v>
      </c>
      <c r="U112">
        <f t="shared" si="42"/>
        <v>26.724586128153678</v>
      </c>
      <c r="V112">
        <f t="shared" si="43"/>
        <v>26.724586128153678</v>
      </c>
      <c r="W112">
        <f t="shared" si="44"/>
        <v>3.5216712700693833</v>
      </c>
      <c r="X112">
        <f t="shared" si="45"/>
        <v>67.847538670891112</v>
      </c>
      <c r="Y112">
        <f t="shared" si="46"/>
        <v>2.1350418446587995</v>
      </c>
      <c r="Z112">
        <f t="shared" si="47"/>
        <v>3.14682284204188</v>
      </c>
      <c r="AA112">
        <f t="shared" si="48"/>
        <v>1.3866294254105838</v>
      </c>
      <c r="AB112">
        <f t="shared" si="49"/>
        <v>-39.216670472065118</v>
      </c>
      <c r="AC112">
        <f t="shared" si="50"/>
        <v>-215.28549494390541</v>
      </c>
      <c r="AD112">
        <f t="shared" si="51"/>
        <v>-21.821672744718501</v>
      </c>
      <c r="AE112">
        <f t="shared" si="52"/>
        <v>-0.20756972268907248</v>
      </c>
      <c r="AF112">
        <v>11</v>
      </c>
      <c r="AG112">
        <v>4</v>
      </c>
      <c r="AH112">
        <f t="shared" si="53"/>
        <v>1</v>
      </c>
      <c r="AI112">
        <f t="shared" si="54"/>
        <v>0</v>
      </c>
      <c r="AJ112">
        <f t="shared" si="55"/>
        <v>53010.406888844664</v>
      </c>
      <c r="AK112">
        <f t="shared" si="56"/>
        <v>1800</v>
      </c>
      <c r="AL112">
        <f t="shared" si="57"/>
        <v>1499.1094097999999</v>
      </c>
      <c r="AM112">
        <f t="shared" si="58"/>
        <v>0.83283856099999998</v>
      </c>
      <c r="AN112">
        <f t="shared" si="59"/>
        <v>0.15339792690999998</v>
      </c>
      <c r="AO112">
        <v>33</v>
      </c>
      <c r="AP112">
        <v>0.5</v>
      </c>
      <c r="AQ112" t="s">
        <v>331</v>
      </c>
      <c r="AR112">
        <v>2</v>
      </c>
      <c r="AS112">
        <v>1690304869.5</v>
      </c>
      <c r="AT112">
        <v>620.00900000000001</v>
      </c>
      <c r="AU112">
        <v>800.10699999999997</v>
      </c>
      <c r="AV112">
        <v>21.489799999999999</v>
      </c>
      <c r="AW112">
        <v>11.922700000000001</v>
      </c>
      <c r="AX112">
        <v>620.125</v>
      </c>
      <c r="AY112">
        <v>21.218</v>
      </c>
      <c r="AZ112">
        <v>300.14499999999998</v>
      </c>
      <c r="BA112">
        <v>99.251400000000004</v>
      </c>
      <c r="BB112">
        <v>0.100006</v>
      </c>
      <c r="BC112">
        <v>24.825900000000001</v>
      </c>
      <c r="BD112">
        <v>26.906199999999998</v>
      </c>
      <c r="BE112">
        <v>26.200600000000001</v>
      </c>
      <c r="BF112">
        <v>0</v>
      </c>
      <c r="BG112">
        <v>0</v>
      </c>
      <c r="BH112">
        <v>10028.799999999999</v>
      </c>
      <c r="BI112">
        <v>1048.78</v>
      </c>
      <c r="BJ112">
        <v>1.68198</v>
      </c>
      <c r="BK112">
        <v>-180.09700000000001</v>
      </c>
      <c r="BL112">
        <v>633.62599999999998</v>
      </c>
      <c r="BM112">
        <v>809.76099999999997</v>
      </c>
      <c r="BN112">
        <v>9.5671499999999998</v>
      </c>
      <c r="BO112">
        <v>800.10699999999997</v>
      </c>
      <c r="BP112">
        <v>11.922700000000001</v>
      </c>
      <c r="BQ112">
        <v>2.1328900000000002</v>
      </c>
      <c r="BR112">
        <v>1.1833400000000001</v>
      </c>
      <c r="BS112">
        <v>18.466999999999999</v>
      </c>
      <c r="BT112">
        <v>9.3936200000000003</v>
      </c>
      <c r="BU112">
        <v>1800</v>
      </c>
      <c r="BV112">
        <v>0.90998000000000001</v>
      </c>
      <c r="BW112">
        <v>3.4005199999999999E-2</v>
      </c>
      <c r="BX112">
        <v>2.2005799999999999E-2</v>
      </c>
      <c r="BY112">
        <v>3.4008900000000002E-2</v>
      </c>
      <c r="BZ112">
        <v>26</v>
      </c>
      <c r="CA112">
        <v>33528.199999999997</v>
      </c>
      <c r="CB112">
        <v>1690303320.5</v>
      </c>
      <c r="CC112" t="s">
        <v>332</v>
      </c>
      <c r="CD112">
        <v>1690303320.5</v>
      </c>
      <c r="CE112">
        <v>1690303310.0999999</v>
      </c>
      <c r="CF112">
        <v>8</v>
      </c>
      <c r="CG112">
        <v>7.3999999999999996E-2</v>
      </c>
      <c r="CH112">
        <v>-0.01</v>
      </c>
      <c r="CI112">
        <v>-0.24199999999999999</v>
      </c>
      <c r="CJ112">
        <v>0.27200000000000002</v>
      </c>
      <c r="CK112">
        <v>800</v>
      </c>
      <c r="CL112">
        <v>23</v>
      </c>
      <c r="CM112">
        <v>0.06</v>
      </c>
      <c r="CN112">
        <v>0.09</v>
      </c>
      <c r="CO112">
        <v>-176.81514999999999</v>
      </c>
      <c r="CP112">
        <v>-18.45332082551608</v>
      </c>
      <c r="CQ112">
        <v>1.776238491166092</v>
      </c>
      <c r="CR112">
        <v>-1</v>
      </c>
      <c r="CS112">
        <v>9.3240019999999983</v>
      </c>
      <c r="CT112">
        <v>1.4564195121951209</v>
      </c>
      <c r="CU112">
        <v>0.14054750983564249</v>
      </c>
      <c r="CV112">
        <v>-1</v>
      </c>
      <c r="CW112">
        <v>0</v>
      </c>
      <c r="CX112">
        <v>0</v>
      </c>
      <c r="CY112" t="s">
        <v>333</v>
      </c>
      <c r="CZ112">
        <v>2.3643700000000001</v>
      </c>
      <c r="DA112">
        <v>2.7138200000000001</v>
      </c>
      <c r="DB112">
        <v>0.123434</v>
      </c>
      <c r="DC112">
        <v>0.14641499999999999</v>
      </c>
      <c r="DD112">
        <v>0.105145</v>
      </c>
      <c r="DE112">
        <v>6.7710800000000002E-2</v>
      </c>
      <c r="DF112">
        <v>32011.1</v>
      </c>
      <c r="DG112">
        <v>27520.2</v>
      </c>
      <c r="DH112">
        <v>31176.400000000001</v>
      </c>
      <c r="DI112">
        <v>28093.4</v>
      </c>
      <c r="DJ112">
        <v>37880.1</v>
      </c>
      <c r="DK112">
        <v>37249.5</v>
      </c>
      <c r="DL112">
        <v>44369.8</v>
      </c>
      <c r="DM112">
        <v>42586.7</v>
      </c>
      <c r="DN112">
        <v>1.4380999999999999</v>
      </c>
      <c r="DO112">
        <v>2.0458799999999999</v>
      </c>
      <c r="DP112">
        <v>0.17341599999999999</v>
      </c>
      <c r="DQ112">
        <v>0.142813</v>
      </c>
      <c r="DR112">
        <v>24.063099999999999</v>
      </c>
      <c r="DS112">
        <v>23.857500000000002</v>
      </c>
      <c r="DT112">
        <v>53.7</v>
      </c>
      <c r="DU112">
        <v>29</v>
      </c>
      <c r="DV112">
        <v>21.760200000000001</v>
      </c>
      <c r="DW112">
        <v>61.471200000000003</v>
      </c>
      <c r="DX112">
        <v>35.769199999999998</v>
      </c>
      <c r="DY112">
        <v>1</v>
      </c>
      <c r="DZ112">
        <v>-8.23044E-2</v>
      </c>
      <c r="EA112">
        <v>0.620278</v>
      </c>
      <c r="EB112">
        <v>20.188500000000001</v>
      </c>
      <c r="EC112">
        <v>5.2406499999999996</v>
      </c>
      <c r="ED112">
        <v>12.039899999999999</v>
      </c>
      <c r="EE112">
        <v>5.0171000000000001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1.8689100000000001</v>
      </c>
      <c r="EL112">
        <v>1.8646199999999999</v>
      </c>
      <c r="EM112">
        <v>1.8692</v>
      </c>
      <c r="EN112">
        <v>1.8672299999999999</v>
      </c>
      <c r="EO112">
        <v>1.8633900000000001</v>
      </c>
      <c r="EP112">
        <v>1.8644799999999999</v>
      </c>
      <c r="EQ112">
        <v>1.87018</v>
      </c>
      <c r="ER112">
        <v>1.8694299999999999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-0.11600000000000001</v>
      </c>
      <c r="FG112">
        <v>0.27179999999999999</v>
      </c>
      <c r="FH112">
        <v>0.30965466913576151</v>
      </c>
      <c r="FI112">
        <v>-6.1462078757559423E-4</v>
      </c>
      <c r="FJ112">
        <v>-1.8861989874597051E-7</v>
      </c>
      <c r="FK112">
        <v>1.1980462299894961E-10</v>
      </c>
      <c r="FL112">
        <v>0.27184999999999349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25.8</v>
      </c>
      <c r="FU112">
        <v>26</v>
      </c>
      <c r="FV112">
        <v>1.78101</v>
      </c>
      <c r="FW112">
        <v>2.5903299999999998</v>
      </c>
      <c r="FX112">
        <v>1.5490699999999999</v>
      </c>
      <c r="FY112">
        <v>2.3290999999999999</v>
      </c>
      <c r="FZ112">
        <v>1.50146</v>
      </c>
      <c r="GA112">
        <v>2.3925800000000002</v>
      </c>
      <c r="GB112">
        <v>33.896099999999997</v>
      </c>
      <c r="GC112">
        <v>23.991199999999999</v>
      </c>
      <c r="GD112">
        <v>19</v>
      </c>
      <c r="GE112">
        <v>267.60300000000001</v>
      </c>
      <c r="GF112">
        <v>592.94100000000003</v>
      </c>
      <c r="GG112">
        <v>22.145499999999998</v>
      </c>
      <c r="GH112">
        <v>26.3218</v>
      </c>
      <c r="GI112">
        <v>29.9999</v>
      </c>
      <c r="GJ112">
        <v>26.505800000000001</v>
      </c>
      <c r="GK112">
        <v>26.503599999999999</v>
      </c>
      <c r="GL112">
        <v>35.596499999999999</v>
      </c>
      <c r="GM112">
        <v>48.703000000000003</v>
      </c>
      <c r="GN112">
        <v>78.719399999999993</v>
      </c>
      <c r="GO112">
        <v>22.151299999999999</v>
      </c>
      <c r="GP112">
        <v>800</v>
      </c>
      <c r="GQ112">
        <v>11.796900000000001</v>
      </c>
      <c r="GR112">
        <v>99.754999999999995</v>
      </c>
      <c r="GS112">
        <v>99.618700000000004</v>
      </c>
    </row>
    <row r="113" spans="1:201" x14ac:dyDescent="0.25">
      <c r="A113">
        <v>97</v>
      </c>
      <c r="B113">
        <v>1690304879.5</v>
      </c>
      <c r="C113">
        <v>1129.5</v>
      </c>
      <c r="D113" t="s">
        <v>525</v>
      </c>
      <c r="E113" t="s">
        <v>526</v>
      </c>
      <c r="F113" t="s">
        <v>330</v>
      </c>
      <c r="H113">
        <v>1690304879.5</v>
      </c>
      <c r="I113">
        <f t="shared" si="30"/>
        <v>9.1246621495368963E-4</v>
      </c>
      <c r="J113">
        <f t="shared" si="31"/>
        <v>0.91246621495368962</v>
      </c>
      <c r="K113">
        <f t="shared" si="32"/>
        <v>16.101056269630305</v>
      </c>
      <c r="L113">
        <f t="shared" si="33"/>
        <v>616.97799999999995</v>
      </c>
      <c r="M113">
        <f t="shared" si="34"/>
        <v>202.62540941951696</v>
      </c>
      <c r="N113">
        <f t="shared" si="35"/>
        <v>20.131111516076391</v>
      </c>
      <c r="O113">
        <f t="shared" si="36"/>
        <v>61.297608017414994</v>
      </c>
      <c r="P113">
        <f t="shared" si="37"/>
        <v>6.454602969693457E-2</v>
      </c>
      <c r="Q113">
        <f t="shared" si="38"/>
        <v>2.1007020129287262</v>
      </c>
      <c r="R113">
        <f t="shared" si="39"/>
        <v>6.3464158332822859E-2</v>
      </c>
      <c r="S113">
        <f t="shared" si="40"/>
        <v>3.9760790337832634E-2</v>
      </c>
      <c r="T113">
        <f t="shared" si="41"/>
        <v>276.11473334273711</v>
      </c>
      <c r="U113">
        <f t="shared" si="42"/>
        <v>26.743056189590789</v>
      </c>
      <c r="V113">
        <f t="shared" si="43"/>
        <v>26.743056189590789</v>
      </c>
      <c r="W113">
        <f t="shared" si="44"/>
        <v>3.5255012343290981</v>
      </c>
      <c r="X113">
        <f t="shared" si="45"/>
        <v>67.834247755537845</v>
      </c>
      <c r="Y113">
        <f t="shared" si="46"/>
        <v>2.1377731799077502</v>
      </c>
      <c r="Z113">
        <f t="shared" si="47"/>
        <v>3.1514658902268535</v>
      </c>
      <c r="AA113">
        <f t="shared" si="48"/>
        <v>1.3877280544213479</v>
      </c>
      <c r="AB113">
        <f t="shared" si="49"/>
        <v>-40.23976007945771</v>
      </c>
      <c r="AC113">
        <f t="shared" si="50"/>
        <v>-214.32642963568799</v>
      </c>
      <c r="AD113">
        <f t="shared" si="51"/>
        <v>-21.754784695830011</v>
      </c>
      <c r="AE113">
        <f t="shared" si="52"/>
        <v>-0.20624106823859734</v>
      </c>
      <c r="AF113">
        <v>11</v>
      </c>
      <c r="AG113">
        <v>4</v>
      </c>
      <c r="AH113">
        <f t="shared" si="53"/>
        <v>1</v>
      </c>
      <c r="AI113">
        <f t="shared" si="54"/>
        <v>0</v>
      </c>
      <c r="AJ113">
        <f t="shared" si="55"/>
        <v>52895.036742464879</v>
      </c>
      <c r="AK113">
        <f t="shared" si="56"/>
        <v>1799.99</v>
      </c>
      <c r="AL113">
        <f t="shared" si="57"/>
        <v>1499.1020678089101</v>
      </c>
      <c r="AM113">
        <f t="shared" si="58"/>
        <v>0.83283910900000002</v>
      </c>
      <c r="AN113">
        <f t="shared" si="59"/>
        <v>0.15339792629000001</v>
      </c>
      <c r="AO113">
        <v>33</v>
      </c>
      <c r="AP113">
        <v>0.5</v>
      </c>
      <c r="AQ113" t="s">
        <v>331</v>
      </c>
      <c r="AR113">
        <v>2</v>
      </c>
      <c r="AS113">
        <v>1690304879.5</v>
      </c>
      <c r="AT113">
        <v>616.97799999999995</v>
      </c>
      <c r="AU113">
        <v>800.173</v>
      </c>
      <c r="AV113">
        <v>21.517299999999999</v>
      </c>
      <c r="AW113">
        <v>11.702</v>
      </c>
      <c r="AX113">
        <v>617.09100000000001</v>
      </c>
      <c r="AY113">
        <v>21.2454</v>
      </c>
      <c r="AZ113">
        <v>300.17899999999997</v>
      </c>
      <c r="BA113">
        <v>99.251400000000004</v>
      </c>
      <c r="BB113">
        <v>9.9967500000000001E-2</v>
      </c>
      <c r="BC113">
        <v>24.8506</v>
      </c>
      <c r="BD113">
        <v>26.907499999999999</v>
      </c>
      <c r="BE113">
        <v>26.239100000000001</v>
      </c>
      <c r="BF113">
        <v>0</v>
      </c>
      <c r="BG113">
        <v>0</v>
      </c>
      <c r="BH113">
        <v>10006.9</v>
      </c>
      <c r="BI113">
        <v>1048.8599999999999</v>
      </c>
      <c r="BJ113">
        <v>1.68058</v>
      </c>
      <c r="BK113">
        <v>-183.19499999999999</v>
      </c>
      <c r="BL113">
        <v>630.54600000000005</v>
      </c>
      <c r="BM113">
        <v>809.64700000000005</v>
      </c>
      <c r="BN113">
        <v>9.8153000000000006</v>
      </c>
      <c r="BO113">
        <v>800.173</v>
      </c>
      <c r="BP113">
        <v>11.702</v>
      </c>
      <c r="BQ113">
        <v>2.1356199999999999</v>
      </c>
      <c r="BR113">
        <v>1.16144</v>
      </c>
      <c r="BS113">
        <v>18.487400000000001</v>
      </c>
      <c r="BT113">
        <v>9.1162500000000009</v>
      </c>
      <c r="BU113">
        <v>1799.99</v>
      </c>
      <c r="BV113">
        <v>0.90998299999999999</v>
      </c>
      <c r="BW113">
        <v>3.4004199999999998E-2</v>
      </c>
      <c r="BX113">
        <v>2.2005199999999999E-2</v>
      </c>
      <c r="BY113">
        <v>3.4007900000000001E-2</v>
      </c>
      <c r="BZ113">
        <v>26</v>
      </c>
      <c r="CA113">
        <v>33528.199999999997</v>
      </c>
      <c r="CB113">
        <v>1690303320.5</v>
      </c>
      <c r="CC113" t="s">
        <v>332</v>
      </c>
      <c r="CD113">
        <v>1690303320.5</v>
      </c>
      <c r="CE113">
        <v>1690303310.0999999</v>
      </c>
      <c r="CF113">
        <v>8</v>
      </c>
      <c r="CG113">
        <v>7.3999999999999996E-2</v>
      </c>
      <c r="CH113">
        <v>-0.01</v>
      </c>
      <c r="CI113">
        <v>-0.24199999999999999</v>
      </c>
      <c r="CJ113">
        <v>0.27200000000000002</v>
      </c>
      <c r="CK113">
        <v>800</v>
      </c>
      <c r="CL113">
        <v>23</v>
      </c>
      <c r="CM113">
        <v>0.06</v>
      </c>
      <c r="CN113">
        <v>0.09</v>
      </c>
      <c r="CO113">
        <v>-179.61163414634149</v>
      </c>
      <c r="CP113">
        <v>-18.147177700348781</v>
      </c>
      <c r="CQ113">
        <v>1.789891845160096</v>
      </c>
      <c r="CR113">
        <v>-1</v>
      </c>
      <c r="CS113">
        <v>9.5369509756097557</v>
      </c>
      <c r="CT113">
        <v>1.3552685017421691</v>
      </c>
      <c r="CU113">
        <v>0.13412866878222601</v>
      </c>
      <c r="CV113">
        <v>-1</v>
      </c>
      <c r="CW113">
        <v>0</v>
      </c>
      <c r="CX113">
        <v>0</v>
      </c>
      <c r="CY113" t="s">
        <v>333</v>
      </c>
      <c r="CZ113">
        <v>2.36449</v>
      </c>
      <c r="DA113">
        <v>2.7137600000000002</v>
      </c>
      <c r="DB113">
        <v>0.123013</v>
      </c>
      <c r="DC113">
        <v>0.146421</v>
      </c>
      <c r="DD113">
        <v>0.105244</v>
      </c>
      <c r="DE113">
        <v>6.6764199999999996E-2</v>
      </c>
      <c r="DF113">
        <v>32026.9</v>
      </c>
      <c r="DG113">
        <v>27520.799999999999</v>
      </c>
      <c r="DH113">
        <v>31176.799999999999</v>
      </c>
      <c r="DI113">
        <v>28094.2</v>
      </c>
      <c r="DJ113">
        <v>37876.199999999997</v>
      </c>
      <c r="DK113">
        <v>37288.400000000001</v>
      </c>
      <c r="DL113">
        <v>44370.2</v>
      </c>
      <c r="DM113">
        <v>42587.8</v>
      </c>
      <c r="DN113">
        <v>1.4381299999999999</v>
      </c>
      <c r="DO113">
        <v>2.04583</v>
      </c>
      <c r="DP113">
        <v>0.173371</v>
      </c>
      <c r="DQ113">
        <v>0.145011</v>
      </c>
      <c r="DR113">
        <v>24.065100000000001</v>
      </c>
      <c r="DS113">
        <v>23.86</v>
      </c>
      <c r="DT113">
        <v>53.5</v>
      </c>
      <c r="DU113">
        <v>29</v>
      </c>
      <c r="DV113">
        <v>21.6767</v>
      </c>
      <c r="DW113">
        <v>61.671199999999999</v>
      </c>
      <c r="DX113">
        <v>35.480800000000002</v>
      </c>
      <c r="DY113">
        <v>1</v>
      </c>
      <c r="DZ113">
        <v>-8.2530500000000007E-2</v>
      </c>
      <c r="EA113">
        <v>0.57343100000000002</v>
      </c>
      <c r="EB113">
        <v>20.188700000000001</v>
      </c>
      <c r="EC113">
        <v>5.2413999999999996</v>
      </c>
      <c r="ED113">
        <v>12.039899999999999</v>
      </c>
      <c r="EE113">
        <v>5.01715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1.8646199999999999</v>
      </c>
      <c r="EM113">
        <v>1.8692</v>
      </c>
      <c r="EN113">
        <v>1.8672299999999999</v>
      </c>
      <c r="EO113">
        <v>1.8633999999999999</v>
      </c>
      <c r="EP113">
        <v>1.8644700000000001</v>
      </c>
      <c r="EQ113">
        <v>1.8702099999999999</v>
      </c>
      <c r="ER113">
        <v>1.86941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-0.113</v>
      </c>
      <c r="FG113">
        <v>0.27189999999999998</v>
      </c>
      <c r="FH113">
        <v>0.30965466913576151</v>
      </c>
      <c r="FI113">
        <v>-6.1462078757559423E-4</v>
      </c>
      <c r="FJ113">
        <v>-1.8861989874597051E-7</v>
      </c>
      <c r="FK113">
        <v>1.1980462299894961E-10</v>
      </c>
      <c r="FL113">
        <v>0.27184999999999349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26</v>
      </c>
      <c r="FU113">
        <v>26.2</v>
      </c>
      <c r="FV113">
        <v>1.77979</v>
      </c>
      <c r="FW113">
        <v>2.5830099999999998</v>
      </c>
      <c r="FX113">
        <v>1.5490699999999999</v>
      </c>
      <c r="FY113">
        <v>2.3278799999999999</v>
      </c>
      <c r="FZ113">
        <v>1.50146</v>
      </c>
      <c r="GA113">
        <v>2.3791500000000001</v>
      </c>
      <c r="GB113">
        <v>33.896099999999997</v>
      </c>
      <c r="GC113">
        <v>23.982399999999998</v>
      </c>
      <c r="GD113">
        <v>19</v>
      </c>
      <c r="GE113">
        <v>267.59100000000001</v>
      </c>
      <c r="GF113">
        <v>592.84900000000005</v>
      </c>
      <c r="GG113">
        <v>22.251899999999999</v>
      </c>
      <c r="GH113">
        <v>26.316700000000001</v>
      </c>
      <c r="GI113">
        <v>29.9998</v>
      </c>
      <c r="GJ113">
        <v>26.5002</v>
      </c>
      <c r="GK113">
        <v>26.499199999999998</v>
      </c>
      <c r="GL113">
        <v>35.590899999999998</v>
      </c>
      <c r="GM113">
        <v>48.977200000000003</v>
      </c>
      <c r="GN113">
        <v>78.336200000000005</v>
      </c>
      <c r="GO113">
        <v>22.266500000000001</v>
      </c>
      <c r="GP113">
        <v>800</v>
      </c>
      <c r="GQ113">
        <v>11.6205</v>
      </c>
      <c r="GR113">
        <v>99.756</v>
      </c>
      <c r="GS113">
        <v>99.621499999999997</v>
      </c>
    </row>
    <row r="114" spans="1:201" x14ac:dyDescent="0.25">
      <c r="A114">
        <v>98</v>
      </c>
      <c r="B114">
        <v>1690304889.5</v>
      </c>
      <c r="C114">
        <v>1139.5</v>
      </c>
      <c r="D114" t="s">
        <v>527</v>
      </c>
      <c r="E114" t="s">
        <v>528</v>
      </c>
      <c r="F114" t="s">
        <v>330</v>
      </c>
      <c r="H114">
        <v>1690304889.5</v>
      </c>
      <c r="I114">
        <f t="shared" si="30"/>
        <v>9.2790420808915996E-4</v>
      </c>
      <c r="J114">
        <f t="shared" si="31"/>
        <v>0.92790420808915997</v>
      </c>
      <c r="K114">
        <f t="shared" si="32"/>
        <v>16.359801568200673</v>
      </c>
      <c r="L114">
        <f t="shared" si="33"/>
        <v>613.86300000000006</v>
      </c>
      <c r="M114">
        <f t="shared" si="34"/>
        <v>199.80665303303863</v>
      </c>
      <c r="N114">
        <f t="shared" si="35"/>
        <v>19.851102936959766</v>
      </c>
      <c r="O114">
        <f t="shared" si="36"/>
        <v>60.988247474301907</v>
      </c>
      <c r="P114">
        <f t="shared" si="37"/>
        <v>6.5634669514874677E-2</v>
      </c>
      <c r="Q114">
        <f t="shared" si="38"/>
        <v>2.1048741606757915</v>
      </c>
      <c r="R114">
        <f t="shared" si="39"/>
        <v>6.4518513368169841E-2</v>
      </c>
      <c r="S114">
        <f t="shared" si="40"/>
        <v>4.0422772017205878E-2</v>
      </c>
      <c r="T114">
        <f t="shared" si="41"/>
        <v>276.11450715599364</v>
      </c>
      <c r="U114">
        <f t="shared" si="42"/>
        <v>26.755655707991487</v>
      </c>
      <c r="V114">
        <f t="shared" si="43"/>
        <v>26.755655707991487</v>
      </c>
      <c r="W114">
        <f t="shared" si="44"/>
        <v>3.5281159648157687</v>
      </c>
      <c r="X114">
        <f t="shared" si="45"/>
        <v>67.817920935115467</v>
      </c>
      <c r="Y114">
        <f t="shared" si="46"/>
        <v>2.1400028249336103</v>
      </c>
      <c r="Z114">
        <f t="shared" si="47"/>
        <v>3.1555122826325648</v>
      </c>
      <c r="AA114">
        <f t="shared" si="48"/>
        <v>1.3881131398821585</v>
      </c>
      <c r="AB114">
        <f t="shared" si="49"/>
        <v>-40.920575576731956</v>
      </c>
      <c r="AC114">
        <f t="shared" si="50"/>
        <v>-213.74208895589749</v>
      </c>
      <c r="AD114">
        <f t="shared" si="51"/>
        <v>-21.656173661123443</v>
      </c>
      <c r="AE114">
        <f t="shared" si="52"/>
        <v>-0.204331037759232</v>
      </c>
      <c r="AF114">
        <v>11</v>
      </c>
      <c r="AG114">
        <v>4</v>
      </c>
      <c r="AH114">
        <f t="shared" si="53"/>
        <v>1</v>
      </c>
      <c r="AI114">
        <f t="shared" si="54"/>
        <v>0</v>
      </c>
      <c r="AJ114">
        <f t="shared" si="55"/>
        <v>53078.25520670315</v>
      </c>
      <c r="AK114">
        <f t="shared" si="56"/>
        <v>1799.99</v>
      </c>
      <c r="AL114">
        <f t="shared" si="57"/>
        <v>1499.10209300877</v>
      </c>
      <c r="AM114">
        <f t="shared" si="58"/>
        <v>0.83283912299999996</v>
      </c>
      <c r="AN114">
        <f t="shared" si="59"/>
        <v>0.15339780062999997</v>
      </c>
      <c r="AO114">
        <v>33</v>
      </c>
      <c r="AP114">
        <v>0.5</v>
      </c>
      <c r="AQ114" t="s">
        <v>331</v>
      </c>
      <c r="AR114">
        <v>2</v>
      </c>
      <c r="AS114">
        <v>1690304889.5</v>
      </c>
      <c r="AT114">
        <v>613.86300000000006</v>
      </c>
      <c r="AU114">
        <v>799.99900000000002</v>
      </c>
      <c r="AV114">
        <v>21.5397</v>
      </c>
      <c r="AW114">
        <v>11.5573</v>
      </c>
      <c r="AX114">
        <v>613.97400000000005</v>
      </c>
      <c r="AY114">
        <v>21.267900000000001</v>
      </c>
      <c r="AZ114">
        <v>300.14100000000002</v>
      </c>
      <c r="BA114">
        <v>99.251599999999996</v>
      </c>
      <c r="BB114">
        <v>9.9961300000000003E-2</v>
      </c>
      <c r="BC114">
        <v>24.8721</v>
      </c>
      <c r="BD114">
        <v>26.9194</v>
      </c>
      <c r="BE114">
        <v>26.2499</v>
      </c>
      <c r="BF114">
        <v>0</v>
      </c>
      <c r="BG114">
        <v>0</v>
      </c>
      <c r="BH114">
        <v>10043.799999999999</v>
      </c>
      <c r="BI114">
        <v>1048.95</v>
      </c>
      <c r="BJ114">
        <v>1.68058</v>
      </c>
      <c r="BK114">
        <v>-186.136</v>
      </c>
      <c r="BL114">
        <v>627.37599999999998</v>
      </c>
      <c r="BM114">
        <v>809.35299999999995</v>
      </c>
      <c r="BN114">
        <v>9.9824000000000002</v>
      </c>
      <c r="BO114">
        <v>799.99900000000002</v>
      </c>
      <c r="BP114">
        <v>11.5573</v>
      </c>
      <c r="BQ114">
        <v>2.1378499999999998</v>
      </c>
      <c r="BR114">
        <v>1.1470800000000001</v>
      </c>
      <c r="BS114">
        <v>18.504100000000001</v>
      </c>
      <c r="BT114">
        <v>8.9319600000000001</v>
      </c>
      <c r="BU114">
        <v>1799.99</v>
      </c>
      <c r="BV114">
        <v>0.90998599999999996</v>
      </c>
      <c r="BW114">
        <v>3.4002900000000003E-2</v>
      </c>
      <c r="BX114">
        <v>2.20044E-2</v>
      </c>
      <c r="BY114">
        <v>3.4006700000000001E-2</v>
      </c>
      <c r="BZ114">
        <v>26</v>
      </c>
      <c r="CA114">
        <v>33528.199999999997</v>
      </c>
      <c r="CB114">
        <v>1690303320.5</v>
      </c>
      <c r="CC114" t="s">
        <v>332</v>
      </c>
      <c r="CD114">
        <v>1690303320.5</v>
      </c>
      <c r="CE114">
        <v>1690303310.0999999</v>
      </c>
      <c r="CF114">
        <v>8</v>
      </c>
      <c r="CG114">
        <v>7.3999999999999996E-2</v>
      </c>
      <c r="CH114">
        <v>-0.01</v>
      </c>
      <c r="CI114">
        <v>-0.24199999999999999</v>
      </c>
      <c r="CJ114">
        <v>0.27200000000000002</v>
      </c>
      <c r="CK114">
        <v>800</v>
      </c>
      <c r="CL114">
        <v>23</v>
      </c>
      <c r="CM114">
        <v>0.06</v>
      </c>
      <c r="CN114">
        <v>0.09</v>
      </c>
      <c r="CO114">
        <v>-182.65675609756099</v>
      </c>
      <c r="CP114">
        <v>-18.412766550522779</v>
      </c>
      <c r="CQ114">
        <v>1.81606818369484</v>
      </c>
      <c r="CR114">
        <v>-1</v>
      </c>
      <c r="CS114">
        <v>9.7562604878048749</v>
      </c>
      <c r="CT114">
        <v>1.2613948432055591</v>
      </c>
      <c r="CU114">
        <v>0.12510761931040859</v>
      </c>
      <c r="CV114">
        <v>-1</v>
      </c>
      <c r="CW114">
        <v>0</v>
      </c>
      <c r="CX114">
        <v>0</v>
      </c>
      <c r="CY114" t="s">
        <v>333</v>
      </c>
      <c r="CZ114">
        <v>2.36436</v>
      </c>
      <c r="DA114">
        <v>2.7137899999999999</v>
      </c>
      <c r="DB114">
        <v>0.12257899999999999</v>
      </c>
      <c r="DC114">
        <v>0.146398</v>
      </c>
      <c r="DD114">
        <v>0.105324</v>
      </c>
      <c r="DE114">
        <v>6.6140699999999997E-2</v>
      </c>
      <c r="DF114">
        <v>32043.4</v>
      </c>
      <c r="DG114">
        <v>27521.5</v>
      </c>
      <c r="DH114">
        <v>31177.5</v>
      </c>
      <c r="DI114">
        <v>28094.2</v>
      </c>
      <c r="DJ114">
        <v>37873.699999999997</v>
      </c>
      <c r="DK114">
        <v>37313.5</v>
      </c>
      <c r="DL114">
        <v>44371.4</v>
      </c>
      <c r="DM114">
        <v>42587.9</v>
      </c>
      <c r="DN114">
        <v>1.4384999999999999</v>
      </c>
      <c r="DO114">
        <v>2.0457700000000001</v>
      </c>
      <c r="DP114">
        <v>0.174094</v>
      </c>
      <c r="DQ114">
        <v>0.145458</v>
      </c>
      <c r="DR114">
        <v>24.065200000000001</v>
      </c>
      <c r="DS114">
        <v>23.863499999999998</v>
      </c>
      <c r="DT114">
        <v>53.3</v>
      </c>
      <c r="DU114">
        <v>29</v>
      </c>
      <c r="DV114">
        <v>21.597100000000001</v>
      </c>
      <c r="DW114">
        <v>61.361199999999997</v>
      </c>
      <c r="DX114">
        <v>36.2821</v>
      </c>
      <c r="DY114">
        <v>1</v>
      </c>
      <c r="DZ114">
        <v>-8.3005599999999999E-2</v>
      </c>
      <c r="EA114">
        <v>0.432367</v>
      </c>
      <c r="EB114">
        <v>20.1892</v>
      </c>
      <c r="EC114">
        <v>5.2406499999999996</v>
      </c>
      <c r="ED114">
        <v>12.039899999999999</v>
      </c>
      <c r="EE114">
        <v>5.0171000000000001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1.8689100000000001</v>
      </c>
      <c r="EL114">
        <v>1.8646199999999999</v>
      </c>
      <c r="EM114">
        <v>1.8692</v>
      </c>
      <c r="EN114">
        <v>1.8672500000000001</v>
      </c>
      <c r="EO114">
        <v>1.8633999999999999</v>
      </c>
      <c r="EP114">
        <v>1.8644700000000001</v>
      </c>
      <c r="EQ114">
        <v>1.8701700000000001</v>
      </c>
      <c r="ER114">
        <v>1.8694200000000001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-0.111</v>
      </c>
      <c r="FG114">
        <v>0.27179999999999999</v>
      </c>
      <c r="FH114">
        <v>0.30965466913576151</v>
      </c>
      <c r="FI114">
        <v>-6.1462078757559423E-4</v>
      </c>
      <c r="FJ114">
        <v>-1.8861989874597051E-7</v>
      </c>
      <c r="FK114">
        <v>1.1980462299894961E-10</v>
      </c>
      <c r="FL114">
        <v>0.27184999999999349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26.1</v>
      </c>
      <c r="FU114">
        <v>26.3</v>
      </c>
      <c r="FV114">
        <v>1.77979</v>
      </c>
      <c r="FW114">
        <v>2.5915499999999998</v>
      </c>
      <c r="FX114">
        <v>1.5490699999999999</v>
      </c>
      <c r="FY114">
        <v>2.3278799999999999</v>
      </c>
      <c r="FZ114">
        <v>1.50146</v>
      </c>
      <c r="GA114">
        <v>2.2814899999999998</v>
      </c>
      <c r="GB114">
        <v>33.896099999999997</v>
      </c>
      <c r="GC114">
        <v>23.982399999999998</v>
      </c>
      <c r="GD114">
        <v>19</v>
      </c>
      <c r="GE114">
        <v>267.72699999999998</v>
      </c>
      <c r="GF114">
        <v>592.75599999999997</v>
      </c>
      <c r="GG114">
        <v>22.366700000000002</v>
      </c>
      <c r="GH114">
        <v>26.311199999999999</v>
      </c>
      <c r="GI114">
        <v>29.9999</v>
      </c>
      <c r="GJ114">
        <v>26.495799999999999</v>
      </c>
      <c r="GK114">
        <v>26.494800000000001</v>
      </c>
      <c r="GL114">
        <v>35.588999999999999</v>
      </c>
      <c r="GM114">
        <v>49.258699999999997</v>
      </c>
      <c r="GN114">
        <v>77.569299999999998</v>
      </c>
      <c r="GO114">
        <v>22.3964</v>
      </c>
      <c r="GP114">
        <v>800</v>
      </c>
      <c r="GQ114">
        <v>11.4429</v>
      </c>
      <c r="GR114">
        <v>99.758399999999995</v>
      </c>
      <c r="GS114">
        <v>99.621600000000001</v>
      </c>
    </row>
    <row r="115" spans="1:201" x14ac:dyDescent="0.25">
      <c r="A115">
        <v>99</v>
      </c>
      <c r="B115">
        <v>1690304899.5</v>
      </c>
      <c r="C115">
        <v>1149.5</v>
      </c>
      <c r="D115" t="s">
        <v>529</v>
      </c>
      <c r="E115" t="s">
        <v>530</v>
      </c>
      <c r="F115" t="s">
        <v>330</v>
      </c>
      <c r="H115">
        <v>1690304899.5</v>
      </c>
      <c r="I115">
        <f t="shared" si="30"/>
        <v>9.4644697709594158E-4</v>
      </c>
      <c r="J115">
        <f t="shared" si="31"/>
        <v>0.94644697709594161</v>
      </c>
      <c r="K115">
        <f t="shared" si="32"/>
        <v>16.638502363670181</v>
      </c>
      <c r="L115">
        <f t="shared" si="33"/>
        <v>610.78899999999999</v>
      </c>
      <c r="M115">
        <f t="shared" si="34"/>
        <v>197.39956029273884</v>
      </c>
      <c r="N115">
        <f t="shared" si="35"/>
        <v>19.611610980562311</v>
      </c>
      <c r="O115">
        <f t="shared" si="36"/>
        <v>60.681777818769007</v>
      </c>
      <c r="P115">
        <f t="shared" si="37"/>
        <v>6.6875833089004341E-2</v>
      </c>
      <c r="Q115">
        <f t="shared" si="38"/>
        <v>2.0991216583647567</v>
      </c>
      <c r="R115">
        <f t="shared" si="39"/>
        <v>6.5714350953562595E-2</v>
      </c>
      <c r="S115">
        <f t="shared" si="40"/>
        <v>4.1174143649217891E-2</v>
      </c>
      <c r="T115">
        <f t="shared" si="41"/>
        <v>276.115854168</v>
      </c>
      <c r="U115">
        <f t="shared" si="42"/>
        <v>26.777949208468012</v>
      </c>
      <c r="V115">
        <f t="shared" si="43"/>
        <v>26.777949208468012</v>
      </c>
      <c r="W115">
        <f t="shared" si="44"/>
        <v>3.5327465990620248</v>
      </c>
      <c r="X115">
        <f t="shared" si="45"/>
        <v>67.806588734672786</v>
      </c>
      <c r="Y115">
        <f t="shared" si="46"/>
        <v>2.1427371993995998</v>
      </c>
      <c r="Z115">
        <f t="shared" si="47"/>
        <v>3.1600722575561666</v>
      </c>
      <c r="AA115">
        <f t="shared" si="48"/>
        <v>1.390009399662425</v>
      </c>
      <c r="AB115">
        <f t="shared" si="49"/>
        <v>-41.738311689931024</v>
      </c>
      <c r="AC115">
        <f t="shared" si="50"/>
        <v>-212.942189441355</v>
      </c>
      <c r="AD115">
        <f t="shared" si="51"/>
        <v>-21.639302839822648</v>
      </c>
      <c r="AE115">
        <f t="shared" si="52"/>
        <v>-0.20394980310865662</v>
      </c>
      <c r="AF115">
        <v>11</v>
      </c>
      <c r="AG115">
        <v>4</v>
      </c>
      <c r="AH115">
        <f t="shared" si="53"/>
        <v>1</v>
      </c>
      <c r="AI115">
        <f t="shared" si="54"/>
        <v>0</v>
      </c>
      <c r="AJ115">
        <f t="shared" si="55"/>
        <v>52816.164294881426</v>
      </c>
      <c r="AK115">
        <f t="shared" si="56"/>
        <v>1800</v>
      </c>
      <c r="AL115">
        <f t="shared" si="57"/>
        <v>1499.1102827999998</v>
      </c>
      <c r="AM115">
        <f t="shared" si="58"/>
        <v>0.83283904599999992</v>
      </c>
      <c r="AN115">
        <f t="shared" si="59"/>
        <v>0.15339769676000001</v>
      </c>
      <c r="AO115">
        <v>33</v>
      </c>
      <c r="AP115">
        <v>0.5</v>
      </c>
      <c r="AQ115" t="s">
        <v>331</v>
      </c>
      <c r="AR115">
        <v>2</v>
      </c>
      <c r="AS115">
        <v>1690304899.5</v>
      </c>
      <c r="AT115">
        <v>610.78899999999999</v>
      </c>
      <c r="AU115">
        <v>800.09</v>
      </c>
      <c r="AV115">
        <v>21.567599999999999</v>
      </c>
      <c r="AW115">
        <v>11.3856</v>
      </c>
      <c r="AX115">
        <v>610.89800000000002</v>
      </c>
      <c r="AY115">
        <v>21.2957</v>
      </c>
      <c r="AZ115">
        <v>300.12900000000002</v>
      </c>
      <c r="BA115">
        <v>99.249700000000004</v>
      </c>
      <c r="BB115">
        <v>0.100121</v>
      </c>
      <c r="BC115">
        <v>24.8963</v>
      </c>
      <c r="BD115">
        <v>26.955100000000002</v>
      </c>
      <c r="BE115">
        <v>26.284300000000002</v>
      </c>
      <c r="BF115">
        <v>0</v>
      </c>
      <c r="BG115">
        <v>0</v>
      </c>
      <c r="BH115">
        <v>9993.1200000000008</v>
      </c>
      <c r="BI115">
        <v>1049.1600000000001</v>
      </c>
      <c r="BJ115">
        <v>1.6399300000000001</v>
      </c>
      <c r="BK115">
        <v>-189.30099999999999</v>
      </c>
      <c r="BL115">
        <v>624.25300000000004</v>
      </c>
      <c r="BM115">
        <v>809.30499999999995</v>
      </c>
      <c r="BN115">
        <v>10.182</v>
      </c>
      <c r="BO115">
        <v>800.09</v>
      </c>
      <c r="BP115">
        <v>11.3856</v>
      </c>
      <c r="BQ115">
        <v>2.1405799999999999</v>
      </c>
      <c r="BR115">
        <v>1.13002</v>
      </c>
      <c r="BS115">
        <v>18.5244</v>
      </c>
      <c r="BT115">
        <v>8.7102000000000004</v>
      </c>
      <c r="BU115">
        <v>1800</v>
      </c>
      <c r="BV115">
        <v>0.90998800000000002</v>
      </c>
      <c r="BW115">
        <v>3.40021E-2</v>
      </c>
      <c r="BX115">
        <v>2.20038E-2</v>
      </c>
      <c r="BY115">
        <v>3.4005800000000003E-2</v>
      </c>
      <c r="BZ115">
        <v>26</v>
      </c>
      <c r="CA115">
        <v>33528.199999999997</v>
      </c>
      <c r="CB115">
        <v>1690303320.5</v>
      </c>
      <c r="CC115" t="s">
        <v>332</v>
      </c>
      <c r="CD115">
        <v>1690303320.5</v>
      </c>
      <c r="CE115">
        <v>1690303310.0999999</v>
      </c>
      <c r="CF115">
        <v>8</v>
      </c>
      <c r="CG115">
        <v>7.3999999999999996E-2</v>
      </c>
      <c r="CH115">
        <v>-0.01</v>
      </c>
      <c r="CI115">
        <v>-0.24199999999999999</v>
      </c>
      <c r="CJ115">
        <v>0.27200000000000002</v>
      </c>
      <c r="CK115">
        <v>800</v>
      </c>
      <c r="CL115">
        <v>23</v>
      </c>
      <c r="CM115">
        <v>0.06</v>
      </c>
      <c r="CN115">
        <v>0.09</v>
      </c>
      <c r="CO115">
        <v>-185.96584999999999</v>
      </c>
      <c r="CP115">
        <v>-18.483084427767231</v>
      </c>
      <c r="CQ115">
        <v>1.779074219221896</v>
      </c>
      <c r="CR115">
        <v>-1</v>
      </c>
      <c r="CS115">
        <v>9.9675469999999997</v>
      </c>
      <c r="CT115">
        <v>1.0479365853658571</v>
      </c>
      <c r="CU115">
        <v>0.101162633496761</v>
      </c>
      <c r="CV115">
        <v>-1</v>
      </c>
      <c r="CW115">
        <v>0</v>
      </c>
      <c r="CX115">
        <v>0</v>
      </c>
      <c r="CY115" t="s">
        <v>333</v>
      </c>
      <c r="CZ115">
        <v>2.3643399999999999</v>
      </c>
      <c r="DA115">
        <v>2.7139099999999998</v>
      </c>
      <c r="DB115">
        <v>0.12214700000000001</v>
      </c>
      <c r="DC115">
        <v>0.14640500000000001</v>
      </c>
      <c r="DD115">
        <v>0.105421</v>
      </c>
      <c r="DE115">
        <v>6.5394999999999995E-2</v>
      </c>
      <c r="DF115">
        <v>32059.3</v>
      </c>
      <c r="DG115">
        <v>27521.4</v>
      </c>
      <c r="DH115">
        <v>31177.599999999999</v>
      </c>
      <c r="DI115">
        <v>28094.3</v>
      </c>
      <c r="DJ115">
        <v>37869.599999999999</v>
      </c>
      <c r="DK115">
        <v>37343.5</v>
      </c>
      <c r="DL115">
        <v>44371.6</v>
      </c>
      <c r="DM115">
        <v>42588.1</v>
      </c>
      <c r="DN115">
        <v>1.43893</v>
      </c>
      <c r="DO115">
        <v>2.0449799999999998</v>
      </c>
      <c r="DP115">
        <v>0.17616200000000001</v>
      </c>
      <c r="DQ115">
        <v>0.147313</v>
      </c>
      <c r="DR115">
        <v>24.0671</v>
      </c>
      <c r="DS115">
        <v>23.8675</v>
      </c>
      <c r="DT115">
        <v>53.1</v>
      </c>
      <c r="DU115">
        <v>29</v>
      </c>
      <c r="DV115">
        <v>21.515000000000001</v>
      </c>
      <c r="DW115">
        <v>61.3812</v>
      </c>
      <c r="DX115">
        <v>36.570500000000003</v>
      </c>
      <c r="DY115">
        <v>1</v>
      </c>
      <c r="DZ115">
        <v>-8.33816E-2</v>
      </c>
      <c r="EA115">
        <v>0.46311000000000002</v>
      </c>
      <c r="EB115">
        <v>20.1891</v>
      </c>
      <c r="EC115">
        <v>5.2411000000000003</v>
      </c>
      <c r="ED115">
        <v>12.039899999999999</v>
      </c>
      <c r="EE115">
        <v>5.0171000000000001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</v>
      </c>
      <c r="EL115">
        <v>1.8646199999999999</v>
      </c>
      <c r="EM115">
        <v>1.8692</v>
      </c>
      <c r="EN115">
        <v>1.8672299999999999</v>
      </c>
      <c r="EO115">
        <v>1.8633900000000001</v>
      </c>
      <c r="EP115">
        <v>1.8644700000000001</v>
      </c>
      <c r="EQ115">
        <v>1.8701700000000001</v>
      </c>
      <c r="ER115">
        <v>1.86941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-0.109</v>
      </c>
      <c r="FG115">
        <v>0.27189999999999998</v>
      </c>
      <c r="FH115">
        <v>0.30965466913576151</v>
      </c>
      <c r="FI115">
        <v>-6.1462078757559423E-4</v>
      </c>
      <c r="FJ115">
        <v>-1.8861989874597051E-7</v>
      </c>
      <c r="FK115">
        <v>1.1980462299894961E-10</v>
      </c>
      <c r="FL115">
        <v>0.27184999999999349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26.3</v>
      </c>
      <c r="FU115">
        <v>26.5</v>
      </c>
      <c r="FV115">
        <v>1.77979</v>
      </c>
      <c r="FW115">
        <v>2.5952099999999998</v>
      </c>
      <c r="FX115">
        <v>1.5490699999999999</v>
      </c>
      <c r="FY115">
        <v>2.3278799999999999</v>
      </c>
      <c r="FZ115">
        <v>1.50146</v>
      </c>
      <c r="GA115">
        <v>2.3339799999999999</v>
      </c>
      <c r="GB115">
        <v>33.896099999999997</v>
      </c>
      <c r="GC115">
        <v>23.982399999999998</v>
      </c>
      <c r="GD115">
        <v>19</v>
      </c>
      <c r="GE115">
        <v>267.88099999999997</v>
      </c>
      <c r="GF115">
        <v>592.03</v>
      </c>
      <c r="GG115">
        <v>22.4878</v>
      </c>
      <c r="GH115">
        <v>26.3062</v>
      </c>
      <c r="GI115">
        <v>30</v>
      </c>
      <c r="GJ115">
        <v>26.4907</v>
      </c>
      <c r="GK115">
        <v>26.489799999999999</v>
      </c>
      <c r="GL115">
        <v>35.5792</v>
      </c>
      <c r="GM115">
        <v>49.820999999999998</v>
      </c>
      <c r="GN115">
        <v>77.193899999999999</v>
      </c>
      <c r="GO115">
        <v>22.494599999999998</v>
      </c>
      <c r="GP115">
        <v>800</v>
      </c>
      <c r="GQ115">
        <v>11.259600000000001</v>
      </c>
      <c r="GR115">
        <v>99.758799999999994</v>
      </c>
      <c r="GS115">
        <v>99.622100000000003</v>
      </c>
    </row>
    <row r="116" spans="1:201" x14ac:dyDescent="0.25">
      <c r="A116">
        <v>100</v>
      </c>
      <c r="B116">
        <v>1690304909.5</v>
      </c>
      <c r="C116">
        <v>1159.5</v>
      </c>
      <c r="D116" t="s">
        <v>531</v>
      </c>
      <c r="E116" t="s">
        <v>532</v>
      </c>
      <c r="F116" t="s">
        <v>330</v>
      </c>
      <c r="H116">
        <v>1690304909.5</v>
      </c>
      <c r="I116">
        <f t="shared" si="30"/>
        <v>9.6481310677845069E-4</v>
      </c>
      <c r="J116">
        <f t="shared" si="31"/>
        <v>0.96481310677845067</v>
      </c>
      <c r="K116">
        <f t="shared" si="32"/>
        <v>16.904484482115837</v>
      </c>
      <c r="L116">
        <f t="shared" si="33"/>
        <v>607.66099999999994</v>
      </c>
      <c r="M116">
        <f t="shared" si="34"/>
        <v>195.56988392443378</v>
      </c>
      <c r="N116">
        <f t="shared" si="35"/>
        <v>19.429428717933202</v>
      </c>
      <c r="O116">
        <f t="shared" si="36"/>
        <v>60.369755543393993</v>
      </c>
      <c r="P116">
        <f t="shared" si="37"/>
        <v>6.8173397170569819E-2</v>
      </c>
      <c r="Q116">
        <f t="shared" si="38"/>
        <v>2.1011464534191528</v>
      </c>
      <c r="R116">
        <f t="shared" si="39"/>
        <v>6.6967985105975208E-2</v>
      </c>
      <c r="S116">
        <f t="shared" si="40"/>
        <v>4.196151688267586E-2</v>
      </c>
      <c r="T116">
        <f t="shared" si="41"/>
        <v>276.11596070999997</v>
      </c>
      <c r="U116">
        <f t="shared" si="42"/>
        <v>26.788872764583754</v>
      </c>
      <c r="V116">
        <f t="shared" si="43"/>
        <v>26.788872764583754</v>
      </c>
      <c r="W116">
        <f t="shared" si="44"/>
        <v>3.5350174922714168</v>
      </c>
      <c r="X116">
        <f t="shared" si="45"/>
        <v>67.788877007160266</v>
      </c>
      <c r="Y116">
        <f t="shared" si="46"/>
        <v>2.1446199655979998</v>
      </c>
      <c r="Z116">
        <f t="shared" si="47"/>
        <v>3.1636753111745342</v>
      </c>
      <c r="AA116">
        <f t="shared" si="48"/>
        <v>1.390397526673417</v>
      </c>
      <c r="AB116">
        <f t="shared" si="49"/>
        <v>-42.548258008929672</v>
      </c>
      <c r="AC116">
        <f t="shared" si="50"/>
        <v>-212.22138858602679</v>
      </c>
      <c r="AD116">
        <f t="shared" si="51"/>
        <v>-21.548517475032376</v>
      </c>
      <c r="AE116">
        <f t="shared" si="52"/>
        <v>-0.20220335998888572</v>
      </c>
      <c r="AF116">
        <v>11</v>
      </c>
      <c r="AG116">
        <v>4</v>
      </c>
      <c r="AH116">
        <f t="shared" si="53"/>
        <v>1</v>
      </c>
      <c r="AI116">
        <f t="shared" si="54"/>
        <v>0</v>
      </c>
      <c r="AJ116">
        <f t="shared" si="55"/>
        <v>52903.34950314145</v>
      </c>
      <c r="AK116">
        <f t="shared" si="56"/>
        <v>1800</v>
      </c>
      <c r="AL116">
        <f t="shared" si="57"/>
        <v>1499.1114059999998</v>
      </c>
      <c r="AM116">
        <f t="shared" si="58"/>
        <v>0.83283966999999992</v>
      </c>
      <c r="AN116">
        <f t="shared" si="59"/>
        <v>0.15339775594999999</v>
      </c>
      <c r="AO116">
        <v>33</v>
      </c>
      <c r="AP116">
        <v>0.5</v>
      </c>
      <c r="AQ116" t="s">
        <v>331</v>
      </c>
      <c r="AR116">
        <v>2</v>
      </c>
      <c r="AS116">
        <v>1690304909.5</v>
      </c>
      <c r="AT116">
        <v>607.66099999999994</v>
      </c>
      <c r="AU116">
        <v>799.95299999999997</v>
      </c>
      <c r="AV116">
        <v>21.587</v>
      </c>
      <c r="AW116">
        <v>11.2089</v>
      </c>
      <c r="AX116">
        <v>607.76800000000003</v>
      </c>
      <c r="AY116">
        <v>21.315100000000001</v>
      </c>
      <c r="AZ116">
        <v>300.166</v>
      </c>
      <c r="BA116">
        <v>99.247699999999995</v>
      </c>
      <c r="BB116">
        <v>0.100054</v>
      </c>
      <c r="BC116">
        <v>24.915400000000002</v>
      </c>
      <c r="BD116">
        <v>26.998799999999999</v>
      </c>
      <c r="BE116">
        <v>26.286000000000001</v>
      </c>
      <c r="BF116">
        <v>0</v>
      </c>
      <c r="BG116">
        <v>0</v>
      </c>
      <c r="BH116">
        <v>10011.200000000001</v>
      </c>
      <c r="BI116">
        <v>1049.31</v>
      </c>
      <c r="BJ116">
        <v>1.65255</v>
      </c>
      <c r="BK116">
        <v>-192.292</v>
      </c>
      <c r="BL116">
        <v>621.06799999999998</v>
      </c>
      <c r="BM116">
        <v>809.02099999999996</v>
      </c>
      <c r="BN116">
        <v>10.3781</v>
      </c>
      <c r="BO116">
        <v>799.95299999999997</v>
      </c>
      <c r="BP116">
        <v>11.2089</v>
      </c>
      <c r="BQ116">
        <v>2.1424599999999998</v>
      </c>
      <c r="BR116">
        <v>1.11246</v>
      </c>
      <c r="BS116">
        <v>18.538399999999999</v>
      </c>
      <c r="BT116">
        <v>8.4789100000000008</v>
      </c>
      <c r="BU116">
        <v>1800</v>
      </c>
      <c r="BV116">
        <v>0.90998999999999997</v>
      </c>
      <c r="BW116">
        <v>3.4001499999999997E-2</v>
      </c>
      <c r="BX116">
        <v>2.2003499999999999E-2</v>
      </c>
      <c r="BY116">
        <v>3.4005300000000002E-2</v>
      </c>
      <c r="BZ116">
        <v>26</v>
      </c>
      <c r="CA116">
        <v>33528.300000000003</v>
      </c>
      <c r="CB116">
        <v>1690303320.5</v>
      </c>
      <c r="CC116" t="s">
        <v>332</v>
      </c>
      <c r="CD116">
        <v>1690303320.5</v>
      </c>
      <c r="CE116">
        <v>1690303310.0999999</v>
      </c>
      <c r="CF116">
        <v>8</v>
      </c>
      <c r="CG116">
        <v>7.3999999999999996E-2</v>
      </c>
      <c r="CH116">
        <v>-0.01</v>
      </c>
      <c r="CI116">
        <v>-0.24199999999999999</v>
      </c>
      <c r="CJ116">
        <v>0.27200000000000002</v>
      </c>
      <c r="CK116">
        <v>800</v>
      </c>
      <c r="CL116">
        <v>23</v>
      </c>
      <c r="CM116">
        <v>0.06</v>
      </c>
      <c r="CN116">
        <v>0.09</v>
      </c>
      <c r="CO116">
        <v>-189.09502499999999</v>
      </c>
      <c r="CP116">
        <v>-18.85538836772955</v>
      </c>
      <c r="CQ116">
        <v>1.815194762105433</v>
      </c>
      <c r="CR116">
        <v>-1</v>
      </c>
      <c r="CS116">
        <v>10.167331750000001</v>
      </c>
      <c r="CT116">
        <v>1.2938097185740951</v>
      </c>
      <c r="CU116">
        <v>0.1250446285709127</v>
      </c>
      <c r="CV116">
        <v>-1</v>
      </c>
      <c r="CW116">
        <v>0</v>
      </c>
      <c r="CX116">
        <v>0</v>
      </c>
      <c r="CY116" t="s">
        <v>333</v>
      </c>
      <c r="CZ116">
        <v>2.3644599999999998</v>
      </c>
      <c r="DA116">
        <v>2.7138599999999999</v>
      </c>
      <c r="DB116">
        <v>0.12170599999999999</v>
      </c>
      <c r="DC116">
        <v>0.14638300000000001</v>
      </c>
      <c r="DD116">
        <v>0.105488</v>
      </c>
      <c r="DE116">
        <v>6.4623799999999995E-2</v>
      </c>
      <c r="DF116">
        <v>32075.4</v>
      </c>
      <c r="DG116">
        <v>27522.400000000001</v>
      </c>
      <c r="DH116">
        <v>31177.5</v>
      </c>
      <c r="DI116">
        <v>28094.6</v>
      </c>
      <c r="DJ116">
        <v>37866.800000000003</v>
      </c>
      <c r="DK116">
        <v>37374.800000000003</v>
      </c>
      <c r="DL116">
        <v>44371.7</v>
      </c>
      <c r="DM116">
        <v>42588.6</v>
      </c>
      <c r="DN116">
        <v>1.43848</v>
      </c>
      <c r="DO116">
        <v>2.04495</v>
      </c>
      <c r="DP116">
        <v>0.17861299999999999</v>
      </c>
      <c r="DQ116">
        <v>0.14701900000000001</v>
      </c>
      <c r="DR116">
        <v>24.070699999999999</v>
      </c>
      <c r="DS116">
        <v>23.874099999999999</v>
      </c>
      <c r="DT116">
        <v>52.9</v>
      </c>
      <c r="DU116">
        <v>29</v>
      </c>
      <c r="DV116">
        <v>21.4377</v>
      </c>
      <c r="DW116">
        <v>61.5212</v>
      </c>
      <c r="DX116">
        <v>35.8093</v>
      </c>
      <c r="DY116">
        <v>1</v>
      </c>
      <c r="DZ116">
        <v>-8.3617899999999995E-2</v>
      </c>
      <c r="EA116">
        <v>0.54283499999999996</v>
      </c>
      <c r="EB116">
        <v>20.189</v>
      </c>
      <c r="EC116">
        <v>5.2409499999999998</v>
      </c>
      <c r="ED116">
        <v>12.039899999999999</v>
      </c>
      <c r="EE116">
        <v>5.0169499999999996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1.8689100000000001</v>
      </c>
      <c r="EL116">
        <v>1.8646199999999999</v>
      </c>
      <c r="EM116">
        <v>1.8692</v>
      </c>
      <c r="EN116">
        <v>1.8672299999999999</v>
      </c>
      <c r="EO116">
        <v>1.8633999999999999</v>
      </c>
      <c r="EP116">
        <v>1.8644700000000001</v>
      </c>
      <c r="EQ116">
        <v>1.8702099999999999</v>
      </c>
      <c r="ER116">
        <v>1.8694200000000001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-0.107</v>
      </c>
      <c r="FG116">
        <v>0.27189999999999998</v>
      </c>
      <c r="FH116">
        <v>0.30965466913576151</v>
      </c>
      <c r="FI116">
        <v>-6.1462078757559423E-4</v>
      </c>
      <c r="FJ116">
        <v>-1.8861989874597051E-7</v>
      </c>
      <c r="FK116">
        <v>1.1980462299894961E-10</v>
      </c>
      <c r="FL116">
        <v>0.27184999999999349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26.5</v>
      </c>
      <c r="FU116">
        <v>26.7</v>
      </c>
      <c r="FV116">
        <v>1.77979</v>
      </c>
      <c r="FW116">
        <v>2.5903299999999998</v>
      </c>
      <c r="FX116">
        <v>1.5490699999999999</v>
      </c>
      <c r="FY116">
        <v>2.3278799999999999</v>
      </c>
      <c r="FZ116">
        <v>1.50146</v>
      </c>
      <c r="GA116">
        <v>2.3730500000000001</v>
      </c>
      <c r="GB116">
        <v>33.8735</v>
      </c>
      <c r="GC116">
        <v>23.991199999999999</v>
      </c>
      <c r="GD116">
        <v>19</v>
      </c>
      <c r="GE116">
        <v>267.678</v>
      </c>
      <c r="GF116">
        <v>591.95899999999995</v>
      </c>
      <c r="GG116">
        <v>22.551300000000001</v>
      </c>
      <c r="GH116">
        <v>26.300699999999999</v>
      </c>
      <c r="GI116">
        <v>29.9999</v>
      </c>
      <c r="GJ116">
        <v>26.4863</v>
      </c>
      <c r="GK116">
        <v>26.485399999999998</v>
      </c>
      <c r="GL116">
        <v>35.578400000000002</v>
      </c>
      <c r="GM116">
        <v>50.389400000000002</v>
      </c>
      <c r="GN116">
        <v>76.432599999999994</v>
      </c>
      <c r="GO116">
        <v>22.5518</v>
      </c>
      <c r="GP116">
        <v>800</v>
      </c>
      <c r="GQ116">
        <v>11.078200000000001</v>
      </c>
      <c r="GR116">
        <v>99.758899999999997</v>
      </c>
      <c r="GS116">
        <v>99.623099999999994</v>
      </c>
    </row>
    <row r="117" spans="1:201" x14ac:dyDescent="0.25">
      <c r="A117">
        <v>101</v>
      </c>
      <c r="B117">
        <v>1690304919.5</v>
      </c>
      <c r="C117">
        <v>1169.5</v>
      </c>
      <c r="D117" t="s">
        <v>533</v>
      </c>
      <c r="E117" t="s">
        <v>534</v>
      </c>
      <c r="F117" t="s">
        <v>330</v>
      </c>
      <c r="H117">
        <v>1690304919.5</v>
      </c>
      <c r="I117">
        <f t="shared" si="30"/>
        <v>9.8248354988434154E-4</v>
      </c>
      <c r="J117">
        <f t="shared" si="31"/>
        <v>0.9824835498843415</v>
      </c>
      <c r="K117">
        <f t="shared" si="32"/>
        <v>17.197893120326082</v>
      </c>
      <c r="L117">
        <f t="shared" si="33"/>
        <v>604.53800000000001</v>
      </c>
      <c r="M117">
        <f t="shared" si="34"/>
        <v>192.15232440569963</v>
      </c>
      <c r="N117">
        <f t="shared" si="35"/>
        <v>19.090228514537131</v>
      </c>
      <c r="O117">
        <f t="shared" si="36"/>
        <v>60.060520222251995</v>
      </c>
      <c r="P117">
        <f t="shared" si="37"/>
        <v>6.9314520272287281E-2</v>
      </c>
      <c r="Q117">
        <f t="shared" si="38"/>
        <v>2.0991896432316381</v>
      </c>
      <c r="R117">
        <f t="shared" si="39"/>
        <v>6.8067675524170326E-2</v>
      </c>
      <c r="S117">
        <f t="shared" si="40"/>
        <v>4.2652453104773877E-2</v>
      </c>
      <c r="T117">
        <f t="shared" si="41"/>
        <v>276.11585305199998</v>
      </c>
      <c r="U117">
        <f t="shared" si="42"/>
        <v>26.807362744269007</v>
      </c>
      <c r="V117">
        <f t="shared" si="43"/>
        <v>26.807362744269007</v>
      </c>
      <c r="W117">
        <f t="shared" si="44"/>
        <v>3.5388642702226378</v>
      </c>
      <c r="X117">
        <f t="shared" si="45"/>
        <v>67.735171800385643</v>
      </c>
      <c r="Y117">
        <f t="shared" si="46"/>
        <v>2.1458885967275996</v>
      </c>
      <c r="Z117">
        <f t="shared" si="47"/>
        <v>3.1680566235979963</v>
      </c>
      <c r="AA117">
        <f t="shared" si="48"/>
        <v>1.3929756734950383</v>
      </c>
      <c r="AB117">
        <f t="shared" si="49"/>
        <v>-43.327524549899465</v>
      </c>
      <c r="AC117">
        <f t="shared" si="50"/>
        <v>-211.49070542397655</v>
      </c>
      <c r="AD117">
        <f t="shared" si="51"/>
        <v>-21.498840165907509</v>
      </c>
      <c r="AE117">
        <f t="shared" si="52"/>
        <v>-0.20121708778353309</v>
      </c>
      <c r="AF117">
        <v>11</v>
      </c>
      <c r="AG117">
        <v>4</v>
      </c>
      <c r="AH117">
        <f t="shared" si="53"/>
        <v>1</v>
      </c>
      <c r="AI117">
        <f t="shared" si="54"/>
        <v>0</v>
      </c>
      <c r="AJ117">
        <f t="shared" si="55"/>
        <v>52811.699740874814</v>
      </c>
      <c r="AK117">
        <f t="shared" si="56"/>
        <v>1800</v>
      </c>
      <c r="AL117">
        <f t="shared" si="57"/>
        <v>1499.1112691999999</v>
      </c>
      <c r="AM117">
        <f t="shared" si="58"/>
        <v>0.83283959399999996</v>
      </c>
      <c r="AN117">
        <f t="shared" si="59"/>
        <v>0.15339769613999998</v>
      </c>
      <c r="AO117">
        <v>33</v>
      </c>
      <c r="AP117">
        <v>0.5</v>
      </c>
      <c r="AQ117" t="s">
        <v>331</v>
      </c>
      <c r="AR117">
        <v>2</v>
      </c>
      <c r="AS117">
        <v>1690304919.5</v>
      </c>
      <c r="AT117">
        <v>604.53800000000001</v>
      </c>
      <c r="AU117">
        <v>800.05600000000004</v>
      </c>
      <c r="AV117">
        <v>21.599399999999999</v>
      </c>
      <c r="AW117">
        <v>11.0359</v>
      </c>
      <c r="AX117">
        <v>604.64200000000005</v>
      </c>
      <c r="AY117">
        <v>21.3276</v>
      </c>
      <c r="AZ117">
        <v>300.29500000000002</v>
      </c>
      <c r="BA117">
        <v>99.249399999999994</v>
      </c>
      <c r="BB117">
        <v>0.100054</v>
      </c>
      <c r="BC117">
        <v>24.938600000000001</v>
      </c>
      <c r="BD117">
        <v>27.019400000000001</v>
      </c>
      <c r="BE117">
        <v>26.306000000000001</v>
      </c>
      <c r="BF117">
        <v>0</v>
      </c>
      <c r="BG117">
        <v>0</v>
      </c>
      <c r="BH117">
        <v>9993.75</v>
      </c>
      <c r="BI117">
        <v>1049.6500000000001</v>
      </c>
      <c r="BJ117">
        <v>1.64134</v>
      </c>
      <c r="BK117">
        <v>-195.518</v>
      </c>
      <c r="BL117">
        <v>617.88400000000001</v>
      </c>
      <c r="BM117">
        <v>808.98400000000004</v>
      </c>
      <c r="BN117">
        <v>10.563499999999999</v>
      </c>
      <c r="BO117">
        <v>800.05600000000004</v>
      </c>
      <c r="BP117">
        <v>11.0359</v>
      </c>
      <c r="BQ117">
        <v>2.1437300000000001</v>
      </c>
      <c r="BR117">
        <v>1.09531</v>
      </c>
      <c r="BS117">
        <v>18.547899999999998</v>
      </c>
      <c r="BT117">
        <v>8.2499199999999995</v>
      </c>
      <c r="BU117">
        <v>1800</v>
      </c>
      <c r="BV117">
        <v>0.90999099999999999</v>
      </c>
      <c r="BW117">
        <v>3.4001099999999999E-2</v>
      </c>
      <c r="BX117">
        <v>2.2003200000000001E-2</v>
      </c>
      <c r="BY117">
        <v>3.4004800000000002E-2</v>
      </c>
      <c r="BZ117">
        <v>26</v>
      </c>
      <c r="CA117">
        <v>33528.300000000003</v>
      </c>
      <c r="CB117">
        <v>1690303320.5</v>
      </c>
      <c r="CC117" t="s">
        <v>332</v>
      </c>
      <c r="CD117">
        <v>1690303320.5</v>
      </c>
      <c r="CE117">
        <v>1690303310.0999999</v>
      </c>
      <c r="CF117">
        <v>8</v>
      </c>
      <c r="CG117">
        <v>7.3999999999999996E-2</v>
      </c>
      <c r="CH117">
        <v>-0.01</v>
      </c>
      <c r="CI117">
        <v>-0.24199999999999999</v>
      </c>
      <c r="CJ117">
        <v>0.27200000000000002</v>
      </c>
      <c r="CK117">
        <v>800</v>
      </c>
      <c r="CL117">
        <v>23</v>
      </c>
      <c r="CM117">
        <v>0.06</v>
      </c>
      <c r="CN117">
        <v>0.09</v>
      </c>
      <c r="CO117">
        <v>-192.18870000000001</v>
      </c>
      <c r="CP117">
        <v>-18.239166979362</v>
      </c>
      <c r="CQ117">
        <v>1.755516849819448</v>
      </c>
      <c r="CR117">
        <v>-1</v>
      </c>
      <c r="CS117">
        <v>10.37406</v>
      </c>
      <c r="CT117">
        <v>1.154134333958684</v>
      </c>
      <c r="CU117">
        <v>0.1116253886891329</v>
      </c>
      <c r="CV117">
        <v>-1</v>
      </c>
      <c r="CW117">
        <v>0</v>
      </c>
      <c r="CX117">
        <v>0</v>
      </c>
      <c r="CY117" t="s">
        <v>333</v>
      </c>
      <c r="CZ117">
        <v>2.3649100000000001</v>
      </c>
      <c r="DA117">
        <v>2.7138399999999998</v>
      </c>
      <c r="DB117">
        <v>0.121269</v>
      </c>
      <c r="DC117">
        <v>0.146396</v>
      </c>
      <c r="DD117">
        <v>0.105535</v>
      </c>
      <c r="DE117">
        <v>6.3866699999999998E-2</v>
      </c>
      <c r="DF117">
        <v>32091.5</v>
      </c>
      <c r="DG117">
        <v>27522.5</v>
      </c>
      <c r="DH117">
        <v>31177.7</v>
      </c>
      <c r="DI117">
        <v>28095.1</v>
      </c>
      <c r="DJ117">
        <v>37864.9</v>
      </c>
      <c r="DK117">
        <v>37405.699999999997</v>
      </c>
      <c r="DL117">
        <v>44371.8</v>
      </c>
      <c r="DM117">
        <v>42589.2</v>
      </c>
      <c r="DN117">
        <v>1.4391</v>
      </c>
      <c r="DO117">
        <v>2.0447500000000001</v>
      </c>
      <c r="DP117">
        <v>0.179593</v>
      </c>
      <c r="DQ117">
        <v>0.14787500000000001</v>
      </c>
      <c r="DR117">
        <v>24.075299999999999</v>
      </c>
      <c r="DS117">
        <v>23.880099999999999</v>
      </c>
      <c r="DT117">
        <v>52.6</v>
      </c>
      <c r="DU117">
        <v>29</v>
      </c>
      <c r="DV117">
        <v>21.314499999999999</v>
      </c>
      <c r="DW117">
        <v>61.6312</v>
      </c>
      <c r="DX117">
        <v>35.500799999999998</v>
      </c>
      <c r="DY117">
        <v>1</v>
      </c>
      <c r="DZ117">
        <v>-8.42276E-2</v>
      </c>
      <c r="EA117">
        <v>0.65702300000000002</v>
      </c>
      <c r="EB117">
        <v>20.188300000000002</v>
      </c>
      <c r="EC117">
        <v>5.2408000000000001</v>
      </c>
      <c r="ED117">
        <v>12.039899999999999</v>
      </c>
      <c r="EE117">
        <v>5.0167999999999999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1.8689100000000001</v>
      </c>
      <c r="EL117">
        <v>1.8646199999999999</v>
      </c>
      <c r="EM117">
        <v>1.8692</v>
      </c>
      <c r="EN117">
        <v>1.8672299999999999</v>
      </c>
      <c r="EO117">
        <v>1.8633900000000001</v>
      </c>
      <c r="EP117">
        <v>1.8644700000000001</v>
      </c>
      <c r="EQ117">
        <v>1.8701700000000001</v>
      </c>
      <c r="ER117">
        <v>1.8694299999999999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-0.104</v>
      </c>
      <c r="FG117">
        <v>0.27179999999999999</v>
      </c>
      <c r="FH117">
        <v>0.30965466913576151</v>
      </c>
      <c r="FI117">
        <v>-6.1462078757559423E-4</v>
      </c>
      <c r="FJ117">
        <v>-1.8861989874597051E-7</v>
      </c>
      <c r="FK117">
        <v>1.1980462299894961E-10</v>
      </c>
      <c r="FL117">
        <v>0.27184999999999349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26.6</v>
      </c>
      <c r="FU117">
        <v>26.8</v>
      </c>
      <c r="FV117">
        <v>1.7785599999999999</v>
      </c>
      <c r="FW117">
        <v>2.5866699999999998</v>
      </c>
      <c r="FX117">
        <v>1.5490699999999999</v>
      </c>
      <c r="FY117">
        <v>2.3278799999999999</v>
      </c>
      <c r="FZ117">
        <v>1.50146</v>
      </c>
      <c r="GA117">
        <v>2.3779300000000001</v>
      </c>
      <c r="GB117">
        <v>33.896099999999997</v>
      </c>
      <c r="GC117">
        <v>23.991199999999999</v>
      </c>
      <c r="GD117">
        <v>19</v>
      </c>
      <c r="GE117">
        <v>267.91300000000001</v>
      </c>
      <c r="GF117">
        <v>591.74</v>
      </c>
      <c r="GG117">
        <v>22.5717</v>
      </c>
      <c r="GH117">
        <v>26.2957</v>
      </c>
      <c r="GI117">
        <v>29.9999</v>
      </c>
      <c r="GJ117">
        <v>26.481300000000001</v>
      </c>
      <c r="GK117">
        <v>26.480899999999998</v>
      </c>
      <c r="GL117">
        <v>35.571300000000001</v>
      </c>
      <c r="GM117">
        <v>50.389400000000002</v>
      </c>
      <c r="GN117">
        <v>76.046899999999994</v>
      </c>
      <c r="GO117">
        <v>22.562899999999999</v>
      </c>
      <c r="GP117">
        <v>800</v>
      </c>
      <c r="GQ117">
        <v>10.978300000000001</v>
      </c>
      <c r="GR117">
        <v>99.759299999999996</v>
      </c>
      <c r="GS117">
        <v>99.624700000000004</v>
      </c>
    </row>
    <row r="118" spans="1:201" x14ac:dyDescent="0.25">
      <c r="A118">
        <v>102</v>
      </c>
      <c r="B118">
        <v>1690304929.5</v>
      </c>
      <c r="C118">
        <v>1179.5</v>
      </c>
      <c r="D118" t="s">
        <v>535</v>
      </c>
      <c r="E118" t="s">
        <v>536</v>
      </c>
      <c r="F118" t="s">
        <v>330</v>
      </c>
      <c r="H118">
        <v>1690304929.5</v>
      </c>
      <c r="I118">
        <f t="shared" si="30"/>
        <v>9.900367978864903E-4</v>
      </c>
      <c r="J118">
        <f t="shared" si="31"/>
        <v>0.99003679788649024</v>
      </c>
      <c r="K118">
        <f t="shared" si="32"/>
        <v>17.47662444584423</v>
      </c>
      <c r="L118">
        <f t="shared" si="33"/>
        <v>601.32500000000005</v>
      </c>
      <c r="M118">
        <f t="shared" si="34"/>
        <v>185.28296209697527</v>
      </c>
      <c r="N118">
        <f t="shared" si="35"/>
        <v>18.40778326115116</v>
      </c>
      <c r="O118">
        <f t="shared" si="36"/>
        <v>59.741382284887507</v>
      </c>
      <c r="P118">
        <f t="shared" si="37"/>
        <v>6.9794437943371312E-2</v>
      </c>
      <c r="Q118">
        <f t="shared" si="38"/>
        <v>2.0979864739220946</v>
      </c>
      <c r="R118">
        <f t="shared" si="39"/>
        <v>6.8529726658705756E-2</v>
      </c>
      <c r="S118">
        <f t="shared" si="40"/>
        <v>4.2942799602385069E-2</v>
      </c>
      <c r="T118">
        <f t="shared" si="41"/>
        <v>276.11413148008086</v>
      </c>
      <c r="U118">
        <f t="shared" si="42"/>
        <v>26.805746938647022</v>
      </c>
      <c r="V118">
        <f t="shared" si="43"/>
        <v>26.805746938647022</v>
      </c>
      <c r="W118">
        <f t="shared" si="44"/>
        <v>3.538527961647008</v>
      </c>
      <c r="X118">
        <f t="shared" si="45"/>
        <v>67.684360305207576</v>
      </c>
      <c r="Y118">
        <f t="shared" si="46"/>
        <v>2.1442916497225499</v>
      </c>
      <c r="Z118">
        <f t="shared" si="47"/>
        <v>3.1680755200364508</v>
      </c>
      <c r="AA118">
        <f t="shared" si="48"/>
        <v>1.3942363119244581</v>
      </c>
      <c r="AB118">
        <f t="shared" si="49"/>
        <v>-43.660622786794221</v>
      </c>
      <c r="AC118">
        <f t="shared" si="50"/>
        <v>-211.17541861512737</v>
      </c>
      <c r="AD118">
        <f t="shared" si="51"/>
        <v>-21.478937204633148</v>
      </c>
      <c r="AE118">
        <f t="shared" si="52"/>
        <v>-0.20084712647388869</v>
      </c>
      <c r="AF118">
        <v>11</v>
      </c>
      <c r="AG118">
        <v>4</v>
      </c>
      <c r="AH118">
        <f t="shared" si="53"/>
        <v>1</v>
      </c>
      <c r="AI118">
        <f t="shared" si="54"/>
        <v>0</v>
      </c>
      <c r="AJ118">
        <f t="shared" si="55"/>
        <v>52757.893563899292</v>
      </c>
      <c r="AK118">
        <f t="shared" si="56"/>
        <v>1799.99</v>
      </c>
      <c r="AL118">
        <f t="shared" si="57"/>
        <v>1499.10281120478</v>
      </c>
      <c r="AM118">
        <f t="shared" si="58"/>
        <v>0.832839522</v>
      </c>
      <c r="AN118">
        <f t="shared" si="59"/>
        <v>0.15339759192000002</v>
      </c>
      <c r="AO118">
        <v>33</v>
      </c>
      <c r="AP118">
        <v>0.5</v>
      </c>
      <c r="AQ118" t="s">
        <v>331</v>
      </c>
      <c r="AR118">
        <v>2</v>
      </c>
      <c r="AS118">
        <v>1690304929.5</v>
      </c>
      <c r="AT118">
        <v>601.32500000000005</v>
      </c>
      <c r="AU118">
        <v>799.99800000000005</v>
      </c>
      <c r="AV118">
        <v>21.583300000000001</v>
      </c>
      <c r="AW118">
        <v>10.9343</v>
      </c>
      <c r="AX118">
        <v>601.42700000000002</v>
      </c>
      <c r="AY118">
        <v>21.311399999999999</v>
      </c>
      <c r="AZ118">
        <v>300.17899999999997</v>
      </c>
      <c r="BA118">
        <v>99.249600000000001</v>
      </c>
      <c r="BB118">
        <v>9.9973500000000007E-2</v>
      </c>
      <c r="BC118">
        <v>24.938700000000001</v>
      </c>
      <c r="BD118">
        <v>27.063800000000001</v>
      </c>
      <c r="BE118">
        <v>26.325800000000001</v>
      </c>
      <c r="BF118">
        <v>0</v>
      </c>
      <c r="BG118">
        <v>0</v>
      </c>
      <c r="BH118">
        <v>9983.1200000000008</v>
      </c>
      <c r="BI118">
        <v>1049.75</v>
      </c>
      <c r="BJ118">
        <v>1.6665700000000001</v>
      </c>
      <c r="BK118">
        <v>-198.673</v>
      </c>
      <c r="BL118">
        <v>614.59</v>
      </c>
      <c r="BM118">
        <v>808.84199999999998</v>
      </c>
      <c r="BN118">
        <v>10.648999999999999</v>
      </c>
      <c r="BO118">
        <v>799.99800000000005</v>
      </c>
      <c r="BP118">
        <v>10.9343</v>
      </c>
      <c r="BQ118">
        <v>2.1421299999999999</v>
      </c>
      <c r="BR118">
        <v>1.0852299999999999</v>
      </c>
      <c r="BS118">
        <v>18.536000000000001</v>
      </c>
      <c r="BT118">
        <v>8.1137700000000006</v>
      </c>
      <c r="BU118">
        <v>1799.99</v>
      </c>
      <c r="BV118">
        <v>0.90999300000000005</v>
      </c>
      <c r="BW118">
        <v>3.4000200000000001E-2</v>
      </c>
      <c r="BX118">
        <v>2.2002600000000001E-2</v>
      </c>
      <c r="BY118">
        <v>3.4004E-2</v>
      </c>
      <c r="BZ118">
        <v>26</v>
      </c>
      <c r="CA118">
        <v>33528.1</v>
      </c>
      <c r="CB118">
        <v>1690303320.5</v>
      </c>
      <c r="CC118" t="s">
        <v>332</v>
      </c>
      <c r="CD118">
        <v>1690303320.5</v>
      </c>
      <c r="CE118">
        <v>1690303310.0999999</v>
      </c>
      <c r="CF118">
        <v>8</v>
      </c>
      <c r="CG118">
        <v>7.3999999999999996E-2</v>
      </c>
      <c r="CH118">
        <v>-0.01</v>
      </c>
      <c r="CI118">
        <v>-0.24199999999999999</v>
      </c>
      <c r="CJ118">
        <v>0.27200000000000002</v>
      </c>
      <c r="CK118">
        <v>800</v>
      </c>
      <c r="CL118">
        <v>23</v>
      </c>
      <c r="CM118">
        <v>0.06</v>
      </c>
      <c r="CN118">
        <v>0.09</v>
      </c>
      <c r="CO118">
        <v>-195.01848780487811</v>
      </c>
      <c r="CP118">
        <v>-18.82662020905974</v>
      </c>
      <c r="CQ118">
        <v>1.8585024671985191</v>
      </c>
      <c r="CR118">
        <v>-1</v>
      </c>
      <c r="CS118">
        <v>10.519958536585371</v>
      </c>
      <c r="CT118">
        <v>0.81580139372822269</v>
      </c>
      <c r="CU118">
        <v>8.3552311569400226E-2</v>
      </c>
      <c r="CV118">
        <v>-1</v>
      </c>
      <c r="CW118">
        <v>0</v>
      </c>
      <c r="CX118">
        <v>0</v>
      </c>
      <c r="CY118" t="s">
        <v>333</v>
      </c>
      <c r="CZ118">
        <v>2.3645399999999999</v>
      </c>
      <c r="DA118">
        <v>2.7137500000000001</v>
      </c>
      <c r="DB118">
        <v>0.12081699999999999</v>
      </c>
      <c r="DC118">
        <v>0.14638899999999999</v>
      </c>
      <c r="DD118">
        <v>0.10548</v>
      </c>
      <c r="DE118">
        <v>6.3419600000000007E-2</v>
      </c>
      <c r="DF118">
        <v>32108.2</v>
      </c>
      <c r="DG118">
        <v>27522.799999999999</v>
      </c>
      <c r="DH118">
        <v>31177.8</v>
      </c>
      <c r="DI118">
        <v>28095.200000000001</v>
      </c>
      <c r="DJ118">
        <v>37867.300000000003</v>
      </c>
      <c r="DK118">
        <v>37423.699999999997</v>
      </c>
      <c r="DL118">
        <v>44371.9</v>
      </c>
      <c r="DM118">
        <v>42589.4</v>
      </c>
      <c r="DN118">
        <v>1.4384999999999999</v>
      </c>
      <c r="DO118">
        <v>2.0446</v>
      </c>
      <c r="DP118">
        <v>0.182003</v>
      </c>
      <c r="DQ118">
        <v>0.14865</v>
      </c>
      <c r="DR118">
        <v>24.080400000000001</v>
      </c>
      <c r="DS118">
        <v>23.8872</v>
      </c>
      <c r="DT118">
        <v>52.4</v>
      </c>
      <c r="DU118">
        <v>29</v>
      </c>
      <c r="DV118">
        <v>21.231200000000001</v>
      </c>
      <c r="DW118">
        <v>61.321199999999997</v>
      </c>
      <c r="DX118">
        <v>36.394199999999998</v>
      </c>
      <c r="DY118">
        <v>1</v>
      </c>
      <c r="DZ118">
        <v>-8.1725099999999995E-2</v>
      </c>
      <c r="EA118">
        <v>1.9396599999999999</v>
      </c>
      <c r="EB118">
        <v>20.174900000000001</v>
      </c>
      <c r="EC118">
        <v>5.2408000000000001</v>
      </c>
      <c r="ED118">
        <v>12.039899999999999</v>
      </c>
      <c r="EE118">
        <v>5.0170000000000003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1.8689100000000001</v>
      </c>
      <c r="EL118">
        <v>1.8646199999999999</v>
      </c>
      <c r="EM118">
        <v>1.8692</v>
      </c>
      <c r="EN118">
        <v>1.8672299999999999</v>
      </c>
      <c r="EO118">
        <v>1.8633999999999999</v>
      </c>
      <c r="EP118">
        <v>1.8644700000000001</v>
      </c>
      <c r="EQ118">
        <v>1.87018</v>
      </c>
      <c r="ER118">
        <v>1.8694299999999999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-0.10199999999999999</v>
      </c>
      <c r="FG118">
        <v>0.27189999999999998</v>
      </c>
      <c r="FH118">
        <v>0.30965466913576151</v>
      </c>
      <c r="FI118">
        <v>-6.1462078757559423E-4</v>
      </c>
      <c r="FJ118">
        <v>-1.8861989874597051E-7</v>
      </c>
      <c r="FK118">
        <v>1.1980462299894961E-10</v>
      </c>
      <c r="FL118">
        <v>0.27184999999999349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26.8</v>
      </c>
      <c r="FU118">
        <v>27</v>
      </c>
      <c r="FV118">
        <v>1.7785599999999999</v>
      </c>
      <c r="FW118">
        <v>2.5903299999999998</v>
      </c>
      <c r="FX118">
        <v>1.5490699999999999</v>
      </c>
      <c r="FY118">
        <v>2.3278799999999999</v>
      </c>
      <c r="FZ118">
        <v>1.50146</v>
      </c>
      <c r="GA118">
        <v>2.2839399999999999</v>
      </c>
      <c r="GB118">
        <v>33.8735</v>
      </c>
      <c r="GC118">
        <v>23.973700000000001</v>
      </c>
      <c r="GD118">
        <v>19</v>
      </c>
      <c r="GE118">
        <v>267.64699999999999</v>
      </c>
      <c r="GF118">
        <v>591.56500000000005</v>
      </c>
      <c r="GG118">
        <v>22.104500000000002</v>
      </c>
      <c r="GH118">
        <v>26.290700000000001</v>
      </c>
      <c r="GI118">
        <v>30.000699999999998</v>
      </c>
      <c r="GJ118">
        <v>26.476299999999998</v>
      </c>
      <c r="GK118">
        <v>26.476500000000001</v>
      </c>
      <c r="GL118">
        <v>35.573300000000003</v>
      </c>
      <c r="GM118">
        <v>50.673299999999998</v>
      </c>
      <c r="GN118">
        <v>75.264200000000002</v>
      </c>
      <c r="GO118">
        <v>22.071400000000001</v>
      </c>
      <c r="GP118">
        <v>800</v>
      </c>
      <c r="GQ118">
        <v>10.846299999999999</v>
      </c>
      <c r="GR118">
        <v>99.759500000000003</v>
      </c>
      <c r="GS118">
        <v>99.625100000000003</v>
      </c>
    </row>
    <row r="119" spans="1:201" x14ac:dyDescent="0.25">
      <c r="A119">
        <v>103</v>
      </c>
      <c r="B119">
        <v>1690304939.5</v>
      </c>
      <c r="C119">
        <v>1189.5</v>
      </c>
      <c r="D119" t="s">
        <v>537</v>
      </c>
      <c r="E119" t="s">
        <v>538</v>
      </c>
      <c r="F119" t="s">
        <v>330</v>
      </c>
      <c r="H119">
        <v>1690304939.5</v>
      </c>
      <c r="I119">
        <f t="shared" si="30"/>
        <v>9.9657140708007746E-4</v>
      </c>
      <c r="J119">
        <f t="shared" si="31"/>
        <v>0.99657140708007752</v>
      </c>
      <c r="K119">
        <f t="shared" si="32"/>
        <v>17.762935717790555</v>
      </c>
      <c r="L119">
        <f t="shared" si="33"/>
        <v>598.16999999999996</v>
      </c>
      <c r="M119">
        <f t="shared" si="34"/>
        <v>179.72044785961307</v>
      </c>
      <c r="N119">
        <f t="shared" si="35"/>
        <v>17.854823561608455</v>
      </c>
      <c r="O119">
        <f t="shared" si="36"/>
        <v>59.426848402859996</v>
      </c>
      <c r="P119">
        <f t="shared" si="37"/>
        <v>7.0507116331197828E-2</v>
      </c>
      <c r="Q119">
        <f t="shared" si="38"/>
        <v>2.102006130813427</v>
      </c>
      <c r="R119">
        <f t="shared" si="39"/>
        <v>6.921912140776719E-2</v>
      </c>
      <c r="S119">
        <f t="shared" si="40"/>
        <v>4.3375712350601295E-2</v>
      </c>
      <c r="T119">
        <f t="shared" si="41"/>
        <v>276.11569332000005</v>
      </c>
      <c r="U119">
        <f t="shared" si="42"/>
        <v>26.759075340179859</v>
      </c>
      <c r="V119">
        <f t="shared" si="43"/>
        <v>26.759075340179859</v>
      </c>
      <c r="W119">
        <f t="shared" si="44"/>
        <v>3.5288259202183241</v>
      </c>
      <c r="X119">
        <f t="shared" si="45"/>
        <v>67.692500015023441</v>
      </c>
      <c r="Y119">
        <f t="shared" si="46"/>
        <v>2.1392850773414001</v>
      </c>
      <c r="Z119">
        <f t="shared" si="47"/>
        <v>3.1602985217957893</v>
      </c>
      <c r="AA119">
        <f t="shared" si="48"/>
        <v>1.389540842876924</v>
      </c>
      <c r="AB119">
        <f t="shared" si="49"/>
        <v>-43.948799052231415</v>
      </c>
      <c r="AC119">
        <f t="shared" si="50"/>
        <v>-210.95996224910766</v>
      </c>
      <c r="AD119">
        <f t="shared" si="51"/>
        <v>-21.406546113063339</v>
      </c>
      <c r="AE119">
        <f t="shared" si="52"/>
        <v>-0.19961409440236366</v>
      </c>
      <c r="AF119">
        <v>11</v>
      </c>
      <c r="AG119">
        <v>4</v>
      </c>
      <c r="AH119">
        <f t="shared" si="53"/>
        <v>1</v>
      </c>
      <c r="AI119">
        <f t="shared" si="54"/>
        <v>0</v>
      </c>
      <c r="AJ119">
        <f t="shared" si="55"/>
        <v>52945.035620469054</v>
      </c>
      <c r="AK119">
        <f t="shared" si="56"/>
        <v>1800</v>
      </c>
      <c r="AL119">
        <f t="shared" si="57"/>
        <v>1499.1122519999999</v>
      </c>
      <c r="AM119">
        <f t="shared" si="58"/>
        <v>0.83284013999999995</v>
      </c>
      <c r="AN119">
        <f t="shared" si="59"/>
        <v>0.15339760740000002</v>
      </c>
      <c r="AO119">
        <v>33</v>
      </c>
      <c r="AP119">
        <v>0.5</v>
      </c>
      <c r="AQ119" t="s">
        <v>331</v>
      </c>
      <c r="AR119">
        <v>2</v>
      </c>
      <c r="AS119">
        <v>1690304939.5</v>
      </c>
      <c r="AT119">
        <v>598.16999999999996</v>
      </c>
      <c r="AU119">
        <v>800.05499999999995</v>
      </c>
      <c r="AV119">
        <v>21.533300000000001</v>
      </c>
      <c r="AW119">
        <v>10.810499999999999</v>
      </c>
      <c r="AX119">
        <v>598.27</v>
      </c>
      <c r="AY119">
        <v>21.261500000000002</v>
      </c>
      <c r="AZ119">
        <v>300.096</v>
      </c>
      <c r="BA119">
        <v>99.247699999999995</v>
      </c>
      <c r="BB119">
        <v>0.10005799999999999</v>
      </c>
      <c r="BC119">
        <v>24.897500000000001</v>
      </c>
      <c r="BD119">
        <v>26.9268</v>
      </c>
      <c r="BE119">
        <v>26.279599999999999</v>
      </c>
      <c r="BF119">
        <v>0</v>
      </c>
      <c r="BG119">
        <v>0</v>
      </c>
      <c r="BH119">
        <v>10018.799999999999</v>
      </c>
      <c r="BI119">
        <v>1049.78</v>
      </c>
      <c r="BJ119">
        <v>1.6399300000000001</v>
      </c>
      <c r="BK119">
        <v>-201.88499999999999</v>
      </c>
      <c r="BL119">
        <v>611.33399999999995</v>
      </c>
      <c r="BM119">
        <v>808.79899999999998</v>
      </c>
      <c r="BN119">
        <v>10.722799999999999</v>
      </c>
      <c r="BO119">
        <v>800.05499999999995</v>
      </c>
      <c r="BP119">
        <v>10.810499999999999</v>
      </c>
      <c r="BQ119">
        <v>2.13713</v>
      </c>
      <c r="BR119">
        <v>1.0729200000000001</v>
      </c>
      <c r="BS119">
        <v>18.498699999999999</v>
      </c>
      <c r="BT119">
        <v>7.94611</v>
      </c>
      <c r="BU119">
        <v>1800</v>
      </c>
      <c r="BV119">
        <v>0.90999600000000003</v>
      </c>
      <c r="BW119">
        <v>3.3999300000000003E-2</v>
      </c>
      <c r="BX119">
        <v>2.2002000000000001E-2</v>
      </c>
      <c r="BY119">
        <v>3.4002999999999999E-2</v>
      </c>
      <c r="BZ119">
        <v>26</v>
      </c>
      <c r="CA119">
        <v>33528.400000000001</v>
      </c>
      <c r="CB119">
        <v>1690303320.5</v>
      </c>
      <c r="CC119" t="s">
        <v>332</v>
      </c>
      <c r="CD119">
        <v>1690303320.5</v>
      </c>
      <c r="CE119">
        <v>1690303310.0999999</v>
      </c>
      <c r="CF119">
        <v>8</v>
      </c>
      <c r="CG119">
        <v>7.3999999999999996E-2</v>
      </c>
      <c r="CH119">
        <v>-0.01</v>
      </c>
      <c r="CI119">
        <v>-0.24199999999999999</v>
      </c>
      <c r="CJ119">
        <v>0.27200000000000002</v>
      </c>
      <c r="CK119">
        <v>800</v>
      </c>
      <c r="CL119">
        <v>23</v>
      </c>
      <c r="CM119">
        <v>0.06</v>
      </c>
      <c r="CN119">
        <v>0.09</v>
      </c>
      <c r="CO119">
        <v>-198.40632500000001</v>
      </c>
      <c r="CP119">
        <v>-19.170900562851681</v>
      </c>
      <c r="CQ119">
        <v>1.846027578172929</v>
      </c>
      <c r="CR119">
        <v>-1</v>
      </c>
      <c r="CS119">
        <v>10.626065000000001</v>
      </c>
      <c r="CT119">
        <v>0.37382138836772388</v>
      </c>
      <c r="CU119">
        <v>3.7435000667824188E-2</v>
      </c>
      <c r="CV119">
        <v>-1</v>
      </c>
      <c r="CW119">
        <v>0</v>
      </c>
      <c r="CX119">
        <v>0</v>
      </c>
      <c r="CY119" t="s">
        <v>333</v>
      </c>
      <c r="CZ119">
        <v>2.3642799999999999</v>
      </c>
      <c r="DA119">
        <v>2.7138599999999999</v>
      </c>
      <c r="DB119">
        <v>0.120368</v>
      </c>
      <c r="DC119">
        <v>0.14639199999999999</v>
      </c>
      <c r="DD119">
        <v>0.10530299999999999</v>
      </c>
      <c r="DE119">
        <v>6.28716E-2</v>
      </c>
      <c r="DF119">
        <v>32124.9</v>
      </c>
      <c r="DG119">
        <v>27522.9</v>
      </c>
      <c r="DH119">
        <v>31178.1</v>
      </c>
      <c r="DI119">
        <v>28095.4</v>
      </c>
      <c r="DJ119">
        <v>37875.199999999997</v>
      </c>
      <c r="DK119">
        <v>37446</v>
      </c>
      <c r="DL119">
        <v>44372.4</v>
      </c>
      <c r="DM119">
        <v>42589.8</v>
      </c>
      <c r="DN119">
        <v>1.43865</v>
      </c>
      <c r="DO119">
        <v>2.0447500000000001</v>
      </c>
      <c r="DP119">
        <v>0.173286</v>
      </c>
      <c r="DQ119">
        <v>0.14543500000000001</v>
      </c>
      <c r="DR119">
        <v>24.085899999999999</v>
      </c>
      <c r="DS119">
        <v>23.893699999999999</v>
      </c>
      <c r="DT119">
        <v>52.3</v>
      </c>
      <c r="DU119">
        <v>29</v>
      </c>
      <c r="DV119">
        <v>21.191400000000002</v>
      </c>
      <c r="DW119">
        <v>61.341200000000001</v>
      </c>
      <c r="DX119">
        <v>36.582500000000003</v>
      </c>
      <c r="DY119">
        <v>1</v>
      </c>
      <c r="DZ119">
        <v>-8.3353700000000003E-2</v>
      </c>
      <c r="EA119">
        <v>1.39276</v>
      </c>
      <c r="EB119">
        <v>20.181999999999999</v>
      </c>
      <c r="EC119">
        <v>5.2406499999999996</v>
      </c>
      <c r="ED119">
        <v>12.039899999999999</v>
      </c>
      <c r="EE119">
        <v>5.0168999999999997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1.8689100000000001</v>
      </c>
      <c r="EL119">
        <v>1.8646199999999999</v>
      </c>
      <c r="EM119">
        <v>1.8692</v>
      </c>
      <c r="EN119">
        <v>1.8672299999999999</v>
      </c>
      <c r="EO119">
        <v>1.8633999999999999</v>
      </c>
      <c r="EP119">
        <v>1.8644799999999999</v>
      </c>
      <c r="EQ119">
        <v>1.8702000000000001</v>
      </c>
      <c r="ER119">
        <v>1.86941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-0.1</v>
      </c>
      <c r="FG119">
        <v>0.27179999999999999</v>
      </c>
      <c r="FH119">
        <v>0.30965466913576151</v>
      </c>
      <c r="FI119">
        <v>-6.1462078757559423E-4</v>
      </c>
      <c r="FJ119">
        <v>-1.8861989874597051E-7</v>
      </c>
      <c r="FK119">
        <v>1.1980462299894961E-10</v>
      </c>
      <c r="FL119">
        <v>0.27184999999999349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27</v>
      </c>
      <c r="FU119">
        <v>27.2</v>
      </c>
      <c r="FV119">
        <v>1.7785599999999999</v>
      </c>
      <c r="FW119">
        <v>2.5927699999999998</v>
      </c>
      <c r="FX119">
        <v>1.5490699999999999</v>
      </c>
      <c r="FY119">
        <v>2.3278799999999999</v>
      </c>
      <c r="FZ119">
        <v>1.50146</v>
      </c>
      <c r="GA119">
        <v>2.4047900000000002</v>
      </c>
      <c r="GB119">
        <v>33.8735</v>
      </c>
      <c r="GC119">
        <v>23.982399999999998</v>
      </c>
      <c r="GD119">
        <v>19</v>
      </c>
      <c r="GE119">
        <v>267.685</v>
      </c>
      <c r="GF119">
        <v>591.63300000000004</v>
      </c>
      <c r="GG119">
        <v>21.9437</v>
      </c>
      <c r="GH119">
        <v>26.285699999999999</v>
      </c>
      <c r="GI119">
        <v>29.999600000000001</v>
      </c>
      <c r="GJ119">
        <v>26.470700000000001</v>
      </c>
      <c r="GK119">
        <v>26.471499999999999</v>
      </c>
      <c r="GL119">
        <v>35.564799999999998</v>
      </c>
      <c r="GM119">
        <v>50.963999999999999</v>
      </c>
      <c r="GN119">
        <v>74.892200000000003</v>
      </c>
      <c r="GO119">
        <v>21.9772</v>
      </c>
      <c r="GP119">
        <v>800</v>
      </c>
      <c r="GQ119">
        <v>10.727499999999999</v>
      </c>
      <c r="GR119">
        <v>99.760599999999997</v>
      </c>
      <c r="GS119">
        <v>99.625900000000001</v>
      </c>
    </row>
    <row r="120" spans="1:201" x14ac:dyDescent="0.25">
      <c r="A120">
        <v>104</v>
      </c>
      <c r="B120">
        <v>1690304949.5</v>
      </c>
      <c r="C120">
        <v>1199.5</v>
      </c>
      <c r="D120" t="s">
        <v>539</v>
      </c>
      <c r="E120" t="s">
        <v>540</v>
      </c>
      <c r="F120" t="s">
        <v>330</v>
      </c>
      <c r="H120">
        <v>1690304949.5</v>
      </c>
      <c r="I120">
        <f t="shared" si="30"/>
        <v>1.0088047677968841E-3</v>
      </c>
      <c r="J120">
        <f t="shared" si="31"/>
        <v>1.0088047677968841</v>
      </c>
      <c r="K120">
        <f t="shared" si="32"/>
        <v>18.040476425901126</v>
      </c>
      <c r="L120">
        <f t="shared" si="33"/>
        <v>595.07100000000003</v>
      </c>
      <c r="M120">
        <f t="shared" si="34"/>
        <v>177.0728177862261</v>
      </c>
      <c r="N120">
        <f t="shared" si="35"/>
        <v>17.591810664050499</v>
      </c>
      <c r="O120">
        <f t="shared" si="36"/>
        <v>59.119047714626106</v>
      </c>
      <c r="P120">
        <f t="shared" si="37"/>
        <v>7.1691057823450782E-2</v>
      </c>
      <c r="Q120">
        <f t="shared" si="38"/>
        <v>2.097542665115486</v>
      </c>
      <c r="R120">
        <f t="shared" si="39"/>
        <v>7.035710849372219E-2</v>
      </c>
      <c r="S120">
        <f t="shared" si="40"/>
        <v>4.4090975493475806E-2</v>
      </c>
      <c r="T120">
        <f t="shared" si="41"/>
        <v>276.11410201424451</v>
      </c>
      <c r="U120">
        <f t="shared" si="42"/>
        <v>26.742853790045483</v>
      </c>
      <c r="V120">
        <f t="shared" si="43"/>
        <v>26.742853790045483</v>
      </c>
      <c r="W120">
        <f t="shared" si="44"/>
        <v>3.5254592449261999</v>
      </c>
      <c r="X120">
        <f t="shared" si="45"/>
        <v>67.828538843439475</v>
      </c>
      <c r="Y120">
        <f t="shared" si="46"/>
        <v>2.1416027061730603</v>
      </c>
      <c r="Z120">
        <f t="shared" si="47"/>
        <v>3.1573770313942138</v>
      </c>
      <c r="AA120">
        <f t="shared" si="48"/>
        <v>1.3838565387531396</v>
      </c>
      <c r="AB120">
        <f t="shared" si="49"/>
        <v>-44.488290259842586</v>
      </c>
      <c r="AC120">
        <f t="shared" si="50"/>
        <v>-210.43040840156343</v>
      </c>
      <c r="AD120">
        <f t="shared" si="51"/>
        <v>-21.394841701358803</v>
      </c>
      <c r="AE120">
        <f t="shared" si="52"/>
        <v>-0.19943834852031728</v>
      </c>
      <c r="AF120">
        <v>11</v>
      </c>
      <c r="AG120">
        <v>4</v>
      </c>
      <c r="AH120">
        <f t="shared" si="53"/>
        <v>1</v>
      </c>
      <c r="AI120">
        <f t="shared" si="54"/>
        <v>0</v>
      </c>
      <c r="AJ120">
        <f t="shared" si="55"/>
        <v>52748.062530428091</v>
      </c>
      <c r="AK120">
        <f t="shared" si="56"/>
        <v>1799.99</v>
      </c>
      <c r="AL120">
        <f t="shared" si="57"/>
        <v>1499.1036626000498</v>
      </c>
      <c r="AM120">
        <f t="shared" si="58"/>
        <v>0.83283999499999994</v>
      </c>
      <c r="AN120">
        <f t="shared" si="59"/>
        <v>0.15339757555</v>
      </c>
      <c r="AO120">
        <v>33</v>
      </c>
      <c r="AP120">
        <v>0.5</v>
      </c>
      <c r="AQ120" t="s">
        <v>331</v>
      </c>
      <c r="AR120">
        <v>2</v>
      </c>
      <c r="AS120">
        <v>1690304949.5</v>
      </c>
      <c r="AT120">
        <v>595.07100000000003</v>
      </c>
      <c r="AU120">
        <v>799.98099999999999</v>
      </c>
      <c r="AV120">
        <v>21.5566</v>
      </c>
      <c r="AW120">
        <v>10.706300000000001</v>
      </c>
      <c r="AX120">
        <v>595.16899999999998</v>
      </c>
      <c r="AY120">
        <v>21.284800000000001</v>
      </c>
      <c r="AZ120">
        <v>300.20299999999997</v>
      </c>
      <c r="BA120">
        <v>99.247900000000001</v>
      </c>
      <c r="BB120">
        <v>9.9989099999999997E-2</v>
      </c>
      <c r="BC120">
        <v>24.882000000000001</v>
      </c>
      <c r="BD120">
        <v>26.901399999999999</v>
      </c>
      <c r="BE120">
        <v>26.253</v>
      </c>
      <c r="BF120">
        <v>0</v>
      </c>
      <c r="BG120">
        <v>0</v>
      </c>
      <c r="BH120">
        <v>9979.3799999999992</v>
      </c>
      <c r="BI120">
        <v>1049.74</v>
      </c>
      <c r="BJ120">
        <v>1.62592</v>
      </c>
      <c r="BK120">
        <v>-204.90899999999999</v>
      </c>
      <c r="BL120">
        <v>608.18200000000002</v>
      </c>
      <c r="BM120">
        <v>808.63800000000003</v>
      </c>
      <c r="BN120">
        <v>10.850300000000001</v>
      </c>
      <c r="BO120">
        <v>799.98099999999999</v>
      </c>
      <c r="BP120">
        <v>10.706300000000001</v>
      </c>
      <c r="BQ120">
        <v>2.1394500000000001</v>
      </c>
      <c r="BR120">
        <v>1.0625800000000001</v>
      </c>
      <c r="BS120">
        <v>18.515999999999998</v>
      </c>
      <c r="BT120">
        <v>7.8039399999999999</v>
      </c>
      <c r="BU120">
        <v>1799.99</v>
      </c>
      <c r="BV120">
        <v>0.90999600000000003</v>
      </c>
      <c r="BW120">
        <v>3.39992E-2</v>
      </c>
      <c r="BX120">
        <v>2.2002000000000001E-2</v>
      </c>
      <c r="BY120">
        <v>3.4002900000000003E-2</v>
      </c>
      <c r="BZ120">
        <v>26</v>
      </c>
      <c r="CA120">
        <v>33528.199999999997</v>
      </c>
      <c r="CB120">
        <v>1690303320.5</v>
      </c>
      <c r="CC120" t="s">
        <v>332</v>
      </c>
      <c r="CD120">
        <v>1690303320.5</v>
      </c>
      <c r="CE120">
        <v>1690303310.0999999</v>
      </c>
      <c r="CF120">
        <v>8</v>
      </c>
      <c r="CG120">
        <v>7.3999999999999996E-2</v>
      </c>
      <c r="CH120">
        <v>-0.01</v>
      </c>
      <c r="CI120">
        <v>-0.24199999999999999</v>
      </c>
      <c r="CJ120">
        <v>0.27200000000000002</v>
      </c>
      <c r="CK120">
        <v>800</v>
      </c>
      <c r="CL120">
        <v>23</v>
      </c>
      <c r="CM120">
        <v>0.06</v>
      </c>
      <c r="CN120">
        <v>0.09</v>
      </c>
      <c r="CO120">
        <v>-201.35375609756099</v>
      </c>
      <c r="CP120">
        <v>-18.820202090592261</v>
      </c>
      <c r="CQ120">
        <v>1.856191758130237</v>
      </c>
      <c r="CR120">
        <v>-1</v>
      </c>
      <c r="CS120">
        <v>10.715685365853661</v>
      </c>
      <c r="CT120">
        <v>0.65453937282231311</v>
      </c>
      <c r="CU120">
        <v>6.7971907974152396E-2</v>
      </c>
      <c r="CV120">
        <v>-1</v>
      </c>
      <c r="CW120">
        <v>0</v>
      </c>
      <c r="CX120">
        <v>0</v>
      </c>
      <c r="CY120" t="s">
        <v>333</v>
      </c>
      <c r="CZ120">
        <v>2.3646500000000001</v>
      </c>
      <c r="DA120">
        <v>2.7137600000000002</v>
      </c>
      <c r="DB120">
        <v>0.11992999999999999</v>
      </c>
      <c r="DC120">
        <v>0.14638200000000001</v>
      </c>
      <c r="DD120">
        <v>0.10538699999999999</v>
      </c>
      <c r="DE120">
        <v>6.2409899999999997E-2</v>
      </c>
      <c r="DF120">
        <v>32141.4</v>
      </c>
      <c r="DG120">
        <v>27524.400000000001</v>
      </c>
      <c r="DH120">
        <v>31178.5</v>
      </c>
      <c r="DI120">
        <v>28096.6</v>
      </c>
      <c r="DJ120">
        <v>37872.1</v>
      </c>
      <c r="DK120">
        <v>37466.1</v>
      </c>
      <c r="DL120">
        <v>44373.1</v>
      </c>
      <c r="DM120">
        <v>42591.6</v>
      </c>
      <c r="DN120">
        <v>1.4394199999999999</v>
      </c>
      <c r="DO120">
        <v>2.0445500000000001</v>
      </c>
      <c r="DP120">
        <v>0.17152000000000001</v>
      </c>
      <c r="DQ120">
        <v>0.14365800000000001</v>
      </c>
      <c r="DR120">
        <v>24.089400000000001</v>
      </c>
      <c r="DS120">
        <v>23.8962</v>
      </c>
      <c r="DT120">
        <v>52</v>
      </c>
      <c r="DU120">
        <v>29.1</v>
      </c>
      <c r="DV120">
        <v>21.1966</v>
      </c>
      <c r="DW120">
        <v>61.331200000000003</v>
      </c>
      <c r="DX120">
        <v>35.777200000000001</v>
      </c>
      <c r="DY120">
        <v>1</v>
      </c>
      <c r="DZ120">
        <v>-8.4839899999999996E-2</v>
      </c>
      <c r="EA120">
        <v>0.72386200000000001</v>
      </c>
      <c r="EB120">
        <v>20.1877</v>
      </c>
      <c r="EC120">
        <v>5.2408000000000001</v>
      </c>
      <c r="ED120">
        <v>12.039899999999999</v>
      </c>
      <c r="EE120">
        <v>5.0170500000000002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1.8689199999999999</v>
      </c>
      <c r="EL120">
        <v>1.8646199999999999</v>
      </c>
      <c r="EM120">
        <v>1.8692</v>
      </c>
      <c r="EN120">
        <v>1.8672500000000001</v>
      </c>
      <c r="EO120">
        <v>1.8633999999999999</v>
      </c>
      <c r="EP120">
        <v>1.86449</v>
      </c>
      <c r="EQ120">
        <v>1.8702000000000001</v>
      </c>
      <c r="ER120">
        <v>1.8694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-9.8000000000000004E-2</v>
      </c>
      <c r="FG120">
        <v>0.27179999999999999</v>
      </c>
      <c r="FH120">
        <v>0.30965466913576151</v>
      </c>
      <c r="FI120">
        <v>-6.1462078757559423E-4</v>
      </c>
      <c r="FJ120">
        <v>-1.8861989874597051E-7</v>
      </c>
      <c r="FK120">
        <v>1.1980462299894961E-10</v>
      </c>
      <c r="FL120">
        <v>0.27184999999999349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27.1</v>
      </c>
      <c r="FU120">
        <v>27.3</v>
      </c>
      <c r="FV120">
        <v>1.7785599999999999</v>
      </c>
      <c r="FW120">
        <v>2.5891099999999998</v>
      </c>
      <c r="FX120">
        <v>1.5490699999999999</v>
      </c>
      <c r="FY120">
        <v>2.3278799999999999</v>
      </c>
      <c r="FZ120">
        <v>1.50146</v>
      </c>
      <c r="GA120">
        <v>2.3791500000000001</v>
      </c>
      <c r="GB120">
        <v>33.896099999999997</v>
      </c>
      <c r="GC120">
        <v>23.982399999999998</v>
      </c>
      <c r="GD120">
        <v>19</v>
      </c>
      <c r="GE120">
        <v>267.98500000000001</v>
      </c>
      <c r="GF120">
        <v>591.41499999999996</v>
      </c>
      <c r="GG120">
        <v>22.018899999999999</v>
      </c>
      <c r="GH120">
        <v>26.280200000000001</v>
      </c>
      <c r="GI120">
        <v>29.999500000000001</v>
      </c>
      <c r="GJ120">
        <v>26.4663</v>
      </c>
      <c r="GK120">
        <v>26.467099999999999</v>
      </c>
      <c r="GL120">
        <v>35.563699999999997</v>
      </c>
      <c r="GM120">
        <v>51.243899999999996</v>
      </c>
      <c r="GN120">
        <v>74.114999999999995</v>
      </c>
      <c r="GO120">
        <v>22.085799999999999</v>
      </c>
      <c r="GP120">
        <v>800</v>
      </c>
      <c r="GQ120">
        <v>10.565</v>
      </c>
      <c r="GR120">
        <v>99.762100000000004</v>
      </c>
      <c r="GS120">
        <v>99.63</v>
      </c>
    </row>
    <row r="121" spans="1:201" x14ac:dyDescent="0.25">
      <c r="A121">
        <v>105</v>
      </c>
      <c r="B121">
        <v>1690304959.5</v>
      </c>
      <c r="C121">
        <v>1209.5</v>
      </c>
      <c r="D121" t="s">
        <v>541</v>
      </c>
      <c r="E121" t="s">
        <v>542</v>
      </c>
      <c r="F121" t="s">
        <v>330</v>
      </c>
      <c r="H121">
        <v>1690304959.5</v>
      </c>
      <c r="I121">
        <f t="shared" si="30"/>
        <v>1.0346088275945044E-3</v>
      </c>
      <c r="J121">
        <f t="shared" si="31"/>
        <v>1.0346088275945045</v>
      </c>
      <c r="K121">
        <f t="shared" si="32"/>
        <v>18.324519689813595</v>
      </c>
      <c r="L121">
        <f t="shared" si="33"/>
        <v>591.98099999999999</v>
      </c>
      <c r="M121">
        <f t="shared" si="34"/>
        <v>180.42810083275219</v>
      </c>
      <c r="N121">
        <f t="shared" si="35"/>
        <v>17.92532109575497</v>
      </c>
      <c r="O121">
        <f t="shared" si="36"/>
        <v>58.812620975390104</v>
      </c>
      <c r="P121">
        <f t="shared" si="37"/>
        <v>7.4011906920968998E-2</v>
      </c>
      <c r="Q121">
        <f t="shared" si="38"/>
        <v>2.1013751279895945</v>
      </c>
      <c r="R121">
        <f t="shared" si="39"/>
        <v>7.2593652065375269E-2</v>
      </c>
      <c r="S121">
        <f t="shared" si="40"/>
        <v>4.5496193477967468E-2</v>
      </c>
      <c r="T121">
        <f t="shared" si="41"/>
        <v>276.11542965599995</v>
      </c>
      <c r="U121">
        <f t="shared" si="42"/>
        <v>26.73454696937058</v>
      </c>
      <c r="V121">
        <f t="shared" si="43"/>
        <v>26.73454696937058</v>
      </c>
      <c r="W121">
        <f t="shared" si="44"/>
        <v>3.5237363052385264</v>
      </c>
      <c r="X121">
        <f t="shared" si="45"/>
        <v>68.022597160742038</v>
      </c>
      <c r="Y121">
        <f t="shared" si="46"/>
        <v>2.1482297313815102</v>
      </c>
      <c r="Z121">
        <f t="shared" si="47"/>
        <v>3.158111893765386</v>
      </c>
      <c r="AA121">
        <f t="shared" si="48"/>
        <v>1.3755065738570162</v>
      </c>
      <c r="AB121">
        <f t="shared" si="49"/>
        <v>-45.626249296917649</v>
      </c>
      <c r="AC121">
        <f t="shared" si="50"/>
        <v>-209.43198747386427</v>
      </c>
      <c r="AD121">
        <f t="shared" si="51"/>
        <v>-21.254023037762177</v>
      </c>
      <c r="AE121">
        <f t="shared" si="52"/>
        <v>-0.19683015254415182</v>
      </c>
      <c r="AF121">
        <v>11</v>
      </c>
      <c r="AG121">
        <v>4</v>
      </c>
      <c r="AH121">
        <f t="shared" si="53"/>
        <v>1</v>
      </c>
      <c r="AI121">
        <f t="shared" si="54"/>
        <v>0</v>
      </c>
      <c r="AJ121">
        <f t="shared" si="55"/>
        <v>52918.856411472931</v>
      </c>
      <c r="AK121">
        <f t="shared" si="56"/>
        <v>1800</v>
      </c>
      <c r="AL121">
        <f t="shared" si="57"/>
        <v>1499.1114456</v>
      </c>
      <c r="AM121">
        <f t="shared" si="58"/>
        <v>0.83283969199999996</v>
      </c>
      <c r="AN121">
        <f t="shared" si="59"/>
        <v>0.15339746091999998</v>
      </c>
      <c r="AO121">
        <v>33</v>
      </c>
      <c r="AP121">
        <v>0.5</v>
      </c>
      <c r="AQ121" t="s">
        <v>331</v>
      </c>
      <c r="AR121">
        <v>2</v>
      </c>
      <c r="AS121">
        <v>1690304959.5</v>
      </c>
      <c r="AT121">
        <v>591.98099999999999</v>
      </c>
      <c r="AU121">
        <v>800.13800000000003</v>
      </c>
      <c r="AV121">
        <v>21.623100000000001</v>
      </c>
      <c r="AW121">
        <v>10.496499999999999</v>
      </c>
      <c r="AX121">
        <v>592.07600000000002</v>
      </c>
      <c r="AY121">
        <v>21.351199999999999</v>
      </c>
      <c r="AZ121">
        <v>300.21600000000001</v>
      </c>
      <c r="BA121">
        <v>99.248900000000006</v>
      </c>
      <c r="BB121">
        <v>9.9932099999999996E-2</v>
      </c>
      <c r="BC121">
        <v>24.885899999999999</v>
      </c>
      <c r="BD121">
        <v>26.854900000000001</v>
      </c>
      <c r="BE121">
        <v>26.226800000000001</v>
      </c>
      <c r="BF121">
        <v>0</v>
      </c>
      <c r="BG121">
        <v>0</v>
      </c>
      <c r="BH121">
        <v>10013.1</v>
      </c>
      <c r="BI121">
        <v>1049.9000000000001</v>
      </c>
      <c r="BJ121">
        <v>1.62592</v>
      </c>
      <c r="BK121">
        <v>-208.15700000000001</v>
      </c>
      <c r="BL121">
        <v>605.06399999999996</v>
      </c>
      <c r="BM121">
        <v>808.62599999999998</v>
      </c>
      <c r="BN121">
        <v>11.1266</v>
      </c>
      <c r="BO121">
        <v>800.13800000000003</v>
      </c>
      <c r="BP121">
        <v>10.496499999999999</v>
      </c>
      <c r="BQ121">
        <v>2.1460699999999999</v>
      </c>
      <c r="BR121">
        <v>1.0417700000000001</v>
      </c>
      <c r="BS121">
        <v>18.565300000000001</v>
      </c>
      <c r="BT121">
        <v>7.5140000000000002</v>
      </c>
      <c r="BU121">
        <v>1800</v>
      </c>
      <c r="BV121">
        <v>0.90999699999999994</v>
      </c>
      <c r="BW121">
        <v>3.3998599999999997E-2</v>
      </c>
      <c r="BX121">
        <v>2.20016E-2</v>
      </c>
      <c r="BY121">
        <v>3.4002400000000002E-2</v>
      </c>
      <c r="BZ121">
        <v>26</v>
      </c>
      <c r="CA121">
        <v>33528.300000000003</v>
      </c>
      <c r="CB121">
        <v>1690303320.5</v>
      </c>
      <c r="CC121" t="s">
        <v>332</v>
      </c>
      <c r="CD121">
        <v>1690303320.5</v>
      </c>
      <c r="CE121">
        <v>1690303310.0999999</v>
      </c>
      <c r="CF121">
        <v>8</v>
      </c>
      <c r="CG121">
        <v>7.3999999999999996E-2</v>
      </c>
      <c r="CH121">
        <v>-0.01</v>
      </c>
      <c r="CI121">
        <v>-0.24199999999999999</v>
      </c>
      <c r="CJ121">
        <v>0.27200000000000002</v>
      </c>
      <c r="CK121">
        <v>800</v>
      </c>
      <c r="CL121">
        <v>23</v>
      </c>
      <c r="CM121">
        <v>0.06</v>
      </c>
      <c r="CN121">
        <v>0.09</v>
      </c>
      <c r="CO121">
        <v>-204.8061463414634</v>
      </c>
      <c r="CP121">
        <v>-18.792313588850519</v>
      </c>
      <c r="CQ121">
        <v>1.85346980553976</v>
      </c>
      <c r="CR121">
        <v>-1</v>
      </c>
      <c r="CS121">
        <v>10.878960975609759</v>
      </c>
      <c r="CT121">
        <v>1.101457839721264</v>
      </c>
      <c r="CU121">
        <v>0.11152163057834601</v>
      </c>
      <c r="CV121">
        <v>-1</v>
      </c>
      <c r="CW121">
        <v>0</v>
      </c>
      <c r="CX121">
        <v>0</v>
      </c>
      <c r="CY121" t="s">
        <v>333</v>
      </c>
      <c r="CZ121">
        <v>2.3647</v>
      </c>
      <c r="DA121">
        <v>2.71374</v>
      </c>
      <c r="DB121">
        <v>0.119492</v>
      </c>
      <c r="DC121">
        <v>0.1464</v>
      </c>
      <c r="DD121">
        <v>0.10562199999999999</v>
      </c>
      <c r="DE121">
        <v>6.1474800000000003E-2</v>
      </c>
      <c r="DF121">
        <v>32157.9</v>
      </c>
      <c r="DG121">
        <v>27524.2</v>
      </c>
      <c r="DH121">
        <v>31179</v>
      </c>
      <c r="DI121">
        <v>28097</v>
      </c>
      <c r="DJ121">
        <v>37862.5</v>
      </c>
      <c r="DK121">
        <v>37504</v>
      </c>
      <c r="DL121">
        <v>44373.7</v>
      </c>
      <c r="DM121">
        <v>42592.1</v>
      </c>
      <c r="DN121">
        <v>1.4395</v>
      </c>
      <c r="DO121">
        <v>2.0442800000000001</v>
      </c>
      <c r="DP121">
        <v>0.16867699999999999</v>
      </c>
      <c r="DQ121">
        <v>0.14197100000000001</v>
      </c>
      <c r="DR121">
        <v>24.089400000000001</v>
      </c>
      <c r="DS121">
        <v>23.8977</v>
      </c>
      <c r="DT121">
        <v>51.8</v>
      </c>
      <c r="DU121">
        <v>29.1</v>
      </c>
      <c r="DV121">
        <v>21.113900000000001</v>
      </c>
      <c r="DW121">
        <v>61.501199999999997</v>
      </c>
      <c r="DX121">
        <v>35.520800000000001</v>
      </c>
      <c r="DY121">
        <v>1</v>
      </c>
      <c r="DZ121">
        <v>-8.5978200000000005E-2</v>
      </c>
      <c r="EA121">
        <v>0.55276999999999998</v>
      </c>
      <c r="EB121">
        <v>20.188400000000001</v>
      </c>
      <c r="EC121">
        <v>5.2409499999999998</v>
      </c>
      <c r="ED121">
        <v>12.039899999999999</v>
      </c>
      <c r="EE121">
        <v>5.01715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1.8689100000000001</v>
      </c>
      <c r="EL121">
        <v>1.8646199999999999</v>
      </c>
      <c r="EM121">
        <v>1.8692</v>
      </c>
      <c r="EN121">
        <v>1.86724</v>
      </c>
      <c r="EO121">
        <v>1.8633999999999999</v>
      </c>
      <c r="EP121">
        <v>1.8644700000000001</v>
      </c>
      <c r="EQ121">
        <v>1.8702000000000001</v>
      </c>
      <c r="ER121">
        <v>1.8694299999999999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-9.5000000000000001E-2</v>
      </c>
      <c r="FG121">
        <v>0.27189999999999998</v>
      </c>
      <c r="FH121">
        <v>0.30965466913576151</v>
      </c>
      <c r="FI121">
        <v>-6.1462078757559423E-4</v>
      </c>
      <c r="FJ121">
        <v>-1.8861989874597051E-7</v>
      </c>
      <c r="FK121">
        <v>1.1980462299894961E-10</v>
      </c>
      <c r="FL121">
        <v>0.27184999999999349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27.3</v>
      </c>
      <c r="FU121">
        <v>27.5</v>
      </c>
      <c r="FV121">
        <v>1.7785599999999999</v>
      </c>
      <c r="FW121">
        <v>2.5866699999999998</v>
      </c>
      <c r="FX121">
        <v>1.5490699999999999</v>
      </c>
      <c r="FY121">
        <v>2.3278799999999999</v>
      </c>
      <c r="FZ121">
        <v>1.50146</v>
      </c>
      <c r="GA121">
        <v>2.3791500000000001</v>
      </c>
      <c r="GB121">
        <v>33.896099999999997</v>
      </c>
      <c r="GC121">
        <v>23.982399999999998</v>
      </c>
      <c r="GD121">
        <v>19</v>
      </c>
      <c r="GE121">
        <v>268.00200000000001</v>
      </c>
      <c r="GF121">
        <v>591.13400000000001</v>
      </c>
      <c r="GG121">
        <v>22.1813</v>
      </c>
      <c r="GH121">
        <v>26.275700000000001</v>
      </c>
      <c r="GI121">
        <v>29.999700000000001</v>
      </c>
      <c r="GJ121">
        <v>26.462900000000001</v>
      </c>
      <c r="GK121">
        <v>26.462599999999998</v>
      </c>
      <c r="GL121">
        <v>35.558300000000003</v>
      </c>
      <c r="GM121">
        <v>51.799799999999998</v>
      </c>
      <c r="GN121">
        <v>73.723299999999995</v>
      </c>
      <c r="GO121">
        <v>22.215</v>
      </c>
      <c r="GP121">
        <v>800</v>
      </c>
      <c r="GQ121">
        <v>10.3651</v>
      </c>
      <c r="GR121">
        <v>99.763499999999993</v>
      </c>
      <c r="GS121">
        <v>99.631399999999999</v>
      </c>
    </row>
    <row r="122" spans="1:201" x14ac:dyDescent="0.25">
      <c r="A122">
        <v>106</v>
      </c>
      <c r="B122">
        <v>1690304969.5</v>
      </c>
      <c r="C122">
        <v>1219.5</v>
      </c>
      <c r="D122" t="s">
        <v>543</v>
      </c>
      <c r="E122" t="s">
        <v>544</v>
      </c>
      <c r="F122" t="s">
        <v>330</v>
      </c>
      <c r="H122">
        <v>1690304969.5</v>
      </c>
      <c r="I122">
        <f t="shared" si="30"/>
        <v>1.0576967124349113E-3</v>
      </c>
      <c r="J122">
        <f t="shared" si="31"/>
        <v>1.0576967124349113</v>
      </c>
      <c r="K122">
        <f t="shared" si="32"/>
        <v>18.574097718064067</v>
      </c>
      <c r="L122">
        <f t="shared" si="33"/>
        <v>588.96600000000001</v>
      </c>
      <c r="M122">
        <f t="shared" si="34"/>
        <v>181.82038438275217</v>
      </c>
      <c r="N122">
        <f t="shared" si="35"/>
        <v>18.063644640421312</v>
      </c>
      <c r="O122">
        <f t="shared" si="36"/>
        <v>58.513090077372006</v>
      </c>
      <c r="P122">
        <f t="shared" si="37"/>
        <v>7.5877257357234704E-2</v>
      </c>
      <c r="Q122">
        <f t="shared" si="38"/>
        <v>2.0958492552240395</v>
      </c>
      <c r="R122">
        <f t="shared" si="39"/>
        <v>7.4383542655372129E-2</v>
      </c>
      <c r="S122">
        <f t="shared" si="40"/>
        <v>4.6621469327780135E-2</v>
      </c>
      <c r="T122">
        <f t="shared" si="41"/>
        <v>276.11380676188486</v>
      </c>
      <c r="U122">
        <f t="shared" si="42"/>
        <v>26.745949928892692</v>
      </c>
      <c r="V122">
        <f t="shared" si="43"/>
        <v>26.745949928892692</v>
      </c>
      <c r="W122">
        <f t="shared" si="44"/>
        <v>3.526101611416157</v>
      </c>
      <c r="X122">
        <f t="shared" si="45"/>
        <v>68.136946533251646</v>
      </c>
      <c r="Y122">
        <f t="shared" si="46"/>
        <v>2.1537934806022001</v>
      </c>
      <c r="Z122">
        <f t="shared" si="47"/>
        <v>3.1609773994658283</v>
      </c>
      <c r="AA122">
        <f t="shared" si="48"/>
        <v>1.3723081308139569</v>
      </c>
      <c r="AB122">
        <f t="shared" si="49"/>
        <v>-46.644425018379586</v>
      </c>
      <c r="AC122">
        <f t="shared" si="50"/>
        <v>-208.45222246461975</v>
      </c>
      <c r="AD122">
        <f t="shared" si="51"/>
        <v>-21.213200000301981</v>
      </c>
      <c r="AE122">
        <f t="shared" si="52"/>
        <v>-0.19604072141646611</v>
      </c>
      <c r="AF122">
        <v>11</v>
      </c>
      <c r="AG122">
        <v>4</v>
      </c>
      <c r="AH122">
        <f t="shared" si="53"/>
        <v>1</v>
      </c>
      <c r="AI122">
        <f t="shared" si="54"/>
        <v>0</v>
      </c>
      <c r="AJ122">
        <f t="shared" si="55"/>
        <v>52669.062021187936</v>
      </c>
      <c r="AK122">
        <f t="shared" si="56"/>
        <v>1799.99</v>
      </c>
      <c r="AL122">
        <f t="shared" si="57"/>
        <v>1499.1033962015299</v>
      </c>
      <c r="AM122">
        <f t="shared" si="58"/>
        <v>0.83283984699999991</v>
      </c>
      <c r="AN122">
        <f t="shared" si="59"/>
        <v>0.15339741152000003</v>
      </c>
      <c r="AO122">
        <v>33</v>
      </c>
      <c r="AP122">
        <v>0.5</v>
      </c>
      <c r="AQ122" t="s">
        <v>331</v>
      </c>
      <c r="AR122">
        <v>2</v>
      </c>
      <c r="AS122">
        <v>1690304969.5</v>
      </c>
      <c r="AT122">
        <v>588.96600000000001</v>
      </c>
      <c r="AU122">
        <v>799.99</v>
      </c>
      <c r="AV122">
        <v>21.679099999999998</v>
      </c>
      <c r="AW122">
        <v>10.304399999999999</v>
      </c>
      <c r="AX122">
        <v>589.05899999999997</v>
      </c>
      <c r="AY122">
        <v>21.407299999999999</v>
      </c>
      <c r="AZ122">
        <v>300.20400000000001</v>
      </c>
      <c r="BA122">
        <v>99.248800000000003</v>
      </c>
      <c r="BB122">
        <v>0.10004200000000001</v>
      </c>
      <c r="BC122">
        <v>24.9011</v>
      </c>
      <c r="BD122">
        <v>26.875900000000001</v>
      </c>
      <c r="BE122">
        <v>26.256399999999999</v>
      </c>
      <c r="BF122">
        <v>0</v>
      </c>
      <c r="BG122">
        <v>0</v>
      </c>
      <c r="BH122">
        <v>9964.3799999999992</v>
      </c>
      <c r="BI122">
        <v>1050</v>
      </c>
      <c r="BJ122">
        <v>1.62592</v>
      </c>
      <c r="BK122">
        <v>-211.02500000000001</v>
      </c>
      <c r="BL122">
        <v>602.01700000000005</v>
      </c>
      <c r="BM122">
        <v>808.32</v>
      </c>
      <c r="BN122">
        <v>11.374700000000001</v>
      </c>
      <c r="BO122">
        <v>799.99</v>
      </c>
      <c r="BP122">
        <v>10.304399999999999</v>
      </c>
      <c r="BQ122">
        <v>2.1516299999999999</v>
      </c>
      <c r="BR122">
        <v>1.0226999999999999</v>
      </c>
      <c r="BS122">
        <v>18.6066</v>
      </c>
      <c r="BT122">
        <v>7.2438500000000001</v>
      </c>
      <c r="BU122">
        <v>1799.99</v>
      </c>
      <c r="BV122">
        <v>0.909999</v>
      </c>
      <c r="BW122">
        <v>3.3997899999999998E-2</v>
      </c>
      <c r="BX122">
        <v>2.2001099999999999E-2</v>
      </c>
      <c r="BY122">
        <v>3.40016E-2</v>
      </c>
      <c r="BZ122">
        <v>26</v>
      </c>
      <c r="CA122">
        <v>33528.199999999997</v>
      </c>
      <c r="CB122">
        <v>1690303320.5</v>
      </c>
      <c r="CC122" t="s">
        <v>332</v>
      </c>
      <c r="CD122">
        <v>1690303320.5</v>
      </c>
      <c r="CE122">
        <v>1690303310.0999999</v>
      </c>
      <c r="CF122">
        <v>8</v>
      </c>
      <c r="CG122">
        <v>7.3999999999999996E-2</v>
      </c>
      <c r="CH122">
        <v>-0.01</v>
      </c>
      <c r="CI122">
        <v>-0.24199999999999999</v>
      </c>
      <c r="CJ122">
        <v>0.27200000000000002</v>
      </c>
      <c r="CK122">
        <v>800</v>
      </c>
      <c r="CL122">
        <v>23</v>
      </c>
      <c r="CM122">
        <v>0.06</v>
      </c>
      <c r="CN122">
        <v>0.09</v>
      </c>
      <c r="CO122">
        <v>-207.6093170731707</v>
      </c>
      <c r="CP122">
        <v>-18.80514982578439</v>
      </c>
      <c r="CQ122">
        <v>1.855015882372669</v>
      </c>
      <c r="CR122">
        <v>-1</v>
      </c>
      <c r="CS122">
        <v>11.07026341463415</v>
      </c>
      <c r="CT122">
        <v>1.528511498257842</v>
      </c>
      <c r="CU122">
        <v>0.15101798432087599</v>
      </c>
      <c r="CV122">
        <v>-1</v>
      </c>
      <c r="CW122">
        <v>0</v>
      </c>
      <c r="CX122">
        <v>0</v>
      </c>
      <c r="CY122" t="s">
        <v>333</v>
      </c>
      <c r="CZ122">
        <v>2.3646600000000002</v>
      </c>
      <c r="DA122">
        <v>2.7138</v>
      </c>
      <c r="DB122">
        <v>0.119064</v>
      </c>
      <c r="DC122">
        <v>0.14638000000000001</v>
      </c>
      <c r="DD122">
        <v>0.105819</v>
      </c>
      <c r="DE122">
        <v>6.0612199999999998E-2</v>
      </c>
      <c r="DF122">
        <v>32174.3</v>
      </c>
      <c r="DG122">
        <v>27524.9</v>
      </c>
      <c r="DH122">
        <v>31179.7</v>
      </c>
      <c r="DI122">
        <v>28097</v>
      </c>
      <c r="DJ122">
        <v>37855</v>
      </c>
      <c r="DK122">
        <v>37538.699999999997</v>
      </c>
      <c r="DL122">
        <v>44374.8</v>
      </c>
      <c r="DM122">
        <v>42592.2</v>
      </c>
      <c r="DN122">
        <v>1.4398500000000001</v>
      </c>
      <c r="DO122">
        <v>2.0442499999999999</v>
      </c>
      <c r="DP122">
        <v>0.169963</v>
      </c>
      <c r="DQ122">
        <v>0.14377799999999999</v>
      </c>
      <c r="DR122">
        <v>24.089400000000001</v>
      </c>
      <c r="DS122">
        <v>23.8977</v>
      </c>
      <c r="DT122">
        <v>51.6</v>
      </c>
      <c r="DU122">
        <v>29</v>
      </c>
      <c r="DV122">
        <v>20.910900000000002</v>
      </c>
      <c r="DW122">
        <v>61.821199999999997</v>
      </c>
      <c r="DX122">
        <v>36.117800000000003</v>
      </c>
      <c r="DY122">
        <v>1</v>
      </c>
      <c r="DZ122">
        <v>-8.6651400000000003E-2</v>
      </c>
      <c r="EA122">
        <v>0.33771499999999999</v>
      </c>
      <c r="EB122">
        <v>20.189399999999999</v>
      </c>
      <c r="EC122">
        <v>5.2409499999999998</v>
      </c>
      <c r="ED122">
        <v>12.039899999999999</v>
      </c>
      <c r="EE122">
        <v>5.01715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1.8689199999999999</v>
      </c>
      <c r="EL122">
        <v>1.8646199999999999</v>
      </c>
      <c r="EM122">
        <v>1.8692</v>
      </c>
      <c r="EN122">
        <v>1.86724</v>
      </c>
      <c r="EO122">
        <v>1.8633999999999999</v>
      </c>
      <c r="EP122">
        <v>1.8644700000000001</v>
      </c>
      <c r="EQ122">
        <v>1.8702000000000001</v>
      </c>
      <c r="ER122">
        <v>1.8694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-9.2999999999999999E-2</v>
      </c>
      <c r="FG122">
        <v>0.27179999999999999</v>
      </c>
      <c r="FH122">
        <v>0.30965466913576151</v>
      </c>
      <c r="FI122">
        <v>-6.1462078757559423E-4</v>
      </c>
      <c r="FJ122">
        <v>-1.8861989874597051E-7</v>
      </c>
      <c r="FK122">
        <v>1.1980462299894961E-10</v>
      </c>
      <c r="FL122">
        <v>0.27184999999999349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27.5</v>
      </c>
      <c r="FU122">
        <v>27.7</v>
      </c>
      <c r="FV122">
        <v>1.7785599999999999</v>
      </c>
      <c r="FW122">
        <v>2.5903299999999998</v>
      </c>
      <c r="FX122">
        <v>1.5490699999999999</v>
      </c>
      <c r="FY122">
        <v>2.3290999999999999</v>
      </c>
      <c r="FZ122">
        <v>1.50146</v>
      </c>
      <c r="GA122">
        <v>2.31812</v>
      </c>
      <c r="GB122">
        <v>33.896099999999997</v>
      </c>
      <c r="GC122">
        <v>23.982399999999998</v>
      </c>
      <c r="GD122">
        <v>19</v>
      </c>
      <c r="GE122">
        <v>268.12700000000001</v>
      </c>
      <c r="GF122">
        <v>591.05700000000002</v>
      </c>
      <c r="GG122">
        <v>22.3613</v>
      </c>
      <c r="GH122">
        <v>26.2713</v>
      </c>
      <c r="GI122">
        <v>29.999700000000001</v>
      </c>
      <c r="GJ122">
        <v>26.458500000000001</v>
      </c>
      <c r="GK122">
        <v>26.457699999999999</v>
      </c>
      <c r="GL122">
        <v>35.558799999999998</v>
      </c>
      <c r="GM122">
        <v>52.634799999999998</v>
      </c>
      <c r="GN122">
        <v>72.936400000000006</v>
      </c>
      <c r="GO122">
        <v>22.398599999999998</v>
      </c>
      <c r="GP122">
        <v>800</v>
      </c>
      <c r="GQ122">
        <v>10.1615</v>
      </c>
      <c r="GR122">
        <v>99.766000000000005</v>
      </c>
      <c r="GS122">
        <v>99.631500000000003</v>
      </c>
    </row>
    <row r="123" spans="1:201" x14ac:dyDescent="0.25">
      <c r="A123">
        <v>107</v>
      </c>
      <c r="B123">
        <v>1690304979.5</v>
      </c>
      <c r="C123">
        <v>1229.5</v>
      </c>
      <c r="D123" t="s">
        <v>545</v>
      </c>
      <c r="E123" t="s">
        <v>546</v>
      </c>
      <c r="F123" t="s">
        <v>330</v>
      </c>
      <c r="H123">
        <v>1690304979.5</v>
      </c>
      <c r="I123">
        <f t="shared" si="30"/>
        <v>1.0812719680024299E-3</v>
      </c>
      <c r="J123">
        <f t="shared" si="31"/>
        <v>1.0812719680024299</v>
      </c>
      <c r="K123">
        <f t="shared" si="32"/>
        <v>18.838944661961936</v>
      </c>
      <c r="L123">
        <f t="shared" si="33"/>
        <v>585.99900000000002</v>
      </c>
      <c r="M123">
        <f t="shared" si="34"/>
        <v>182.23469462155174</v>
      </c>
      <c r="N123">
        <f t="shared" si="35"/>
        <v>18.104610618399509</v>
      </c>
      <c r="O123">
        <f t="shared" si="36"/>
        <v>58.217694165229496</v>
      </c>
      <c r="P123">
        <f t="shared" si="37"/>
        <v>7.7636325989208513E-2</v>
      </c>
      <c r="Q123">
        <f t="shared" si="38"/>
        <v>2.1042677580113613</v>
      </c>
      <c r="R123">
        <f t="shared" si="39"/>
        <v>7.6079437370805733E-2</v>
      </c>
      <c r="S123">
        <f t="shared" si="40"/>
        <v>4.768692820270358E-2</v>
      </c>
      <c r="T123">
        <f t="shared" si="41"/>
        <v>276.115494996</v>
      </c>
      <c r="U123">
        <f t="shared" si="42"/>
        <v>26.763772837678847</v>
      </c>
      <c r="V123">
        <f t="shared" si="43"/>
        <v>26.763772837678847</v>
      </c>
      <c r="W123">
        <f t="shared" si="44"/>
        <v>3.529801378660276</v>
      </c>
      <c r="X123">
        <f t="shared" si="45"/>
        <v>68.144081777730904</v>
      </c>
      <c r="Y123">
        <f t="shared" si="46"/>
        <v>2.1582508358961001</v>
      </c>
      <c r="Z123">
        <f t="shared" si="47"/>
        <v>3.1671874938982656</v>
      </c>
      <c r="AA123">
        <f t="shared" si="48"/>
        <v>1.3715505427641759</v>
      </c>
      <c r="AB123">
        <f t="shared" si="49"/>
        <v>-47.684093788907163</v>
      </c>
      <c r="AC123">
        <f t="shared" si="50"/>
        <v>-207.57909807303827</v>
      </c>
      <c r="AD123">
        <f t="shared" si="51"/>
        <v>-21.045188661827844</v>
      </c>
      <c r="AE123">
        <f t="shared" si="52"/>
        <v>-0.19288552777328505</v>
      </c>
      <c r="AF123">
        <v>11</v>
      </c>
      <c r="AG123">
        <v>4</v>
      </c>
      <c r="AH123">
        <f t="shared" si="53"/>
        <v>1</v>
      </c>
      <c r="AI123">
        <f t="shared" si="54"/>
        <v>0</v>
      </c>
      <c r="AJ123">
        <f t="shared" si="55"/>
        <v>53039.937908382082</v>
      </c>
      <c r="AK123">
        <f t="shared" si="56"/>
        <v>1800</v>
      </c>
      <c r="AL123">
        <f t="shared" si="57"/>
        <v>1499.1133895999999</v>
      </c>
      <c r="AM123">
        <f t="shared" si="58"/>
        <v>0.83284077199999995</v>
      </c>
      <c r="AN123">
        <f t="shared" si="59"/>
        <v>0.15339749722000001</v>
      </c>
      <c r="AO123">
        <v>33</v>
      </c>
      <c r="AP123">
        <v>0.5</v>
      </c>
      <c r="AQ123" t="s">
        <v>331</v>
      </c>
      <c r="AR123">
        <v>2</v>
      </c>
      <c r="AS123">
        <v>1690304979.5</v>
      </c>
      <c r="AT123">
        <v>585.99900000000002</v>
      </c>
      <c r="AU123">
        <v>800.15300000000002</v>
      </c>
      <c r="AV123">
        <v>21.7242</v>
      </c>
      <c r="AW123">
        <v>10.090999999999999</v>
      </c>
      <c r="AX123">
        <v>586.09</v>
      </c>
      <c r="AY123">
        <v>21.452300000000001</v>
      </c>
      <c r="AZ123">
        <v>300.06200000000001</v>
      </c>
      <c r="BA123">
        <v>99.247900000000001</v>
      </c>
      <c r="BB123">
        <v>9.9870500000000001E-2</v>
      </c>
      <c r="BC123">
        <v>24.934000000000001</v>
      </c>
      <c r="BD123">
        <v>26.926400000000001</v>
      </c>
      <c r="BE123">
        <v>26.249700000000001</v>
      </c>
      <c r="BF123">
        <v>0</v>
      </c>
      <c r="BG123">
        <v>0</v>
      </c>
      <c r="BH123">
        <v>10038.799999999999</v>
      </c>
      <c r="BI123">
        <v>1049.98</v>
      </c>
      <c r="BJ123">
        <v>1.62592</v>
      </c>
      <c r="BK123">
        <v>-214.154</v>
      </c>
      <c r="BL123">
        <v>599.01199999999994</v>
      </c>
      <c r="BM123">
        <v>808.31</v>
      </c>
      <c r="BN123">
        <v>11.6332</v>
      </c>
      <c r="BO123">
        <v>800.15300000000002</v>
      </c>
      <c r="BP123">
        <v>10.090999999999999</v>
      </c>
      <c r="BQ123">
        <v>2.1560800000000002</v>
      </c>
      <c r="BR123">
        <v>1.0015099999999999</v>
      </c>
      <c r="BS123">
        <v>18.639700000000001</v>
      </c>
      <c r="BT123">
        <v>6.93832</v>
      </c>
      <c r="BU123">
        <v>1800</v>
      </c>
      <c r="BV123">
        <v>0.91000199999999998</v>
      </c>
      <c r="BW123">
        <v>3.3997100000000002E-2</v>
      </c>
      <c r="BX123">
        <v>2.2000599999999999E-2</v>
      </c>
      <c r="BY123">
        <v>3.4000799999999998E-2</v>
      </c>
      <c r="BZ123">
        <v>26</v>
      </c>
      <c r="CA123">
        <v>33528.5</v>
      </c>
      <c r="CB123">
        <v>1690303320.5</v>
      </c>
      <c r="CC123" t="s">
        <v>332</v>
      </c>
      <c r="CD123">
        <v>1690303320.5</v>
      </c>
      <c r="CE123">
        <v>1690303310.0999999</v>
      </c>
      <c r="CF123">
        <v>8</v>
      </c>
      <c r="CG123">
        <v>7.3999999999999996E-2</v>
      </c>
      <c r="CH123">
        <v>-0.01</v>
      </c>
      <c r="CI123">
        <v>-0.24199999999999999</v>
      </c>
      <c r="CJ123">
        <v>0.27200000000000002</v>
      </c>
      <c r="CK123">
        <v>800</v>
      </c>
      <c r="CL123">
        <v>23</v>
      </c>
      <c r="CM123">
        <v>0.06</v>
      </c>
      <c r="CN123">
        <v>0.09</v>
      </c>
      <c r="CO123">
        <v>-210.85634999999999</v>
      </c>
      <c r="CP123">
        <v>-17.689958724201951</v>
      </c>
      <c r="CQ123">
        <v>1.703167424976183</v>
      </c>
      <c r="CR123">
        <v>-1</v>
      </c>
      <c r="CS123">
        <v>11.35065</v>
      </c>
      <c r="CT123">
        <v>1.554646153846126</v>
      </c>
      <c r="CU123">
        <v>0.1498501368034075</v>
      </c>
      <c r="CV123">
        <v>-1</v>
      </c>
      <c r="CW123">
        <v>0</v>
      </c>
      <c r="CX123">
        <v>0</v>
      </c>
      <c r="CY123" t="s">
        <v>333</v>
      </c>
      <c r="CZ123">
        <v>2.3641999999999999</v>
      </c>
      <c r="DA123">
        <v>2.7136900000000002</v>
      </c>
      <c r="DB123">
        <v>0.11864</v>
      </c>
      <c r="DC123">
        <v>0.146396</v>
      </c>
      <c r="DD123">
        <v>0.105977</v>
      </c>
      <c r="DE123">
        <v>5.9646499999999998E-2</v>
      </c>
      <c r="DF123">
        <v>32189.8</v>
      </c>
      <c r="DG123">
        <v>27524.5</v>
      </c>
      <c r="DH123">
        <v>31179.8</v>
      </c>
      <c r="DI123">
        <v>28097.1</v>
      </c>
      <c r="DJ123">
        <v>37848.300000000003</v>
      </c>
      <c r="DK123">
        <v>37577.4</v>
      </c>
      <c r="DL123">
        <v>44374.9</v>
      </c>
      <c r="DM123">
        <v>42592.2</v>
      </c>
      <c r="DN123">
        <v>1.44008</v>
      </c>
      <c r="DO123">
        <v>2.04392</v>
      </c>
      <c r="DP123">
        <v>0.172928</v>
      </c>
      <c r="DQ123">
        <v>0.14324899999999999</v>
      </c>
      <c r="DR123">
        <v>24.0914</v>
      </c>
      <c r="DS123">
        <v>23.8996</v>
      </c>
      <c r="DT123">
        <v>51.4</v>
      </c>
      <c r="DU123">
        <v>29.1</v>
      </c>
      <c r="DV123">
        <v>20.9483</v>
      </c>
      <c r="DW123">
        <v>61.361199999999997</v>
      </c>
      <c r="DX123">
        <v>36.7027</v>
      </c>
      <c r="DY123">
        <v>1</v>
      </c>
      <c r="DZ123">
        <v>-8.6816599999999994E-2</v>
      </c>
      <c r="EA123">
        <v>0.32797700000000002</v>
      </c>
      <c r="EB123">
        <v>20.189699999999998</v>
      </c>
      <c r="EC123">
        <v>5.2413999999999996</v>
      </c>
      <c r="ED123">
        <v>12.039899999999999</v>
      </c>
      <c r="EE123">
        <v>5.0171999999999999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1.8689100000000001</v>
      </c>
      <c r="EL123">
        <v>1.8646199999999999</v>
      </c>
      <c r="EM123">
        <v>1.8692</v>
      </c>
      <c r="EN123">
        <v>1.8672299999999999</v>
      </c>
      <c r="EO123">
        <v>1.8633999999999999</v>
      </c>
      <c r="EP123">
        <v>1.8644700000000001</v>
      </c>
      <c r="EQ123">
        <v>1.8702000000000001</v>
      </c>
      <c r="ER123">
        <v>1.8694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-9.0999999999999998E-2</v>
      </c>
      <c r="FG123">
        <v>0.27189999999999998</v>
      </c>
      <c r="FH123">
        <v>0.30965466913576151</v>
      </c>
      <c r="FI123">
        <v>-6.1462078757559423E-4</v>
      </c>
      <c r="FJ123">
        <v>-1.8861989874597051E-7</v>
      </c>
      <c r="FK123">
        <v>1.1980462299894961E-10</v>
      </c>
      <c r="FL123">
        <v>0.27184999999999349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27.6</v>
      </c>
      <c r="FU123">
        <v>27.8</v>
      </c>
      <c r="FV123">
        <v>1.7785599999999999</v>
      </c>
      <c r="FW123">
        <v>2.5952099999999998</v>
      </c>
      <c r="FX123">
        <v>1.5490699999999999</v>
      </c>
      <c r="FY123">
        <v>2.3290999999999999</v>
      </c>
      <c r="FZ123">
        <v>1.50146</v>
      </c>
      <c r="GA123">
        <v>2.323</v>
      </c>
      <c r="GB123">
        <v>33.896099999999997</v>
      </c>
      <c r="GC123">
        <v>23.982399999999998</v>
      </c>
      <c r="GD123">
        <v>19</v>
      </c>
      <c r="GE123">
        <v>268.20100000000002</v>
      </c>
      <c r="GF123">
        <v>590.73500000000001</v>
      </c>
      <c r="GG123">
        <v>22.535799999999998</v>
      </c>
      <c r="GH123">
        <v>26.2668</v>
      </c>
      <c r="GI123">
        <v>29.9998</v>
      </c>
      <c r="GJ123">
        <v>26.4541</v>
      </c>
      <c r="GK123">
        <v>26.453299999999999</v>
      </c>
      <c r="GL123">
        <v>35.545900000000003</v>
      </c>
      <c r="GM123">
        <v>53.244599999999998</v>
      </c>
      <c r="GN123">
        <v>72.170299999999997</v>
      </c>
      <c r="GO123">
        <v>22.551200000000001</v>
      </c>
      <c r="GP123">
        <v>800</v>
      </c>
      <c r="GQ123">
        <v>9.9560200000000005</v>
      </c>
      <c r="GR123">
        <v>99.766099999999994</v>
      </c>
      <c r="GS123">
        <v>99.631799999999998</v>
      </c>
    </row>
    <row r="124" spans="1:201" x14ac:dyDescent="0.25">
      <c r="A124">
        <v>108</v>
      </c>
      <c r="B124">
        <v>1690304989.5</v>
      </c>
      <c r="C124">
        <v>1239.5</v>
      </c>
      <c r="D124" t="s">
        <v>547</v>
      </c>
      <c r="E124" t="s">
        <v>548</v>
      </c>
      <c r="F124" t="s">
        <v>330</v>
      </c>
      <c r="H124">
        <v>1690304989.5</v>
      </c>
      <c r="I124">
        <f t="shared" si="30"/>
        <v>1.1030956074510685E-3</v>
      </c>
      <c r="J124">
        <f t="shared" si="31"/>
        <v>1.1030956074510685</v>
      </c>
      <c r="K124">
        <f t="shared" si="32"/>
        <v>19.106996942713209</v>
      </c>
      <c r="L124">
        <f t="shared" si="33"/>
        <v>582.95299999999997</v>
      </c>
      <c r="M124">
        <f t="shared" si="34"/>
        <v>181.29374972576346</v>
      </c>
      <c r="N124">
        <f t="shared" si="35"/>
        <v>18.011539691619593</v>
      </c>
      <c r="O124">
        <f t="shared" si="36"/>
        <v>57.916398738133594</v>
      </c>
      <c r="P124">
        <f t="shared" si="37"/>
        <v>7.9183283926502451E-2</v>
      </c>
      <c r="Q124">
        <f t="shared" si="38"/>
        <v>2.1021692074949874</v>
      </c>
      <c r="R124">
        <f t="shared" si="39"/>
        <v>7.7562849666336989E-2</v>
      </c>
      <c r="S124">
        <f t="shared" si="40"/>
        <v>4.8619608650107178E-2</v>
      </c>
      <c r="T124">
        <f t="shared" si="41"/>
        <v>276.11522172000002</v>
      </c>
      <c r="U124">
        <f t="shared" si="42"/>
        <v>26.783271266191779</v>
      </c>
      <c r="V124">
        <f t="shared" si="43"/>
        <v>26.783271266191779</v>
      </c>
      <c r="W124">
        <f t="shared" si="44"/>
        <v>3.5338528401236031</v>
      </c>
      <c r="X124">
        <f t="shared" si="45"/>
        <v>68.139383522191721</v>
      </c>
      <c r="Y124">
        <f t="shared" si="46"/>
        <v>2.1613996687684804</v>
      </c>
      <c r="Z124">
        <f t="shared" si="47"/>
        <v>3.1720270378797206</v>
      </c>
      <c r="AA124">
        <f t="shared" si="48"/>
        <v>1.3724531713551227</v>
      </c>
      <c r="AB124">
        <f t="shared" si="49"/>
        <v>-48.646516288592125</v>
      </c>
      <c r="AC124">
        <f t="shared" si="50"/>
        <v>-206.68057876954123</v>
      </c>
      <c r="AD124">
        <f t="shared" si="51"/>
        <v>-20.979758187275873</v>
      </c>
      <c r="AE124">
        <f t="shared" si="52"/>
        <v>-0.19163152540920692</v>
      </c>
      <c r="AF124">
        <v>11</v>
      </c>
      <c r="AG124">
        <v>4</v>
      </c>
      <c r="AH124">
        <f t="shared" si="53"/>
        <v>1</v>
      </c>
      <c r="AI124">
        <f t="shared" si="54"/>
        <v>0</v>
      </c>
      <c r="AJ124">
        <f t="shared" si="55"/>
        <v>52941.35918829235</v>
      </c>
      <c r="AK124">
        <f t="shared" si="56"/>
        <v>1800</v>
      </c>
      <c r="AL124">
        <f t="shared" si="57"/>
        <v>1499.1128639999999</v>
      </c>
      <c r="AM124">
        <f t="shared" si="58"/>
        <v>0.83284047999999999</v>
      </c>
      <c r="AN124">
        <f t="shared" si="59"/>
        <v>0.15339734540000002</v>
      </c>
      <c r="AO124">
        <v>33</v>
      </c>
      <c r="AP124">
        <v>0.5</v>
      </c>
      <c r="AQ124" t="s">
        <v>331</v>
      </c>
      <c r="AR124">
        <v>2</v>
      </c>
      <c r="AS124">
        <v>1690304989.5</v>
      </c>
      <c r="AT124">
        <v>582.95299999999997</v>
      </c>
      <c r="AU124">
        <v>800.10799999999995</v>
      </c>
      <c r="AV124">
        <v>21.755400000000002</v>
      </c>
      <c r="AW124">
        <v>9.8905499999999993</v>
      </c>
      <c r="AX124">
        <v>583.04200000000003</v>
      </c>
      <c r="AY124">
        <v>21.483599999999999</v>
      </c>
      <c r="AZ124">
        <v>300.13200000000001</v>
      </c>
      <c r="BA124">
        <v>99.250100000000003</v>
      </c>
      <c r="BB124">
        <v>9.9931199999999998E-2</v>
      </c>
      <c r="BC124">
        <v>24.959599999999998</v>
      </c>
      <c r="BD124">
        <v>26.979299999999999</v>
      </c>
      <c r="BE124">
        <v>26.302900000000001</v>
      </c>
      <c r="BF124">
        <v>0</v>
      </c>
      <c r="BG124">
        <v>0</v>
      </c>
      <c r="BH124">
        <v>10020</v>
      </c>
      <c r="BI124">
        <v>1050.05</v>
      </c>
      <c r="BJ124">
        <v>1.62592</v>
      </c>
      <c r="BK124">
        <v>-217.155</v>
      </c>
      <c r="BL124">
        <v>595.91700000000003</v>
      </c>
      <c r="BM124">
        <v>808.101</v>
      </c>
      <c r="BN124">
        <v>11.8649</v>
      </c>
      <c r="BO124">
        <v>800.10799999999995</v>
      </c>
      <c r="BP124">
        <v>9.8905499999999993</v>
      </c>
      <c r="BQ124">
        <v>2.15923</v>
      </c>
      <c r="BR124">
        <v>0.98163800000000001</v>
      </c>
      <c r="BS124">
        <v>18.663</v>
      </c>
      <c r="BT124">
        <v>6.6466500000000002</v>
      </c>
      <c r="BU124">
        <v>1800</v>
      </c>
      <c r="BV124">
        <v>0.91000400000000004</v>
      </c>
      <c r="BW124">
        <v>3.3996100000000001E-2</v>
      </c>
      <c r="BX124">
        <v>2.1999999999999999E-2</v>
      </c>
      <c r="BY124">
        <v>3.3999799999999997E-2</v>
      </c>
      <c r="BZ124">
        <v>26</v>
      </c>
      <c r="CA124">
        <v>33528.400000000001</v>
      </c>
      <c r="CB124">
        <v>1690303320.5</v>
      </c>
      <c r="CC124" t="s">
        <v>332</v>
      </c>
      <c r="CD124">
        <v>1690303320.5</v>
      </c>
      <c r="CE124">
        <v>1690303310.0999999</v>
      </c>
      <c r="CF124">
        <v>8</v>
      </c>
      <c r="CG124">
        <v>7.3999999999999996E-2</v>
      </c>
      <c r="CH124">
        <v>-0.01</v>
      </c>
      <c r="CI124">
        <v>-0.24199999999999999</v>
      </c>
      <c r="CJ124">
        <v>0.27200000000000002</v>
      </c>
      <c r="CK124">
        <v>800</v>
      </c>
      <c r="CL124">
        <v>23</v>
      </c>
      <c r="CM124">
        <v>0.06</v>
      </c>
      <c r="CN124">
        <v>0.09</v>
      </c>
      <c r="CO124">
        <v>-213.64565853658539</v>
      </c>
      <c r="CP124">
        <v>-18.555846689895748</v>
      </c>
      <c r="CQ124">
        <v>1.830344984272501</v>
      </c>
      <c r="CR124">
        <v>-1</v>
      </c>
      <c r="CS124">
        <v>11.582663414634149</v>
      </c>
      <c r="CT124">
        <v>1.4302578397212811</v>
      </c>
      <c r="CU124">
        <v>0.14123863693745431</v>
      </c>
      <c r="CV124">
        <v>-1</v>
      </c>
      <c r="CW124">
        <v>0</v>
      </c>
      <c r="CX124">
        <v>0</v>
      </c>
      <c r="CY124" t="s">
        <v>333</v>
      </c>
      <c r="CZ124">
        <v>2.3644400000000001</v>
      </c>
      <c r="DA124">
        <v>2.71374</v>
      </c>
      <c r="DB124">
        <v>0.11820700000000001</v>
      </c>
      <c r="DC124">
        <v>0.14639099999999999</v>
      </c>
      <c r="DD124">
        <v>0.10609</v>
      </c>
      <c r="DE124">
        <v>5.8735099999999998E-2</v>
      </c>
      <c r="DF124">
        <v>32205.200000000001</v>
      </c>
      <c r="DG124">
        <v>27525.3</v>
      </c>
      <c r="DH124">
        <v>31179.4</v>
      </c>
      <c r="DI124">
        <v>28097.8</v>
      </c>
      <c r="DJ124">
        <v>37842.800000000003</v>
      </c>
      <c r="DK124">
        <v>37614.800000000003</v>
      </c>
      <c r="DL124">
        <v>44374.2</v>
      </c>
      <c r="DM124">
        <v>42593.2</v>
      </c>
      <c r="DN124">
        <v>1.44017</v>
      </c>
      <c r="DO124">
        <v>2.04392</v>
      </c>
      <c r="DP124">
        <v>0.176061</v>
      </c>
      <c r="DQ124">
        <v>0.146311</v>
      </c>
      <c r="DR124">
        <v>24.093</v>
      </c>
      <c r="DS124">
        <v>23.902699999999999</v>
      </c>
      <c r="DT124">
        <v>51.2</v>
      </c>
      <c r="DU124">
        <v>29.1</v>
      </c>
      <c r="DV124">
        <v>20.866199999999999</v>
      </c>
      <c r="DW124">
        <v>61.411200000000001</v>
      </c>
      <c r="DX124">
        <v>36.129800000000003</v>
      </c>
      <c r="DY124">
        <v>1</v>
      </c>
      <c r="DZ124">
        <v>-8.7032499999999999E-2</v>
      </c>
      <c r="EA124">
        <v>0.44319199999999997</v>
      </c>
      <c r="EB124">
        <v>20.1892</v>
      </c>
      <c r="EC124">
        <v>5.2408000000000001</v>
      </c>
      <c r="ED124">
        <v>12.039899999999999</v>
      </c>
      <c r="EE124">
        <v>5.0169499999999996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1.8689199999999999</v>
      </c>
      <c r="EL124">
        <v>1.8646199999999999</v>
      </c>
      <c r="EM124">
        <v>1.8692</v>
      </c>
      <c r="EN124">
        <v>1.8672299999999999</v>
      </c>
      <c r="EO124">
        <v>1.8633999999999999</v>
      </c>
      <c r="EP124">
        <v>1.8644700000000001</v>
      </c>
      <c r="EQ124">
        <v>1.8701700000000001</v>
      </c>
      <c r="ER124">
        <v>1.8694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-8.8999999999999996E-2</v>
      </c>
      <c r="FG124">
        <v>0.27179999999999999</v>
      </c>
      <c r="FH124">
        <v>0.30965466913576151</v>
      </c>
      <c r="FI124">
        <v>-6.1462078757559423E-4</v>
      </c>
      <c r="FJ124">
        <v>-1.8861989874597051E-7</v>
      </c>
      <c r="FK124">
        <v>1.1980462299894961E-10</v>
      </c>
      <c r="FL124">
        <v>0.27184999999999349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27.8</v>
      </c>
      <c r="FU124">
        <v>28</v>
      </c>
      <c r="FV124">
        <v>1.7773399999999999</v>
      </c>
      <c r="FW124">
        <v>2.5903299999999998</v>
      </c>
      <c r="FX124">
        <v>1.5490699999999999</v>
      </c>
      <c r="FY124">
        <v>2.3290999999999999</v>
      </c>
      <c r="FZ124">
        <v>1.50146</v>
      </c>
      <c r="GA124">
        <v>2.36694</v>
      </c>
      <c r="GB124">
        <v>33.896099999999997</v>
      </c>
      <c r="GC124">
        <v>23.982399999999998</v>
      </c>
      <c r="GD124">
        <v>19</v>
      </c>
      <c r="GE124">
        <v>268.22500000000002</v>
      </c>
      <c r="GF124">
        <v>590.678</v>
      </c>
      <c r="GG124">
        <v>22.640699999999999</v>
      </c>
      <c r="GH124">
        <v>26.2624</v>
      </c>
      <c r="GI124">
        <v>30</v>
      </c>
      <c r="GJ124">
        <v>26.4496</v>
      </c>
      <c r="GK124">
        <v>26.4483</v>
      </c>
      <c r="GL124">
        <v>35.540100000000002</v>
      </c>
      <c r="GM124">
        <v>53.805999999999997</v>
      </c>
      <c r="GN124">
        <v>71.780799999999999</v>
      </c>
      <c r="GO124">
        <v>22.6388</v>
      </c>
      <c r="GP124">
        <v>800</v>
      </c>
      <c r="GQ124">
        <v>9.7572299999999998</v>
      </c>
      <c r="GR124">
        <v>99.764700000000005</v>
      </c>
      <c r="GS124">
        <v>99.634200000000007</v>
      </c>
    </row>
    <row r="125" spans="1:201" x14ac:dyDescent="0.25">
      <c r="A125">
        <v>109</v>
      </c>
      <c r="B125">
        <v>1690304999.5</v>
      </c>
      <c r="C125">
        <v>1249.5</v>
      </c>
      <c r="D125" t="s">
        <v>549</v>
      </c>
      <c r="E125" t="s">
        <v>550</v>
      </c>
      <c r="F125" t="s">
        <v>330</v>
      </c>
      <c r="H125">
        <v>1690304999.5</v>
      </c>
      <c r="I125">
        <f t="shared" si="30"/>
        <v>1.1246779892621355E-3</v>
      </c>
      <c r="J125">
        <f t="shared" si="31"/>
        <v>1.1246779892621355</v>
      </c>
      <c r="K125">
        <f t="shared" si="32"/>
        <v>19.380970486638962</v>
      </c>
      <c r="L125">
        <f t="shared" si="33"/>
        <v>579.86199999999997</v>
      </c>
      <c r="M125">
        <f t="shared" si="34"/>
        <v>180.03113888767106</v>
      </c>
      <c r="N125">
        <f t="shared" si="35"/>
        <v>17.885686238022817</v>
      </c>
      <c r="O125">
        <f t="shared" si="36"/>
        <v>57.607977472293989</v>
      </c>
      <c r="P125">
        <f t="shared" si="37"/>
        <v>8.0711752643907855E-2</v>
      </c>
      <c r="Q125">
        <f t="shared" si="38"/>
        <v>2.102989473519564</v>
      </c>
      <c r="R125">
        <f t="shared" si="39"/>
        <v>7.9029514409320309E-2</v>
      </c>
      <c r="S125">
        <f t="shared" si="40"/>
        <v>4.9541668632785051E-2</v>
      </c>
      <c r="T125">
        <f t="shared" si="41"/>
        <v>276.11515202400005</v>
      </c>
      <c r="U125">
        <f t="shared" si="42"/>
        <v>26.794963005290974</v>
      </c>
      <c r="V125">
        <f t="shared" si="43"/>
        <v>26.794963005290974</v>
      </c>
      <c r="W125">
        <f t="shared" si="44"/>
        <v>3.5362841429425895</v>
      </c>
      <c r="X125">
        <f t="shared" si="45"/>
        <v>68.108835597829724</v>
      </c>
      <c r="Y125">
        <f t="shared" si="46"/>
        <v>2.1630088647376997</v>
      </c>
      <c r="Z125">
        <f t="shared" si="47"/>
        <v>3.1758124269072416</v>
      </c>
      <c r="AA125">
        <f t="shared" si="48"/>
        <v>1.3732752782048898</v>
      </c>
      <c r="AB125">
        <f t="shared" si="49"/>
        <v>-49.598299326460172</v>
      </c>
      <c r="AC125">
        <f t="shared" si="50"/>
        <v>-205.81926504257737</v>
      </c>
      <c r="AD125">
        <f t="shared" si="51"/>
        <v>-20.887499006623848</v>
      </c>
      <c r="AE125">
        <f t="shared" si="52"/>
        <v>-0.18991135166132267</v>
      </c>
      <c r="AF125">
        <v>11</v>
      </c>
      <c r="AG125">
        <v>4</v>
      </c>
      <c r="AH125">
        <f t="shared" si="53"/>
        <v>1</v>
      </c>
      <c r="AI125">
        <f t="shared" si="54"/>
        <v>0</v>
      </c>
      <c r="AJ125">
        <f t="shared" si="55"/>
        <v>52974.506155002338</v>
      </c>
      <c r="AK125">
        <f t="shared" si="56"/>
        <v>1800</v>
      </c>
      <c r="AL125">
        <f t="shared" si="57"/>
        <v>1499.1125813999997</v>
      </c>
      <c r="AM125">
        <f t="shared" si="58"/>
        <v>0.83284032299999988</v>
      </c>
      <c r="AN125">
        <f t="shared" si="59"/>
        <v>0.15339730668000004</v>
      </c>
      <c r="AO125">
        <v>33</v>
      </c>
      <c r="AP125">
        <v>0.5</v>
      </c>
      <c r="AQ125" t="s">
        <v>331</v>
      </c>
      <c r="AR125">
        <v>2</v>
      </c>
      <c r="AS125">
        <v>1690304999.5</v>
      </c>
      <c r="AT125">
        <v>579.86199999999997</v>
      </c>
      <c r="AU125">
        <v>800.07299999999998</v>
      </c>
      <c r="AV125">
        <v>21.772099999999998</v>
      </c>
      <c r="AW125">
        <v>9.6784199999999991</v>
      </c>
      <c r="AX125">
        <v>579.94899999999996</v>
      </c>
      <c r="AY125">
        <v>21.5002</v>
      </c>
      <c r="AZ125">
        <v>300.209</v>
      </c>
      <c r="BA125">
        <v>99.247699999999995</v>
      </c>
      <c r="BB125">
        <v>0.100037</v>
      </c>
      <c r="BC125">
        <v>24.979600000000001</v>
      </c>
      <c r="BD125">
        <v>26.945900000000002</v>
      </c>
      <c r="BE125">
        <v>26.317599999999999</v>
      </c>
      <c r="BF125">
        <v>0</v>
      </c>
      <c r="BG125">
        <v>0</v>
      </c>
      <c r="BH125">
        <v>10027.5</v>
      </c>
      <c r="BI125">
        <v>1050.3399999999999</v>
      </c>
      <c r="BJ125">
        <v>1.62592</v>
      </c>
      <c r="BK125">
        <v>-220.21</v>
      </c>
      <c r="BL125">
        <v>592.76800000000003</v>
      </c>
      <c r="BM125">
        <v>807.89200000000005</v>
      </c>
      <c r="BN125">
        <v>12.0937</v>
      </c>
      <c r="BO125">
        <v>800.07299999999998</v>
      </c>
      <c r="BP125">
        <v>9.6784199999999991</v>
      </c>
      <c r="BQ125">
        <v>2.1608299999999998</v>
      </c>
      <c r="BR125">
        <v>0.96055999999999997</v>
      </c>
      <c r="BS125">
        <v>18.674800000000001</v>
      </c>
      <c r="BT125">
        <v>6.3314899999999996</v>
      </c>
      <c r="BU125">
        <v>1800</v>
      </c>
      <c r="BV125">
        <v>0.91000400000000004</v>
      </c>
      <c r="BW125">
        <v>3.3995999999999998E-2</v>
      </c>
      <c r="BX125">
        <v>2.1999899999999999E-2</v>
      </c>
      <c r="BY125">
        <v>3.3999799999999997E-2</v>
      </c>
      <c r="BZ125">
        <v>26</v>
      </c>
      <c r="CA125">
        <v>33528.400000000001</v>
      </c>
      <c r="CB125">
        <v>1690303320.5</v>
      </c>
      <c r="CC125" t="s">
        <v>332</v>
      </c>
      <c r="CD125">
        <v>1690303320.5</v>
      </c>
      <c r="CE125">
        <v>1690303310.0999999</v>
      </c>
      <c r="CF125">
        <v>8</v>
      </c>
      <c r="CG125">
        <v>7.3999999999999996E-2</v>
      </c>
      <c r="CH125">
        <v>-0.01</v>
      </c>
      <c r="CI125">
        <v>-0.24199999999999999</v>
      </c>
      <c r="CJ125">
        <v>0.27200000000000002</v>
      </c>
      <c r="CK125">
        <v>800</v>
      </c>
      <c r="CL125">
        <v>23</v>
      </c>
      <c r="CM125">
        <v>0.06</v>
      </c>
      <c r="CN125">
        <v>0.09</v>
      </c>
      <c r="CO125">
        <v>-216.964225</v>
      </c>
      <c r="CP125">
        <v>-18.54487429643472</v>
      </c>
      <c r="CQ125">
        <v>1.785108042773605</v>
      </c>
      <c r="CR125">
        <v>-1</v>
      </c>
      <c r="CS125">
        <v>11.8422175</v>
      </c>
      <c r="CT125">
        <v>1.459905816135052</v>
      </c>
      <c r="CU125">
        <v>0.14061714491394711</v>
      </c>
      <c r="CV125">
        <v>-1</v>
      </c>
      <c r="CW125">
        <v>0</v>
      </c>
      <c r="CX125">
        <v>0</v>
      </c>
      <c r="CY125" t="s">
        <v>333</v>
      </c>
      <c r="CZ125">
        <v>2.3647100000000001</v>
      </c>
      <c r="DA125">
        <v>2.7138499999999999</v>
      </c>
      <c r="DB125">
        <v>0.117761</v>
      </c>
      <c r="DC125">
        <v>0.14638000000000001</v>
      </c>
      <c r="DD125">
        <v>0.10614700000000001</v>
      </c>
      <c r="DE125">
        <v>5.7760400000000003E-2</v>
      </c>
      <c r="DF125">
        <v>32222.2</v>
      </c>
      <c r="DG125">
        <v>27525.200000000001</v>
      </c>
      <c r="DH125">
        <v>31180</v>
      </c>
      <c r="DI125">
        <v>28097.4</v>
      </c>
      <c r="DJ125">
        <v>37841.199999999997</v>
      </c>
      <c r="DK125">
        <v>37653.300000000003</v>
      </c>
      <c r="DL125">
        <v>44375.3</v>
      </c>
      <c r="DM125">
        <v>42592.7</v>
      </c>
      <c r="DN125">
        <v>1.44038</v>
      </c>
      <c r="DO125">
        <v>2.04345</v>
      </c>
      <c r="DP125">
        <v>0.17377699999999999</v>
      </c>
      <c r="DQ125">
        <v>0.14680599999999999</v>
      </c>
      <c r="DR125">
        <v>24.097100000000001</v>
      </c>
      <c r="DS125">
        <v>23.909300000000002</v>
      </c>
      <c r="DT125">
        <v>50.9</v>
      </c>
      <c r="DU125">
        <v>29</v>
      </c>
      <c r="DV125">
        <v>20.624600000000001</v>
      </c>
      <c r="DW125">
        <v>61.281100000000002</v>
      </c>
      <c r="DX125">
        <v>35.673099999999998</v>
      </c>
      <c r="DY125">
        <v>1</v>
      </c>
      <c r="DZ125">
        <v>-8.7276400000000004E-2</v>
      </c>
      <c r="EA125">
        <v>0.482794</v>
      </c>
      <c r="EB125">
        <v>20.1891</v>
      </c>
      <c r="EC125">
        <v>5.2408000000000001</v>
      </c>
      <c r="ED125">
        <v>12.039899999999999</v>
      </c>
      <c r="EE125">
        <v>5.0169499999999996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1.8689100000000001</v>
      </c>
      <c r="EL125">
        <v>1.8646199999999999</v>
      </c>
      <c r="EM125">
        <v>1.8692</v>
      </c>
      <c r="EN125">
        <v>1.8672299999999999</v>
      </c>
      <c r="EO125">
        <v>1.8633999999999999</v>
      </c>
      <c r="EP125">
        <v>1.8644700000000001</v>
      </c>
      <c r="EQ125">
        <v>1.87018</v>
      </c>
      <c r="ER125">
        <v>1.86941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-8.6999999999999994E-2</v>
      </c>
      <c r="FG125">
        <v>0.27189999999999998</v>
      </c>
      <c r="FH125">
        <v>0.30965466913576151</v>
      </c>
      <c r="FI125">
        <v>-6.1462078757559423E-4</v>
      </c>
      <c r="FJ125">
        <v>-1.8861989874597051E-7</v>
      </c>
      <c r="FK125">
        <v>1.1980462299894961E-10</v>
      </c>
      <c r="FL125">
        <v>0.27184999999999349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28</v>
      </c>
      <c r="FU125">
        <v>28.2</v>
      </c>
      <c r="FV125">
        <v>1.7773399999999999</v>
      </c>
      <c r="FW125">
        <v>2.5878899999999998</v>
      </c>
      <c r="FX125">
        <v>1.5490699999999999</v>
      </c>
      <c r="FY125">
        <v>2.3290999999999999</v>
      </c>
      <c r="FZ125">
        <v>1.50146</v>
      </c>
      <c r="GA125">
        <v>2.3974600000000001</v>
      </c>
      <c r="GB125">
        <v>33.896099999999997</v>
      </c>
      <c r="GC125">
        <v>23.991199999999999</v>
      </c>
      <c r="GD125">
        <v>19</v>
      </c>
      <c r="GE125">
        <v>268.286</v>
      </c>
      <c r="GF125">
        <v>590.23199999999997</v>
      </c>
      <c r="GG125">
        <v>22.685700000000001</v>
      </c>
      <c r="GH125">
        <v>26.257999999999999</v>
      </c>
      <c r="GI125">
        <v>29.9999</v>
      </c>
      <c r="GJ125">
        <v>26.444600000000001</v>
      </c>
      <c r="GK125">
        <v>26.443899999999999</v>
      </c>
      <c r="GL125">
        <v>35.539000000000001</v>
      </c>
      <c r="GM125">
        <v>54.0794</v>
      </c>
      <c r="GN125">
        <v>71.003600000000006</v>
      </c>
      <c r="GO125">
        <v>22.693300000000001</v>
      </c>
      <c r="GP125">
        <v>800</v>
      </c>
      <c r="GQ125">
        <v>9.5599799999999995</v>
      </c>
      <c r="GR125">
        <v>99.766900000000007</v>
      </c>
      <c r="GS125">
        <v>99.632800000000003</v>
      </c>
    </row>
    <row r="126" spans="1:201" x14ac:dyDescent="0.25">
      <c r="A126">
        <v>110</v>
      </c>
      <c r="B126">
        <v>1690305009.5</v>
      </c>
      <c r="C126">
        <v>1259.5</v>
      </c>
      <c r="D126" t="s">
        <v>551</v>
      </c>
      <c r="E126" t="s">
        <v>552</v>
      </c>
      <c r="F126" t="s">
        <v>330</v>
      </c>
      <c r="H126">
        <v>1690305009.5</v>
      </c>
      <c r="I126">
        <f t="shared" si="30"/>
        <v>1.142934547700926E-3</v>
      </c>
      <c r="J126">
        <f t="shared" si="31"/>
        <v>1.1429345477009261</v>
      </c>
      <c r="K126">
        <f t="shared" si="32"/>
        <v>19.650429988512883</v>
      </c>
      <c r="L126">
        <f t="shared" si="33"/>
        <v>576.74800000000005</v>
      </c>
      <c r="M126">
        <f t="shared" si="34"/>
        <v>177.30904760680136</v>
      </c>
      <c r="N126">
        <f t="shared" si="35"/>
        <v>17.616070715575734</v>
      </c>
      <c r="O126">
        <f t="shared" si="36"/>
        <v>57.301269676873197</v>
      </c>
      <c r="P126">
        <f t="shared" si="37"/>
        <v>8.1927372750960237E-2</v>
      </c>
      <c r="Q126">
        <f t="shared" si="38"/>
        <v>2.1020597781896497</v>
      </c>
      <c r="R126">
        <f t="shared" si="39"/>
        <v>8.0193916938976165E-2</v>
      </c>
      <c r="S126">
        <f t="shared" si="40"/>
        <v>5.0273887395110239E-2</v>
      </c>
      <c r="T126">
        <f t="shared" si="41"/>
        <v>276.115063104</v>
      </c>
      <c r="U126">
        <f t="shared" si="42"/>
        <v>26.809103671394883</v>
      </c>
      <c r="V126">
        <f t="shared" si="43"/>
        <v>26.809103671394883</v>
      </c>
      <c r="W126">
        <f t="shared" si="44"/>
        <v>3.5392266524140181</v>
      </c>
      <c r="X126">
        <f t="shared" si="45"/>
        <v>68.055603488747423</v>
      </c>
      <c r="Y126">
        <f t="shared" si="46"/>
        <v>2.1638842673669099</v>
      </c>
      <c r="Z126">
        <f t="shared" si="47"/>
        <v>3.1795828064689706</v>
      </c>
      <c r="AA126">
        <f t="shared" si="48"/>
        <v>1.3753423850471083</v>
      </c>
      <c r="AB126">
        <f t="shared" si="49"/>
        <v>-50.403413553610839</v>
      </c>
      <c r="AC126">
        <f t="shared" si="50"/>
        <v>-205.07559220548399</v>
      </c>
      <c r="AD126">
        <f t="shared" si="51"/>
        <v>-20.824788326197776</v>
      </c>
      <c r="AE126">
        <f t="shared" si="52"/>
        <v>-0.18873098129262189</v>
      </c>
      <c r="AF126">
        <v>11</v>
      </c>
      <c r="AG126">
        <v>4</v>
      </c>
      <c r="AH126">
        <f t="shared" si="53"/>
        <v>1</v>
      </c>
      <c r="AI126">
        <f t="shared" si="54"/>
        <v>0</v>
      </c>
      <c r="AJ126">
        <f t="shared" si="55"/>
        <v>52929.419884512536</v>
      </c>
      <c r="AK126">
        <f t="shared" si="56"/>
        <v>1800</v>
      </c>
      <c r="AL126">
        <f t="shared" si="57"/>
        <v>1499.1128604</v>
      </c>
      <c r="AM126">
        <f t="shared" si="58"/>
        <v>0.83284047800000005</v>
      </c>
      <c r="AN126">
        <f t="shared" si="59"/>
        <v>0.15339725728</v>
      </c>
      <c r="AO126">
        <v>33</v>
      </c>
      <c r="AP126">
        <v>0.5</v>
      </c>
      <c r="AQ126" t="s">
        <v>331</v>
      </c>
      <c r="AR126">
        <v>2</v>
      </c>
      <c r="AS126">
        <v>1690305009.5</v>
      </c>
      <c r="AT126">
        <v>576.74800000000005</v>
      </c>
      <c r="AU126">
        <v>800.05700000000002</v>
      </c>
      <c r="AV126">
        <v>21.779900000000001</v>
      </c>
      <c r="AW126">
        <v>9.4867699999999999</v>
      </c>
      <c r="AX126">
        <v>576.83299999999997</v>
      </c>
      <c r="AY126">
        <v>21.507999999999999</v>
      </c>
      <c r="AZ126">
        <v>300.13</v>
      </c>
      <c r="BA126">
        <v>99.252399999999994</v>
      </c>
      <c r="BB126">
        <v>9.9950899999999995E-2</v>
      </c>
      <c r="BC126">
        <v>24.999500000000001</v>
      </c>
      <c r="BD126">
        <v>26.939699999999998</v>
      </c>
      <c r="BE126">
        <v>26.326899999999998</v>
      </c>
      <c r="BF126">
        <v>0</v>
      </c>
      <c r="BG126">
        <v>0</v>
      </c>
      <c r="BH126">
        <v>10018.799999999999</v>
      </c>
      <c r="BI126">
        <v>1050.46</v>
      </c>
      <c r="BJ126">
        <v>1.62592</v>
      </c>
      <c r="BK126">
        <v>-223.309</v>
      </c>
      <c r="BL126">
        <v>589.59</v>
      </c>
      <c r="BM126">
        <v>807.72</v>
      </c>
      <c r="BN126">
        <v>12.293100000000001</v>
      </c>
      <c r="BO126">
        <v>800.05700000000002</v>
      </c>
      <c r="BP126">
        <v>9.4867699999999999</v>
      </c>
      <c r="BQ126">
        <v>2.1617000000000002</v>
      </c>
      <c r="BR126">
        <v>0.94158500000000001</v>
      </c>
      <c r="BS126">
        <v>18.6813</v>
      </c>
      <c r="BT126">
        <v>6.0425000000000004</v>
      </c>
      <c r="BU126">
        <v>1800</v>
      </c>
      <c r="BV126">
        <v>0.91000599999999998</v>
      </c>
      <c r="BW126">
        <v>3.3995299999999999E-2</v>
      </c>
      <c r="BX126">
        <v>2.1999399999999999E-2</v>
      </c>
      <c r="BY126">
        <v>3.3999000000000001E-2</v>
      </c>
      <c r="BZ126">
        <v>26</v>
      </c>
      <c r="CA126">
        <v>33528.400000000001</v>
      </c>
      <c r="CB126">
        <v>1690303320.5</v>
      </c>
      <c r="CC126" t="s">
        <v>332</v>
      </c>
      <c r="CD126">
        <v>1690303320.5</v>
      </c>
      <c r="CE126">
        <v>1690303310.0999999</v>
      </c>
      <c r="CF126">
        <v>8</v>
      </c>
      <c r="CG126">
        <v>7.3999999999999996E-2</v>
      </c>
      <c r="CH126">
        <v>-0.01</v>
      </c>
      <c r="CI126">
        <v>-0.24199999999999999</v>
      </c>
      <c r="CJ126">
        <v>0.27200000000000002</v>
      </c>
      <c r="CK126">
        <v>800</v>
      </c>
      <c r="CL126">
        <v>23</v>
      </c>
      <c r="CM126">
        <v>0.06</v>
      </c>
      <c r="CN126">
        <v>0.09</v>
      </c>
      <c r="CO126">
        <v>-220.0752195121951</v>
      </c>
      <c r="CP126">
        <v>-18.408585365854051</v>
      </c>
      <c r="CQ126">
        <v>1.8174491036882789</v>
      </c>
      <c r="CR126">
        <v>-1</v>
      </c>
      <c r="CS126">
        <v>12.0692243902439</v>
      </c>
      <c r="CT126">
        <v>1.2212571428571519</v>
      </c>
      <c r="CU126">
        <v>0.1210824326757477</v>
      </c>
      <c r="CV126">
        <v>-1</v>
      </c>
      <c r="CW126">
        <v>0</v>
      </c>
      <c r="CX126">
        <v>0</v>
      </c>
      <c r="CY126" t="s">
        <v>333</v>
      </c>
      <c r="CZ126">
        <v>2.3644599999999998</v>
      </c>
      <c r="DA126">
        <v>2.7137600000000002</v>
      </c>
      <c r="DB126">
        <v>0.11731800000000001</v>
      </c>
      <c r="DC126">
        <v>0.14638300000000001</v>
      </c>
      <c r="DD126">
        <v>0.106181</v>
      </c>
      <c r="DE126">
        <v>5.6877400000000002E-2</v>
      </c>
      <c r="DF126">
        <v>32238.6</v>
      </c>
      <c r="DG126">
        <v>27525.599999999999</v>
      </c>
      <c r="DH126">
        <v>31180.2</v>
      </c>
      <c r="DI126">
        <v>28097.8</v>
      </c>
      <c r="DJ126">
        <v>37840</v>
      </c>
      <c r="DK126">
        <v>37689.300000000003</v>
      </c>
      <c r="DL126">
        <v>44375.6</v>
      </c>
      <c r="DM126">
        <v>42593.3</v>
      </c>
      <c r="DN126">
        <v>1.44015</v>
      </c>
      <c r="DO126">
        <v>2.04345</v>
      </c>
      <c r="DP126">
        <v>0.17311799999999999</v>
      </c>
      <c r="DQ126">
        <v>0.147004</v>
      </c>
      <c r="DR126">
        <v>24.101600000000001</v>
      </c>
      <c r="DS126">
        <v>23.915299999999998</v>
      </c>
      <c r="DT126">
        <v>50.6</v>
      </c>
      <c r="DU126">
        <v>29.1</v>
      </c>
      <c r="DV126">
        <v>20.617899999999999</v>
      </c>
      <c r="DW126">
        <v>60.941099999999999</v>
      </c>
      <c r="DX126">
        <v>35.869399999999999</v>
      </c>
      <c r="DY126">
        <v>1</v>
      </c>
      <c r="DZ126">
        <v>-8.76474E-2</v>
      </c>
      <c r="EA126">
        <v>0.379297</v>
      </c>
      <c r="EB126">
        <v>20.189699999999998</v>
      </c>
      <c r="EC126">
        <v>5.2409499999999998</v>
      </c>
      <c r="ED126">
        <v>12.039899999999999</v>
      </c>
      <c r="EE126">
        <v>5.0168499999999998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1.8689100000000001</v>
      </c>
      <c r="EL126">
        <v>1.8646199999999999</v>
      </c>
      <c r="EM126">
        <v>1.8692</v>
      </c>
      <c r="EN126">
        <v>1.8672299999999999</v>
      </c>
      <c r="EO126">
        <v>1.8633999999999999</v>
      </c>
      <c r="EP126">
        <v>1.8644700000000001</v>
      </c>
      <c r="EQ126">
        <v>1.87018</v>
      </c>
      <c r="ER126">
        <v>1.8694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-8.5000000000000006E-2</v>
      </c>
      <c r="FG126">
        <v>0.27189999999999998</v>
      </c>
      <c r="FH126">
        <v>0.30965466913576151</v>
      </c>
      <c r="FI126">
        <v>-6.1462078757559423E-4</v>
      </c>
      <c r="FJ126">
        <v>-1.8861989874597051E-7</v>
      </c>
      <c r="FK126">
        <v>1.1980462299894961E-10</v>
      </c>
      <c r="FL126">
        <v>0.27184999999999349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28.1</v>
      </c>
      <c r="FU126">
        <v>28.3</v>
      </c>
      <c r="FV126">
        <v>1.7773399999999999</v>
      </c>
      <c r="FW126">
        <v>2.5878899999999998</v>
      </c>
      <c r="FX126">
        <v>1.5490699999999999</v>
      </c>
      <c r="FY126">
        <v>2.3290999999999999</v>
      </c>
      <c r="FZ126">
        <v>1.50146</v>
      </c>
      <c r="GA126">
        <v>2.3547400000000001</v>
      </c>
      <c r="GB126">
        <v>33.896099999999997</v>
      </c>
      <c r="GC126">
        <v>23.991199999999999</v>
      </c>
      <c r="GD126">
        <v>19</v>
      </c>
      <c r="GE126">
        <v>268.17500000000001</v>
      </c>
      <c r="GF126">
        <v>590.18100000000004</v>
      </c>
      <c r="GG126">
        <v>22.753699999999998</v>
      </c>
      <c r="GH126">
        <v>26.253599999999999</v>
      </c>
      <c r="GI126">
        <v>30</v>
      </c>
      <c r="GJ126">
        <v>26.440100000000001</v>
      </c>
      <c r="GK126">
        <v>26.439499999999999</v>
      </c>
      <c r="GL126">
        <v>35.533499999999997</v>
      </c>
      <c r="GM126">
        <v>54.637999999999998</v>
      </c>
      <c r="GN126">
        <v>70.227900000000005</v>
      </c>
      <c r="GO126">
        <v>22.773399999999999</v>
      </c>
      <c r="GP126">
        <v>800</v>
      </c>
      <c r="GQ126">
        <v>9.3664100000000001</v>
      </c>
      <c r="GR126">
        <v>99.767600000000002</v>
      </c>
      <c r="GS126">
        <v>99.634200000000007</v>
      </c>
    </row>
    <row r="127" spans="1:201" x14ac:dyDescent="0.25">
      <c r="A127">
        <v>111</v>
      </c>
      <c r="B127">
        <v>1690305019.5</v>
      </c>
      <c r="C127">
        <v>1269.5</v>
      </c>
      <c r="D127" t="s">
        <v>553</v>
      </c>
      <c r="E127" t="s">
        <v>554</v>
      </c>
      <c r="F127" t="s">
        <v>330</v>
      </c>
      <c r="H127">
        <v>1690305019.5</v>
      </c>
      <c r="I127">
        <f t="shared" si="30"/>
        <v>1.1631542173364091E-3</v>
      </c>
      <c r="J127">
        <f t="shared" si="31"/>
        <v>1.1631542173364091</v>
      </c>
      <c r="K127">
        <f t="shared" si="32"/>
        <v>19.934510717440368</v>
      </c>
      <c r="L127">
        <f t="shared" si="33"/>
        <v>573.66</v>
      </c>
      <c r="M127">
        <f t="shared" si="34"/>
        <v>175.2787680746932</v>
      </c>
      <c r="N127">
        <f t="shared" si="35"/>
        <v>17.413138502077416</v>
      </c>
      <c r="O127">
        <f t="shared" si="36"/>
        <v>56.990479467798004</v>
      </c>
      <c r="P127">
        <f t="shared" si="37"/>
        <v>8.3356622702855862E-2</v>
      </c>
      <c r="Q127">
        <f t="shared" si="38"/>
        <v>2.0962354664199339</v>
      </c>
      <c r="R127">
        <f t="shared" si="39"/>
        <v>8.1558003366085374E-2</v>
      </c>
      <c r="S127">
        <f t="shared" si="40"/>
        <v>5.1132118504432958E-2</v>
      </c>
      <c r="T127">
        <f t="shared" si="41"/>
        <v>276.11506198799992</v>
      </c>
      <c r="U127">
        <f t="shared" si="42"/>
        <v>26.823076062892913</v>
      </c>
      <c r="V127">
        <f t="shared" si="43"/>
        <v>26.823076062892913</v>
      </c>
      <c r="W127">
        <f t="shared" si="44"/>
        <v>3.5421362451689218</v>
      </c>
      <c r="X127">
        <f t="shared" si="45"/>
        <v>68.0550076682716</v>
      </c>
      <c r="Y127">
        <f t="shared" si="46"/>
        <v>2.1660077846468404</v>
      </c>
      <c r="Z127">
        <f t="shared" si="47"/>
        <v>3.1827309390733789</v>
      </c>
      <c r="AA127">
        <f t="shared" si="48"/>
        <v>1.3761284605220814</v>
      </c>
      <c r="AB127">
        <f t="shared" si="49"/>
        <v>-51.295100984535644</v>
      </c>
      <c r="AC127">
        <f t="shared" si="50"/>
        <v>-204.21042417715009</v>
      </c>
      <c r="AD127">
        <f t="shared" si="51"/>
        <v>-20.797739935884316</v>
      </c>
      <c r="AE127">
        <f t="shared" si="52"/>
        <v>-0.1882031095701393</v>
      </c>
      <c r="AF127">
        <v>10</v>
      </c>
      <c r="AG127">
        <v>3</v>
      </c>
      <c r="AH127">
        <f t="shared" si="53"/>
        <v>1</v>
      </c>
      <c r="AI127">
        <f t="shared" si="54"/>
        <v>0</v>
      </c>
      <c r="AJ127">
        <f t="shared" si="55"/>
        <v>52665.902833629953</v>
      </c>
      <c r="AK127">
        <f t="shared" si="56"/>
        <v>1800</v>
      </c>
      <c r="AL127">
        <f t="shared" si="57"/>
        <v>1499.1138467999999</v>
      </c>
      <c r="AM127">
        <f t="shared" si="58"/>
        <v>0.83284102599999998</v>
      </c>
      <c r="AN127">
        <f t="shared" si="59"/>
        <v>0.15339725665999995</v>
      </c>
      <c r="AO127">
        <v>33</v>
      </c>
      <c r="AP127">
        <v>0.5</v>
      </c>
      <c r="AQ127" t="s">
        <v>331</v>
      </c>
      <c r="AR127">
        <v>2</v>
      </c>
      <c r="AS127">
        <v>1690305019.5</v>
      </c>
      <c r="AT127">
        <v>573.66</v>
      </c>
      <c r="AU127">
        <v>800.17899999999997</v>
      </c>
      <c r="AV127">
        <v>21.802800000000001</v>
      </c>
      <c r="AW127">
        <v>9.2926099999999998</v>
      </c>
      <c r="AX127">
        <v>573.74199999999996</v>
      </c>
      <c r="AY127">
        <v>21.530899999999999</v>
      </c>
      <c r="AZ127">
        <v>300.13299999999998</v>
      </c>
      <c r="BA127">
        <v>99.245400000000004</v>
      </c>
      <c r="BB127">
        <v>9.9995299999999995E-2</v>
      </c>
      <c r="BC127">
        <v>25.016100000000002</v>
      </c>
      <c r="BD127">
        <v>27.008099999999999</v>
      </c>
      <c r="BE127">
        <v>26.3383</v>
      </c>
      <c r="BF127">
        <v>0</v>
      </c>
      <c r="BG127">
        <v>0</v>
      </c>
      <c r="BH127">
        <v>9968.1200000000008</v>
      </c>
      <c r="BI127">
        <v>1050.69</v>
      </c>
      <c r="BJ127">
        <v>1.62592</v>
      </c>
      <c r="BK127">
        <v>-226.51900000000001</v>
      </c>
      <c r="BL127">
        <v>586.44600000000003</v>
      </c>
      <c r="BM127">
        <v>807.68499999999995</v>
      </c>
      <c r="BN127">
        <v>12.510199999999999</v>
      </c>
      <c r="BO127">
        <v>800.17899999999997</v>
      </c>
      <c r="BP127">
        <v>9.2926099999999998</v>
      </c>
      <c r="BQ127">
        <v>2.1638199999999999</v>
      </c>
      <c r="BR127">
        <v>0.92224799999999996</v>
      </c>
      <c r="BS127">
        <v>18.696999999999999</v>
      </c>
      <c r="BT127">
        <v>5.7426700000000004</v>
      </c>
      <c r="BU127">
        <v>1800</v>
      </c>
      <c r="BV127">
        <v>0.91000899999999996</v>
      </c>
      <c r="BW127">
        <v>3.3994299999999998E-2</v>
      </c>
      <c r="BX127">
        <v>2.1998799999999999E-2</v>
      </c>
      <c r="BY127">
        <v>3.3998E-2</v>
      </c>
      <c r="BZ127">
        <v>26</v>
      </c>
      <c r="CA127">
        <v>33528.5</v>
      </c>
      <c r="CB127">
        <v>1690303320.5</v>
      </c>
      <c r="CC127" t="s">
        <v>332</v>
      </c>
      <c r="CD127">
        <v>1690303320.5</v>
      </c>
      <c r="CE127">
        <v>1690303310.0999999</v>
      </c>
      <c r="CF127">
        <v>8</v>
      </c>
      <c r="CG127">
        <v>7.3999999999999996E-2</v>
      </c>
      <c r="CH127">
        <v>-0.01</v>
      </c>
      <c r="CI127">
        <v>-0.24199999999999999</v>
      </c>
      <c r="CJ127">
        <v>0.27200000000000002</v>
      </c>
      <c r="CK127">
        <v>800</v>
      </c>
      <c r="CL127">
        <v>23</v>
      </c>
      <c r="CM127">
        <v>0.06</v>
      </c>
      <c r="CN127">
        <v>0.09</v>
      </c>
      <c r="CO127">
        <v>-223.1540243902439</v>
      </c>
      <c r="CP127">
        <v>-18.868829268293219</v>
      </c>
      <c r="CQ127">
        <v>1.8619268080216009</v>
      </c>
      <c r="CR127">
        <v>-1</v>
      </c>
      <c r="CS127">
        <v>12.27457317073171</v>
      </c>
      <c r="CT127">
        <v>1.245608362369343</v>
      </c>
      <c r="CU127">
        <v>0.1231074526174044</v>
      </c>
      <c r="CV127">
        <v>-1</v>
      </c>
      <c r="CW127">
        <v>0</v>
      </c>
      <c r="CX127">
        <v>0</v>
      </c>
      <c r="CY127" t="s">
        <v>333</v>
      </c>
      <c r="CZ127">
        <v>2.3644599999999998</v>
      </c>
      <c r="DA127">
        <v>2.7137600000000002</v>
      </c>
      <c r="DB127">
        <v>0.116865</v>
      </c>
      <c r="DC127">
        <v>0.14638499999999999</v>
      </c>
      <c r="DD127">
        <v>0.106254</v>
      </c>
      <c r="DE127">
        <v>5.59698E-2</v>
      </c>
      <c r="DF127">
        <v>32254.9</v>
      </c>
      <c r="DG127">
        <v>27526</v>
      </c>
      <c r="DH127">
        <v>31180</v>
      </c>
      <c r="DI127">
        <v>28098.3</v>
      </c>
      <c r="DJ127">
        <v>37836.699999999997</v>
      </c>
      <c r="DK127">
        <v>37726.300000000003</v>
      </c>
      <c r="DL127">
        <v>44375.5</v>
      </c>
      <c r="DM127">
        <v>42594.1</v>
      </c>
      <c r="DN127">
        <v>1.4407000000000001</v>
      </c>
      <c r="DO127">
        <v>2.0430999999999999</v>
      </c>
      <c r="DP127">
        <v>0.17698900000000001</v>
      </c>
      <c r="DQ127">
        <v>0.14733499999999999</v>
      </c>
      <c r="DR127">
        <v>24.1067</v>
      </c>
      <c r="DS127">
        <v>23.921299999999999</v>
      </c>
      <c r="DT127">
        <v>50.3</v>
      </c>
      <c r="DU127">
        <v>29.1</v>
      </c>
      <c r="DV127">
        <v>20.503399999999999</v>
      </c>
      <c r="DW127">
        <v>61.891199999999998</v>
      </c>
      <c r="DX127">
        <v>36.634599999999999</v>
      </c>
      <c r="DY127">
        <v>1</v>
      </c>
      <c r="DZ127">
        <v>-8.7728700000000007E-2</v>
      </c>
      <c r="EA127">
        <v>0.43261699999999997</v>
      </c>
      <c r="EB127">
        <v>20.189399999999999</v>
      </c>
      <c r="EC127">
        <v>5.2404999999999999</v>
      </c>
      <c r="ED127">
        <v>12.039899999999999</v>
      </c>
      <c r="EE127">
        <v>5.0168999999999997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1.8689199999999999</v>
      </c>
      <c r="EL127">
        <v>1.8646199999999999</v>
      </c>
      <c r="EM127">
        <v>1.8692</v>
      </c>
      <c r="EN127">
        <v>1.8672299999999999</v>
      </c>
      <c r="EO127">
        <v>1.8633999999999999</v>
      </c>
      <c r="EP127">
        <v>1.8644700000000001</v>
      </c>
      <c r="EQ127">
        <v>1.87015</v>
      </c>
      <c r="ER127">
        <v>1.8694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-8.2000000000000003E-2</v>
      </c>
      <c r="FG127">
        <v>0.27189999999999998</v>
      </c>
      <c r="FH127">
        <v>0.30965466913576151</v>
      </c>
      <c r="FI127">
        <v>-6.1462078757559423E-4</v>
      </c>
      <c r="FJ127">
        <v>-1.8861989874597051E-7</v>
      </c>
      <c r="FK127">
        <v>1.1980462299894961E-10</v>
      </c>
      <c r="FL127">
        <v>0.27184999999999349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28.3</v>
      </c>
      <c r="FU127">
        <v>28.5</v>
      </c>
      <c r="FV127">
        <v>1.7761199999999999</v>
      </c>
      <c r="FW127">
        <v>2.5939899999999998</v>
      </c>
      <c r="FX127">
        <v>1.5490699999999999</v>
      </c>
      <c r="FY127">
        <v>2.3290999999999999</v>
      </c>
      <c r="FZ127">
        <v>1.50146</v>
      </c>
      <c r="GA127">
        <v>2.2766099999999998</v>
      </c>
      <c r="GB127">
        <v>33.896099999999997</v>
      </c>
      <c r="GC127">
        <v>23.982399999999998</v>
      </c>
      <c r="GD127">
        <v>19</v>
      </c>
      <c r="GE127">
        <v>268.38299999999998</v>
      </c>
      <c r="GF127">
        <v>589.83900000000006</v>
      </c>
      <c r="GG127">
        <v>22.8338</v>
      </c>
      <c r="GH127">
        <v>26.249099999999999</v>
      </c>
      <c r="GI127">
        <v>30</v>
      </c>
      <c r="GJ127">
        <v>26.435700000000001</v>
      </c>
      <c r="GK127">
        <v>26.434999999999999</v>
      </c>
      <c r="GL127">
        <v>35.521599999999999</v>
      </c>
      <c r="GM127">
        <v>55.2393</v>
      </c>
      <c r="GN127">
        <v>69.834999999999994</v>
      </c>
      <c r="GO127">
        <v>22.828299999999999</v>
      </c>
      <c r="GP127">
        <v>800</v>
      </c>
      <c r="GQ127">
        <v>9.1589299999999998</v>
      </c>
      <c r="GR127">
        <v>99.767200000000003</v>
      </c>
      <c r="GS127">
        <v>99.636099999999999</v>
      </c>
    </row>
    <row r="128" spans="1:201" x14ac:dyDescent="0.25">
      <c r="A128">
        <v>112</v>
      </c>
      <c r="B128">
        <v>1690305029.5</v>
      </c>
      <c r="C128">
        <v>1279.5</v>
      </c>
      <c r="D128" t="s">
        <v>555</v>
      </c>
      <c r="E128" t="s">
        <v>556</v>
      </c>
      <c r="F128" t="s">
        <v>330</v>
      </c>
      <c r="H128">
        <v>1690305029.5</v>
      </c>
      <c r="I128">
        <f t="shared" si="30"/>
        <v>1.1783388244169719E-3</v>
      </c>
      <c r="J128">
        <f t="shared" si="31"/>
        <v>1.1783388244169719</v>
      </c>
      <c r="K128">
        <f t="shared" si="32"/>
        <v>20.202222801280652</v>
      </c>
      <c r="L128">
        <f t="shared" si="33"/>
        <v>570.44399999999996</v>
      </c>
      <c r="M128">
        <f t="shared" si="34"/>
        <v>172.59085534631728</v>
      </c>
      <c r="N128">
        <f t="shared" si="35"/>
        <v>17.146544526249595</v>
      </c>
      <c r="O128">
        <f t="shared" si="36"/>
        <v>56.672431607719197</v>
      </c>
      <c r="P128">
        <f t="shared" si="37"/>
        <v>8.4588015671985012E-2</v>
      </c>
      <c r="Q128">
        <f t="shared" si="38"/>
        <v>2.107357225537581</v>
      </c>
      <c r="R128">
        <f t="shared" si="39"/>
        <v>8.2746041483821059E-2</v>
      </c>
      <c r="S128">
        <f t="shared" si="40"/>
        <v>5.1878429233535042E-2</v>
      </c>
      <c r="T128">
        <f t="shared" si="41"/>
        <v>276.11509946399997</v>
      </c>
      <c r="U128">
        <f t="shared" si="42"/>
        <v>26.811050241021466</v>
      </c>
      <c r="V128">
        <f t="shared" si="43"/>
        <v>26.811050241021466</v>
      </c>
      <c r="W128">
        <f t="shared" si="44"/>
        <v>3.5396318784233456</v>
      </c>
      <c r="X128">
        <f t="shared" si="45"/>
        <v>68.030841575143313</v>
      </c>
      <c r="Y128">
        <f t="shared" si="46"/>
        <v>2.16549680423778</v>
      </c>
      <c r="Z128">
        <f t="shared" si="47"/>
        <v>3.183110415951397</v>
      </c>
      <c r="AA128">
        <f t="shared" si="48"/>
        <v>1.3741350741855656</v>
      </c>
      <c r="AB128">
        <f t="shared" si="49"/>
        <v>-51.964742156788461</v>
      </c>
      <c r="AC128">
        <f t="shared" si="50"/>
        <v>-203.70038082928113</v>
      </c>
      <c r="AD128">
        <f t="shared" si="51"/>
        <v>-20.635265920359391</v>
      </c>
      <c r="AE128">
        <f t="shared" si="52"/>
        <v>-0.1852894424289957</v>
      </c>
      <c r="AF128">
        <v>11</v>
      </c>
      <c r="AG128">
        <v>4</v>
      </c>
      <c r="AH128">
        <f t="shared" si="53"/>
        <v>1</v>
      </c>
      <c r="AI128">
        <f t="shared" si="54"/>
        <v>0</v>
      </c>
      <c r="AJ128">
        <f t="shared" si="55"/>
        <v>53163.644932393792</v>
      </c>
      <c r="AK128">
        <f t="shared" si="56"/>
        <v>1800</v>
      </c>
      <c r="AL128">
        <f t="shared" si="57"/>
        <v>1499.1146784</v>
      </c>
      <c r="AM128">
        <f t="shared" si="58"/>
        <v>0.83284148800000002</v>
      </c>
      <c r="AN128">
        <f t="shared" si="59"/>
        <v>0.15339727747999998</v>
      </c>
      <c r="AO128">
        <v>33</v>
      </c>
      <c r="AP128">
        <v>0.5</v>
      </c>
      <c r="AQ128" t="s">
        <v>331</v>
      </c>
      <c r="AR128">
        <v>2</v>
      </c>
      <c r="AS128">
        <v>1690305029.5</v>
      </c>
      <c r="AT128">
        <v>570.44399999999996</v>
      </c>
      <c r="AU128">
        <v>800.005</v>
      </c>
      <c r="AV128">
        <v>21.7971</v>
      </c>
      <c r="AW128">
        <v>9.1210699999999996</v>
      </c>
      <c r="AX128">
        <v>570.52499999999998</v>
      </c>
      <c r="AY128">
        <v>21.525300000000001</v>
      </c>
      <c r="AZ128">
        <v>300.07499999999999</v>
      </c>
      <c r="BA128">
        <v>99.248000000000005</v>
      </c>
      <c r="BB128">
        <v>9.9931800000000001E-2</v>
      </c>
      <c r="BC128">
        <v>25.0181</v>
      </c>
      <c r="BD128">
        <v>26.961500000000001</v>
      </c>
      <c r="BE128">
        <v>26.347000000000001</v>
      </c>
      <c r="BF128">
        <v>0</v>
      </c>
      <c r="BG128">
        <v>0</v>
      </c>
      <c r="BH128">
        <v>10066.200000000001</v>
      </c>
      <c r="BI128">
        <v>1050.8699999999999</v>
      </c>
      <c r="BJ128">
        <v>1.62592</v>
      </c>
      <c r="BK128">
        <v>-229.56100000000001</v>
      </c>
      <c r="BL128">
        <v>583.15599999999995</v>
      </c>
      <c r="BM128">
        <v>807.36900000000003</v>
      </c>
      <c r="BN128">
        <v>12.6761</v>
      </c>
      <c r="BO128">
        <v>800.005</v>
      </c>
      <c r="BP128">
        <v>9.1210699999999996</v>
      </c>
      <c r="BQ128">
        <v>2.1633200000000001</v>
      </c>
      <c r="BR128">
        <v>0.90524800000000005</v>
      </c>
      <c r="BS128">
        <v>18.693300000000001</v>
      </c>
      <c r="BT128">
        <v>5.47445</v>
      </c>
      <c r="BU128">
        <v>1800</v>
      </c>
      <c r="BV128">
        <v>0.91001100000000001</v>
      </c>
      <c r="BW128">
        <v>3.3993700000000002E-2</v>
      </c>
      <c r="BX128">
        <v>2.1998400000000001E-2</v>
      </c>
      <c r="BY128">
        <v>3.3997399999999997E-2</v>
      </c>
      <c r="BZ128">
        <v>26</v>
      </c>
      <c r="CA128">
        <v>33528.400000000001</v>
      </c>
      <c r="CB128">
        <v>1690303320.5</v>
      </c>
      <c r="CC128" t="s">
        <v>332</v>
      </c>
      <c r="CD128">
        <v>1690303320.5</v>
      </c>
      <c r="CE128">
        <v>1690303310.0999999</v>
      </c>
      <c r="CF128">
        <v>8</v>
      </c>
      <c r="CG128">
        <v>7.3999999999999996E-2</v>
      </c>
      <c r="CH128">
        <v>-0.01</v>
      </c>
      <c r="CI128">
        <v>-0.24199999999999999</v>
      </c>
      <c r="CJ128">
        <v>0.27200000000000002</v>
      </c>
      <c r="CK128">
        <v>800</v>
      </c>
      <c r="CL128">
        <v>23</v>
      </c>
      <c r="CM128">
        <v>0.06</v>
      </c>
      <c r="CN128">
        <v>0.09</v>
      </c>
      <c r="CO128">
        <v>-226.264825</v>
      </c>
      <c r="CP128">
        <v>-19.103290806753879</v>
      </c>
      <c r="CQ128">
        <v>1.838930217375035</v>
      </c>
      <c r="CR128">
        <v>-1</v>
      </c>
      <c r="CS128">
        <v>12.4885775</v>
      </c>
      <c r="CT128">
        <v>1.314590994371448</v>
      </c>
      <c r="CU128">
        <v>0.12685563150191631</v>
      </c>
      <c r="CV128">
        <v>-1</v>
      </c>
      <c r="CW128">
        <v>0</v>
      </c>
      <c r="CX128">
        <v>0</v>
      </c>
      <c r="CY128" t="s">
        <v>333</v>
      </c>
      <c r="CZ128">
        <v>2.3642699999999999</v>
      </c>
      <c r="DA128">
        <v>2.7137799999999999</v>
      </c>
      <c r="DB128">
        <v>0.11640200000000001</v>
      </c>
      <c r="DC128">
        <v>0.146366</v>
      </c>
      <c r="DD128">
        <v>0.106239</v>
      </c>
      <c r="DE128">
        <v>5.51677E-2</v>
      </c>
      <c r="DF128">
        <v>32272</v>
      </c>
      <c r="DG128">
        <v>27526.6</v>
      </c>
      <c r="DH128">
        <v>31180.2</v>
      </c>
      <c r="DI128">
        <v>28098.3</v>
      </c>
      <c r="DJ128">
        <v>37837.300000000003</v>
      </c>
      <c r="DK128">
        <v>37758.1</v>
      </c>
      <c r="DL128">
        <v>44375.5</v>
      </c>
      <c r="DM128">
        <v>42593.7</v>
      </c>
      <c r="DN128">
        <v>1.44</v>
      </c>
      <c r="DO128">
        <v>2.0428500000000001</v>
      </c>
      <c r="DP128">
        <v>0.17380300000000001</v>
      </c>
      <c r="DQ128">
        <v>0.14746600000000001</v>
      </c>
      <c r="DR128">
        <v>24.112300000000001</v>
      </c>
      <c r="DS128">
        <v>23.928000000000001</v>
      </c>
      <c r="DT128">
        <v>50</v>
      </c>
      <c r="DU128">
        <v>29</v>
      </c>
      <c r="DV128">
        <v>20.260100000000001</v>
      </c>
      <c r="DW128">
        <v>61.101199999999999</v>
      </c>
      <c r="DX128">
        <v>36.666699999999999</v>
      </c>
      <c r="DY128">
        <v>1</v>
      </c>
      <c r="DZ128">
        <v>-8.6255100000000001E-2</v>
      </c>
      <c r="EA128">
        <v>1.5048699999999999</v>
      </c>
      <c r="EB128">
        <v>20.180399999999999</v>
      </c>
      <c r="EC128">
        <v>5.2408000000000001</v>
      </c>
      <c r="ED128">
        <v>12.039899999999999</v>
      </c>
      <c r="EE128">
        <v>5.0170000000000003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1.8689100000000001</v>
      </c>
      <c r="EL128">
        <v>1.8646199999999999</v>
      </c>
      <c r="EM128">
        <v>1.8692</v>
      </c>
      <c r="EN128">
        <v>1.8672299999999999</v>
      </c>
      <c r="EO128">
        <v>1.8633999999999999</v>
      </c>
      <c r="EP128">
        <v>1.8644700000000001</v>
      </c>
      <c r="EQ128">
        <v>1.87018</v>
      </c>
      <c r="ER128">
        <v>1.8694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-8.1000000000000003E-2</v>
      </c>
      <c r="FG128">
        <v>0.27179999999999999</v>
      </c>
      <c r="FH128">
        <v>0.30965466913576151</v>
      </c>
      <c r="FI128">
        <v>-6.1462078757559423E-4</v>
      </c>
      <c r="FJ128">
        <v>-1.8861989874597051E-7</v>
      </c>
      <c r="FK128">
        <v>1.1980462299894961E-10</v>
      </c>
      <c r="FL128">
        <v>0.27184999999999349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28.5</v>
      </c>
      <c r="FU128">
        <v>28.7</v>
      </c>
      <c r="FV128">
        <v>1.7761199999999999</v>
      </c>
      <c r="FW128">
        <v>2.5854499999999998</v>
      </c>
      <c r="FX128">
        <v>1.5490699999999999</v>
      </c>
      <c r="FY128">
        <v>2.3278799999999999</v>
      </c>
      <c r="FZ128">
        <v>1.50146</v>
      </c>
      <c r="GA128">
        <v>2.3852500000000001</v>
      </c>
      <c r="GB128">
        <v>33.896099999999997</v>
      </c>
      <c r="GC128">
        <v>23.982399999999998</v>
      </c>
      <c r="GD128">
        <v>19</v>
      </c>
      <c r="GE128">
        <v>268.07799999999997</v>
      </c>
      <c r="GF128">
        <v>589.58000000000004</v>
      </c>
      <c r="GG128">
        <v>22.4346</v>
      </c>
      <c r="GH128">
        <v>26.244700000000002</v>
      </c>
      <c r="GI128">
        <v>30.000299999999999</v>
      </c>
      <c r="GJ128">
        <v>26.4313</v>
      </c>
      <c r="GK128">
        <v>26.430599999999998</v>
      </c>
      <c r="GL128">
        <v>35.521599999999999</v>
      </c>
      <c r="GM128">
        <v>55.529600000000002</v>
      </c>
      <c r="GN128">
        <v>69.058400000000006</v>
      </c>
      <c r="GO128">
        <v>22.427600000000002</v>
      </c>
      <c r="GP128">
        <v>800</v>
      </c>
      <c r="GQ128">
        <v>9.0814800000000009</v>
      </c>
      <c r="GR128">
        <v>99.767499999999998</v>
      </c>
      <c r="GS128">
        <v>99.635499999999993</v>
      </c>
    </row>
    <row r="129" spans="1:201" x14ac:dyDescent="0.25">
      <c r="A129">
        <v>113</v>
      </c>
      <c r="B129">
        <v>1690305039.5</v>
      </c>
      <c r="C129">
        <v>1289.5</v>
      </c>
      <c r="D129" t="s">
        <v>557</v>
      </c>
      <c r="E129" t="s">
        <v>558</v>
      </c>
      <c r="F129" t="s">
        <v>330</v>
      </c>
      <c r="H129">
        <v>1690305039.5</v>
      </c>
      <c r="I129">
        <f t="shared" si="30"/>
        <v>1.1828243043629377E-3</v>
      </c>
      <c r="J129">
        <f t="shared" si="31"/>
        <v>1.1828243043629376</v>
      </c>
      <c r="K129">
        <f t="shared" si="32"/>
        <v>20.503994592205416</v>
      </c>
      <c r="L129">
        <f t="shared" si="33"/>
        <v>567.14</v>
      </c>
      <c r="M129">
        <f t="shared" si="34"/>
        <v>165.26652610052619</v>
      </c>
      <c r="N129">
        <f t="shared" si="35"/>
        <v>16.419773094958149</v>
      </c>
      <c r="O129">
        <f t="shared" si="36"/>
        <v>56.347224890600003</v>
      </c>
      <c r="P129">
        <f t="shared" si="37"/>
        <v>8.4961077273753946E-2</v>
      </c>
      <c r="Q129">
        <f t="shared" si="38"/>
        <v>2.0985958556542541</v>
      </c>
      <c r="R129">
        <f t="shared" si="39"/>
        <v>8.3095438429143659E-2</v>
      </c>
      <c r="S129">
        <f t="shared" si="40"/>
        <v>5.209885715750321E-2</v>
      </c>
      <c r="T129">
        <f t="shared" si="41"/>
        <v>276.11330182869006</v>
      </c>
      <c r="U129">
        <f t="shared" si="42"/>
        <v>26.791787999421707</v>
      </c>
      <c r="V129">
        <f t="shared" si="43"/>
        <v>26.791787999421707</v>
      </c>
      <c r="W129">
        <f t="shared" si="44"/>
        <v>3.5356237545363873</v>
      </c>
      <c r="X129">
        <f t="shared" si="45"/>
        <v>68.01798661228807</v>
      </c>
      <c r="Y129">
        <f t="shared" si="46"/>
        <v>2.1619275903999999</v>
      </c>
      <c r="Z129">
        <f t="shared" si="47"/>
        <v>3.1784645475075379</v>
      </c>
      <c r="AA129">
        <f t="shared" si="48"/>
        <v>1.3736961641363874</v>
      </c>
      <c r="AB129">
        <f t="shared" si="49"/>
        <v>-52.162551822405554</v>
      </c>
      <c r="AC129">
        <f t="shared" si="50"/>
        <v>-203.44609074704678</v>
      </c>
      <c r="AD129">
        <f t="shared" si="51"/>
        <v>-20.691004458223478</v>
      </c>
      <c r="AE129">
        <f t="shared" si="52"/>
        <v>-0.18634519898577651</v>
      </c>
      <c r="AF129">
        <v>11</v>
      </c>
      <c r="AG129">
        <v>4</v>
      </c>
      <c r="AH129">
        <f t="shared" si="53"/>
        <v>1</v>
      </c>
      <c r="AI129">
        <f t="shared" si="54"/>
        <v>0</v>
      </c>
      <c r="AJ129">
        <f t="shared" si="55"/>
        <v>52775.489024125221</v>
      </c>
      <c r="AK129">
        <f t="shared" si="56"/>
        <v>1799.99</v>
      </c>
      <c r="AL129">
        <f t="shared" si="57"/>
        <v>1499.1055435895998</v>
      </c>
      <c r="AM129">
        <f t="shared" si="58"/>
        <v>0.83284103999999992</v>
      </c>
      <c r="AN129">
        <f t="shared" si="59"/>
        <v>0.15339713100000002</v>
      </c>
      <c r="AO129">
        <v>33</v>
      </c>
      <c r="AP129">
        <v>0.5</v>
      </c>
      <c r="AQ129" t="s">
        <v>331</v>
      </c>
      <c r="AR129">
        <v>2</v>
      </c>
      <c r="AS129">
        <v>1690305039.5</v>
      </c>
      <c r="AT129">
        <v>567.14</v>
      </c>
      <c r="AU129">
        <v>799.93499999999995</v>
      </c>
      <c r="AV129">
        <v>21.76</v>
      </c>
      <c r="AW129">
        <v>9.0390499999999996</v>
      </c>
      <c r="AX129">
        <v>567.21699999999998</v>
      </c>
      <c r="AY129">
        <v>21.488199999999999</v>
      </c>
      <c r="AZ129">
        <v>300.16500000000002</v>
      </c>
      <c r="BA129">
        <v>99.253299999999996</v>
      </c>
      <c r="BB129">
        <v>9.9989999999999996E-2</v>
      </c>
      <c r="BC129">
        <v>24.993600000000001</v>
      </c>
      <c r="BD129">
        <v>26.912500000000001</v>
      </c>
      <c r="BE129">
        <v>26.312000000000001</v>
      </c>
      <c r="BF129">
        <v>0</v>
      </c>
      <c r="BG129">
        <v>0</v>
      </c>
      <c r="BH129">
        <v>9988.1200000000008</v>
      </c>
      <c r="BI129">
        <v>1050.81</v>
      </c>
      <c r="BJ129">
        <v>1.62592</v>
      </c>
      <c r="BK129">
        <v>-232.79499999999999</v>
      </c>
      <c r="BL129">
        <v>579.755</v>
      </c>
      <c r="BM129">
        <v>807.23099999999999</v>
      </c>
      <c r="BN129">
        <v>12.721</v>
      </c>
      <c r="BO129">
        <v>799.93499999999995</v>
      </c>
      <c r="BP129">
        <v>9.0390499999999996</v>
      </c>
      <c r="BQ129">
        <v>2.1597499999999998</v>
      </c>
      <c r="BR129">
        <v>0.89715500000000004</v>
      </c>
      <c r="BS129">
        <v>18.666899999999998</v>
      </c>
      <c r="BT129">
        <v>5.3451899999999997</v>
      </c>
      <c r="BU129">
        <v>1799.99</v>
      </c>
      <c r="BV129">
        <v>0.91001200000000004</v>
      </c>
      <c r="BW129">
        <v>3.3993000000000002E-2</v>
      </c>
      <c r="BX129">
        <v>2.1998E-2</v>
      </c>
      <c r="BY129">
        <v>3.3996800000000001E-2</v>
      </c>
      <c r="BZ129">
        <v>26</v>
      </c>
      <c r="CA129">
        <v>33528.300000000003</v>
      </c>
      <c r="CB129">
        <v>1690303320.5</v>
      </c>
      <c r="CC129" t="s">
        <v>332</v>
      </c>
      <c r="CD129">
        <v>1690303320.5</v>
      </c>
      <c r="CE129">
        <v>1690303310.0999999</v>
      </c>
      <c r="CF129">
        <v>8</v>
      </c>
      <c r="CG129">
        <v>7.3999999999999996E-2</v>
      </c>
      <c r="CH129">
        <v>-0.01</v>
      </c>
      <c r="CI129">
        <v>-0.24199999999999999</v>
      </c>
      <c r="CJ129">
        <v>0.27200000000000002</v>
      </c>
      <c r="CK129">
        <v>800</v>
      </c>
      <c r="CL129">
        <v>23</v>
      </c>
      <c r="CM129">
        <v>0.06</v>
      </c>
      <c r="CN129">
        <v>0.09</v>
      </c>
      <c r="CO129">
        <v>-229.396525</v>
      </c>
      <c r="CP129">
        <v>-18.496806754221701</v>
      </c>
      <c r="CQ129">
        <v>1.7806848961495141</v>
      </c>
      <c r="CR129">
        <v>-1</v>
      </c>
      <c r="CS129">
        <v>12.644887499999999</v>
      </c>
      <c r="CT129">
        <v>0.55789756097558629</v>
      </c>
      <c r="CU129">
        <v>5.9092153402545762E-2</v>
      </c>
      <c r="CV129">
        <v>-1</v>
      </c>
      <c r="CW129">
        <v>0</v>
      </c>
      <c r="CX129">
        <v>0</v>
      </c>
      <c r="CY129" t="s">
        <v>333</v>
      </c>
      <c r="CZ129">
        <v>2.3645900000000002</v>
      </c>
      <c r="DA129">
        <v>2.7137699999999998</v>
      </c>
      <c r="DB129">
        <v>0.115929</v>
      </c>
      <c r="DC129">
        <v>0.14636399999999999</v>
      </c>
      <c r="DD129">
        <v>0.106116</v>
      </c>
      <c r="DE129">
        <v>5.4784699999999999E-2</v>
      </c>
      <c r="DF129">
        <v>32289.599999999999</v>
      </c>
      <c r="DG129">
        <v>27526.9</v>
      </c>
      <c r="DH129">
        <v>31180.400000000001</v>
      </c>
      <c r="DI129">
        <v>28098.400000000001</v>
      </c>
      <c r="DJ129">
        <v>37843.1</v>
      </c>
      <c r="DK129">
        <v>37773.9</v>
      </c>
      <c r="DL129">
        <v>44376.1</v>
      </c>
      <c r="DM129">
        <v>42594.2</v>
      </c>
      <c r="DN129">
        <v>1.44068</v>
      </c>
      <c r="DO129">
        <v>2.0426500000000001</v>
      </c>
      <c r="DP129">
        <v>0.17049900000000001</v>
      </c>
      <c r="DQ129">
        <v>0.14490600000000001</v>
      </c>
      <c r="DR129">
        <v>24.1174</v>
      </c>
      <c r="DS129">
        <v>23.934899999999999</v>
      </c>
      <c r="DT129">
        <v>49.7</v>
      </c>
      <c r="DU129">
        <v>29.1</v>
      </c>
      <c r="DV129">
        <v>20.254999999999999</v>
      </c>
      <c r="DW129">
        <v>61.481200000000001</v>
      </c>
      <c r="DX129">
        <v>35.841299999999997</v>
      </c>
      <c r="DY129">
        <v>1</v>
      </c>
      <c r="DZ129">
        <v>-8.8036100000000006E-2</v>
      </c>
      <c r="EA129">
        <v>0.79153600000000002</v>
      </c>
      <c r="EB129">
        <v>20.187200000000001</v>
      </c>
      <c r="EC129">
        <v>5.2411000000000003</v>
      </c>
      <c r="ED129">
        <v>12.039899999999999</v>
      </c>
      <c r="EE129">
        <v>5.0170500000000002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1.8689199999999999</v>
      </c>
      <c r="EL129">
        <v>1.8646199999999999</v>
      </c>
      <c r="EM129">
        <v>1.8692</v>
      </c>
      <c r="EN129">
        <v>1.8672299999999999</v>
      </c>
      <c r="EO129">
        <v>1.8633999999999999</v>
      </c>
      <c r="EP129">
        <v>1.8644799999999999</v>
      </c>
      <c r="EQ129">
        <v>1.87018</v>
      </c>
      <c r="ER129">
        <v>1.8694299999999999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-7.6999999999999999E-2</v>
      </c>
      <c r="FG129">
        <v>0.27179999999999999</v>
      </c>
      <c r="FH129">
        <v>0.30965466913576151</v>
      </c>
      <c r="FI129">
        <v>-6.1462078757559423E-4</v>
      </c>
      <c r="FJ129">
        <v>-1.8861989874597051E-7</v>
      </c>
      <c r="FK129">
        <v>1.1980462299894961E-10</v>
      </c>
      <c r="FL129">
        <v>0.27184999999999349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28.6</v>
      </c>
      <c r="FU129">
        <v>28.8</v>
      </c>
      <c r="FV129">
        <v>1.7773399999999999</v>
      </c>
      <c r="FW129">
        <v>2.5854499999999998</v>
      </c>
      <c r="FX129">
        <v>1.5490699999999999</v>
      </c>
      <c r="FY129">
        <v>2.3278799999999999</v>
      </c>
      <c r="FZ129">
        <v>1.50146</v>
      </c>
      <c r="GA129">
        <v>2.3950200000000001</v>
      </c>
      <c r="GB129">
        <v>33.896099999999997</v>
      </c>
      <c r="GC129">
        <v>23.991199999999999</v>
      </c>
      <c r="GD129">
        <v>19</v>
      </c>
      <c r="GE129">
        <v>268.33100000000002</v>
      </c>
      <c r="GF129">
        <v>589.36900000000003</v>
      </c>
      <c r="GG129">
        <v>22.383299999999998</v>
      </c>
      <c r="GH129">
        <v>26.240300000000001</v>
      </c>
      <c r="GI129">
        <v>29.999500000000001</v>
      </c>
      <c r="GJ129">
        <v>26.425799999999999</v>
      </c>
      <c r="GK129">
        <v>26.4268</v>
      </c>
      <c r="GL129">
        <v>35.523600000000002</v>
      </c>
      <c r="GM129">
        <v>55.529600000000002</v>
      </c>
      <c r="GN129">
        <v>68.285700000000006</v>
      </c>
      <c r="GO129">
        <v>22.448699999999999</v>
      </c>
      <c r="GP129">
        <v>800</v>
      </c>
      <c r="GQ129">
        <v>8.9372600000000002</v>
      </c>
      <c r="GR129">
        <v>99.768600000000006</v>
      </c>
      <c r="GS129">
        <v>99.636399999999995</v>
      </c>
    </row>
    <row r="130" spans="1:201" x14ac:dyDescent="0.25">
      <c r="A130">
        <v>114</v>
      </c>
      <c r="B130">
        <v>1690305049.5</v>
      </c>
      <c r="C130">
        <v>1299.5</v>
      </c>
      <c r="D130" t="s">
        <v>559</v>
      </c>
      <c r="E130" t="s">
        <v>560</v>
      </c>
      <c r="F130" t="s">
        <v>330</v>
      </c>
      <c r="H130">
        <v>1690305049.5</v>
      </c>
      <c r="I130">
        <f t="shared" si="30"/>
        <v>1.2027422965613951E-3</v>
      </c>
      <c r="J130">
        <f t="shared" si="31"/>
        <v>1.2027422965613952</v>
      </c>
      <c r="K130">
        <f t="shared" si="32"/>
        <v>20.790985439397659</v>
      </c>
      <c r="L130">
        <f t="shared" si="33"/>
        <v>564.053</v>
      </c>
      <c r="M130">
        <f t="shared" si="34"/>
        <v>165.11700175923485</v>
      </c>
      <c r="N130">
        <f t="shared" si="35"/>
        <v>16.40455971628996</v>
      </c>
      <c r="O130">
        <f t="shared" si="36"/>
        <v>56.039299545572</v>
      </c>
      <c r="P130">
        <f t="shared" si="37"/>
        <v>8.6816506499982377E-2</v>
      </c>
      <c r="Q130">
        <f t="shared" si="38"/>
        <v>2.0997042554840961</v>
      </c>
      <c r="R130">
        <f t="shared" si="39"/>
        <v>8.4870501048465205E-2</v>
      </c>
      <c r="S130">
        <f t="shared" si="40"/>
        <v>5.3215270956408059E-2</v>
      </c>
      <c r="T130">
        <f t="shared" si="41"/>
        <v>276.11323164707989</v>
      </c>
      <c r="U130">
        <f t="shared" si="42"/>
        <v>26.783476229414745</v>
      </c>
      <c r="V130">
        <f t="shared" si="43"/>
        <v>26.783476229414745</v>
      </c>
      <c r="W130">
        <f t="shared" si="44"/>
        <v>3.5338954497546573</v>
      </c>
      <c r="X130">
        <f t="shared" si="45"/>
        <v>68.158163203597013</v>
      </c>
      <c r="Y130">
        <f t="shared" si="46"/>
        <v>2.1663313885951996</v>
      </c>
      <c r="Z130">
        <f t="shared" si="47"/>
        <v>3.1783887457825046</v>
      </c>
      <c r="AA130">
        <f t="shared" si="48"/>
        <v>1.3675640611594577</v>
      </c>
      <c r="AB130">
        <f t="shared" si="49"/>
        <v>-53.040935278357523</v>
      </c>
      <c r="AC130">
        <f t="shared" si="50"/>
        <v>-202.65793688495393</v>
      </c>
      <c r="AD130">
        <f t="shared" si="51"/>
        <v>-20.599064744794319</v>
      </c>
      <c r="AE130">
        <f t="shared" si="52"/>
        <v>-0.18470526102586859</v>
      </c>
      <c r="AF130">
        <v>10</v>
      </c>
      <c r="AG130">
        <v>3</v>
      </c>
      <c r="AH130">
        <f t="shared" si="53"/>
        <v>1</v>
      </c>
      <c r="AI130">
        <f t="shared" si="54"/>
        <v>0</v>
      </c>
      <c r="AJ130">
        <f t="shared" si="55"/>
        <v>52825.075355997578</v>
      </c>
      <c r="AK130">
        <f t="shared" si="56"/>
        <v>1799.99</v>
      </c>
      <c r="AL130">
        <f t="shared" si="57"/>
        <v>1499.10623838574</v>
      </c>
      <c r="AM130">
        <f t="shared" si="58"/>
        <v>0.832841426</v>
      </c>
      <c r="AN130">
        <f t="shared" si="59"/>
        <v>0.15339709200999999</v>
      </c>
      <c r="AO130">
        <v>33</v>
      </c>
      <c r="AP130">
        <v>0.5</v>
      </c>
      <c r="AQ130" t="s">
        <v>331</v>
      </c>
      <c r="AR130">
        <v>2</v>
      </c>
      <c r="AS130">
        <v>1690305049.5</v>
      </c>
      <c r="AT130">
        <v>564.053</v>
      </c>
      <c r="AU130">
        <v>800.01499999999999</v>
      </c>
      <c r="AV130">
        <v>21.8048</v>
      </c>
      <c r="AW130">
        <v>8.8741500000000002</v>
      </c>
      <c r="AX130">
        <v>564.12900000000002</v>
      </c>
      <c r="AY130">
        <v>21.533000000000001</v>
      </c>
      <c r="AZ130">
        <v>300.25599999999997</v>
      </c>
      <c r="BA130">
        <v>99.251099999999994</v>
      </c>
      <c r="BB130">
        <v>0.100024</v>
      </c>
      <c r="BC130">
        <v>24.993200000000002</v>
      </c>
      <c r="BD130">
        <v>26.899699999999999</v>
      </c>
      <c r="BE130">
        <v>26.302399999999999</v>
      </c>
      <c r="BF130">
        <v>0</v>
      </c>
      <c r="BG130">
        <v>0</v>
      </c>
      <c r="BH130">
        <v>9998.1200000000008</v>
      </c>
      <c r="BI130">
        <v>1050.94</v>
      </c>
      <c r="BJ130">
        <v>1.62592</v>
      </c>
      <c r="BK130">
        <v>-235.96100000000001</v>
      </c>
      <c r="BL130">
        <v>576.62699999999995</v>
      </c>
      <c r="BM130">
        <v>807.178</v>
      </c>
      <c r="BN130">
        <v>12.9307</v>
      </c>
      <c r="BO130">
        <v>800.01499999999999</v>
      </c>
      <c r="BP130">
        <v>8.8741500000000002</v>
      </c>
      <c r="BQ130">
        <v>2.1641499999999998</v>
      </c>
      <c r="BR130">
        <v>0.88076900000000002</v>
      </c>
      <c r="BS130">
        <v>18.699400000000001</v>
      </c>
      <c r="BT130">
        <v>5.0803000000000003</v>
      </c>
      <c r="BU130">
        <v>1799.99</v>
      </c>
      <c r="BV130">
        <v>0.91001500000000002</v>
      </c>
      <c r="BW130">
        <v>3.3992000000000001E-2</v>
      </c>
      <c r="BX130">
        <v>2.1997300000000001E-2</v>
      </c>
      <c r="BY130">
        <v>3.3995699999999997E-2</v>
      </c>
      <c r="BZ130">
        <v>26</v>
      </c>
      <c r="CA130">
        <v>33528.400000000001</v>
      </c>
      <c r="CB130">
        <v>1690303320.5</v>
      </c>
      <c r="CC130" t="s">
        <v>332</v>
      </c>
      <c r="CD130">
        <v>1690303320.5</v>
      </c>
      <c r="CE130">
        <v>1690303310.0999999</v>
      </c>
      <c r="CF130">
        <v>8</v>
      </c>
      <c r="CG130">
        <v>7.3999999999999996E-2</v>
      </c>
      <c r="CH130">
        <v>-0.01</v>
      </c>
      <c r="CI130">
        <v>-0.24199999999999999</v>
      </c>
      <c r="CJ130">
        <v>0.27200000000000002</v>
      </c>
      <c r="CK130">
        <v>800</v>
      </c>
      <c r="CL130">
        <v>23</v>
      </c>
      <c r="CM130">
        <v>0.06</v>
      </c>
      <c r="CN130">
        <v>0.09</v>
      </c>
      <c r="CO130">
        <v>-232.32317073170731</v>
      </c>
      <c r="CP130">
        <v>-19.661937282229228</v>
      </c>
      <c r="CQ130">
        <v>1.939637656662546</v>
      </c>
      <c r="CR130">
        <v>-1</v>
      </c>
      <c r="CS130">
        <v>12.729782926829269</v>
      </c>
      <c r="CT130">
        <v>0.55306829268294966</v>
      </c>
      <c r="CU130">
        <v>5.9756460626074662E-2</v>
      </c>
      <c r="CV130">
        <v>-1</v>
      </c>
      <c r="CW130">
        <v>0</v>
      </c>
      <c r="CX130">
        <v>0</v>
      </c>
      <c r="CY130" t="s">
        <v>333</v>
      </c>
      <c r="CZ130">
        <v>2.3649</v>
      </c>
      <c r="DA130">
        <v>2.7138100000000001</v>
      </c>
      <c r="DB130">
        <v>0.115477</v>
      </c>
      <c r="DC130">
        <v>0.146369</v>
      </c>
      <c r="DD130">
        <v>0.106271</v>
      </c>
      <c r="DE130">
        <v>5.4003599999999999E-2</v>
      </c>
      <c r="DF130">
        <v>32306.799999999999</v>
      </c>
      <c r="DG130">
        <v>27527.7</v>
      </c>
      <c r="DH130">
        <v>31181.200000000001</v>
      </c>
      <c r="DI130">
        <v>28099.5</v>
      </c>
      <c r="DJ130">
        <v>37837</v>
      </c>
      <c r="DK130">
        <v>37806.5</v>
      </c>
      <c r="DL130">
        <v>44376.9</v>
      </c>
      <c r="DM130">
        <v>42595.7</v>
      </c>
      <c r="DN130">
        <v>1.44103</v>
      </c>
      <c r="DO130">
        <v>2.0423499999999999</v>
      </c>
      <c r="DP130">
        <v>0.16944100000000001</v>
      </c>
      <c r="DQ130">
        <v>0.14402000000000001</v>
      </c>
      <c r="DR130">
        <v>24.1219</v>
      </c>
      <c r="DS130">
        <v>23.939900000000002</v>
      </c>
      <c r="DT130">
        <v>49.4</v>
      </c>
      <c r="DU130">
        <v>29.1</v>
      </c>
      <c r="DV130">
        <v>20.134599999999999</v>
      </c>
      <c r="DW130">
        <v>61.471200000000003</v>
      </c>
      <c r="DX130">
        <v>35.7652</v>
      </c>
      <c r="DY130">
        <v>1</v>
      </c>
      <c r="DZ130">
        <v>-8.9080300000000001E-2</v>
      </c>
      <c r="EA130">
        <v>0.39759299999999997</v>
      </c>
      <c r="EB130">
        <v>20.189499999999999</v>
      </c>
      <c r="EC130">
        <v>5.2408000000000001</v>
      </c>
      <c r="ED130">
        <v>12.039899999999999</v>
      </c>
      <c r="EE130">
        <v>5.0170000000000003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1.8689100000000001</v>
      </c>
      <c r="EL130">
        <v>1.8646199999999999</v>
      </c>
      <c r="EM130">
        <v>1.8692</v>
      </c>
      <c r="EN130">
        <v>1.8672299999999999</v>
      </c>
      <c r="EO130">
        <v>1.8633999999999999</v>
      </c>
      <c r="EP130">
        <v>1.8644700000000001</v>
      </c>
      <c r="EQ130">
        <v>1.8702000000000001</v>
      </c>
      <c r="ER130">
        <v>1.8694200000000001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-7.5999999999999998E-2</v>
      </c>
      <c r="FG130">
        <v>0.27179999999999999</v>
      </c>
      <c r="FH130">
        <v>0.30965466913576151</v>
      </c>
      <c r="FI130">
        <v>-6.1462078757559423E-4</v>
      </c>
      <c r="FJ130">
        <v>-1.8861989874597051E-7</v>
      </c>
      <c r="FK130">
        <v>1.1980462299894961E-10</v>
      </c>
      <c r="FL130">
        <v>0.27184999999999349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28.8</v>
      </c>
      <c r="FU130">
        <v>29</v>
      </c>
      <c r="FV130">
        <v>1.7761199999999999</v>
      </c>
      <c r="FW130">
        <v>2.5854499999999998</v>
      </c>
      <c r="FX130">
        <v>1.5490699999999999</v>
      </c>
      <c r="FY130">
        <v>2.3278799999999999</v>
      </c>
      <c r="FZ130">
        <v>1.50146</v>
      </c>
      <c r="GA130">
        <v>2.3730500000000001</v>
      </c>
      <c r="GB130">
        <v>33.8735</v>
      </c>
      <c r="GC130">
        <v>23.991199999999999</v>
      </c>
      <c r="GD130">
        <v>19</v>
      </c>
      <c r="GE130">
        <v>268.46100000000001</v>
      </c>
      <c r="GF130">
        <v>589.06899999999996</v>
      </c>
      <c r="GG130">
        <v>22.516100000000002</v>
      </c>
      <c r="GH130">
        <v>26.2364</v>
      </c>
      <c r="GI130">
        <v>29.999700000000001</v>
      </c>
      <c r="GJ130">
        <v>26.4224</v>
      </c>
      <c r="GK130">
        <v>26.4224</v>
      </c>
      <c r="GL130">
        <v>35.5124</v>
      </c>
      <c r="GM130">
        <v>56.114100000000001</v>
      </c>
      <c r="GN130">
        <v>67.8827</v>
      </c>
      <c r="GO130">
        <v>22.567499999999999</v>
      </c>
      <c r="GP130">
        <v>800</v>
      </c>
      <c r="GQ130">
        <v>8.7334399999999999</v>
      </c>
      <c r="GR130">
        <v>99.770499999999998</v>
      </c>
      <c r="GS130">
        <v>99.64</v>
      </c>
    </row>
    <row r="131" spans="1:201" x14ac:dyDescent="0.25">
      <c r="A131">
        <v>115</v>
      </c>
      <c r="B131">
        <v>1690305059.5</v>
      </c>
      <c r="C131">
        <v>1309.5</v>
      </c>
      <c r="D131" t="s">
        <v>561</v>
      </c>
      <c r="E131" t="s">
        <v>562</v>
      </c>
      <c r="F131" t="s">
        <v>330</v>
      </c>
      <c r="H131">
        <v>1690305059.5</v>
      </c>
      <c r="I131">
        <f t="shared" si="30"/>
        <v>1.2277575646355697E-3</v>
      </c>
      <c r="J131">
        <f t="shared" si="31"/>
        <v>1.2277575646355698</v>
      </c>
      <c r="K131">
        <f t="shared" si="32"/>
        <v>21.052766073633837</v>
      </c>
      <c r="L131">
        <f t="shared" si="33"/>
        <v>561.04100000000005</v>
      </c>
      <c r="M131">
        <f t="shared" si="34"/>
        <v>166.41006605164782</v>
      </c>
      <c r="N131">
        <f t="shared" si="35"/>
        <v>16.532276098517364</v>
      </c>
      <c r="O131">
        <f t="shared" si="36"/>
        <v>55.737521982051</v>
      </c>
      <c r="P131">
        <f t="shared" si="37"/>
        <v>8.8922000893477932E-2</v>
      </c>
      <c r="Q131">
        <f t="shared" si="38"/>
        <v>2.0980237128740034</v>
      </c>
      <c r="R131">
        <f t="shared" si="39"/>
        <v>8.6880061986533863E-2</v>
      </c>
      <c r="S131">
        <f t="shared" si="40"/>
        <v>5.4479593460028009E-2</v>
      </c>
      <c r="T131">
        <f t="shared" si="41"/>
        <v>276.11468631000002</v>
      </c>
      <c r="U131">
        <f t="shared" si="42"/>
        <v>26.794200528271258</v>
      </c>
      <c r="V131">
        <f t="shared" si="43"/>
        <v>26.794200528271258</v>
      </c>
      <c r="W131">
        <f t="shared" si="44"/>
        <v>3.5361255409755916</v>
      </c>
      <c r="X131">
        <f t="shared" si="45"/>
        <v>68.278702541272978</v>
      </c>
      <c r="Y131">
        <f t="shared" si="46"/>
        <v>2.1725315586702001</v>
      </c>
      <c r="Z131">
        <f t="shared" si="47"/>
        <v>3.1818582922792831</v>
      </c>
      <c r="AA131">
        <f t="shared" si="48"/>
        <v>1.3635939823053915</v>
      </c>
      <c r="AB131">
        <f t="shared" si="49"/>
        <v>-54.144108600428623</v>
      </c>
      <c r="AC131">
        <f t="shared" si="50"/>
        <v>-201.63885796601843</v>
      </c>
      <c r="AD131">
        <f t="shared" si="51"/>
        <v>-20.514884469791198</v>
      </c>
      <c r="AE131">
        <f t="shared" si="52"/>
        <v>-0.18316472623823188</v>
      </c>
      <c r="AF131">
        <v>10</v>
      </c>
      <c r="AG131">
        <v>3</v>
      </c>
      <c r="AH131">
        <f t="shared" si="53"/>
        <v>1</v>
      </c>
      <c r="AI131">
        <f t="shared" si="54"/>
        <v>0</v>
      </c>
      <c r="AJ131">
        <f t="shared" si="55"/>
        <v>52746.604977032548</v>
      </c>
      <c r="AK131">
        <f t="shared" si="56"/>
        <v>1800</v>
      </c>
      <c r="AL131">
        <f t="shared" si="57"/>
        <v>1499.1145650000001</v>
      </c>
      <c r="AM131">
        <f t="shared" si="58"/>
        <v>0.83284142500000002</v>
      </c>
      <c r="AN131">
        <f t="shared" si="59"/>
        <v>0.15339704795</v>
      </c>
      <c r="AO131">
        <v>33</v>
      </c>
      <c r="AP131">
        <v>0.5</v>
      </c>
      <c r="AQ131" t="s">
        <v>331</v>
      </c>
      <c r="AR131">
        <v>2</v>
      </c>
      <c r="AS131">
        <v>1690305059.5</v>
      </c>
      <c r="AT131">
        <v>561.04100000000005</v>
      </c>
      <c r="AU131">
        <v>800.11400000000003</v>
      </c>
      <c r="AV131">
        <v>21.868200000000002</v>
      </c>
      <c r="AW131">
        <v>8.6628699999999998</v>
      </c>
      <c r="AX131">
        <v>561.11500000000001</v>
      </c>
      <c r="AY131">
        <v>21.596399999999999</v>
      </c>
      <c r="AZ131">
        <v>300.10599999999999</v>
      </c>
      <c r="BA131">
        <v>99.246600000000001</v>
      </c>
      <c r="BB131">
        <v>0.100011</v>
      </c>
      <c r="BC131">
        <v>25.011500000000002</v>
      </c>
      <c r="BD131">
        <v>26.937000000000001</v>
      </c>
      <c r="BE131">
        <v>26.330100000000002</v>
      </c>
      <c r="BF131">
        <v>0</v>
      </c>
      <c r="BG131">
        <v>0</v>
      </c>
      <c r="BH131">
        <v>9983.75</v>
      </c>
      <c r="BI131">
        <v>1051.04</v>
      </c>
      <c r="BJ131">
        <v>1.63853</v>
      </c>
      <c r="BK131">
        <v>-239.072</v>
      </c>
      <c r="BL131">
        <v>573.58500000000004</v>
      </c>
      <c r="BM131">
        <v>807.10500000000002</v>
      </c>
      <c r="BN131">
        <v>13.205299999999999</v>
      </c>
      <c r="BO131">
        <v>800.11400000000003</v>
      </c>
      <c r="BP131">
        <v>8.6628699999999998</v>
      </c>
      <c r="BQ131">
        <v>2.17035</v>
      </c>
      <c r="BR131">
        <v>0.85975999999999997</v>
      </c>
      <c r="BS131">
        <v>18.745100000000001</v>
      </c>
      <c r="BT131">
        <v>4.7342300000000002</v>
      </c>
      <c r="BU131">
        <v>1800</v>
      </c>
      <c r="BV131">
        <v>0.91001600000000005</v>
      </c>
      <c r="BW131">
        <v>3.3991599999999997E-2</v>
      </c>
      <c r="BX131">
        <v>2.1996999999999999E-2</v>
      </c>
      <c r="BY131">
        <v>3.3995299999999999E-2</v>
      </c>
      <c r="BZ131">
        <v>26</v>
      </c>
      <c r="CA131">
        <v>33528.5</v>
      </c>
      <c r="CB131">
        <v>1690303320.5</v>
      </c>
      <c r="CC131" t="s">
        <v>332</v>
      </c>
      <c r="CD131">
        <v>1690303320.5</v>
      </c>
      <c r="CE131">
        <v>1690303310.0999999</v>
      </c>
      <c r="CF131">
        <v>8</v>
      </c>
      <c r="CG131">
        <v>7.3999999999999996E-2</v>
      </c>
      <c r="CH131">
        <v>-0.01</v>
      </c>
      <c r="CI131">
        <v>-0.24199999999999999</v>
      </c>
      <c r="CJ131">
        <v>0.27200000000000002</v>
      </c>
      <c r="CK131">
        <v>800</v>
      </c>
      <c r="CL131">
        <v>23</v>
      </c>
      <c r="CM131">
        <v>0.06</v>
      </c>
      <c r="CN131">
        <v>0.09</v>
      </c>
      <c r="CO131">
        <v>-235.5326829268293</v>
      </c>
      <c r="CP131">
        <v>-18.787170731706929</v>
      </c>
      <c r="CQ131">
        <v>1.8533620003503519</v>
      </c>
      <c r="CR131">
        <v>-1</v>
      </c>
      <c r="CS131">
        <v>12.898856097560969</v>
      </c>
      <c r="CT131">
        <v>1.4621728222996619</v>
      </c>
      <c r="CU131">
        <v>0.14578261305004031</v>
      </c>
      <c r="CV131">
        <v>-1</v>
      </c>
      <c r="CW131">
        <v>0</v>
      </c>
      <c r="CX131">
        <v>0</v>
      </c>
      <c r="CY131" t="s">
        <v>333</v>
      </c>
      <c r="CZ131">
        <v>2.3643800000000001</v>
      </c>
      <c r="DA131">
        <v>2.7137899999999999</v>
      </c>
      <c r="DB131">
        <v>0.115034</v>
      </c>
      <c r="DC131">
        <v>0.146372</v>
      </c>
      <c r="DD131">
        <v>0.106489</v>
      </c>
      <c r="DE131">
        <v>5.2994600000000003E-2</v>
      </c>
      <c r="DF131">
        <v>32323</v>
      </c>
      <c r="DG131">
        <v>27527.8</v>
      </c>
      <c r="DH131">
        <v>31181.1</v>
      </c>
      <c r="DI131">
        <v>28099.599999999999</v>
      </c>
      <c r="DJ131">
        <v>37827.599999999999</v>
      </c>
      <c r="DK131">
        <v>37847.1</v>
      </c>
      <c r="DL131">
        <v>44376.800000000003</v>
      </c>
      <c r="DM131">
        <v>42595.8</v>
      </c>
      <c r="DN131">
        <v>1.4414499999999999</v>
      </c>
      <c r="DO131">
        <v>2.04203</v>
      </c>
      <c r="DP131">
        <v>0.17146800000000001</v>
      </c>
      <c r="DQ131">
        <v>0.14546100000000001</v>
      </c>
      <c r="DR131">
        <v>24.126000000000001</v>
      </c>
      <c r="DS131">
        <v>23.943899999999999</v>
      </c>
      <c r="DT131">
        <v>49.1</v>
      </c>
      <c r="DU131">
        <v>29.1</v>
      </c>
      <c r="DV131">
        <v>20.015000000000001</v>
      </c>
      <c r="DW131">
        <v>61.161200000000001</v>
      </c>
      <c r="DX131">
        <v>36.850999999999999</v>
      </c>
      <c r="DY131">
        <v>1</v>
      </c>
      <c r="DZ131">
        <v>-8.9451199999999995E-2</v>
      </c>
      <c r="EA131">
        <v>0.32621499999999998</v>
      </c>
      <c r="EB131">
        <v>20.189699999999998</v>
      </c>
      <c r="EC131">
        <v>5.2406499999999996</v>
      </c>
      <c r="ED131">
        <v>12.039899999999999</v>
      </c>
      <c r="EE131">
        <v>5.01675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1.86893</v>
      </c>
      <c r="EL131">
        <v>1.86463</v>
      </c>
      <c r="EM131">
        <v>1.8692</v>
      </c>
      <c r="EN131">
        <v>1.86724</v>
      </c>
      <c r="EO131">
        <v>1.8633999999999999</v>
      </c>
      <c r="EP131">
        <v>1.8644799999999999</v>
      </c>
      <c r="EQ131">
        <v>1.87022</v>
      </c>
      <c r="ER131">
        <v>1.86941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-7.3999999999999996E-2</v>
      </c>
      <c r="FG131">
        <v>0.27179999999999999</v>
      </c>
      <c r="FH131">
        <v>0.30965466913576151</v>
      </c>
      <c r="FI131">
        <v>-6.1462078757559423E-4</v>
      </c>
      <c r="FJ131">
        <v>-1.8861989874597051E-7</v>
      </c>
      <c r="FK131">
        <v>1.1980462299894961E-10</v>
      </c>
      <c r="FL131">
        <v>0.27184999999999349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29</v>
      </c>
      <c r="FU131">
        <v>29.2</v>
      </c>
      <c r="FV131">
        <v>1.7761199999999999</v>
      </c>
      <c r="FW131">
        <v>2.5927699999999998</v>
      </c>
      <c r="FX131">
        <v>1.5490699999999999</v>
      </c>
      <c r="FY131">
        <v>2.3278799999999999</v>
      </c>
      <c r="FZ131">
        <v>1.50146</v>
      </c>
      <c r="GA131">
        <v>2.2973599999999998</v>
      </c>
      <c r="GB131">
        <v>33.896099999999997</v>
      </c>
      <c r="GC131">
        <v>23.973700000000001</v>
      </c>
      <c r="GD131">
        <v>19</v>
      </c>
      <c r="GE131">
        <v>268.62200000000001</v>
      </c>
      <c r="GF131">
        <v>588.74800000000005</v>
      </c>
      <c r="GG131">
        <v>22.673300000000001</v>
      </c>
      <c r="GH131">
        <v>26.2331</v>
      </c>
      <c r="GI131">
        <v>30</v>
      </c>
      <c r="GJ131">
        <v>26.4191</v>
      </c>
      <c r="GK131">
        <v>26.417899999999999</v>
      </c>
      <c r="GL131">
        <v>35.503799999999998</v>
      </c>
      <c r="GM131">
        <v>56.726700000000001</v>
      </c>
      <c r="GN131">
        <v>67.105099999999993</v>
      </c>
      <c r="GO131">
        <v>22.6935</v>
      </c>
      <c r="GP131">
        <v>800</v>
      </c>
      <c r="GQ131">
        <v>8.5129400000000004</v>
      </c>
      <c r="GR131">
        <v>99.770399999999995</v>
      </c>
      <c r="GS131">
        <v>99.6404</v>
      </c>
    </row>
    <row r="132" spans="1:201" x14ac:dyDescent="0.25">
      <c r="A132">
        <v>116</v>
      </c>
      <c r="B132">
        <v>1690305069.5</v>
      </c>
      <c r="C132">
        <v>1319.5</v>
      </c>
      <c r="D132" t="s">
        <v>563</v>
      </c>
      <c r="E132" t="s">
        <v>564</v>
      </c>
      <c r="F132" t="s">
        <v>330</v>
      </c>
      <c r="H132">
        <v>1690305069.5</v>
      </c>
      <c r="I132">
        <f t="shared" si="30"/>
        <v>1.2524704006906533E-3</v>
      </c>
      <c r="J132">
        <f t="shared" si="31"/>
        <v>1.2524704006906533</v>
      </c>
      <c r="K132">
        <f t="shared" si="32"/>
        <v>21.316402750187386</v>
      </c>
      <c r="L132">
        <f t="shared" si="33"/>
        <v>558.04300000000001</v>
      </c>
      <c r="M132">
        <f t="shared" si="34"/>
        <v>166.85532022100639</v>
      </c>
      <c r="N132">
        <f t="shared" si="35"/>
        <v>16.576378441863145</v>
      </c>
      <c r="O132">
        <f t="shared" si="36"/>
        <v>55.439238872217004</v>
      </c>
      <c r="P132">
        <f t="shared" si="37"/>
        <v>9.087371475608097E-2</v>
      </c>
      <c r="Q132">
        <f t="shared" si="38"/>
        <v>2.0992902269696541</v>
      </c>
      <c r="R132">
        <f t="shared" si="39"/>
        <v>8.8743567475429649E-2</v>
      </c>
      <c r="S132">
        <f t="shared" si="40"/>
        <v>5.5651956133384403E-2</v>
      </c>
      <c r="T132">
        <f t="shared" si="41"/>
        <v>276.11477945999997</v>
      </c>
      <c r="U132">
        <f t="shared" si="42"/>
        <v>26.805941144889864</v>
      </c>
      <c r="V132">
        <f t="shared" si="43"/>
        <v>26.805941144889864</v>
      </c>
      <c r="W132">
        <f t="shared" si="44"/>
        <v>3.5385683816333042</v>
      </c>
      <c r="X132">
        <f t="shared" si="45"/>
        <v>68.325106208903932</v>
      </c>
      <c r="Y132">
        <f t="shared" si="46"/>
        <v>2.1767960438547003</v>
      </c>
      <c r="Z132">
        <f t="shared" si="47"/>
        <v>3.185938763416114</v>
      </c>
      <c r="AA132">
        <f t="shared" si="48"/>
        <v>1.361772337778604</v>
      </c>
      <c r="AB132">
        <f t="shared" si="49"/>
        <v>-55.233944670457809</v>
      </c>
      <c r="AC132">
        <f t="shared" si="50"/>
        <v>-200.65604421119821</v>
      </c>
      <c r="AD132">
        <f t="shared" si="51"/>
        <v>-20.405977463198024</v>
      </c>
      <c r="AE132">
        <f t="shared" si="52"/>
        <v>-0.1811868848540712</v>
      </c>
      <c r="AF132">
        <v>10</v>
      </c>
      <c r="AG132">
        <v>3</v>
      </c>
      <c r="AH132">
        <f t="shared" si="53"/>
        <v>1</v>
      </c>
      <c r="AI132">
        <f t="shared" si="54"/>
        <v>0</v>
      </c>
      <c r="AJ132">
        <f t="shared" si="55"/>
        <v>52799.391232595233</v>
      </c>
      <c r="AK132">
        <f t="shared" si="56"/>
        <v>1800</v>
      </c>
      <c r="AL132">
        <f t="shared" si="57"/>
        <v>1499.113323</v>
      </c>
      <c r="AM132">
        <f t="shared" si="58"/>
        <v>0.832840735</v>
      </c>
      <c r="AN132">
        <f t="shared" si="59"/>
        <v>0.15339709969999998</v>
      </c>
      <c r="AO132">
        <v>33</v>
      </c>
      <c r="AP132">
        <v>0.5</v>
      </c>
      <c r="AQ132" t="s">
        <v>331</v>
      </c>
      <c r="AR132">
        <v>2</v>
      </c>
      <c r="AS132">
        <v>1690305069.5</v>
      </c>
      <c r="AT132">
        <v>558.04300000000001</v>
      </c>
      <c r="AU132">
        <v>800.15599999999995</v>
      </c>
      <c r="AV132">
        <v>21.911300000000001</v>
      </c>
      <c r="AW132">
        <v>8.4390999999999998</v>
      </c>
      <c r="AX132">
        <v>558.11500000000001</v>
      </c>
      <c r="AY132">
        <v>21.639500000000002</v>
      </c>
      <c r="AZ132">
        <v>300.06900000000002</v>
      </c>
      <c r="BA132">
        <v>99.245800000000003</v>
      </c>
      <c r="BB132">
        <v>0.100019</v>
      </c>
      <c r="BC132">
        <v>25.033000000000001</v>
      </c>
      <c r="BD132">
        <v>26.9129</v>
      </c>
      <c r="BE132">
        <v>26.334199999999999</v>
      </c>
      <c r="BF132">
        <v>0</v>
      </c>
      <c r="BG132">
        <v>0</v>
      </c>
      <c r="BH132">
        <v>9995</v>
      </c>
      <c r="BI132">
        <v>1051.18</v>
      </c>
      <c r="BJ132">
        <v>1.62592</v>
      </c>
      <c r="BK132">
        <v>-242.113</v>
      </c>
      <c r="BL132">
        <v>570.54499999999996</v>
      </c>
      <c r="BM132">
        <v>806.96600000000001</v>
      </c>
      <c r="BN132">
        <v>13.472200000000001</v>
      </c>
      <c r="BO132">
        <v>800.15599999999995</v>
      </c>
      <c r="BP132">
        <v>8.4390999999999998</v>
      </c>
      <c r="BQ132">
        <v>2.1746099999999999</v>
      </c>
      <c r="BR132">
        <v>0.83754399999999996</v>
      </c>
      <c r="BS132">
        <v>18.776499999999999</v>
      </c>
      <c r="BT132">
        <v>4.3600599999999998</v>
      </c>
      <c r="BU132">
        <v>1800</v>
      </c>
      <c r="BV132">
        <v>0.91001100000000001</v>
      </c>
      <c r="BW132">
        <v>3.3998199999999999E-2</v>
      </c>
      <c r="BX132">
        <v>2.1996499999999999E-2</v>
      </c>
      <c r="BY132">
        <v>3.3994400000000001E-2</v>
      </c>
      <c r="BZ132">
        <v>26</v>
      </c>
      <c r="CA132">
        <v>33528.400000000001</v>
      </c>
      <c r="CB132">
        <v>1690303320.5</v>
      </c>
      <c r="CC132" t="s">
        <v>332</v>
      </c>
      <c r="CD132">
        <v>1690303320.5</v>
      </c>
      <c r="CE132">
        <v>1690303310.0999999</v>
      </c>
      <c r="CF132">
        <v>8</v>
      </c>
      <c r="CG132">
        <v>7.3999999999999996E-2</v>
      </c>
      <c r="CH132">
        <v>-0.01</v>
      </c>
      <c r="CI132">
        <v>-0.24199999999999999</v>
      </c>
      <c r="CJ132">
        <v>0.27200000000000002</v>
      </c>
      <c r="CK132">
        <v>800</v>
      </c>
      <c r="CL132">
        <v>23</v>
      </c>
      <c r="CM132">
        <v>0.06</v>
      </c>
      <c r="CN132">
        <v>0.09</v>
      </c>
      <c r="CO132">
        <v>-238.81857500000001</v>
      </c>
      <c r="CP132">
        <v>-18.033984990618361</v>
      </c>
      <c r="CQ132">
        <v>1.7357107605747539</v>
      </c>
      <c r="CR132">
        <v>-1</v>
      </c>
      <c r="CS132">
        <v>13.184419999999999</v>
      </c>
      <c r="CT132">
        <v>1.6932270168855319</v>
      </c>
      <c r="CU132">
        <v>0.1630118112285118</v>
      </c>
      <c r="CV132">
        <v>-1</v>
      </c>
      <c r="CW132">
        <v>0</v>
      </c>
      <c r="CX132">
        <v>0</v>
      </c>
      <c r="CY132" t="s">
        <v>333</v>
      </c>
      <c r="CZ132">
        <v>2.3642699999999999</v>
      </c>
      <c r="DA132">
        <v>2.7138</v>
      </c>
      <c r="DB132">
        <v>0.114595</v>
      </c>
      <c r="DC132">
        <v>0.146373</v>
      </c>
      <c r="DD132">
        <v>0.106639</v>
      </c>
      <c r="DE132">
        <v>5.1918899999999997E-2</v>
      </c>
      <c r="DF132">
        <v>32339.3</v>
      </c>
      <c r="DG132">
        <v>27528.400000000001</v>
      </c>
      <c r="DH132">
        <v>31181.3</v>
      </c>
      <c r="DI132">
        <v>28100.3</v>
      </c>
      <c r="DJ132">
        <v>37821.599999999999</v>
      </c>
      <c r="DK132">
        <v>37890.800000000003</v>
      </c>
      <c r="DL132">
        <v>44377.5</v>
      </c>
      <c r="DM132">
        <v>42596.6</v>
      </c>
      <c r="DN132">
        <v>1.4411499999999999</v>
      </c>
      <c r="DO132">
        <v>2.0421499999999999</v>
      </c>
      <c r="DP132">
        <v>0.16969100000000001</v>
      </c>
      <c r="DQ132">
        <v>0.14543500000000001</v>
      </c>
      <c r="DR132">
        <v>24.1311</v>
      </c>
      <c r="DS132">
        <v>23.948499999999999</v>
      </c>
      <c r="DT132">
        <v>48.8</v>
      </c>
      <c r="DU132">
        <v>29.1</v>
      </c>
      <c r="DV132">
        <v>19.895399999999999</v>
      </c>
      <c r="DW132">
        <v>61.601199999999999</v>
      </c>
      <c r="DX132">
        <v>36.478400000000001</v>
      </c>
      <c r="DY132">
        <v>1</v>
      </c>
      <c r="DZ132">
        <v>-8.9885699999999999E-2</v>
      </c>
      <c r="EA132">
        <v>0.28415299999999999</v>
      </c>
      <c r="EB132">
        <v>20.189499999999999</v>
      </c>
      <c r="EC132">
        <v>5.2404999999999999</v>
      </c>
      <c r="ED132">
        <v>12.039899999999999</v>
      </c>
      <c r="EE132">
        <v>5.0166000000000004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1.8689100000000001</v>
      </c>
      <c r="EL132">
        <v>1.8646199999999999</v>
      </c>
      <c r="EM132">
        <v>1.8692</v>
      </c>
      <c r="EN132">
        <v>1.8672299999999999</v>
      </c>
      <c r="EO132">
        <v>1.8633999999999999</v>
      </c>
      <c r="EP132">
        <v>1.8644799999999999</v>
      </c>
      <c r="EQ132">
        <v>1.87022</v>
      </c>
      <c r="ER132">
        <v>1.86944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-7.1999999999999995E-2</v>
      </c>
      <c r="FG132">
        <v>0.27179999999999999</v>
      </c>
      <c r="FH132">
        <v>0.30965466913576151</v>
      </c>
      <c r="FI132">
        <v>-6.1462078757559423E-4</v>
      </c>
      <c r="FJ132">
        <v>-1.8861989874597051E-7</v>
      </c>
      <c r="FK132">
        <v>1.1980462299894961E-10</v>
      </c>
      <c r="FL132">
        <v>0.27184999999999349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29.1</v>
      </c>
      <c r="FU132">
        <v>29.3</v>
      </c>
      <c r="FV132">
        <v>1.7761199999999999</v>
      </c>
      <c r="FW132">
        <v>2.5927699999999998</v>
      </c>
      <c r="FX132">
        <v>1.5490699999999999</v>
      </c>
      <c r="FY132">
        <v>2.3278799999999999</v>
      </c>
      <c r="FZ132">
        <v>1.50146</v>
      </c>
      <c r="GA132">
        <v>2.36572</v>
      </c>
      <c r="GB132">
        <v>33.896099999999997</v>
      </c>
      <c r="GC132">
        <v>23.982399999999998</v>
      </c>
      <c r="GD132">
        <v>19</v>
      </c>
      <c r="GE132">
        <v>268.48099999999999</v>
      </c>
      <c r="GF132">
        <v>588.80200000000002</v>
      </c>
      <c r="GG132">
        <v>22.786200000000001</v>
      </c>
      <c r="GH132">
        <v>26.2288</v>
      </c>
      <c r="GI132">
        <v>29.9998</v>
      </c>
      <c r="GJ132">
        <v>26.4147</v>
      </c>
      <c r="GK132">
        <v>26.413499999999999</v>
      </c>
      <c r="GL132">
        <v>35.500799999999998</v>
      </c>
      <c r="GM132">
        <v>57.290700000000001</v>
      </c>
      <c r="GN132">
        <v>66.355199999999996</v>
      </c>
      <c r="GO132">
        <v>22.808900000000001</v>
      </c>
      <c r="GP132">
        <v>800</v>
      </c>
      <c r="GQ132">
        <v>8.2997499999999995</v>
      </c>
      <c r="GR132">
        <v>99.771600000000007</v>
      </c>
      <c r="GS132">
        <v>99.642399999999995</v>
      </c>
    </row>
    <row r="133" spans="1:201" x14ac:dyDescent="0.25">
      <c r="A133">
        <v>117</v>
      </c>
      <c r="B133">
        <v>1690305079.5</v>
      </c>
      <c r="C133">
        <v>1329.5</v>
      </c>
      <c r="D133" t="s">
        <v>565</v>
      </c>
      <c r="E133" t="s">
        <v>566</v>
      </c>
      <c r="F133" t="s">
        <v>330</v>
      </c>
      <c r="H133">
        <v>1690305079.5</v>
      </c>
      <c r="I133">
        <f t="shared" si="30"/>
        <v>1.2763562135548858E-3</v>
      </c>
      <c r="J133">
        <f t="shared" si="31"/>
        <v>1.2763562135548858</v>
      </c>
      <c r="K133">
        <f t="shared" si="32"/>
        <v>21.597512166241252</v>
      </c>
      <c r="L133">
        <f t="shared" si="33"/>
        <v>554.90700000000004</v>
      </c>
      <c r="M133">
        <f t="shared" si="34"/>
        <v>166.1088520600307</v>
      </c>
      <c r="N133">
        <f t="shared" si="35"/>
        <v>16.502643196408638</v>
      </c>
      <c r="O133">
        <f t="shared" si="36"/>
        <v>55.129104286869001</v>
      </c>
      <c r="P133">
        <f t="shared" si="37"/>
        <v>9.2679255613097783E-2</v>
      </c>
      <c r="Q133">
        <f t="shared" si="38"/>
        <v>2.095487743525148</v>
      </c>
      <c r="R133">
        <f t="shared" si="39"/>
        <v>9.0460817208865715E-2</v>
      </c>
      <c r="S133">
        <f t="shared" si="40"/>
        <v>5.6732905788098455E-2</v>
      </c>
      <c r="T133">
        <f t="shared" si="41"/>
        <v>276.11474653800002</v>
      </c>
      <c r="U133">
        <f t="shared" si="42"/>
        <v>26.820261571625796</v>
      </c>
      <c r="V133">
        <f t="shared" si="43"/>
        <v>26.820261571625796</v>
      </c>
      <c r="W133">
        <f t="shared" si="44"/>
        <v>3.5415499912498278</v>
      </c>
      <c r="X133">
        <f t="shared" si="45"/>
        <v>68.349586062432522</v>
      </c>
      <c r="Y133">
        <f t="shared" si="46"/>
        <v>2.1801601744682002</v>
      </c>
      <c r="Z133">
        <f t="shared" si="47"/>
        <v>3.1897196458172807</v>
      </c>
      <c r="AA133">
        <f t="shared" si="48"/>
        <v>1.3613898167816276</v>
      </c>
      <c r="AB133">
        <f t="shared" si="49"/>
        <v>-56.287309017770461</v>
      </c>
      <c r="AC133">
        <f t="shared" si="50"/>
        <v>-199.66225699580534</v>
      </c>
      <c r="AD133">
        <f t="shared" si="51"/>
        <v>-20.345250539607367</v>
      </c>
      <c r="AE133">
        <f t="shared" si="52"/>
        <v>-0.18007001518316201</v>
      </c>
      <c r="AF133">
        <v>10</v>
      </c>
      <c r="AG133">
        <v>3</v>
      </c>
      <c r="AH133">
        <f t="shared" si="53"/>
        <v>1</v>
      </c>
      <c r="AI133">
        <f t="shared" si="54"/>
        <v>0</v>
      </c>
      <c r="AJ133">
        <f t="shared" si="55"/>
        <v>52626.097259730479</v>
      </c>
      <c r="AK133">
        <f t="shared" si="56"/>
        <v>1800</v>
      </c>
      <c r="AL133">
        <f t="shared" si="57"/>
        <v>1499.1128567999999</v>
      </c>
      <c r="AM133">
        <f t="shared" si="58"/>
        <v>0.832840476</v>
      </c>
      <c r="AN133">
        <f t="shared" si="59"/>
        <v>0.15339708141</v>
      </c>
      <c r="AO133">
        <v>33</v>
      </c>
      <c r="AP133">
        <v>0.5</v>
      </c>
      <c r="AQ133" t="s">
        <v>331</v>
      </c>
      <c r="AR133">
        <v>2</v>
      </c>
      <c r="AS133">
        <v>1690305079.5</v>
      </c>
      <c r="AT133">
        <v>554.90700000000004</v>
      </c>
      <c r="AU133">
        <v>800.06700000000001</v>
      </c>
      <c r="AV133">
        <v>21.944600000000001</v>
      </c>
      <c r="AW133">
        <v>8.2241700000000009</v>
      </c>
      <c r="AX133">
        <v>554.976</v>
      </c>
      <c r="AY133">
        <v>21.672699999999999</v>
      </c>
      <c r="AZ133">
        <v>300.24900000000002</v>
      </c>
      <c r="BA133">
        <v>99.2483</v>
      </c>
      <c r="BB133">
        <v>0.100067</v>
      </c>
      <c r="BC133">
        <v>25.052900000000001</v>
      </c>
      <c r="BD133">
        <v>26.9375</v>
      </c>
      <c r="BE133">
        <v>26.373100000000001</v>
      </c>
      <c r="BF133">
        <v>0</v>
      </c>
      <c r="BG133">
        <v>0</v>
      </c>
      <c r="BH133">
        <v>9961.25</v>
      </c>
      <c r="BI133">
        <v>1051.45</v>
      </c>
      <c r="BJ133">
        <v>1.62592</v>
      </c>
      <c r="BK133">
        <v>-245.161</v>
      </c>
      <c r="BL133">
        <v>567.35699999999997</v>
      </c>
      <c r="BM133">
        <v>806.702</v>
      </c>
      <c r="BN133">
        <v>13.7204</v>
      </c>
      <c r="BO133">
        <v>800.06700000000001</v>
      </c>
      <c r="BP133">
        <v>8.2241700000000009</v>
      </c>
      <c r="BQ133">
        <v>2.1779600000000001</v>
      </c>
      <c r="BR133">
        <v>0.81623500000000004</v>
      </c>
      <c r="BS133">
        <v>18.801100000000002</v>
      </c>
      <c r="BT133">
        <v>3.99282</v>
      </c>
      <c r="BU133">
        <v>1800</v>
      </c>
      <c r="BV133">
        <v>0.91000999999999999</v>
      </c>
      <c r="BW133">
        <v>3.3999599999999998E-2</v>
      </c>
      <c r="BX133">
        <v>2.19963E-2</v>
      </c>
      <c r="BY133">
        <v>3.3994099999999999E-2</v>
      </c>
      <c r="BZ133">
        <v>26</v>
      </c>
      <c r="CA133">
        <v>33528.5</v>
      </c>
      <c r="CB133">
        <v>1690303320.5</v>
      </c>
      <c r="CC133" t="s">
        <v>332</v>
      </c>
      <c r="CD133">
        <v>1690303320.5</v>
      </c>
      <c r="CE133">
        <v>1690303310.0999999</v>
      </c>
      <c r="CF133">
        <v>8</v>
      </c>
      <c r="CG133">
        <v>7.3999999999999996E-2</v>
      </c>
      <c r="CH133">
        <v>-0.01</v>
      </c>
      <c r="CI133">
        <v>-0.24199999999999999</v>
      </c>
      <c r="CJ133">
        <v>0.27200000000000002</v>
      </c>
      <c r="CK133">
        <v>800</v>
      </c>
      <c r="CL133">
        <v>23</v>
      </c>
      <c r="CM133">
        <v>0.06</v>
      </c>
      <c r="CN133">
        <v>0.09</v>
      </c>
      <c r="CO133">
        <v>-241.92573170731711</v>
      </c>
      <c r="CP133">
        <v>-18.529149825783819</v>
      </c>
      <c r="CQ133">
        <v>1.8276626953623141</v>
      </c>
      <c r="CR133">
        <v>-1</v>
      </c>
      <c r="CS133">
        <v>13.462936585365849</v>
      </c>
      <c r="CT133">
        <v>1.599974216027908</v>
      </c>
      <c r="CU133">
        <v>0.15795080394347191</v>
      </c>
      <c r="CV133">
        <v>-1</v>
      </c>
      <c r="CW133">
        <v>0</v>
      </c>
      <c r="CX133">
        <v>0</v>
      </c>
      <c r="CY133" t="s">
        <v>333</v>
      </c>
      <c r="CZ133">
        <v>2.3648600000000002</v>
      </c>
      <c r="DA133">
        <v>2.7138200000000001</v>
      </c>
      <c r="DB133">
        <v>0.114138</v>
      </c>
      <c r="DC133">
        <v>0.14636299999999999</v>
      </c>
      <c r="DD133">
        <v>0.10675900000000001</v>
      </c>
      <c r="DE133">
        <v>5.08785E-2</v>
      </c>
      <c r="DF133">
        <v>32356.1</v>
      </c>
      <c r="DG133">
        <v>27529</v>
      </c>
      <c r="DH133">
        <v>31181.5</v>
      </c>
      <c r="DI133">
        <v>28100.6</v>
      </c>
      <c r="DJ133">
        <v>37816.5</v>
      </c>
      <c r="DK133">
        <v>37933.1</v>
      </c>
      <c r="DL133">
        <v>44377.599999999999</v>
      </c>
      <c r="DM133">
        <v>42597.2</v>
      </c>
      <c r="DN133">
        <v>1.4417800000000001</v>
      </c>
      <c r="DO133">
        <v>2.0416500000000002</v>
      </c>
      <c r="DP133">
        <v>0.170819</v>
      </c>
      <c r="DQ133">
        <v>0.14738000000000001</v>
      </c>
      <c r="DR133">
        <v>24.1372</v>
      </c>
      <c r="DS133">
        <v>23.9556</v>
      </c>
      <c r="DT133">
        <v>48.5</v>
      </c>
      <c r="DU133">
        <v>29.1</v>
      </c>
      <c r="DV133">
        <v>19.764399999999998</v>
      </c>
      <c r="DW133">
        <v>61.591200000000001</v>
      </c>
      <c r="DX133">
        <v>35.621000000000002</v>
      </c>
      <c r="DY133">
        <v>1</v>
      </c>
      <c r="DZ133">
        <v>-9.0241399999999999E-2</v>
      </c>
      <c r="EA133">
        <v>0.25266100000000002</v>
      </c>
      <c r="EB133">
        <v>20.189800000000002</v>
      </c>
      <c r="EC133">
        <v>5.2403500000000003</v>
      </c>
      <c r="ED133">
        <v>12.039899999999999</v>
      </c>
      <c r="EE133">
        <v>5.01675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1.86894</v>
      </c>
      <c r="EL133">
        <v>1.8646400000000001</v>
      </c>
      <c r="EM133">
        <v>1.8692</v>
      </c>
      <c r="EN133">
        <v>1.8672500000000001</v>
      </c>
      <c r="EO133">
        <v>1.8633999999999999</v>
      </c>
      <c r="EP133">
        <v>1.8645099999999999</v>
      </c>
      <c r="EQ133">
        <v>1.87022</v>
      </c>
      <c r="ER133">
        <v>1.8694500000000001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-6.9000000000000006E-2</v>
      </c>
      <c r="FG133">
        <v>0.27189999999999998</v>
      </c>
      <c r="FH133">
        <v>0.30965466913576151</v>
      </c>
      <c r="FI133">
        <v>-6.1462078757559423E-4</v>
      </c>
      <c r="FJ133">
        <v>-1.8861989874597051E-7</v>
      </c>
      <c r="FK133">
        <v>1.1980462299894961E-10</v>
      </c>
      <c r="FL133">
        <v>0.27184999999999349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29.3</v>
      </c>
      <c r="FU133">
        <v>29.5</v>
      </c>
      <c r="FV133">
        <v>1.7748999999999999</v>
      </c>
      <c r="FW133">
        <v>2.5878899999999998</v>
      </c>
      <c r="FX133">
        <v>1.5490699999999999</v>
      </c>
      <c r="FY133">
        <v>2.3278799999999999</v>
      </c>
      <c r="FZ133">
        <v>1.50146</v>
      </c>
      <c r="GA133">
        <v>2.3962400000000001</v>
      </c>
      <c r="GB133">
        <v>33.896099999999997</v>
      </c>
      <c r="GC133">
        <v>23.991199999999999</v>
      </c>
      <c r="GD133">
        <v>19</v>
      </c>
      <c r="GE133">
        <v>268.71800000000002</v>
      </c>
      <c r="GF133">
        <v>588.33600000000001</v>
      </c>
      <c r="GG133">
        <v>22.906300000000002</v>
      </c>
      <c r="GH133">
        <v>26.224799999999998</v>
      </c>
      <c r="GI133">
        <v>29.9999</v>
      </c>
      <c r="GJ133">
        <v>26.4102</v>
      </c>
      <c r="GK133">
        <v>26.409099999999999</v>
      </c>
      <c r="GL133">
        <v>35.496099999999998</v>
      </c>
      <c r="GM133">
        <v>57.857199999999999</v>
      </c>
      <c r="GN133">
        <v>65.591499999999996</v>
      </c>
      <c r="GO133">
        <v>22.920999999999999</v>
      </c>
      <c r="GP133">
        <v>800</v>
      </c>
      <c r="GQ133">
        <v>8.0815300000000008</v>
      </c>
      <c r="GR133">
        <v>99.771900000000002</v>
      </c>
      <c r="GS133">
        <v>99.643699999999995</v>
      </c>
    </row>
    <row r="134" spans="1:201" x14ac:dyDescent="0.25">
      <c r="A134">
        <v>118</v>
      </c>
      <c r="B134">
        <v>1690305089.5</v>
      </c>
      <c r="C134">
        <v>1339.5</v>
      </c>
      <c r="D134" t="s">
        <v>567</v>
      </c>
      <c r="E134" t="s">
        <v>568</v>
      </c>
      <c r="F134" t="s">
        <v>330</v>
      </c>
      <c r="H134">
        <v>1690305089.5</v>
      </c>
      <c r="I134">
        <f t="shared" si="30"/>
        <v>1.2972053894265599E-3</v>
      </c>
      <c r="J134">
        <f t="shared" si="31"/>
        <v>1.2972053894265598</v>
      </c>
      <c r="K134">
        <f t="shared" si="32"/>
        <v>21.840720662174522</v>
      </c>
      <c r="L134">
        <f t="shared" si="33"/>
        <v>552.02499999999998</v>
      </c>
      <c r="M134">
        <f t="shared" si="34"/>
        <v>164.89695706529164</v>
      </c>
      <c r="N134">
        <f t="shared" si="35"/>
        <v>16.381978880007313</v>
      </c>
      <c r="O134">
        <f t="shared" si="36"/>
        <v>54.841896734669994</v>
      </c>
      <c r="P134">
        <f t="shared" si="37"/>
        <v>9.4155566589896683E-2</v>
      </c>
      <c r="Q134">
        <f t="shared" si="38"/>
        <v>2.0966785742536103</v>
      </c>
      <c r="R134">
        <f t="shared" si="39"/>
        <v>9.1868095125230323E-2</v>
      </c>
      <c r="S134">
        <f t="shared" si="40"/>
        <v>5.76184510074053E-2</v>
      </c>
      <c r="T134">
        <f t="shared" si="41"/>
        <v>276.11476677000002</v>
      </c>
      <c r="U134">
        <f t="shared" si="42"/>
        <v>26.833326893534146</v>
      </c>
      <c r="V134">
        <f t="shared" si="43"/>
        <v>26.833326893534146</v>
      </c>
      <c r="W134">
        <f t="shared" si="44"/>
        <v>3.5442721926745424</v>
      </c>
      <c r="X134">
        <f t="shared" si="45"/>
        <v>68.316746424821588</v>
      </c>
      <c r="Y134">
        <f t="shared" si="46"/>
        <v>2.1818933433187198</v>
      </c>
      <c r="Z134">
        <f t="shared" si="47"/>
        <v>3.1937898941363674</v>
      </c>
      <c r="AA134">
        <f t="shared" si="48"/>
        <v>1.3623788493558227</v>
      </c>
      <c r="AB134">
        <f t="shared" si="49"/>
        <v>-57.206757673711287</v>
      </c>
      <c r="AC134">
        <f t="shared" si="50"/>
        <v>-198.83360192535176</v>
      </c>
      <c r="AD134">
        <f t="shared" si="51"/>
        <v>-20.252805053540392</v>
      </c>
      <c r="AE134">
        <f t="shared" si="52"/>
        <v>-0.17839788260340583</v>
      </c>
      <c r="AF134">
        <v>10</v>
      </c>
      <c r="AG134">
        <v>3</v>
      </c>
      <c r="AH134">
        <f t="shared" si="53"/>
        <v>1</v>
      </c>
      <c r="AI134">
        <f t="shared" si="54"/>
        <v>0</v>
      </c>
      <c r="AJ134">
        <f t="shared" si="55"/>
        <v>52675.426947677617</v>
      </c>
      <c r="AK134">
        <f t="shared" si="56"/>
        <v>1800</v>
      </c>
      <c r="AL134">
        <f t="shared" si="57"/>
        <v>1499.111973</v>
      </c>
      <c r="AM134">
        <f t="shared" si="58"/>
        <v>0.832839985</v>
      </c>
      <c r="AN134">
        <f t="shared" si="59"/>
        <v>0.15339709265000001</v>
      </c>
      <c r="AO134">
        <v>33</v>
      </c>
      <c r="AP134">
        <v>0.5</v>
      </c>
      <c r="AQ134" t="s">
        <v>331</v>
      </c>
      <c r="AR134">
        <v>2</v>
      </c>
      <c r="AS134">
        <v>1690305089.5</v>
      </c>
      <c r="AT134">
        <v>552.02499999999998</v>
      </c>
      <c r="AU134">
        <v>800.01599999999996</v>
      </c>
      <c r="AV134">
        <v>21.962399999999999</v>
      </c>
      <c r="AW134">
        <v>8.0140600000000006</v>
      </c>
      <c r="AX134">
        <v>552.09199999999998</v>
      </c>
      <c r="AY134">
        <v>21.6905</v>
      </c>
      <c r="AZ134">
        <v>300.16199999999998</v>
      </c>
      <c r="BA134">
        <v>99.246799999999993</v>
      </c>
      <c r="BB134">
        <v>9.9962800000000004E-2</v>
      </c>
      <c r="BC134">
        <v>25.074300000000001</v>
      </c>
      <c r="BD134">
        <v>26.9693</v>
      </c>
      <c r="BE134">
        <v>26.389700000000001</v>
      </c>
      <c r="BF134">
        <v>0</v>
      </c>
      <c r="BG134">
        <v>0</v>
      </c>
      <c r="BH134">
        <v>9971.8799999999992</v>
      </c>
      <c r="BI134">
        <v>1051.6099999999999</v>
      </c>
      <c r="BJ134">
        <v>1.62592</v>
      </c>
      <c r="BK134">
        <v>-247.99199999999999</v>
      </c>
      <c r="BL134">
        <v>564.42100000000005</v>
      </c>
      <c r="BM134">
        <v>806.47900000000004</v>
      </c>
      <c r="BN134">
        <v>13.9483</v>
      </c>
      <c r="BO134">
        <v>800.01599999999996</v>
      </c>
      <c r="BP134">
        <v>8.0140600000000006</v>
      </c>
      <c r="BQ134">
        <v>2.1797</v>
      </c>
      <c r="BR134">
        <v>0.79537000000000002</v>
      </c>
      <c r="BS134">
        <v>18.8139</v>
      </c>
      <c r="BT134">
        <v>3.6249400000000001</v>
      </c>
      <c r="BU134">
        <v>1800</v>
      </c>
      <c r="BV134">
        <v>0.91000700000000001</v>
      </c>
      <c r="BW134">
        <v>3.40033E-2</v>
      </c>
      <c r="BX134">
        <v>2.1996000000000002E-2</v>
      </c>
      <c r="BY134">
        <v>3.3993700000000002E-2</v>
      </c>
      <c r="BZ134">
        <v>26</v>
      </c>
      <c r="CA134">
        <v>33528.400000000001</v>
      </c>
      <c r="CB134">
        <v>1690303320.5</v>
      </c>
      <c r="CC134" t="s">
        <v>332</v>
      </c>
      <c r="CD134">
        <v>1690303320.5</v>
      </c>
      <c r="CE134">
        <v>1690303310.0999999</v>
      </c>
      <c r="CF134">
        <v>8</v>
      </c>
      <c r="CG134">
        <v>7.3999999999999996E-2</v>
      </c>
      <c r="CH134">
        <v>-0.01</v>
      </c>
      <c r="CI134">
        <v>-0.24199999999999999</v>
      </c>
      <c r="CJ134">
        <v>0.27200000000000002</v>
      </c>
      <c r="CK134">
        <v>800</v>
      </c>
      <c r="CL134">
        <v>23</v>
      </c>
      <c r="CM134">
        <v>0.06</v>
      </c>
      <c r="CN134">
        <v>0.09</v>
      </c>
      <c r="CO134">
        <v>-244.66397560975611</v>
      </c>
      <c r="CP134">
        <v>-17.956557491289001</v>
      </c>
      <c r="CQ134">
        <v>1.771561065603219</v>
      </c>
      <c r="CR134">
        <v>-1</v>
      </c>
      <c r="CS134">
        <v>13.687070731707321</v>
      </c>
      <c r="CT134">
        <v>1.452574912891994</v>
      </c>
      <c r="CU134">
        <v>0.14354801736599671</v>
      </c>
      <c r="CV134">
        <v>-1</v>
      </c>
      <c r="CW134">
        <v>0</v>
      </c>
      <c r="CX134">
        <v>0</v>
      </c>
      <c r="CY134" t="s">
        <v>333</v>
      </c>
      <c r="CZ134">
        <v>2.3645800000000001</v>
      </c>
      <c r="DA134">
        <v>2.71373</v>
      </c>
      <c r="DB134">
        <v>0.11371299999999999</v>
      </c>
      <c r="DC134">
        <v>0.14635200000000001</v>
      </c>
      <c r="DD134">
        <v>0.106821</v>
      </c>
      <c r="DE134">
        <v>4.9850800000000001E-2</v>
      </c>
      <c r="DF134">
        <v>32372.400000000001</v>
      </c>
      <c r="DG134">
        <v>27529.5</v>
      </c>
      <c r="DH134">
        <v>31182.2</v>
      </c>
      <c r="DI134">
        <v>28100.7</v>
      </c>
      <c r="DJ134">
        <v>37814.5</v>
      </c>
      <c r="DK134">
        <v>37974.5</v>
      </c>
      <c r="DL134">
        <v>44378.400000000001</v>
      </c>
      <c r="DM134">
        <v>42597.5</v>
      </c>
      <c r="DN134">
        <v>1.4420500000000001</v>
      </c>
      <c r="DO134">
        <v>2.0413299999999999</v>
      </c>
      <c r="DP134">
        <v>0.172399</v>
      </c>
      <c r="DQ134">
        <v>0.14796500000000001</v>
      </c>
      <c r="DR134">
        <v>24.1432</v>
      </c>
      <c r="DS134">
        <v>23.962700000000002</v>
      </c>
      <c r="DT134">
        <v>48.2</v>
      </c>
      <c r="DU134">
        <v>29.1</v>
      </c>
      <c r="DV134">
        <v>19.6448</v>
      </c>
      <c r="DW134">
        <v>61.671199999999999</v>
      </c>
      <c r="DX134">
        <v>36.382199999999997</v>
      </c>
      <c r="DY134">
        <v>1</v>
      </c>
      <c r="DZ134">
        <v>-9.0675800000000001E-2</v>
      </c>
      <c r="EA134">
        <v>0.23852699999999999</v>
      </c>
      <c r="EB134">
        <v>20.189900000000002</v>
      </c>
      <c r="EC134">
        <v>5.2400500000000001</v>
      </c>
      <c r="ED134">
        <v>12.039899999999999</v>
      </c>
      <c r="EE134">
        <v>5.0164999999999997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1.8689100000000001</v>
      </c>
      <c r="EL134">
        <v>1.8646199999999999</v>
      </c>
      <c r="EM134">
        <v>1.8692</v>
      </c>
      <c r="EN134">
        <v>1.8672299999999999</v>
      </c>
      <c r="EO134">
        <v>1.8633999999999999</v>
      </c>
      <c r="EP134">
        <v>1.8645</v>
      </c>
      <c r="EQ134">
        <v>1.87022</v>
      </c>
      <c r="ER134">
        <v>1.8694299999999999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-6.7000000000000004E-2</v>
      </c>
      <c r="FG134">
        <v>0.27189999999999998</v>
      </c>
      <c r="FH134">
        <v>0.30965466913576151</v>
      </c>
      <c r="FI134">
        <v>-6.1462078757559423E-4</v>
      </c>
      <c r="FJ134">
        <v>-1.8861989874597051E-7</v>
      </c>
      <c r="FK134">
        <v>1.1980462299894961E-10</v>
      </c>
      <c r="FL134">
        <v>0.27184999999999349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29.5</v>
      </c>
      <c r="FU134">
        <v>29.7</v>
      </c>
      <c r="FV134">
        <v>1.7748999999999999</v>
      </c>
      <c r="FW134">
        <v>2.5915499999999998</v>
      </c>
      <c r="FX134">
        <v>1.5490699999999999</v>
      </c>
      <c r="FY134">
        <v>2.3278799999999999</v>
      </c>
      <c r="FZ134">
        <v>1.50146</v>
      </c>
      <c r="GA134">
        <v>2.3144499999999999</v>
      </c>
      <c r="GB134">
        <v>33.8735</v>
      </c>
      <c r="GC134">
        <v>23.982399999999998</v>
      </c>
      <c r="GD134">
        <v>19</v>
      </c>
      <c r="GE134">
        <v>268.81400000000002</v>
      </c>
      <c r="GF134">
        <v>588.01499999999999</v>
      </c>
      <c r="GG134">
        <v>22.997399999999999</v>
      </c>
      <c r="GH134">
        <v>26.2209</v>
      </c>
      <c r="GI134">
        <v>30</v>
      </c>
      <c r="GJ134">
        <v>26.405799999999999</v>
      </c>
      <c r="GK134">
        <v>26.404699999999998</v>
      </c>
      <c r="GL134">
        <v>35.490600000000001</v>
      </c>
      <c r="GM134">
        <v>58.439900000000002</v>
      </c>
      <c r="GN134">
        <v>64.829599999999999</v>
      </c>
      <c r="GO134">
        <v>23.0121</v>
      </c>
      <c r="GP134">
        <v>800</v>
      </c>
      <c r="GQ134">
        <v>7.8711000000000002</v>
      </c>
      <c r="GR134">
        <v>99.773799999999994</v>
      </c>
      <c r="GS134">
        <v>99.644300000000001</v>
      </c>
    </row>
    <row r="135" spans="1:201" x14ac:dyDescent="0.25">
      <c r="A135">
        <v>119</v>
      </c>
      <c r="B135">
        <v>1690305099.5</v>
      </c>
      <c r="C135">
        <v>1349.5</v>
      </c>
      <c r="D135" t="s">
        <v>569</v>
      </c>
      <c r="E135" t="s">
        <v>570</v>
      </c>
      <c r="F135" t="s">
        <v>330</v>
      </c>
      <c r="H135">
        <v>1690305099.5</v>
      </c>
      <c r="I135">
        <f t="shared" si="30"/>
        <v>1.3193320556150775E-3</v>
      </c>
      <c r="J135">
        <f t="shared" si="31"/>
        <v>1.3193320556150776</v>
      </c>
      <c r="K135">
        <f t="shared" si="32"/>
        <v>22.108204494502004</v>
      </c>
      <c r="L135">
        <f t="shared" si="33"/>
        <v>548.95600000000002</v>
      </c>
      <c r="M135">
        <f t="shared" si="34"/>
        <v>163.2889205516062</v>
      </c>
      <c r="N135">
        <f t="shared" si="35"/>
        <v>16.22269302345687</v>
      </c>
      <c r="O135">
        <f t="shared" si="36"/>
        <v>54.538572741499998</v>
      </c>
      <c r="P135">
        <f t="shared" si="37"/>
        <v>9.5696766056727195E-2</v>
      </c>
      <c r="Q135">
        <f t="shared" si="38"/>
        <v>2.0987668109100803</v>
      </c>
      <c r="R135">
        <f t="shared" si="39"/>
        <v>9.3337095526527358E-2</v>
      </c>
      <c r="S135">
        <f t="shared" si="40"/>
        <v>5.8542845566079874E-2</v>
      </c>
      <c r="T135">
        <f t="shared" si="41"/>
        <v>276.11468541000005</v>
      </c>
      <c r="U135">
        <f t="shared" si="42"/>
        <v>26.850259993051182</v>
      </c>
      <c r="V135">
        <f t="shared" si="43"/>
        <v>26.850259993051182</v>
      </c>
      <c r="W135">
        <f t="shared" si="44"/>
        <v>3.5478029756281151</v>
      </c>
      <c r="X135">
        <f t="shared" si="45"/>
        <v>68.275009379716437</v>
      </c>
      <c r="Y135">
        <f t="shared" si="46"/>
        <v>2.1839928714125003</v>
      </c>
      <c r="Z135">
        <f t="shared" si="47"/>
        <v>3.1988173875833033</v>
      </c>
      <c r="AA135">
        <f t="shared" si="48"/>
        <v>1.3638101042156148</v>
      </c>
      <c r="AB135">
        <f t="shared" si="49"/>
        <v>-58.182543652624922</v>
      </c>
      <c r="AC135">
        <f t="shared" si="50"/>
        <v>-197.96046732069635</v>
      </c>
      <c r="AD135">
        <f t="shared" si="51"/>
        <v>-20.148184716919943</v>
      </c>
      <c r="AE135">
        <f t="shared" si="52"/>
        <v>-0.17651028024118887</v>
      </c>
      <c r="AF135">
        <v>10</v>
      </c>
      <c r="AG135">
        <v>3</v>
      </c>
      <c r="AH135">
        <f t="shared" si="53"/>
        <v>1</v>
      </c>
      <c r="AI135">
        <f t="shared" si="54"/>
        <v>0</v>
      </c>
      <c r="AJ135">
        <f t="shared" si="55"/>
        <v>52764.087839395899</v>
      </c>
      <c r="AK135">
        <f t="shared" si="56"/>
        <v>1800</v>
      </c>
      <c r="AL135">
        <f t="shared" si="57"/>
        <v>1499.1099839999999</v>
      </c>
      <c r="AM135">
        <f t="shared" si="58"/>
        <v>0.83283887999999995</v>
      </c>
      <c r="AN135">
        <f t="shared" si="59"/>
        <v>0.15339704745000002</v>
      </c>
      <c r="AO135">
        <v>33</v>
      </c>
      <c r="AP135">
        <v>0.5</v>
      </c>
      <c r="AQ135" t="s">
        <v>331</v>
      </c>
      <c r="AR135">
        <v>2</v>
      </c>
      <c r="AS135">
        <v>1690305099.5</v>
      </c>
      <c r="AT135">
        <v>548.95600000000002</v>
      </c>
      <c r="AU135">
        <v>800.02099999999996</v>
      </c>
      <c r="AV135">
        <v>21.982900000000001</v>
      </c>
      <c r="AW135">
        <v>7.7944800000000001</v>
      </c>
      <c r="AX135">
        <v>549.02099999999996</v>
      </c>
      <c r="AY135">
        <v>21.710999999999999</v>
      </c>
      <c r="AZ135">
        <v>300.11</v>
      </c>
      <c r="BA135">
        <v>99.249600000000001</v>
      </c>
      <c r="BB135">
        <v>0.100025</v>
      </c>
      <c r="BC135">
        <v>25.1007</v>
      </c>
      <c r="BD135">
        <v>27.0259</v>
      </c>
      <c r="BE135">
        <v>26.393999999999998</v>
      </c>
      <c r="BF135">
        <v>0</v>
      </c>
      <c r="BG135">
        <v>0</v>
      </c>
      <c r="BH135">
        <v>9990</v>
      </c>
      <c r="BI135">
        <v>1051.8900000000001</v>
      </c>
      <c r="BJ135">
        <v>1.62592</v>
      </c>
      <c r="BK135">
        <v>-251.06399999999999</v>
      </c>
      <c r="BL135">
        <v>561.29499999999996</v>
      </c>
      <c r="BM135">
        <v>806.30499999999995</v>
      </c>
      <c r="BN135">
        <v>14.1884</v>
      </c>
      <c r="BO135">
        <v>800.02099999999996</v>
      </c>
      <c r="BP135">
        <v>7.7944800000000001</v>
      </c>
      <c r="BQ135">
        <v>2.1817899999999999</v>
      </c>
      <c r="BR135">
        <v>0.77359900000000004</v>
      </c>
      <c r="BS135">
        <v>18.8292</v>
      </c>
      <c r="BT135">
        <v>3.2318799999999999</v>
      </c>
      <c r="BU135">
        <v>1800</v>
      </c>
      <c r="BV135">
        <v>0.91000199999999998</v>
      </c>
      <c r="BW135">
        <v>3.4009200000000003E-2</v>
      </c>
      <c r="BX135">
        <v>2.1995500000000001E-2</v>
      </c>
      <c r="BY135">
        <v>3.39929E-2</v>
      </c>
      <c r="BZ135">
        <v>26</v>
      </c>
      <c r="CA135">
        <v>33528.5</v>
      </c>
      <c r="CB135">
        <v>1690303320.5</v>
      </c>
      <c r="CC135" t="s">
        <v>332</v>
      </c>
      <c r="CD135">
        <v>1690303320.5</v>
      </c>
      <c r="CE135">
        <v>1690303310.0999999</v>
      </c>
      <c r="CF135">
        <v>8</v>
      </c>
      <c r="CG135">
        <v>7.3999999999999996E-2</v>
      </c>
      <c r="CH135">
        <v>-0.01</v>
      </c>
      <c r="CI135">
        <v>-0.24199999999999999</v>
      </c>
      <c r="CJ135">
        <v>0.27200000000000002</v>
      </c>
      <c r="CK135">
        <v>800</v>
      </c>
      <c r="CL135">
        <v>23</v>
      </c>
      <c r="CM135">
        <v>0.06</v>
      </c>
      <c r="CN135">
        <v>0.09</v>
      </c>
      <c r="CO135">
        <v>-247.839575</v>
      </c>
      <c r="CP135">
        <v>-17.515193245778519</v>
      </c>
      <c r="CQ135">
        <v>1.68603299029853</v>
      </c>
      <c r="CR135">
        <v>-1</v>
      </c>
      <c r="CS135">
        <v>13.938292499999999</v>
      </c>
      <c r="CT135">
        <v>1.4246622889305851</v>
      </c>
      <c r="CU135">
        <v>0.13724018068244451</v>
      </c>
      <c r="CV135">
        <v>-1</v>
      </c>
      <c r="CW135">
        <v>0</v>
      </c>
      <c r="CX135">
        <v>0</v>
      </c>
      <c r="CY135" t="s">
        <v>333</v>
      </c>
      <c r="CZ135">
        <v>2.3644099999999999</v>
      </c>
      <c r="DA135">
        <v>2.7138100000000001</v>
      </c>
      <c r="DB135">
        <v>0.113264</v>
      </c>
      <c r="DC135">
        <v>0.14635300000000001</v>
      </c>
      <c r="DD135">
        <v>0.106896</v>
      </c>
      <c r="DE135">
        <v>4.8769E-2</v>
      </c>
      <c r="DF135">
        <v>32388.6</v>
      </c>
      <c r="DG135">
        <v>27529.200000000001</v>
      </c>
      <c r="DH135">
        <v>31182</v>
      </c>
      <c r="DI135">
        <v>28100.400000000001</v>
      </c>
      <c r="DJ135">
        <v>37811.199999999997</v>
      </c>
      <c r="DK135">
        <v>38017.5</v>
      </c>
      <c r="DL135">
        <v>44378.3</v>
      </c>
      <c r="DM135">
        <v>42597.1</v>
      </c>
      <c r="DN135">
        <v>1.4422200000000001</v>
      </c>
      <c r="DO135">
        <v>2.04115</v>
      </c>
      <c r="DP135">
        <v>0.175424</v>
      </c>
      <c r="DQ135">
        <v>0.14776700000000001</v>
      </c>
      <c r="DR135">
        <v>24.150400000000001</v>
      </c>
      <c r="DS135">
        <v>23.970199999999998</v>
      </c>
      <c r="DT135">
        <v>47.8</v>
      </c>
      <c r="DU135">
        <v>29.1</v>
      </c>
      <c r="DV135">
        <v>19.480899999999998</v>
      </c>
      <c r="DW135">
        <v>61.4512</v>
      </c>
      <c r="DX135">
        <v>36.810899999999997</v>
      </c>
      <c r="DY135">
        <v>1</v>
      </c>
      <c r="DZ135">
        <v>-9.0566599999999997E-2</v>
      </c>
      <c r="EA135">
        <v>0.29432199999999997</v>
      </c>
      <c r="EB135">
        <v>20.189900000000002</v>
      </c>
      <c r="EC135">
        <v>5.2403500000000003</v>
      </c>
      <c r="ED135">
        <v>12.039899999999999</v>
      </c>
      <c r="EE135">
        <v>5.0164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1.8689199999999999</v>
      </c>
      <c r="EL135">
        <v>1.86463</v>
      </c>
      <c r="EM135">
        <v>1.8692</v>
      </c>
      <c r="EN135">
        <v>1.8672299999999999</v>
      </c>
      <c r="EO135">
        <v>1.8633999999999999</v>
      </c>
      <c r="EP135">
        <v>1.8644700000000001</v>
      </c>
      <c r="EQ135">
        <v>1.8702000000000001</v>
      </c>
      <c r="ER135">
        <v>1.8694299999999999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-6.5000000000000002E-2</v>
      </c>
      <c r="FG135">
        <v>0.27189999999999998</v>
      </c>
      <c r="FH135">
        <v>0.30965466913576151</v>
      </c>
      <c r="FI135">
        <v>-6.1462078757559423E-4</v>
      </c>
      <c r="FJ135">
        <v>-1.8861989874597051E-7</v>
      </c>
      <c r="FK135">
        <v>1.1980462299894961E-10</v>
      </c>
      <c r="FL135">
        <v>0.27184999999999349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29.6</v>
      </c>
      <c r="FU135">
        <v>29.8</v>
      </c>
      <c r="FV135">
        <v>1.7748999999999999</v>
      </c>
      <c r="FW135">
        <v>2.5988799999999999</v>
      </c>
      <c r="FX135">
        <v>1.5490699999999999</v>
      </c>
      <c r="FY135">
        <v>2.3278799999999999</v>
      </c>
      <c r="FZ135">
        <v>1.50146</v>
      </c>
      <c r="GA135">
        <v>2.3107899999999999</v>
      </c>
      <c r="GB135">
        <v>33.896099999999997</v>
      </c>
      <c r="GC135">
        <v>23.982399999999998</v>
      </c>
      <c r="GD135">
        <v>19</v>
      </c>
      <c r="GE135">
        <v>268.86900000000003</v>
      </c>
      <c r="GF135">
        <v>587.81899999999996</v>
      </c>
      <c r="GG135">
        <v>23.062799999999999</v>
      </c>
      <c r="GH135">
        <v>26.217600000000001</v>
      </c>
      <c r="GI135">
        <v>30.0001</v>
      </c>
      <c r="GJ135">
        <v>26.401900000000001</v>
      </c>
      <c r="GK135">
        <v>26.400300000000001</v>
      </c>
      <c r="GL135">
        <v>35.485300000000002</v>
      </c>
      <c r="GM135">
        <v>59.016199999999998</v>
      </c>
      <c r="GN135">
        <v>64.057699999999997</v>
      </c>
      <c r="GO135">
        <v>23.068200000000001</v>
      </c>
      <c r="GP135">
        <v>800</v>
      </c>
      <c r="GQ135">
        <v>7.6560499999999996</v>
      </c>
      <c r="GR135">
        <v>99.773600000000002</v>
      </c>
      <c r="GS135">
        <v>99.643299999999996</v>
      </c>
    </row>
    <row r="136" spans="1:201" x14ac:dyDescent="0.25">
      <c r="A136">
        <v>120</v>
      </c>
      <c r="B136">
        <v>1690305109.5</v>
      </c>
      <c r="C136">
        <v>1359.5</v>
      </c>
      <c r="D136" t="s">
        <v>571</v>
      </c>
      <c r="E136" t="s">
        <v>572</v>
      </c>
      <c r="F136" t="s">
        <v>330</v>
      </c>
      <c r="H136">
        <v>1690305109.5</v>
      </c>
      <c r="I136">
        <f t="shared" si="30"/>
        <v>1.3386236389644462E-3</v>
      </c>
      <c r="J136">
        <f t="shared" si="31"/>
        <v>1.3386236389644461</v>
      </c>
      <c r="K136">
        <f t="shared" si="32"/>
        <v>22.375243371378847</v>
      </c>
      <c r="L136">
        <f t="shared" si="33"/>
        <v>545.95799999999997</v>
      </c>
      <c r="M136">
        <f t="shared" si="34"/>
        <v>161.35869880406446</v>
      </c>
      <c r="N136">
        <f t="shared" si="35"/>
        <v>16.030079858024784</v>
      </c>
      <c r="O136">
        <f t="shared" si="36"/>
        <v>54.237858906848402</v>
      </c>
      <c r="P136">
        <f t="shared" si="37"/>
        <v>9.7142087712227168E-2</v>
      </c>
      <c r="Q136">
        <f t="shared" si="38"/>
        <v>2.1003390763751231</v>
      </c>
      <c r="R136">
        <f t="shared" si="39"/>
        <v>9.4713347456646294E-2</v>
      </c>
      <c r="S136">
        <f t="shared" si="40"/>
        <v>5.9408997174348027E-2</v>
      </c>
      <c r="T136">
        <f t="shared" si="41"/>
        <v>276.11333012453281</v>
      </c>
      <c r="U136">
        <f t="shared" si="42"/>
        <v>26.848623856822353</v>
      </c>
      <c r="V136">
        <f t="shared" si="43"/>
        <v>26.848623856822353</v>
      </c>
      <c r="W136">
        <f t="shared" si="44"/>
        <v>3.5474616848757989</v>
      </c>
      <c r="X136">
        <f t="shared" si="45"/>
        <v>68.245690738789506</v>
      </c>
      <c r="Y136">
        <f t="shared" si="46"/>
        <v>2.1838875011434</v>
      </c>
      <c r="Z136">
        <f t="shared" si="47"/>
        <v>3.2000372148070606</v>
      </c>
      <c r="AA136">
        <f t="shared" si="48"/>
        <v>1.3635741837323989</v>
      </c>
      <c r="AB136">
        <f t="shared" si="49"/>
        <v>-59.033302478332075</v>
      </c>
      <c r="AC136">
        <f t="shared" si="50"/>
        <v>-197.19880730828407</v>
      </c>
      <c r="AD136">
        <f t="shared" si="51"/>
        <v>-20.056117191457869</v>
      </c>
      <c r="AE136">
        <f t="shared" si="52"/>
        <v>-0.1748968535412132</v>
      </c>
      <c r="AF136">
        <v>10</v>
      </c>
      <c r="AG136">
        <v>3</v>
      </c>
      <c r="AH136">
        <f t="shared" si="53"/>
        <v>1</v>
      </c>
      <c r="AI136">
        <f t="shared" si="54"/>
        <v>0</v>
      </c>
      <c r="AJ136">
        <f t="shared" si="55"/>
        <v>52833.135954459205</v>
      </c>
      <c r="AK136">
        <f t="shared" si="56"/>
        <v>1799.99</v>
      </c>
      <c r="AL136">
        <f t="shared" si="57"/>
        <v>1499.10308120328</v>
      </c>
      <c r="AM136">
        <f t="shared" si="58"/>
        <v>0.83283967199999998</v>
      </c>
      <c r="AN136">
        <f t="shared" si="59"/>
        <v>0.15339714672000002</v>
      </c>
      <c r="AO136">
        <v>33</v>
      </c>
      <c r="AP136">
        <v>0.5</v>
      </c>
      <c r="AQ136" t="s">
        <v>331</v>
      </c>
      <c r="AR136">
        <v>2</v>
      </c>
      <c r="AS136">
        <v>1690305109.5</v>
      </c>
      <c r="AT136">
        <v>545.95799999999997</v>
      </c>
      <c r="AU136">
        <v>800.06299999999999</v>
      </c>
      <c r="AV136">
        <v>21.983000000000001</v>
      </c>
      <c r="AW136">
        <v>7.5853400000000004</v>
      </c>
      <c r="AX136">
        <v>546.02099999999996</v>
      </c>
      <c r="AY136">
        <v>21.711099999999998</v>
      </c>
      <c r="AZ136">
        <v>300.07299999999998</v>
      </c>
      <c r="BA136">
        <v>99.244399999999999</v>
      </c>
      <c r="BB136">
        <v>9.9979799999999994E-2</v>
      </c>
      <c r="BC136">
        <v>25.107099999999999</v>
      </c>
      <c r="BD136">
        <v>27.001200000000001</v>
      </c>
      <c r="BE136">
        <v>26.3948</v>
      </c>
      <c r="BF136">
        <v>0</v>
      </c>
      <c r="BG136">
        <v>0</v>
      </c>
      <c r="BH136">
        <v>10004.4</v>
      </c>
      <c r="BI136">
        <v>1052.1199999999999</v>
      </c>
      <c r="BJ136">
        <v>1.62592</v>
      </c>
      <c r="BK136">
        <v>-254.10499999999999</v>
      </c>
      <c r="BL136">
        <v>558.23</v>
      </c>
      <c r="BM136">
        <v>806.17899999999997</v>
      </c>
      <c r="BN136">
        <v>14.397600000000001</v>
      </c>
      <c r="BO136">
        <v>800.06299999999999</v>
      </c>
      <c r="BP136">
        <v>7.5853400000000004</v>
      </c>
      <c r="BQ136">
        <v>2.1816900000000001</v>
      </c>
      <c r="BR136">
        <v>0.752803</v>
      </c>
      <c r="BS136">
        <v>18.828499999999998</v>
      </c>
      <c r="BT136">
        <v>2.8471600000000001</v>
      </c>
      <c r="BU136">
        <v>1799.99</v>
      </c>
      <c r="BV136">
        <v>0.91000400000000004</v>
      </c>
      <c r="BW136">
        <v>3.4007700000000002E-2</v>
      </c>
      <c r="BX136">
        <v>2.1995600000000001E-2</v>
      </c>
      <c r="BY136">
        <v>3.3993000000000002E-2</v>
      </c>
      <c r="BZ136">
        <v>26</v>
      </c>
      <c r="CA136">
        <v>33528.300000000003</v>
      </c>
      <c r="CB136">
        <v>1690303320.5</v>
      </c>
      <c r="CC136" t="s">
        <v>332</v>
      </c>
      <c r="CD136">
        <v>1690303320.5</v>
      </c>
      <c r="CE136">
        <v>1690303310.0999999</v>
      </c>
      <c r="CF136">
        <v>8</v>
      </c>
      <c r="CG136">
        <v>7.3999999999999996E-2</v>
      </c>
      <c r="CH136">
        <v>-0.01</v>
      </c>
      <c r="CI136">
        <v>-0.24199999999999999</v>
      </c>
      <c r="CJ136">
        <v>0.27200000000000002</v>
      </c>
      <c r="CK136">
        <v>800</v>
      </c>
      <c r="CL136">
        <v>23</v>
      </c>
      <c r="CM136">
        <v>0.06</v>
      </c>
      <c r="CN136">
        <v>0.09</v>
      </c>
      <c r="CO136">
        <v>-250.62</v>
      </c>
      <c r="CP136">
        <v>-18.470236933798809</v>
      </c>
      <c r="CQ136">
        <v>1.8226678784468531</v>
      </c>
      <c r="CR136">
        <v>-1</v>
      </c>
      <c r="CS136">
        <v>14.151624390243899</v>
      </c>
      <c r="CT136">
        <v>1.3979059233449731</v>
      </c>
      <c r="CU136">
        <v>0.1380416034504264</v>
      </c>
      <c r="CV136">
        <v>-1</v>
      </c>
      <c r="CW136">
        <v>0</v>
      </c>
      <c r="CX136">
        <v>0</v>
      </c>
      <c r="CY136" t="s">
        <v>333</v>
      </c>
      <c r="CZ136">
        <v>2.3643100000000001</v>
      </c>
      <c r="DA136">
        <v>2.7137699999999998</v>
      </c>
      <c r="DB136">
        <v>0.112814</v>
      </c>
      <c r="DC136">
        <v>0.146347</v>
      </c>
      <c r="DD136">
        <v>0.106891</v>
      </c>
      <c r="DE136">
        <v>4.7725400000000001E-2</v>
      </c>
      <c r="DF136">
        <v>32405.200000000001</v>
      </c>
      <c r="DG136">
        <v>27529.8</v>
      </c>
      <c r="DH136">
        <v>31182.1</v>
      </c>
      <c r="DI136">
        <v>28100.9</v>
      </c>
      <c r="DJ136">
        <v>37811.5</v>
      </c>
      <c r="DK136">
        <v>38059.800000000003</v>
      </c>
      <c r="DL136">
        <v>44378.400000000001</v>
      </c>
      <c r="DM136">
        <v>42597.599999999999</v>
      </c>
      <c r="DN136">
        <v>1.4415</v>
      </c>
      <c r="DO136">
        <v>2.0408200000000001</v>
      </c>
      <c r="DP136">
        <v>0.17344599999999999</v>
      </c>
      <c r="DQ136">
        <v>0.14719699999999999</v>
      </c>
      <c r="DR136">
        <v>24.158000000000001</v>
      </c>
      <c r="DS136">
        <v>23.9803</v>
      </c>
      <c r="DT136">
        <v>47.5</v>
      </c>
      <c r="DU136">
        <v>29.1</v>
      </c>
      <c r="DV136">
        <v>19.3599</v>
      </c>
      <c r="DW136">
        <v>61.141199999999998</v>
      </c>
      <c r="DX136">
        <v>36.129800000000003</v>
      </c>
      <c r="DY136">
        <v>1</v>
      </c>
      <c r="DZ136">
        <v>-8.9560500000000001E-2</v>
      </c>
      <c r="EA136">
        <v>1.33985</v>
      </c>
      <c r="EB136">
        <v>20.182300000000001</v>
      </c>
      <c r="EC136">
        <v>5.2403500000000003</v>
      </c>
      <c r="ED136">
        <v>12.039899999999999</v>
      </c>
      <c r="EE136">
        <v>5.0163500000000001</v>
      </c>
      <c r="EF136">
        <v>3.2879499999999999</v>
      </c>
      <c r="EG136">
        <v>9999</v>
      </c>
      <c r="EH136">
        <v>9999</v>
      </c>
      <c r="EI136">
        <v>9999</v>
      </c>
      <c r="EJ136">
        <v>999.9</v>
      </c>
      <c r="EK136">
        <v>1.8689100000000001</v>
      </c>
      <c r="EL136">
        <v>1.8646199999999999</v>
      </c>
      <c r="EM136">
        <v>1.8692</v>
      </c>
      <c r="EN136">
        <v>1.8672299999999999</v>
      </c>
      <c r="EO136">
        <v>1.8633999999999999</v>
      </c>
      <c r="EP136">
        <v>1.8644700000000001</v>
      </c>
      <c r="EQ136">
        <v>1.8702099999999999</v>
      </c>
      <c r="ER136">
        <v>1.8694299999999999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-6.3E-2</v>
      </c>
      <c r="FG136">
        <v>0.27189999999999998</v>
      </c>
      <c r="FH136">
        <v>0.30965466913576151</v>
      </c>
      <c r="FI136">
        <v>-6.1462078757559423E-4</v>
      </c>
      <c r="FJ136">
        <v>-1.8861989874597051E-7</v>
      </c>
      <c r="FK136">
        <v>1.1980462299894961E-10</v>
      </c>
      <c r="FL136">
        <v>0.27184999999999349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29.8</v>
      </c>
      <c r="FU136">
        <v>30</v>
      </c>
      <c r="FV136">
        <v>1.7736799999999999</v>
      </c>
      <c r="FW136">
        <v>2.5903299999999998</v>
      </c>
      <c r="FX136">
        <v>1.5490699999999999</v>
      </c>
      <c r="FY136">
        <v>2.3278799999999999</v>
      </c>
      <c r="FZ136">
        <v>1.50146</v>
      </c>
      <c r="GA136">
        <v>2.3645</v>
      </c>
      <c r="GB136">
        <v>33.896099999999997</v>
      </c>
      <c r="GC136">
        <v>23.982399999999998</v>
      </c>
      <c r="GD136">
        <v>19</v>
      </c>
      <c r="GE136">
        <v>268.55599999999998</v>
      </c>
      <c r="GF136">
        <v>587.50400000000002</v>
      </c>
      <c r="GG136">
        <v>22.738399999999999</v>
      </c>
      <c r="GH136">
        <v>26.213699999999999</v>
      </c>
      <c r="GI136">
        <v>30.000299999999999</v>
      </c>
      <c r="GJ136">
        <v>26.398</v>
      </c>
      <c r="GK136">
        <v>26.3964</v>
      </c>
      <c r="GL136">
        <v>35.472000000000001</v>
      </c>
      <c r="GM136">
        <v>59.632800000000003</v>
      </c>
      <c r="GN136">
        <v>63.661099999999998</v>
      </c>
      <c r="GO136">
        <v>22.706</v>
      </c>
      <c r="GP136">
        <v>800</v>
      </c>
      <c r="GQ136">
        <v>7.5393100000000004</v>
      </c>
      <c r="GR136">
        <v>99.773899999999998</v>
      </c>
      <c r="GS136">
        <v>99.6447</v>
      </c>
    </row>
    <row r="137" spans="1:201" x14ac:dyDescent="0.25">
      <c r="A137">
        <v>121</v>
      </c>
      <c r="B137">
        <v>1690305119.5</v>
      </c>
      <c r="C137">
        <v>1369.5</v>
      </c>
      <c r="D137" t="s">
        <v>573</v>
      </c>
      <c r="E137" t="s">
        <v>574</v>
      </c>
      <c r="F137" t="s">
        <v>330</v>
      </c>
      <c r="H137">
        <v>1690305119.5</v>
      </c>
      <c r="I137">
        <f t="shared" si="30"/>
        <v>1.347197907643135E-3</v>
      </c>
      <c r="J137">
        <f t="shared" si="31"/>
        <v>1.3471979076431351</v>
      </c>
      <c r="K137">
        <f t="shared" si="32"/>
        <v>22.66102972866009</v>
      </c>
      <c r="L137">
        <f t="shared" si="33"/>
        <v>542.98900000000003</v>
      </c>
      <c r="M137">
        <f t="shared" si="34"/>
        <v>156.58566578800139</v>
      </c>
      <c r="N137">
        <f t="shared" si="35"/>
        <v>15.555636713836719</v>
      </c>
      <c r="O137">
        <f t="shared" si="36"/>
        <v>53.941972153729004</v>
      </c>
      <c r="P137">
        <f t="shared" si="37"/>
        <v>9.7907242200117289E-2</v>
      </c>
      <c r="Q137">
        <f t="shared" si="38"/>
        <v>2.0983331098474194</v>
      </c>
      <c r="R137">
        <f t="shared" si="39"/>
        <v>9.5438319785128595E-2</v>
      </c>
      <c r="S137">
        <f t="shared" si="40"/>
        <v>5.9865587181925126E-2</v>
      </c>
      <c r="T137">
        <f t="shared" si="41"/>
        <v>276.11484991200001</v>
      </c>
      <c r="U137">
        <f t="shared" si="42"/>
        <v>26.824348766428667</v>
      </c>
      <c r="V137">
        <f t="shared" si="43"/>
        <v>26.824348766428667</v>
      </c>
      <c r="W137">
        <f t="shared" si="44"/>
        <v>3.5424013750462988</v>
      </c>
      <c r="X137">
        <f t="shared" si="45"/>
        <v>68.231889105492201</v>
      </c>
      <c r="Y137">
        <f t="shared" si="46"/>
        <v>2.1804820005551</v>
      </c>
      <c r="Z137">
        <f t="shared" si="47"/>
        <v>3.1956934347573061</v>
      </c>
      <c r="AA137">
        <f t="shared" si="48"/>
        <v>1.3619193744911988</v>
      </c>
      <c r="AB137">
        <f t="shared" si="49"/>
        <v>-59.411427727062254</v>
      </c>
      <c r="AC137">
        <f t="shared" si="50"/>
        <v>-196.84359895404486</v>
      </c>
      <c r="AD137">
        <f t="shared" si="51"/>
        <v>-20.0343967004722</v>
      </c>
      <c r="AE137">
        <f t="shared" si="52"/>
        <v>-0.17457346957931463</v>
      </c>
      <c r="AF137">
        <v>10</v>
      </c>
      <c r="AG137">
        <v>3</v>
      </c>
      <c r="AH137">
        <f t="shared" si="53"/>
        <v>1</v>
      </c>
      <c r="AI137">
        <f t="shared" si="54"/>
        <v>0</v>
      </c>
      <c r="AJ137">
        <f t="shared" si="55"/>
        <v>52747.459414415171</v>
      </c>
      <c r="AK137">
        <f t="shared" si="56"/>
        <v>1800</v>
      </c>
      <c r="AL137">
        <f t="shared" si="57"/>
        <v>1499.1113591999999</v>
      </c>
      <c r="AM137">
        <f t="shared" si="58"/>
        <v>0.83283964399999999</v>
      </c>
      <c r="AN137">
        <f t="shared" si="59"/>
        <v>0.15339713884</v>
      </c>
      <c r="AO137">
        <v>33</v>
      </c>
      <c r="AP137">
        <v>0.5</v>
      </c>
      <c r="AQ137" t="s">
        <v>331</v>
      </c>
      <c r="AR137">
        <v>2</v>
      </c>
      <c r="AS137">
        <v>1690305119.5</v>
      </c>
      <c r="AT137">
        <v>542.98900000000003</v>
      </c>
      <c r="AU137">
        <v>800.10299999999995</v>
      </c>
      <c r="AV137">
        <v>21.949100000000001</v>
      </c>
      <c r="AW137">
        <v>7.4666800000000002</v>
      </c>
      <c r="AX137">
        <v>543.04999999999995</v>
      </c>
      <c r="AY137">
        <v>21.677199999999999</v>
      </c>
      <c r="AZ137">
        <v>300.238</v>
      </c>
      <c r="BA137">
        <v>99.242599999999996</v>
      </c>
      <c r="BB137">
        <v>0.100061</v>
      </c>
      <c r="BC137">
        <v>25.084299999999999</v>
      </c>
      <c r="BD137">
        <v>27.004000000000001</v>
      </c>
      <c r="BE137">
        <v>26.396000000000001</v>
      </c>
      <c r="BF137">
        <v>0</v>
      </c>
      <c r="BG137">
        <v>0</v>
      </c>
      <c r="BH137">
        <v>9986.8799999999992</v>
      </c>
      <c r="BI137">
        <v>1052.3</v>
      </c>
      <c r="BJ137">
        <v>1.62592</v>
      </c>
      <c r="BK137">
        <v>-257.113</v>
      </c>
      <c r="BL137">
        <v>555.17499999999995</v>
      </c>
      <c r="BM137">
        <v>806.12199999999996</v>
      </c>
      <c r="BN137">
        <v>14.4824</v>
      </c>
      <c r="BO137">
        <v>800.10299999999995</v>
      </c>
      <c r="BP137">
        <v>7.4666800000000002</v>
      </c>
      <c r="BQ137">
        <v>2.17828</v>
      </c>
      <c r="BR137">
        <v>0.74101300000000003</v>
      </c>
      <c r="BS137">
        <v>18.8035</v>
      </c>
      <c r="BT137">
        <v>2.62486</v>
      </c>
      <c r="BU137">
        <v>1800</v>
      </c>
      <c r="BV137">
        <v>0.91000400000000004</v>
      </c>
      <c r="BW137">
        <v>3.4008799999999999E-2</v>
      </c>
      <c r="BX137">
        <v>2.1995199999999999E-2</v>
      </c>
      <c r="BY137">
        <v>3.3992399999999999E-2</v>
      </c>
      <c r="BZ137">
        <v>26</v>
      </c>
      <c r="CA137">
        <v>33528.400000000001</v>
      </c>
      <c r="CB137">
        <v>1690303320.5</v>
      </c>
      <c r="CC137" t="s">
        <v>332</v>
      </c>
      <c r="CD137">
        <v>1690303320.5</v>
      </c>
      <c r="CE137">
        <v>1690303310.0999999</v>
      </c>
      <c r="CF137">
        <v>8</v>
      </c>
      <c r="CG137">
        <v>7.3999999999999996E-2</v>
      </c>
      <c r="CH137">
        <v>-0.01</v>
      </c>
      <c r="CI137">
        <v>-0.24199999999999999</v>
      </c>
      <c r="CJ137">
        <v>0.27200000000000002</v>
      </c>
      <c r="CK137">
        <v>800</v>
      </c>
      <c r="CL137">
        <v>23</v>
      </c>
      <c r="CM137">
        <v>0.06</v>
      </c>
      <c r="CN137">
        <v>0.09</v>
      </c>
      <c r="CO137">
        <v>-253.6578536585366</v>
      </c>
      <c r="CP137">
        <v>-17.91405574912913</v>
      </c>
      <c r="CQ137">
        <v>1.767742470496992</v>
      </c>
      <c r="CR137">
        <v>-1</v>
      </c>
      <c r="CS137">
        <v>14.34982926829268</v>
      </c>
      <c r="CT137">
        <v>0.99587247386761235</v>
      </c>
      <c r="CU137">
        <v>0.1004480262256822</v>
      </c>
      <c r="CV137">
        <v>-1</v>
      </c>
      <c r="CW137">
        <v>0</v>
      </c>
      <c r="CX137">
        <v>0</v>
      </c>
      <c r="CY137" t="s">
        <v>333</v>
      </c>
      <c r="CZ137">
        <v>2.3648500000000001</v>
      </c>
      <c r="DA137">
        <v>2.7138399999999998</v>
      </c>
      <c r="DB137">
        <v>0.112372</v>
      </c>
      <c r="DC137">
        <v>0.14634900000000001</v>
      </c>
      <c r="DD137">
        <v>0.10677300000000001</v>
      </c>
      <c r="DE137">
        <v>4.7130600000000002E-2</v>
      </c>
      <c r="DF137">
        <v>32421.3</v>
      </c>
      <c r="DG137">
        <v>27529.599999999999</v>
      </c>
      <c r="DH137">
        <v>31182.1</v>
      </c>
      <c r="DI137">
        <v>28100.799999999999</v>
      </c>
      <c r="DJ137">
        <v>37816.800000000003</v>
      </c>
      <c r="DK137">
        <v>38083.599999999999</v>
      </c>
      <c r="DL137">
        <v>44378.8</v>
      </c>
      <c r="DM137">
        <v>42597.599999999999</v>
      </c>
      <c r="DN137">
        <v>1.4421299999999999</v>
      </c>
      <c r="DO137">
        <v>2.04087</v>
      </c>
      <c r="DP137">
        <v>0.173155</v>
      </c>
      <c r="DQ137">
        <v>0.146754</v>
      </c>
      <c r="DR137">
        <v>24.165600000000001</v>
      </c>
      <c r="DS137">
        <v>23.988900000000001</v>
      </c>
      <c r="DT137">
        <v>47.2</v>
      </c>
      <c r="DU137">
        <v>29.1</v>
      </c>
      <c r="DV137">
        <v>19.2378</v>
      </c>
      <c r="DW137">
        <v>61.611199999999997</v>
      </c>
      <c r="DX137">
        <v>35.777200000000001</v>
      </c>
      <c r="DY137">
        <v>1</v>
      </c>
      <c r="DZ137">
        <v>-9.0487799999999993E-2</v>
      </c>
      <c r="EA137">
        <v>0.77868999999999999</v>
      </c>
      <c r="EB137">
        <v>20.187100000000001</v>
      </c>
      <c r="EC137">
        <v>5.2408000000000001</v>
      </c>
      <c r="ED137">
        <v>12.039899999999999</v>
      </c>
      <c r="EE137">
        <v>5.0167000000000002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1.8689199999999999</v>
      </c>
      <c r="EL137">
        <v>1.8646199999999999</v>
      </c>
      <c r="EM137">
        <v>1.8692</v>
      </c>
      <c r="EN137">
        <v>1.8672200000000001</v>
      </c>
      <c r="EO137">
        <v>1.8633999999999999</v>
      </c>
      <c r="EP137">
        <v>1.8644700000000001</v>
      </c>
      <c r="EQ137">
        <v>1.87018</v>
      </c>
      <c r="ER137">
        <v>1.8694299999999999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-6.0999999999999999E-2</v>
      </c>
      <c r="FG137">
        <v>0.27189999999999998</v>
      </c>
      <c r="FH137">
        <v>0.30965466913576151</v>
      </c>
      <c r="FI137">
        <v>-6.1462078757559423E-4</v>
      </c>
      <c r="FJ137">
        <v>-1.8861989874597051E-7</v>
      </c>
      <c r="FK137">
        <v>1.1980462299894961E-10</v>
      </c>
      <c r="FL137">
        <v>0.27184999999999349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30</v>
      </c>
      <c r="FU137">
        <v>30.2</v>
      </c>
      <c r="FV137">
        <v>1.7736799999999999</v>
      </c>
      <c r="FW137">
        <v>2.5903299999999998</v>
      </c>
      <c r="FX137">
        <v>1.5490699999999999</v>
      </c>
      <c r="FY137">
        <v>2.3278799999999999</v>
      </c>
      <c r="FZ137">
        <v>1.50146</v>
      </c>
      <c r="GA137">
        <v>2.3168899999999999</v>
      </c>
      <c r="GB137">
        <v>33.896099999999997</v>
      </c>
      <c r="GC137">
        <v>23.982399999999998</v>
      </c>
      <c r="GD137">
        <v>19</v>
      </c>
      <c r="GE137">
        <v>268.79199999999997</v>
      </c>
      <c r="GF137">
        <v>587.49699999999996</v>
      </c>
      <c r="GG137">
        <v>22.658799999999999</v>
      </c>
      <c r="GH137">
        <v>26.209800000000001</v>
      </c>
      <c r="GI137">
        <v>29.9998</v>
      </c>
      <c r="GJ137">
        <v>26.393000000000001</v>
      </c>
      <c r="GK137">
        <v>26.391999999999999</v>
      </c>
      <c r="GL137">
        <v>35.474499999999999</v>
      </c>
      <c r="GM137">
        <v>59.632800000000003</v>
      </c>
      <c r="GN137">
        <v>62.874699999999997</v>
      </c>
      <c r="GO137">
        <v>22.6983</v>
      </c>
      <c r="GP137">
        <v>800</v>
      </c>
      <c r="GQ137">
        <v>7.3812899999999999</v>
      </c>
      <c r="GR137">
        <v>99.7744</v>
      </c>
      <c r="GS137">
        <v>99.644499999999994</v>
      </c>
    </row>
    <row r="138" spans="1:201" x14ac:dyDescent="0.25">
      <c r="A138">
        <v>122</v>
      </c>
      <c r="B138">
        <v>1690305129.5</v>
      </c>
      <c r="C138">
        <v>1379.5</v>
      </c>
      <c r="D138" t="s">
        <v>575</v>
      </c>
      <c r="E138" t="s">
        <v>576</v>
      </c>
      <c r="F138" t="s">
        <v>330</v>
      </c>
      <c r="H138">
        <v>1690305129.5</v>
      </c>
      <c r="I138">
        <f t="shared" si="30"/>
        <v>1.3636673265736607E-3</v>
      </c>
      <c r="J138">
        <f t="shared" si="31"/>
        <v>1.3636673265736607</v>
      </c>
      <c r="K138">
        <f t="shared" si="32"/>
        <v>22.936220254037014</v>
      </c>
      <c r="L138">
        <f t="shared" si="33"/>
        <v>539.91899999999998</v>
      </c>
      <c r="M138">
        <f t="shared" si="34"/>
        <v>155.12456925937661</v>
      </c>
      <c r="N138">
        <f t="shared" si="35"/>
        <v>15.410870018380608</v>
      </c>
      <c r="O138">
        <f t="shared" si="36"/>
        <v>53.638321570721097</v>
      </c>
      <c r="P138">
        <f t="shared" si="37"/>
        <v>9.9534516696133335E-2</v>
      </c>
      <c r="Q138">
        <f t="shared" si="38"/>
        <v>2.0972280732918458</v>
      </c>
      <c r="R138">
        <f t="shared" si="39"/>
        <v>9.6982687038590754E-2</v>
      </c>
      <c r="S138">
        <f t="shared" si="40"/>
        <v>6.0838002026045543E-2</v>
      </c>
      <c r="T138">
        <f t="shared" si="41"/>
        <v>276.11460498600002</v>
      </c>
      <c r="U138">
        <f t="shared" si="42"/>
        <v>26.813454294627565</v>
      </c>
      <c r="V138">
        <f t="shared" si="43"/>
        <v>26.813454294627565</v>
      </c>
      <c r="W138">
        <f t="shared" si="44"/>
        <v>3.540132396798505</v>
      </c>
      <c r="X138">
        <f t="shared" si="45"/>
        <v>68.349935067763923</v>
      </c>
      <c r="Y138">
        <f t="shared" si="46"/>
        <v>2.1834866751097199</v>
      </c>
      <c r="Z138">
        <f t="shared" si="47"/>
        <v>3.1945702259189477</v>
      </c>
      <c r="AA138">
        <f t="shared" si="48"/>
        <v>1.3566457216887851</v>
      </c>
      <c r="AB138">
        <f t="shared" si="49"/>
        <v>-60.137729101898437</v>
      </c>
      <c r="AC138">
        <f t="shared" si="50"/>
        <v>-196.17523226780645</v>
      </c>
      <c r="AD138">
        <f t="shared" si="51"/>
        <v>-19.975207571148349</v>
      </c>
      <c r="AE138">
        <f t="shared" si="52"/>
        <v>-0.17356395485322196</v>
      </c>
      <c r="AF138">
        <v>10</v>
      </c>
      <c r="AG138">
        <v>3</v>
      </c>
      <c r="AH138">
        <f t="shared" si="53"/>
        <v>1</v>
      </c>
      <c r="AI138">
        <f t="shared" si="54"/>
        <v>0</v>
      </c>
      <c r="AJ138">
        <f t="shared" si="55"/>
        <v>52699.200977795525</v>
      </c>
      <c r="AK138">
        <f t="shared" si="56"/>
        <v>1800</v>
      </c>
      <c r="AL138">
        <f t="shared" si="57"/>
        <v>1499.1109685999998</v>
      </c>
      <c r="AM138">
        <f t="shared" si="58"/>
        <v>0.83283942699999991</v>
      </c>
      <c r="AN138">
        <f t="shared" si="59"/>
        <v>0.15339700277000001</v>
      </c>
      <c r="AO138">
        <v>33</v>
      </c>
      <c r="AP138">
        <v>0.5</v>
      </c>
      <c r="AQ138" t="s">
        <v>331</v>
      </c>
      <c r="AR138">
        <v>2</v>
      </c>
      <c r="AS138">
        <v>1690305129.5</v>
      </c>
      <c r="AT138">
        <v>539.91899999999998</v>
      </c>
      <c r="AU138">
        <v>800.20100000000002</v>
      </c>
      <c r="AV138">
        <v>21.9788</v>
      </c>
      <c r="AW138">
        <v>7.3146500000000003</v>
      </c>
      <c r="AX138">
        <v>539.97799999999995</v>
      </c>
      <c r="AY138">
        <v>21.707000000000001</v>
      </c>
      <c r="AZ138">
        <v>300.13299999999998</v>
      </c>
      <c r="BA138">
        <v>99.245199999999997</v>
      </c>
      <c r="BB138">
        <v>9.9926899999999999E-2</v>
      </c>
      <c r="BC138">
        <v>25.078399999999998</v>
      </c>
      <c r="BD138">
        <v>26.964600000000001</v>
      </c>
      <c r="BE138">
        <v>26.3764</v>
      </c>
      <c r="BF138">
        <v>0</v>
      </c>
      <c r="BG138">
        <v>0</v>
      </c>
      <c r="BH138">
        <v>9976.8799999999992</v>
      </c>
      <c r="BI138">
        <v>1052.4000000000001</v>
      </c>
      <c r="BJ138">
        <v>1.62592</v>
      </c>
      <c r="BK138">
        <v>-260.28199999999998</v>
      </c>
      <c r="BL138">
        <v>552.053</v>
      </c>
      <c r="BM138">
        <v>806.09799999999996</v>
      </c>
      <c r="BN138">
        <v>14.664199999999999</v>
      </c>
      <c r="BO138">
        <v>800.20100000000002</v>
      </c>
      <c r="BP138">
        <v>7.3146500000000003</v>
      </c>
      <c r="BQ138">
        <v>2.1812900000000002</v>
      </c>
      <c r="BR138">
        <v>0.72594400000000003</v>
      </c>
      <c r="BS138">
        <v>18.825600000000001</v>
      </c>
      <c r="BT138">
        <v>2.3361399999999999</v>
      </c>
      <c r="BU138">
        <v>1800</v>
      </c>
      <c r="BV138">
        <v>0.91000599999999998</v>
      </c>
      <c r="BW138">
        <v>3.4007799999999998E-2</v>
      </c>
      <c r="BX138">
        <v>2.19946E-2</v>
      </c>
      <c r="BY138">
        <v>3.3991500000000001E-2</v>
      </c>
      <c r="BZ138">
        <v>26</v>
      </c>
      <c r="CA138">
        <v>33528.400000000001</v>
      </c>
      <c r="CB138">
        <v>1690303320.5</v>
      </c>
      <c r="CC138" t="s">
        <v>332</v>
      </c>
      <c r="CD138">
        <v>1690303320.5</v>
      </c>
      <c r="CE138">
        <v>1690303310.0999999</v>
      </c>
      <c r="CF138">
        <v>8</v>
      </c>
      <c r="CG138">
        <v>7.3999999999999996E-2</v>
      </c>
      <c r="CH138">
        <v>-0.01</v>
      </c>
      <c r="CI138">
        <v>-0.24199999999999999</v>
      </c>
      <c r="CJ138">
        <v>0.27200000000000002</v>
      </c>
      <c r="CK138">
        <v>800</v>
      </c>
      <c r="CL138">
        <v>23</v>
      </c>
      <c r="CM138">
        <v>0.06</v>
      </c>
      <c r="CN138">
        <v>0.09</v>
      </c>
      <c r="CO138">
        <v>-256.90492499999999</v>
      </c>
      <c r="CP138">
        <v>-18.44119699812256</v>
      </c>
      <c r="CQ138">
        <v>1.775483165049726</v>
      </c>
      <c r="CR138">
        <v>-1</v>
      </c>
      <c r="CS138">
        <v>14.490562499999999</v>
      </c>
      <c r="CT138">
        <v>0.62469455909939342</v>
      </c>
      <c r="CU138">
        <v>6.242105689388798E-2</v>
      </c>
      <c r="CV138">
        <v>-1</v>
      </c>
      <c r="CW138">
        <v>0</v>
      </c>
      <c r="CX138">
        <v>0</v>
      </c>
      <c r="CY138" t="s">
        <v>333</v>
      </c>
      <c r="CZ138">
        <v>2.3645200000000002</v>
      </c>
      <c r="DA138">
        <v>2.7136999999999998</v>
      </c>
      <c r="DB138">
        <v>0.111919</v>
      </c>
      <c r="DC138">
        <v>0.14636299999999999</v>
      </c>
      <c r="DD138">
        <v>0.106881</v>
      </c>
      <c r="DE138">
        <v>4.63656E-2</v>
      </c>
      <c r="DF138">
        <v>32439</v>
      </c>
      <c r="DG138">
        <v>27529.9</v>
      </c>
      <c r="DH138">
        <v>31183.200000000001</v>
      </c>
      <c r="DI138">
        <v>28101.5</v>
      </c>
      <c r="DJ138">
        <v>37813.300000000003</v>
      </c>
      <c r="DK138">
        <v>38115.199999999997</v>
      </c>
      <c r="DL138">
        <v>44380.2</v>
      </c>
      <c r="DM138">
        <v>42598.6</v>
      </c>
      <c r="DN138">
        <v>1.4424300000000001</v>
      </c>
      <c r="DO138">
        <v>2.04047</v>
      </c>
      <c r="DP138">
        <v>0.170346</v>
      </c>
      <c r="DQ138">
        <v>0.14516000000000001</v>
      </c>
      <c r="DR138">
        <v>24.1722</v>
      </c>
      <c r="DS138">
        <v>23.9954</v>
      </c>
      <c r="DT138">
        <v>46.9</v>
      </c>
      <c r="DU138">
        <v>29.1</v>
      </c>
      <c r="DV138">
        <v>19.1143</v>
      </c>
      <c r="DW138">
        <v>61.661200000000001</v>
      </c>
      <c r="DX138">
        <v>36.482399999999998</v>
      </c>
      <c r="DY138">
        <v>1</v>
      </c>
      <c r="DZ138">
        <v>-9.1577699999999998E-2</v>
      </c>
      <c r="EA138">
        <v>0.65334999999999999</v>
      </c>
      <c r="EB138">
        <v>20.188199999999998</v>
      </c>
      <c r="EC138">
        <v>5.2409499999999998</v>
      </c>
      <c r="ED138">
        <v>12.039899999999999</v>
      </c>
      <c r="EE138">
        <v>5.01675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1.8689100000000001</v>
      </c>
      <c r="EL138">
        <v>1.86463</v>
      </c>
      <c r="EM138">
        <v>1.8692</v>
      </c>
      <c r="EN138">
        <v>1.8672200000000001</v>
      </c>
      <c r="EO138">
        <v>1.8633999999999999</v>
      </c>
      <c r="EP138">
        <v>1.8644700000000001</v>
      </c>
      <c r="EQ138">
        <v>1.87016</v>
      </c>
      <c r="ER138">
        <v>1.8694200000000001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-5.8999999999999997E-2</v>
      </c>
      <c r="FG138">
        <v>0.27179999999999999</v>
      </c>
      <c r="FH138">
        <v>0.30965466913576151</v>
      </c>
      <c r="FI138">
        <v>-6.1462078757559423E-4</v>
      </c>
      <c r="FJ138">
        <v>-1.8861989874597051E-7</v>
      </c>
      <c r="FK138">
        <v>1.1980462299894961E-10</v>
      </c>
      <c r="FL138">
        <v>0.27184999999999349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30.1</v>
      </c>
      <c r="FU138">
        <v>30.3</v>
      </c>
      <c r="FV138">
        <v>1.7736799999999999</v>
      </c>
      <c r="FW138">
        <v>2.5915499999999998</v>
      </c>
      <c r="FX138">
        <v>1.5490699999999999</v>
      </c>
      <c r="FY138">
        <v>2.3278799999999999</v>
      </c>
      <c r="FZ138">
        <v>1.50146</v>
      </c>
      <c r="GA138">
        <v>2.3315399999999999</v>
      </c>
      <c r="GB138">
        <v>33.8735</v>
      </c>
      <c r="GC138">
        <v>23.991199999999999</v>
      </c>
      <c r="GD138">
        <v>19</v>
      </c>
      <c r="GE138">
        <v>268.904</v>
      </c>
      <c r="GF138">
        <v>587.12</v>
      </c>
      <c r="GG138">
        <v>22.692900000000002</v>
      </c>
      <c r="GH138">
        <v>26.206700000000001</v>
      </c>
      <c r="GI138">
        <v>29.999700000000001</v>
      </c>
      <c r="GJ138">
        <v>26.3902</v>
      </c>
      <c r="GK138">
        <v>26.388100000000001</v>
      </c>
      <c r="GL138">
        <v>35.468400000000003</v>
      </c>
      <c r="GM138">
        <v>60.230699999999999</v>
      </c>
      <c r="GN138">
        <v>62.095300000000002</v>
      </c>
      <c r="GO138">
        <v>22.704999999999998</v>
      </c>
      <c r="GP138">
        <v>800</v>
      </c>
      <c r="GQ138">
        <v>7.1744300000000001</v>
      </c>
      <c r="GR138">
        <v>99.777600000000007</v>
      </c>
      <c r="GS138">
        <v>99.647000000000006</v>
      </c>
    </row>
    <row r="139" spans="1:201" x14ac:dyDescent="0.25">
      <c r="A139">
        <v>123</v>
      </c>
      <c r="B139">
        <v>1690305139.5</v>
      </c>
      <c r="C139">
        <v>1389.5</v>
      </c>
      <c r="D139" t="s">
        <v>577</v>
      </c>
      <c r="E139" t="s">
        <v>578</v>
      </c>
      <c r="F139" t="s">
        <v>330</v>
      </c>
      <c r="H139">
        <v>1690305139.5</v>
      </c>
      <c r="I139">
        <f t="shared" si="30"/>
        <v>1.3867855442672842E-3</v>
      </c>
      <c r="J139">
        <f t="shared" si="31"/>
        <v>1.3867855442672843</v>
      </c>
      <c r="K139">
        <f t="shared" si="32"/>
        <v>23.178955674697942</v>
      </c>
      <c r="L139">
        <f t="shared" si="33"/>
        <v>536.93499999999995</v>
      </c>
      <c r="M139">
        <f t="shared" si="34"/>
        <v>155.88205071127274</v>
      </c>
      <c r="N139">
        <f t="shared" si="35"/>
        <v>15.486734086686512</v>
      </c>
      <c r="O139">
        <f t="shared" si="36"/>
        <v>53.343983665167997</v>
      </c>
      <c r="P139">
        <f t="shared" si="37"/>
        <v>0.10162901608732465</v>
      </c>
      <c r="Q139">
        <f t="shared" si="38"/>
        <v>2.0971295306499211</v>
      </c>
      <c r="R139">
        <f t="shared" si="39"/>
        <v>9.8970083904958234E-2</v>
      </c>
      <c r="S139">
        <f t="shared" si="40"/>
        <v>6.2089402678117536E-2</v>
      </c>
      <c r="T139">
        <f t="shared" si="41"/>
        <v>276.11455465800003</v>
      </c>
      <c r="U139">
        <f t="shared" si="42"/>
        <v>26.810928390113059</v>
      </c>
      <c r="V139">
        <f t="shared" si="43"/>
        <v>26.810928390113059</v>
      </c>
      <c r="W139">
        <f t="shared" si="44"/>
        <v>3.5396065109924217</v>
      </c>
      <c r="X139">
        <f t="shared" si="45"/>
        <v>68.456987056880294</v>
      </c>
      <c r="Y139">
        <f t="shared" si="46"/>
        <v>2.1876363379401602</v>
      </c>
      <c r="Z139">
        <f t="shared" si="47"/>
        <v>3.195636314117174</v>
      </c>
      <c r="AA139">
        <f t="shared" si="48"/>
        <v>1.3519701730522615</v>
      </c>
      <c r="AB139">
        <f t="shared" si="49"/>
        <v>-61.157242502187231</v>
      </c>
      <c r="AC139">
        <f t="shared" si="50"/>
        <v>-195.24729616595479</v>
      </c>
      <c r="AD139">
        <f t="shared" si="51"/>
        <v>-19.881961348781811</v>
      </c>
      <c r="AE139">
        <f t="shared" si="52"/>
        <v>-0.17194535892380713</v>
      </c>
      <c r="AF139">
        <v>10</v>
      </c>
      <c r="AG139">
        <v>3</v>
      </c>
      <c r="AH139">
        <f t="shared" si="53"/>
        <v>1</v>
      </c>
      <c r="AI139">
        <f t="shared" si="54"/>
        <v>0</v>
      </c>
      <c r="AJ139">
        <f t="shared" si="55"/>
        <v>52693.894379720652</v>
      </c>
      <c r="AK139">
        <f t="shared" si="56"/>
        <v>1800</v>
      </c>
      <c r="AL139">
        <f t="shared" si="57"/>
        <v>1499.1110927999998</v>
      </c>
      <c r="AM139">
        <f t="shared" si="58"/>
        <v>0.83283949599999996</v>
      </c>
      <c r="AN139">
        <f t="shared" si="59"/>
        <v>0.15339697481</v>
      </c>
      <c r="AO139">
        <v>33</v>
      </c>
      <c r="AP139">
        <v>0.5</v>
      </c>
      <c r="AQ139" t="s">
        <v>331</v>
      </c>
      <c r="AR139">
        <v>2</v>
      </c>
      <c r="AS139">
        <v>1690305139.5</v>
      </c>
      <c r="AT139">
        <v>536.93499999999995</v>
      </c>
      <c r="AU139">
        <v>800.08900000000006</v>
      </c>
      <c r="AV139">
        <v>22.0197</v>
      </c>
      <c r="AW139">
        <v>7.1012599999999999</v>
      </c>
      <c r="AX139">
        <v>536.99099999999999</v>
      </c>
      <c r="AY139">
        <v>21.747900000000001</v>
      </c>
      <c r="AZ139">
        <v>300.00599999999997</v>
      </c>
      <c r="BA139">
        <v>99.249099999999999</v>
      </c>
      <c r="BB139">
        <v>9.9952799999999994E-2</v>
      </c>
      <c r="BC139">
        <v>25.084</v>
      </c>
      <c r="BD139">
        <v>26.9222</v>
      </c>
      <c r="BE139">
        <v>26.366800000000001</v>
      </c>
      <c r="BF139">
        <v>0</v>
      </c>
      <c r="BG139">
        <v>0</v>
      </c>
      <c r="BH139">
        <v>9975.6200000000008</v>
      </c>
      <c r="BI139">
        <v>1052.49</v>
      </c>
      <c r="BJ139">
        <v>1.62592</v>
      </c>
      <c r="BK139">
        <v>-263.154</v>
      </c>
      <c r="BL139">
        <v>549.024</v>
      </c>
      <c r="BM139">
        <v>805.81100000000004</v>
      </c>
      <c r="BN139">
        <v>14.9185</v>
      </c>
      <c r="BO139">
        <v>800.08900000000006</v>
      </c>
      <c r="BP139">
        <v>7.1012599999999999</v>
      </c>
      <c r="BQ139">
        <v>2.1854399999999998</v>
      </c>
      <c r="BR139">
        <v>0.70479400000000003</v>
      </c>
      <c r="BS139">
        <v>18.856000000000002</v>
      </c>
      <c r="BT139">
        <v>1.9218200000000001</v>
      </c>
      <c r="BU139">
        <v>1800</v>
      </c>
      <c r="BV139">
        <v>0.91000700000000001</v>
      </c>
      <c r="BW139">
        <v>3.4007500000000003E-2</v>
      </c>
      <c r="BX139">
        <v>2.1994300000000001E-2</v>
      </c>
      <c r="BY139">
        <v>3.3991100000000003E-2</v>
      </c>
      <c r="BZ139">
        <v>26</v>
      </c>
      <c r="CA139">
        <v>33528.5</v>
      </c>
      <c r="CB139">
        <v>1690303320.5</v>
      </c>
      <c r="CC139" t="s">
        <v>332</v>
      </c>
      <c r="CD139">
        <v>1690303320.5</v>
      </c>
      <c r="CE139">
        <v>1690303310.0999999</v>
      </c>
      <c r="CF139">
        <v>8</v>
      </c>
      <c r="CG139">
        <v>7.3999999999999996E-2</v>
      </c>
      <c r="CH139">
        <v>-0.01</v>
      </c>
      <c r="CI139">
        <v>-0.24199999999999999</v>
      </c>
      <c r="CJ139">
        <v>0.27200000000000002</v>
      </c>
      <c r="CK139">
        <v>800</v>
      </c>
      <c r="CL139">
        <v>23</v>
      </c>
      <c r="CM139">
        <v>0.06</v>
      </c>
      <c r="CN139">
        <v>0.09</v>
      </c>
      <c r="CO139">
        <v>-259.70114634146341</v>
      </c>
      <c r="CP139">
        <v>-17.993770034843049</v>
      </c>
      <c r="CQ139">
        <v>1.776549238860651</v>
      </c>
      <c r="CR139">
        <v>-1</v>
      </c>
      <c r="CS139">
        <v>14.639202439024389</v>
      </c>
      <c r="CT139">
        <v>1.291553310104516</v>
      </c>
      <c r="CU139">
        <v>0.128818428631259</v>
      </c>
      <c r="CV139">
        <v>-1</v>
      </c>
      <c r="CW139">
        <v>0</v>
      </c>
      <c r="CX139">
        <v>0</v>
      </c>
      <c r="CY139" t="s">
        <v>333</v>
      </c>
      <c r="CZ139">
        <v>2.36408</v>
      </c>
      <c r="DA139">
        <v>2.7137199999999999</v>
      </c>
      <c r="DB139">
        <v>0.11147899999999999</v>
      </c>
      <c r="DC139">
        <v>0.14635200000000001</v>
      </c>
      <c r="DD139">
        <v>0.107028</v>
      </c>
      <c r="DE139">
        <v>4.52831E-2</v>
      </c>
      <c r="DF139">
        <v>32455.599999999999</v>
      </c>
      <c r="DG139">
        <v>27530.400000000001</v>
      </c>
      <c r="DH139">
        <v>31183.599999999999</v>
      </c>
      <c r="DI139">
        <v>28101.7</v>
      </c>
      <c r="DJ139">
        <v>37807.5</v>
      </c>
      <c r="DK139">
        <v>38158.9</v>
      </c>
      <c r="DL139">
        <v>44380.800000000003</v>
      </c>
      <c r="DM139">
        <v>42599</v>
      </c>
      <c r="DN139">
        <v>1.4420999999999999</v>
      </c>
      <c r="DO139">
        <v>2.0404</v>
      </c>
      <c r="DP139">
        <v>0.16747400000000001</v>
      </c>
      <c r="DQ139">
        <v>0.144202</v>
      </c>
      <c r="DR139">
        <v>24.1768</v>
      </c>
      <c r="DS139">
        <v>24.0015</v>
      </c>
      <c r="DT139">
        <v>46.6</v>
      </c>
      <c r="DU139">
        <v>29.1</v>
      </c>
      <c r="DV139">
        <v>18.992599999999999</v>
      </c>
      <c r="DW139">
        <v>61.231200000000001</v>
      </c>
      <c r="DX139">
        <v>36.971200000000003</v>
      </c>
      <c r="DY139">
        <v>1</v>
      </c>
      <c r="DZ139">
        <v>-9.2306899999999997E-2</v>
      </c>
      <c r="EA139">
        <v>0.52486699999999997</v>
      </c>
      <c r="EB139">
        <v>20.188800000000001</v>
      </c>
      <c r="EC139">
        <v>5.2406499999999996</v>
      </c>
      <c r="ED139">
        <v>12.039899999999999</v>
      </c>
      <c r="EE139">
        <v>5.01675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1.8689100000000001</v>
      </c>
      <c r="EL139">
        <v>1.8646199999999999</v>
      </c>
      <c r="EM139">
        <v>1.8692</v>
      </c>
      <c r="EN139">
        <v>1.8672299999999999</v>
      </c>
      <c r="EO139">
        <v>1.8633999999999999</v>
      </c>
      <c r="EP139">
        <v>1.8644700000000001</v>
      </c>
      <c r="EQ139">
        <v>1.87018</v>
      </c>
      <c r="ER139">
        <v>1.86944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-5.6000000000000001E-2</v>
      </c>
      <c r="FG139">
        <v>0.27179999999999999</v>
      </c>
      <c r="FH139">
        <v>0.30965466913576151</v>
      </c>
      <c r="FI139">
        <v>-6.1462078757559423E-4</v>
      </c>
      <c r="FJ139">
        <v>-1.8861989874597051E-7</v>
      </c>
      <c r="FK139">
        <v>1.1980462299894961E-10</v>
      </c>
      <c r="FL139">
        <v>0.27184999999999349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30.3</v>
      </c>
      <c r="FU139">
        <v>30.5</v>
      </c>
      <c r="FV139">
        <v>1.7736799999999999</v>
      </c>
      <c r="FW139">
        <v>2.5964399999999999</v>
      </c>
      <c r="FX139">
        <v>1.5490699999999999</v>
      </c>
      <c r="FY139">
        <v>2.3278799999999999</v>
      </c>
      <c r="FZ139">
        <v>1.50146</v>
      </c>
      <c r="GA139">
        <v>2.31812</v>
      </c>
      <c r="GB139">
        <v>33.896099999999997</v>
      </c>
      <c r="GC139">
        <v>23.982399999999998</v>
      </c>
      <c r="GD139">
        <v>19</v>
      </c>
      <c r="GE139">
        <v>268.75200000000001</v>
      </c>
      <c r="GF139">
        <v>587.00800000000004</v>
      </c>
      <c r="GG139">
        <v>22.735800000000001</v>
      </c>
      <c r="GH139">
        <v>26.2027</v>
      </c>
      <c r="GI139">
        <v>29.999700000000001</v>
      </c>
      <c r="GJ139">
        <v>26.3858</v>
      </c>
      <c r="GK139">
        <v>26.383700000000001</v>
      </c>
      <c r="GL139">
        <v>35.468699999999998</v>
      </c>
      <c r="GM139">
        <v>60.834400000000002</v>
      </c>
      <c r="GN139">
        <v>61.305199999999999</v>
      </c>
      <c r="GO139">
        <v>22.755299999999998</v>
      </c>
      <c r="GP139">
        <v>800</v>
      </c>
      <c r="GQ139">
        <v>6.9586100000000002</v>
      </c>
      <c r="GR139">
        <v>99.778999999999996</v>
      </c>
      <c r="GS139">
        <v>99.6477</v>
      </c>
    </row>
    <row r="140" spans="1:201" x14ac:dyDescent="0.25">
      <c r="A140">
        <v>124</v>
      </c>
      <c r="B140">
        <v>1690305149.5</v>
      </c>
      <c r="C140">
        <v>1399.5</v>
      </c>
      <c r="D140" t="s">
        <v>579</v>
      </c>
      <c r="E140" t="s">
        <v>580</v>
      </c>
      <c r="F140" t="s">
        <v>330</v>
      </c>
      <c r="H140">
        <v>1690305149.5</v>
      </c>
      <c r="I140">
        <f t="shared" si="30"/>
        <v>1.4111233035669548E-3</v>
      </c>
      <c r="J140">
        <f t="shared" si="31"/>
        <v>1.4111233035669548</v>
      </c>
      <c r="K140">
        <f t="shared" si="32"/>
        <v>23.432206058324557</v>
      </c>
      <c r="L140">
        <f t="shared" si="33"/>
        <v>534.09900000000005</v>
      </c>
      <c r="M140">
        <f t="shared" si="34"/>
        <v>156.66372092881909</v>
      </c>
      <c r="N140">
        <f t="shared" si="35"/>
        <v>15.564348808219155</v>
      </c>
      <c r="O140">
        <f t="shared" si="36"/>
        <v>53.062081538954708</v>
      </c>
      <c r="P140">
        <f t="shared" si="37"/>
        <v>0.10377270850357592</v>
      </c>
      <c r="Q140">
        <f t="shared" si="38"/>
        <v>2.1042780320299177</v>
      </c>
      <c r="R140">
        <f t="shared" si="39"/>
        <v>0.10101121109466961</v>
      </c>
      <c r="S140">
        <f t="shared" si="40"/>
        <v>6.3373995678296213E-2</v>
      </c>
      <c r="T140">
        <f t="shared" si="41"/>
        <v>276.11445549600001</v>
      </c>
      <c r="U140">
        <f t="shared" si="42"/>
        <v>26.806186718642522</v>
      </c>
      <c r="V140">
        <f t="shared" si="43"/>
        <v>26.806186718642522</v>
      </c>
      <c r="W140">
        <f t="shared" si="44"/>
        <v>3.5386194932744579</v>
      </c>
      <c r="X140">
        <f t="shared" si="45"/>
        <v>68.516537768145938</v>
      </c>
      <c r="Y140">
        <f t="shared" si="46"/>
        <v>2.1907398441402997</v>
      </c>
      <c r="Z140">
        <f t="shared" si="47"/>
        <v>3.197388419644867</v>
      </c>
      <c r="AA140">
        <f t="shared" si="48"/>
        <v>1.3478796491341583</v>
      </c>
      <c r="AB140">
        <f t="shared" si="49"/>
        <v>-62.230537687302707</v>
      </c>
      <c r="AC140">
        <f t="shared" si="50"/>
        <v>-194.3312125164521</v>
      </c>
      <c r="AD140">
        <f t="shared" si="51"/>
        <v>-19.721890745335511</v>
      </c>
      <c r="AE140">
        <f t="shared" si="52"/>
        <v>-0.16918545309027877</v>
      </c>
      <c r="AF140">
        <v>10</v>
      </c>
      <c r="AG140">
        <v>3</v>
      </c>
      <c r="AH140">
        <f t="shared" si="53"/>
        <v>1</v>
      </c>
      <c r="AI140">
        <f t="shared" si="54"/>
        <v>0</v>
      </c>
      <c r="AJ140">
        <f t="shared" si="55"/>
        <v>53012.09205764559</v>
      </c>
      <c r="AK140">
        <f t="shared" si="56"/>
        <v>1800</v>
      </c>
      <c r="AL140">
        <f t="shared" si="57"/>
        <v>1499.1116615999999</v>
      </c>
      <c r="AM140">
        <f t="shared" si="58"/>
        <v>0.83283981200000001</v>
      </c>
      <c r="AN140">
        <f t="shared" si="59"/>
        <v>0.15339691972</v>
      </c>
      <c r="AO140">
        <v>33</v>
      </c>
      <c r="AP140">
        <v>0.5</v>
      </c>
      <c r="AQ140" t="s">
        <v>331</v>
      </c>
      <c r="AR140">
        <v>2</v>
      </c>
      <c r="AS140">
        <v>1690305149.5</v>
      </c>
      <c r="AT140">
        <v>534.09900000000005</v>
      </c>
      <c r="AU140">
        <v>800.048</v>
      </c>
      <c r="AV140">
        <v>22.050999999999998</v>
      </c>
      <c r="AW140">
        <v>6.8763899999999998</v>
      </c>
      <c r="AX140">
        <v>534.15300000000002</v>
      </c>
      <c r="AY140">
        <v>21.779199999999999</v>
      </c>
      <c r="AZ140">
        <v>300.108</v>
      </c>
      <c r="BA140">
        <v>99.248800000000003</v>
      </c>
      <c r="BB140">
        <v>9.9975300000000003E-2</v>
      </c>
      <c r="BC140">
        <v>25.0932</v>
      </c>
      <c r="BD140">
        <v>26.967600000000001</v>
      </c>
      <c r="BE140">
        <v>26.376999999999999</v>
      </c>
      <c r="BF140">
        <v>0</v>
      </c>
      <c r="BG140">
        <v>0</v>
      </c>
      <c r="BH140">
        <v>10038.799999999999</v>
      </c>
      <c r="BI140">
        <v>1052.67</v>
      </c>
      <c r="BJ140">
        <v>1.62592</v>
      </c>
      <c r="BK140">
        <v>-265.94900000000001</v>
      </c>
      <c r="BL140">
        <v>546.14099999999996</v>
      </c>
      <c r="BM140">
        <v>805.58699999999999</v>
      </c>
      <c r="BN140">
        <v>15.1746</v>
      </c>
      <c r="BO140">
        <v>800.048</v>
      </c>
      <c r="BP140">
        <v>6.8763899999999998</v>
      </c>
      <c r="BQ140">
        <v>2.1885400000000002</v>
      </c>
      <c r="BR140">
        <v>0.682473</v>
      </c>
      <c r="BS140">
        <v>18.878699999999998</v>
      </c>
      <c r="BT140">
        <v>1.4724699999999999</v>
      </c>
      <c r="BU140">
        <v>1800</v>
      </c>
      <c r="BV140">
        <v>0.91000999999999999</v>
      </c>
      <c r="BW140">
        <v>3.4006399999999999E-2</v>
      </c>
      <c r="BX140">
        <v>2.1993599999999999E-2</v>
      </c>
      <c r="BY140">
        <v>3.3989999999999999E-2</v>
      </c>
      <c r="BZ140">
        <v>26</v>
      </c>
      <c r="CA140">
        <v>33528.400000000001</v>
      </c>
      <c r="CB140">
        <v>1690303320.5</v>
      </c>
      <c r="CC140" t="s">
        <v>332</v>
      </c>
      <c r="CD140">
        <v>1690303320.5</v>
      </c>
      <c r="CE140">
        <v>1690303310.0999999</v>
      </c>
      <c r="CF140">
        <v>8</v>
      </c>
      <c r="CG140">
        <v>7.3999999999999996E-2</v>
      </c>
      <c r="CH140">
        <v>-0.01</v>
      </c>
      <c r="CI140">
        <v>-0.24199999999999999</v>
      </c>
      <c r="CJ140">
        <v>0.27200000000000002</v>
      </c>
      <c r="CK140">
        <v>800</v>
      </c>
      <c r="CL140">
        <v>23</v>
      </c>
      <c r="CM140">
        <v>0.06</v>
      </c>
      <c r="CN140">
        <v>0.09</v>
      </c>
      <c r="CO140">
        <v>-262.9562195121951</v>
      </c>
      <c r="CP140">
        <v>-17.449463414634771</v>
      </c>
      <c r="CQ140">
        <v>1.7214199968261461</v>
      </c>
      <c r="CR140">
        <v>-1</v>
      </c>
      <c r="CS140">
        <v>14.90084390243902</v>
      </c>
      <c r="CT140">
        <v>1.5163442508711089</v>
      </c>
      <c r="CU140">
        <v>0.14956878676720911</v>
      </c>
      <c r="CV140">
        <v>-1</v>
      </c>
      <c r="CW140">
        <v>0</v>
      </c>
      <c r="CX140">
        <v>0</v>
      </c>
      <c r="CY140" t="s">
        <v>333</v>
      </c>
      <c r="CZ140">
        <v>2.3644400000000001</v>
      </c>
      <c r="DA140">
        <v>2.7138</v>
      </c>
      <c r="DB140">
        <v>0.111055</v>
      </c>
      <c r="DC140">
        <v>0.146343</v>
      </c>
      <c r="DD140">
        <v>0.107138</v>
      </c>
      <c r="DE140">
        <v>4.4128899999999999E-2</v>
      </c>
      <c r="DF140">
        <v>32471.1</v>
      </c>
      <c r="DG140">
        <v>27530.6</v>
      </c>
      <c r="DH140">
        <v>31183.599999999999</v>
      </c>
      <c r="DI140">
        <v>28101.599999999999</v>
      </c>
      <c r="DJ140">
        <v>37802.699999999997</v>
      </c>
      <c r="DK140">
        <v>38205.199999999997</v>
      </c>
      <c r="DL140">
        <v>44380.800000000003</v>
      </c>
      <c r="DM140">
        <v>42599.1</v>
      </c>
      <c r="DN140">
        <v>1.4425699999999999</v>
      </c>
      <c r="DO140">
        <v>2.0401699999999998</v>
      </c>
      <c r="DP140">
        <v>0.17</v>
      </c>
      <c r="DQ140">
        <v>0.14449300000000001</v>
      </c>
      <c r="DR140">
        <v>24.180900000000001</v>
      </c>
      <c r="DS140">
        <v>24.007000000000001</v>
      </c>
      <c r="DT140">
        <v>46.3</v>
      </c>
      <c r="DU140">
        <v>29.1</v>
      </c>
      <c r="DV140">
        <v>18.8688</v>
      </c>
      <c r="DW140">
        <v>61.551200000000001</v>
      </c>
      <c r="DX140">
        <v>36.342100000000002</v>
      </c>
      <c r="DY140">
        <v>1</v>
      </c>
      <c r="DZ140">
        <v>-9.2456800000000006E-2</v>
      </c>
      <c r="EA140">
        <v>0.41100799999999998</v>
      </c>
      <c r="EB140">
        <v>20.189299999999999</v>
      </c>
      <c r="EC140">
        <v>5.2406499999999996</v>
      </c>
      <c r="ED140">
        <v>12.039899999999999</v>
      </c>
      <c r="EE140">
        <v>5.0167000000000002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1.8689100000000001</v>
      </c>
      <c r="EL140">
        <v>1.8646199999999999</v>
      </c>
      <c r="EM140">
        <v>1.8692</v>
      </c>
      <c r="EN140">
        <v>1.8672299999999999</v>
      </c>
      <c r="EO140">
        <v>1.8633999999999999</v>
      </c>
      <c r="EP140">
        <v>1.8644700000000001</v>
      </c>
      <c r="EQ140">
        <v>1.87019</v>
      </c>
      <c r="ER140">
        <v>1.8694200000000001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-5.3999999999999999E-2</v>
      </c>
      <c r="FG140">
        <v>0.27179999999999999</v>
      </c>
      <c r="FH140">
        <v>0.30965466913576151</v>
      </c>
      <c r="FI140">
        <v>-6.1462078757559423E-4</v>
      </c>
      <c r="FJ140">
        <v>-1.8861989874597051E-7</v>
      </c>
      <c r="FK140">
        <v>1.1980462299894961E-10</v>
      </c>
      <c r="FL140">
        <v>0.27184999999999349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30.5</v>
      </c>
      <c r="FU140">
        <v>30.7</v>
      </c>
      <c r="FV140">
        <v>1.7736799999999999</v>
      </c>
      <c r="FW140">
        <v>2.5866699999999998</v>
      </c>
      <c r="FX140">
        <v>1.5490699999999999</v>
      </c>
      <c r="FY140">
        <v>2.3290999999999999</v>
      </c>
      <c r="FZ140">
        <v>1.50146</v>
      </c>
      <c r="GA140">
        <v>2.3779300000000001</v>
      </c>
      <c r="GB140">
        <v>33.896099999999997</v>
      </c>
      <c r="GC140">
        <v>23.991199999999999</v>
      </c>
      <c r="GD140">
        <v>19</v>
      </c>
      <c r="GE140">
        <v>268.93400000000003</v>
      </c>
      <c r="GF140">
        <v>586.77800000000002</v>
      </c>
      <c r="GG140">
        <v>22.819600000000001</v>
      </c>
      <c r="GH140">
        <v>26.2</v>
      </c>
      <c r="GI140">
        <v>30.0001</v>
      </c>
      <c r="GJ140">
        <v>26.3825</v>
      </c>
      <c r="GK140">
        <v>26.379899999999999</v>
      </c>
      <c r="GL140">
        <v>35.464399999999998</v>
      </c>
      <c r="GM140">
        <v>61.427799999999998</v>
      </c>
      <c r="GN140">
        <v>60.502499999999998</v>
      </c>
      <c r="GO140">
        <v>22.837599999999998</v>
      </c>
      <c r="GP140">
        <v>800</v>
      </c>
      <c r="GQ140">
        <v>6.7450799999999997</v>
      </c>
      <c r="GR140">
        <v>99.7791</v>
      </c>
      <c r="GS140">
        <v>99.647800000000004</v>
      </c>
    </row>
    <row r="141" spans="1:201" x14ac:dyDescent="0.25">
      <c r="A141">
        <v>125</v>
      </c>
      <c r="B141">
        <v>1690305159.5</v>
      </c>
      <c r="C141">
        <v>1409.5</v>
      </c>
      <c r="D141" t="s">
        <v>581</v>
      </c>
      <c r="E141" t="s">
        <v>582</v>
      </c>
      <c r="F141" t="s">
        <v>330</v>
      </c>
      <c r="H141">
        <v>1690305159.5</v>
      </c>
      <c r="I141">
        <f t="shared" si="30"/>
        <v>1.4331572242703887E-3</v>
      </c>
      <c r="J141">
        <f t="shared" si="31"/>
        <v>1.4331572242703887</v>
      </c>
      <c r="K141">
        <f t="shared" si="32"/>
        <v>23.695521914090772</v>
      </c>
      <c r="L141">
        <f t="shared" si="33"/>
        <v>531.26599999999996</v>
      </c>
      <c r="M141">
        <f t="shared" si="34"/>
        <v>155.48001475319862</v>
      </c>
      <c r="N141">
        <f t="shared" si="35"/>
        <v>15.445929312074432</v>
      </c>
      <c r="O141">
        <f t="shared" si="36"/>
        <v>52.777825464797992</v>
      </c>
      <c r="P141">
        <f t="shared" si="37"/>
        <v>0.10543967524821606</v>
      </c>
      <c r="Q141">
        <f t="shared" si="38"/>
        <v>2.1001136489830698</v>
      </c>
      <c r="R141">
        <f t="shared" si="39"/>
        <v>0.10258457188247685</v>
      </c>
      <c r="S141">
        <f t="shared" si="40"/>
        <v>6.4365437695465197E-2</v>
      </c>
      <c r="T141">
        <f t="shared" si="41"/>
        <v>276.11454329999998</v>
      </c>
      <c r="U141">
        <f t="shared" si="42"/>
        <v>26.81874955252885</v>
      </c>
      <c r="V141">
        <f t="shared" si="43"/>
        <v>26.81874955252885</v>
      </c>
      <c r="W141">
        <f t="shared" si="44"/>
        <v>3.5412350751285362</v>
      </c>
      <c r="X141">
        <f t="shared" si="45"/>
        <v>68.529544576641655</v>
      </c>
      <c r="Y141">
        <f t="shared" si="46"/>
        <v>2.1934151370873001</v>
      </c>
      <c r="Z141">
        <f t="shared" si="47"/>
        <v>3.2006854133318248</v>
      </c>
      <c r="AA141">
        <f t="shared" si="48"/>
        <v>1.3478199380412361</v>
      </c>
      <c r="AB141">
        <f t="shared" si="49"/>
        <v>-63.202233590324141</v>
      </c>
      <c r="AC141">
        <f t="shared" si="50"/>
        <v>-193.41028125959352</v>
      </c>
      <c r="AD141">
        <f t="shared" si="51"/>
        <v>-19.670297163163859</v>
      </c>
      <c r="AE141">
        <f t="shared" si="52"/>
        <v>-0.16826871308154523</v>
      </c>
      <c r="AF141">
        <v>10</v>
      </c>
      <c r="AG141">
        <v>3</v>
      </c>
      <c r="AH141">
        <f t="shared" si="53"/>
        <v>1</v>
      </c>
      <c r="AI141">
        <f t="shared" si="54"/>
        <v>0</v>
      </c>
      <c r="AJ141">
        <f t="shared" si="55"/>
        <v>52822.431494721088</v>
      </c>
      <c r="AK141">
        <f t="shared" si="56"/>
        <v>1800</v>
      </c>
      <c r="AL141">
        <f t="shared" si="57"/>
        <v>1499.1123689999999</v>
      </c>
      <c r="AM141">
        <f t="shared" si="58"/>
        <v>0.832840205</v>
      </c>
      <c r="AN141">
        <f t="shared" si="59"/>
        <v>0.15339696849999998</v>
      </c>
      <c r="AO141">
        <v>33</v>
      </c>
      <c r="AP141">
        <v>0.5</v>
      </c>
      <c r="AQ141" t="s">
        <v>331</v>
      </c>
      <c r="AR141">
        <v>2</v>
      </c>
      <c r="AS141">
        <v>1690305159.5</v>
      </c>
      <c r="AT141">
        <v>531.26599999999996</v>
      </c>
      <c r="AU141">
        <v>800.12800000000004</v>
      </c>
      <c r="AV141">
        <v>22.0791</v>
      </c>
      <c r="AW141">
        <v>6.6718400000000004</v>
      </c>
      <c r="AX141">
        <v>531.31799999999998</v>
      </c>
      <c r="AY141">
        <v>21.807300000000001</v>
      </c>
      <c r="AZ141">
        <v>300.18299999999999</v>
      </c>
      <c r="BA141">
        <v>99.243499999999997</v>
      </c>
      <c r="BB141">
        <v>0.10000299999999999</v>
      </c>
      <c r="BC141">
        <v>25.110499999999998</v>
      </c>
      <c r="BD141">
        <v>26.9908</v>
      </c>
      <c r="BE141">
        <v>26.3962</v>
      </c>
      <c r="BF141">
        <v>0</v>
      </c>
      <c r="BG141">
        <v>0</v>
      </c>
      <c r="BH141">
        <v>10002.5</v>
      </c>
      <c r="BI141">
        <v>1052.75</v>
      </c>
      <c r="BJ141">
        <v>1.62592</v>
      </c>
      <c r="BK141">
        <v>-268.86200000000002</v>
      </c>
      <c r="BL141">
        <v>543.26</v>
      </c>
      <c r="BM141">
        <v>805.50199999999995</v>
      </c>
      <c r="BN141">
        <v>15.407299999999999</v>
      </c>
      <c r="BO141">
        <v>800.12800000000004</v>
      </c>
      <c r="BP141">
        <v>6.6718400000000004</v>
      </c>
      <c r="BQ141">
        <v>2.1912099999999999</v>
      </c>
      <c r="BR141">
        <v>0.66213599999999995</v>
      </c>
      <c r="BS141">
        <v>18.898199999999999</v>
      </c>
      <c r="BT141">
        <v>1.05159</v>
      </c>
      <c r="BU141">
        <v>1800</v>
      </c>
      <c r="BV141">
        <v>0.91001100000000001</v>
      </c>
      <c r="BW141">
        <v>3.4006099999999997E-2</v>
      </c>
      <c r="BX141">
        <v>2.1993499999999999E-2</v>
      </c>
      <c r="BY141">
        <v>3.3989800000000001E-2</v>
      </c>
      <c r="BZ141">
        <v>26</v>
      </c>
      <c r="CA141">
        <v>33528.5</v>
      </c>
      <c r="CB141">
        <v>1690303320.5</v>
      </c>
      <c r="CC141" t="s">
        <v>332</v>
      </c>
      <c r="CD141">
        <v>1690303320.5</v>
      </c>
      <c r="CE141">
        <v>1690303310.0999999</v>
      </c>
      <c r="CF141">
        <v>8</v>
      </c>
      <c r="CG141">
        <v>7.3999999999999996E-2</v>
      </c>
      <c r="CH141">
        <v>-0.01</v>
      </c>
      <c r="CI141">
        <v>-0.24199999999999999</v>
      </c>
      <c r="CJ141">
        <v>0.27200000000000002</v>
      </c>
      <c r="CK141">
        <v>800</v>
      </c>
      <c r="CL141">
        <v>23</v>
      </c>
      <c r="CM141">
        <v>0.06</v>
      </c>
      <c r="CN141">
        <v>0.09</v>
      </c>
      <c r="CO141">
        <v>-265.84051219512202</v>
      </c>
      <c r="CP141">
        <v>-17.13319860627217</v>
      </c>
      <c r="CQ141">
        <v>1.6899898848297581</v>
      </c>
      <c r="CR141">
        <v>-1</v>
      </c>
      <c r="CS141">
        <v>15.1490512195122</v>
      </c>
      <c r="CT141">
        <v>1.4589010452961659</v>
      </c>
      <c r="CU141">
        <v>0.14401316186791999</v>
      </c>
      <c r="CV141">
        <v>-1</v>
      </c>
      <c r="CW141">
        <v>0</v>
      </c>
      <c r="CX141">
        <v>0</v>
      </c>
      <c r="CY141" t="s">
        <v>333</v>
      </c>
      <c r="CZ141">
        <v>2.3646799999999999</v>
      </c>
      <c r="DA141">
        <v>2.7138</v>
      </c>
      <c r="DB141">
        <v>0.110625</v>
      </c>
      <c r="DC141">
        <v>0.146343</v>
      </c>
      <c r="DD141">
        <v>0.10723100000000001</v>
      </c>
      <c r="DE141">
        <v>4.3066899999999998E-2</v>
      </c>
      <c r="DF141">
        <v>32486.5</v>
      </c>
      <c r="DG141">
        <v>27530.7</v>
      </c>
      <c r="DH141">
        <v>31183.3</v>
      </c>
      <c r="DI141">
        <v>28101.7</v>
      </c>
      <c r="DJ141">
        <v>37798.300000000003</v>
      </c>
      <c r="DK141">
        <v>38247.9</v>
      </c>
      <c r="DL141">
        <v>44380.4</v>
      </c>
      <c r="DM141">
        <v>42599.199999999997</v>
      </c>
      <c r="DN141">
        <v>1.4426300000000001</v>
      </c>
      <c r="DO141">
        <v>2.0398200000000002</v>
      </c>
      <c r="DP141">
        <v>0.17111000000000001</v>
      </c>
      <c r="DQ141">
        <v>0.14532</v>
      </c>
      <c r="DR141">
        <v>24.1859</v>
      </c>
      <c r="DS141">
        <v>24.012599999999999</v>
      </c>
      <c r="DT141">
        <v>45.9</v>
      </c>
      <c r="DU141">
        <v>29.1</v>
      </c>
      <c r="DV141">
        <v>18.708400000000001</v>
      </c>
      <c r="DW141">
        <v>61.061199999999999</v>
      </c>
      <c r="DX141">
        <v>35.829300000000003</v>
      </c>
      <c r="DY141">
        <v>1</v>
      </c>
      <c r="DZ141">
        <v>-9.2723600000000003E-2</v>
      </c>
      <c r="EA141">
        <v>0.42381000000000002</v>
      </c>
      <c r="EB141">
        <v>20.189499999999999</v>
      </c>
      <c r="EC141">
        <v>5.2403500000000003</v>
      </c>
      <c r="ED141">
        <v>12.039899999999999</v>
      </c>
      <c r="EE141">
        <v>5.01675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1.8689100000000001</v>
      </c>
      <c r="EL141">
        <v>1.8646199999999999</v>
      </c>
      <c r="EM141">
        <v>1.8692</v>
      </c>
      <c r="EN141">
        <v>1.86724</v>
      </c>
      <c r="EO141">
        <v>1.8633999999999999</v>
      </c>
      <c r="EP141">
        <v>1.8644799999999999</v>
      </c>
      <c r="EQ141">
        <v>1.87019</v>
      </c>
      <c r="ER141">
        <v>1.8694500000000001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-5.1999999999999998E-2</v>
      </c>
      <c r="FG141">
        <v>0.27179999999999999</v>
      </c>
      <c r="FH141">
        <v>0.30965466913576151</v>
      </c>
      <c r="FI141">
        <v>-6.1462078757559423E-4</v>
      </c>
      <c r="FJ141">
        <v>-1.8861989874597051E-7</v>
      </c>
      <c r="FK141">
        <v>1.1980462299894961E-10</v>
      </c>
      <c r="FL141">
        <v>0.27184999999999349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30.6</v>
      </c>
      <c r="FU141">
        <v>30.8</v>
      </c>
      <c r="FV141">
        <v>1.7736799999999999</v>
      </c>
      <c r="FW141">
        <v>2.5878899999999998</v>
      </c>
      <c r="FX141">
        <v>1.5490699999999999</v>
      </c>
      <c r="FY141">
        <v>2.3278799999999999</v>
      </c>
      <c r="FZ141">
        <v>1.50146</v>
      </c>
      <c r="GA141">
        <v>2.4023400000000001</v>
      </c>
      <c r="GB141">
        <v>33.8735</v>
      </c>
      <c r="GC141">
        <v>23.991199999999999</v>
      </c>
      <c r="GD141">
        <v>19</v>
      </c>
      <c r="GE141">
        <v>268.93799999999999</v>
      </c>
      <c r="GF141">
        <v>586.44299999999998</v>
      </c>
      <c r="GG141">
        <v>22.8873</v>
      </c>
      <c r="GH141">
        <v>26.197099999999999</v>
      </c>
      <c r="GI141">
        <v>29.9999</v>
      </c>
      <c r="GJ141">
        <v>26.378599999999999</v>
      </c>
      <c r="GK141">
        <v>26.376000000000001</v>
      </c>
      <c r="GL141">
        <v>35.4514</v>
      </c>
      <c r="GM141">
        <v>62.302799999999998</v>
      </c>
      <c r="GN141">
        <v>60.101599999999998</v>
      </c>
      <c r="GO141">
        <v>22.896699999999999</v>
      </c>
      <c r="GP141">
        <v>800</v>
      </c>
      <c r="GQ141">
        <v>6.5252999999999997</v>
      </c>
      <c r="GR141">
        <v>99.778000000000006</v>
      </c>
      <c r="GS141">
        <v>99.648099999999999</v>
      </c>
    </row>
    <row r="142" spans="1:201" x14ac:dyDescent="0.25">
      <c r="A142">
        <v>126</v>
      </c>
      <c r="B142">
        <v>1690305169.5</v>
      </c>
      <c r="C142">
        <v>1419.5</v>
      </c>
      <c r="D142" t="s">
        <v>583</v>
      </c>
      <c r="E142" t="s">
        <v>584</v>
      </c>
      <c r="F142" t="s">
        <v>330</v>
      </c>
      <c r="H142">
        <v>1690305169.5</v>
      </c>
      <c r="I142">
        <f t="shared" si="30"/>
        <v>1.4548644750909218E-3</v>
      </c>
      <c r="J142">
        <f t="shared" si="31"/>
        <v>1.4548644750909219</v>
      </c>
      <c r="K142">
        <f t="shared" si="32"/>
        <v>23.949602396754109</v>
      </c>
      <c r="L142">
        <f t="shared" si="33"/>
        <v>528.36599999999999</v>
      </c>
      <c r="M142">
        <f t="shared" si="34"/>
        <v>154.55135709032209</v>
      </c>
      <c r="N142">
        <f t="shared" si="35"/>
        <v>15.354177724206567</v>
      </c>
      <c r="O142">
        <f t="shared" si="36"/>
        <v>52.491454104068389</v>
      </c>
      <c r="P142">
        <f t="shared" si="37"/>
        <v>0.10717288925209636</v>
      </c>
      <c r="Q142">
        <f t="shared" si="38"/>
        <v>2.098167800867671</v>
      </c>
      <c r="R142">
        <f t="shared" si="39"/>
        <v>0.10422191019259293</v>
      </c>
      <c r="S142">
        <f t="shared" si="40"/>
        <v>6.5397059643240746E-2</v>
      </c>
      <c r="T142">
        <f t="shared" si="41"/>
        <v>276.11283197730035</v>
      </c>
      <c r="U142">
        <f t="shared" si="42"/>
        <v>26.82426923691677</v>
      </c>
      <c r="V142">
        <f t="shared" si="43"/>
        <v>26.82426923691677</v>
      </c>
      <c r="W142">
        <f t="shared" si="44"/>
        <v>3.5423848069336201</v>
      </c>
      <c r="X142">
        <f t="shared" si="45"/>
        <v>68.550330480529439</v>
      </c>
      <c r="Y142">
        <f t="shared" si="46"/>
        <v>2.1956231676004401</v>
      </c>
      <c r="Z142">
        <f t="shared" si="47"/>
        <v>3.2029359336554468</v>
      </c>
      <c r="AA142">
        <f t="shared" si="48"/>
        <v>1.34676163933318</v>
      </c>
      <c r="AB142">
        <f t="shared" si="49"/>
        <v>-64.159523351509648</v>
      </c>
      <c r="AC142">
        <f t="shared" si="50"/>
        <v>-192.52067125168381</v>
      </c>
      <c r="AD142">
        <f t="shared" si="51"/>
        <v>-19.599681948828394</v>
      </c>
      <c r="AE142">
        <f t="shared" si="52"/>
        <v>-0.16704457472150125</v>
      </c>
      <c r="AF142">
        <v>10</v>
      </c>
      <c r="AG142">
        <v>3</v>
      </c>
      <c r="AH142">
        <f t="shared" si="53"/>
        <v>1</v>
      </c>
      <c r="AI142">
        <f t="shared" si="54"/>
        <v>0</v>
      </c>
      <c r="AJ142">
        <f t="shared" si="55"/>
        <v>52733.441712075393</v>
      </c>
      <c r="AK142">
        <f t="shared" si="56"/>
        <v>1799.99</v>
      </c>
      <c r="AL142">
        <f t="shared" si="57"/>
        <v>1499.1036212002798</v>
      </c>
      <c r="AM142">
        <f t="shared" si="58"/>
        <v>0.83283997199999993</v>
      </c>
      <c r="AN142">
        <f t="shared" si="59"/>
        <v>0.15339686997000002</v>
      </c>
      <c r="AO142">
        <v>33</v>
      </c>
      <c r="AP142">
        <v>0.5</v>
      </c>
      <c r="AQ142" t="s">
        <v>331</v>
      </c>
      <c r="AR142">
        <v>2</v>
      </c>
      <c r="AS142">
        <v>1690305169.5</v>
      </c>
      <c r="AT142">
        <v>528.36599999999999</v>
      </c>
      <c r="AU142">
        <v>800.08799999999997</v>
      </c>
      <c r="AV142">
        <v>22.1006</v>
      </c>
      <c r="AW142">
        <v>6.4611000000000001</v>
      </c>
      <c r="AX142">
        <v>528.41600000000005</v>
      </c>
      <c r="AY142">
        <v>21.828700000000001</v>
      </c>
      <c r="AZ142">
        <v>300.19799999999998</v>
      </c>
      <c r="BA142">
        <v>99.246799999999993</v>
      </c>
      <c r="BB142">
        <v>9.9967399999999998E-2</v>
      </c>
      <c r="BC142">
        <v>25.122299999999999</v>
      </c>
      <c r="BD142">
        <v>26.968699999999998</v>
      </c>
      <c r="BE142">
        <v>26.386099999999999</v>
      </c>
      <c r="BF142">
        <v>0</v>
      </c>
      <c r="BG142">
        <v>0</v>
      </c>
      <c r="BH142">
        <v>9985</v>
      </c>
      <c r="BI142">
        <v>1052.93</v>
      </c>
      <c r="BJ142">
        <v>1.62592</v>
      </c>
      <c r="BK142">
        <v>-271.72199999999998</v>
      </c>
      <c r="BL142">
        <v>540.30700000000002</v>
      </c>
      <c r="BM142">
        <v>805.29100000000005</v>
      </c>
      <c r="BN142">
        <v>15.6395</v>
      </c>
      <c r="BO142">
        <v>800.08799999999997</v>
      </c>
      <c r="BP142">
        <v>6.4611000000000001</v>
      </c>
      <c r="BQ142">
        <v>2.1934100000000001</v>
      </c>
      <c r="BR142">
        <v>0.64124400000000004</v>
      </c>
      <c r="BS142">
        <v>18.914300000000001</v>
      </c>
      <c r="BT142">
        <v>0.60711400000000004</v>
      </c>
      <c r="BU142">
        <v>1799.99</v>
      </c>
      <c r="BV142">
        <v>0.91001200000000004</v>
      </c>
      <c r="BW142">
        <v>3.4005599999999997E-2</v>
      </c>
      <c r="BX142">
        <v>2.1993100000000002E-2</v>
      </c>
      <c r="BY142">
        <v>3.39893E-2</v>
      </c>
      <c r="BZ142">
        <v>26</v>
      </c>
      <c r="CA142">
        <v>33528.300000000003</v>
      </c>
      <c r="CB142">
        <v>1690303320.5</v>
      </c>
      <c r="CC142" t="s">
        <v>332</v>
      </c>
      <c r="CD142">
        <v>1690303320.5</v>
      </c>
      <c r="CE142">
        <v>1690303310.0999999</v>
      </c>
      <c r="CF142">
        <v>8</v>
      </c>
      <c r="CG142">
        <v>7.3999999999999996E-2</v>
      </c>
      <c r="CH142">
        <v>-0.01</v>
      </c>
      <c r="CI142">
        <v>-0.24199999999999999</v>
      </c>
      <c r="CJ142">
        <v>0.27200000000000002</v>
      </c>
      <c r="CK142">
        <v>800</v>
      </c>
      <c r="CL142">
        <v>23</v>
      </c>
      <c r="CM142">
        <v>0.06</v>
      </c>
      <c r="CN142">
        <v>0.09</v>
      </c>
      <c r="CO142">
        <v>-268.41758536585371</v>
      </c>
      <c r="CP142">
        <v>-17.123163763067019</v>
      </c>
      <c r="CQ142">
        <v>1.689463011463382</v>
      </c>
      <c r="CR142">
        <v>-1</v>
      </c>
      <c r="CS142">
        <v>15.36901951219512</v>
      </c>
      <c r="CT142">
        <v>1.433487804878038</v>
      </c>
      <c r="CU142">
        <v>0.1414747486208158</v>
      </c>
      <c r="CV142">
        <v>-1</v>
      </c>
      <c r="CW142">
        <v>0</v>
      </c>
      <c r="CX142">
        <v>0</v>
      </c>
      <c r="CY142" t="s">
        <v>333</v>
      </c>
      <c r="CZ142">
        <v>2.36476</v>
      </c>
      <c r="DA142">
        <v>2.7137500000000001</v>
      </c>
      <c r="DB142">
        <v>0.110194</v>
      </c>
      <c r="DC142">
        <v>0.14634</v>
      </c>
      <c r="DD142">
        <v>0.10731</v>
      </c>
      <c r="DE142">
        <v>4.19659E-2</v>
      </c>
      <c r="DF142">
        <v>32502.400000000001</v>
      </c>
      <c r="DG142">
        <v>27530.6</v>
      </c>
      <c r="DH142">
        <v>31183.4</v>
      </c>
      <c r="DI142">
        <v>28101.5</v>
      </c>
      <c r="DJ142">
        <v>37795</v>
      </c>
      <c r="DK142">
        <v>38291.699999999997</v>
      </c>
      <c r="DL142">
        <v>44380.5</v>
      </c>
      <c r="DM142">
        <v>42598.9</v>
      </c>
      <c r="DN142">
        <v>1.44295</v>
      </c>
      <c r="DO142">
        <v>2.03945</v>
      </c>
      <c r="DP142">
        <v>0.16938900000000001</v>
      </c>
      <c r="DQ142">
        <v>0.14430699999999999</v>
      </c>
      <c r="DR142">
        <v>24.1921</v>
      </c>
      <c r="DS142">
        <v>24.019200000000001</v>
      </c>
      <c r="DT142">
        <v>45.6</v>
      </c>
      <c r="DU142">
        <v>29.1</v>
      </c>
      <c r="DV142">
        <v>18.588100000000001</v>
      </c>
      <c r="DW142">
        <v>61.831200000000003</v>
      </c>
      <c r="DX142">
        <v>36.386200000000002</v>
      </c>
      <c r="DY142">
        <v>1</v>
      </c>
      <c r="DZ142">
        <v>-9.3150399999999994E-2</v>
      </c>
      <c r="EA142">
        <v>0.52216200000000002</v>
      </c>
      <c r="EB142">
        <v>20.188700000000001</v>
      </c>
      <c r="EC142">
        <v>5.2409499999999998</v>
      </c>
      <c r="ED142">
        <v>12.039899999999999</v>
      </c>
      <c r="EE142">
        <v>5.0166000000000004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1.8689100000000001</v>
      </c>
      <c r="EL142">
        <v>1.8646199999999999</v>
      </c>
      <c r="EM142">
        <v>1.8692</v>
      </c>
      <c r="EN142">
        <v>1.8672299999999999</v>
      </c>
      <c r="EO142">
        <v>1.8633999999999999</v>
      </c>
      <c r="EP142">
        <v>1.8644700000000001</v>
      </c>
      <c r="EQ142">
        <v>1.87022</v>
      </c>
      <c r="ER142">
        <v>1.86944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-0.05</v>
      </c>
      <c r="FG142">
        <v>0.27189999999999998</v>
      </c>
      <c r="FH142">
        <v>0.30965466913576151</v>
      </c>
      <c r="FI142">
        <v>-6.1462078757559423E-4</v>
      </c>
      <c r="FJ142">
        <v>-1.8861989874597051E-7</v>
      </c>
      <c r="FK142">
        <v>1.1980462299894961E-10</v>
      </c>
      <c r="FL142">
        <v>0.27184999999999349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30.8</v>
      </c>
      <c r="FU142">
        <v>31</v>
      </c>
      <c r="FV142">
        <v>1.7724599999999999</v>
      </c>
      <c r="FW142">
        <v>2.5903299999999998</v>
      </c>
      <c r="FX142">
        <v>1.5490699999999999</v>
      </c>
      <c r="FY142">
        <v>2.3278799999999999</v>
      </c>
      <c r="FZ142">
        <v>1.50146</v>
      </c>
      <c r="GA142">
        <v>2.3315399999999999</v>
      </c>
      <c r="GB142">
        <v>33.896099999999997</v>
      </c>
      <c r="GC142">
        <v>23.982399999999998</v>
      </c>
      <c r="GD142">
        <v>19</v>
      </c>
      <c r="GE142">
        <v>269.05599999999998</v>
      </c>
      <c r="GF142">
        <v>586.08699999999999</v>
      </c>
      <c r="GG142">
        <v>22.920999999999999</v>
      </c>
      <c r="GH142">
        <v>26.1938</v>
      </c>
      <c r="GI142">
        <v>30</v>
      </c>
      <c r="GJ142">
        <v>26.3748</v>
      </c>
      <c r="GK142">
        <v>26.3721</v>
      </c>
      <c r="GL142">
        <v>35.448999999999998</v>
      </c>
      <c r="GM142">
        <v>62.911099999999998</v>
      </c>
      <c r="GN142">
        <v>59.293100000000003</v>
      </c>
      <c r="GO142">
        <v>22.9161</v>
      </c>
      <c r="GP142">
        <v>800</v>
      </c>
      <c r="GQ142">
        <v>6.3093399999999997</v>
      </c>
      <c r="GR142">
        <v>99.778300000000002</v>
      </c>
      <c r="GS142">
        <v>99.647300000000001</v>
      </c>
    </row>
    <row r="143" spans="1:201" x14ac:dyDescent="0.25">
      <c r="A143">
        <v>127</v>
      </c>
      <c r="B143">
        <v>1690305179.5</v>
      </c>
      <c r="C143">
        <v>1429.5</v>
      </c>
      <c r="D143" t="s">
        <v>585</v>
      </c>
      <c r="E143" t="s">
        <v>586</v>
      </c>
      <c r="F143" t="s">
        <v>330</v>
      </c>
      <c r="H143">
        <v>1690305179.5</v>
      </c>
      <c r="I143">
        <f t="shared" si="30"/>
        <v>1.475479235582447E-3</v>
      </c>
      <c r="J143">
        <f t="shared" si="31"/>
        <v>1.4754792355824471</v>
      </c>
      <c r="K143">
        <f t="shared" si="32"/>
        <v>24.186058641274947</v>
      </c>
      <c r="L143">
        <f t="shared" si="33"/>
        <v>525.505</v>
      </c>
      <c r="M143">
        <f t="shared" si="34"/>
        <v>153.86403506183859</v>
      </c>
      <c r="N143">
        <f t="shared" si="35"/>
        <v>15.286032487780567</v>
      </c>
      <c r="O143">
        <f t="shared" si="36"/>
        <v>52.207694275420998</v>
      </c>
      <c r="P143">
        <f t="shared" si="37"/>
        <v>0.1088996577441266</v>
      </c>
      <c r="Q143">
        <f t="shared" si="38"/>
        <v>2.1011464534191528</v>
      </c>
      <c r="R143">
        <f t="shared" si="39"/>
        <v>0.10585846256055452</v>
      </c>
      <c r="S143">
        <f t="shared" si="40"/>
        <v>6.6427704216214314E-2</v>
      </c>
      <c r="T143">
        <f t="shared" si="41"/>
        <v>276.11421969599996</v>
      </c>
      <c r="U143">
        <f t="shared" si="42"/>
        <v>26.8217869174557</v>
      </c>
      <c r="V143">
        <f t="shared" si="43"/>
        <v>26.8217869174557</v>
      </c>
      <c r="W143">
        <f t="shared" si="44"/>
        <v>3.54186770777194</v>
      </c>
      <c r="X143">
        <f t="shared" si="45"/>
        <v>68.568880802172089</v>
      </c>
      <c r="Y143">
        <f t="shared" si="46"/>
        <v>2.19713320238152</v>
      </c>
      <c r="Z143">
        <f t="shared" si="47"/>
        <v>3.204271641417721</v>
      </c>
      <c r="AA143">
        <f t="shared" si="48"/>
        <v>1.3447345053904201</v>
      </c>
      <c r="AB143">
        <f t="shared" si="49"/>
        <v>-65.068634289185908</v>
      </c>
      <c r="AC143">
        <f t="shared" si="50"/>
        <v>-191.71985340600114</v>
      </c>
      <c r="AD143">
        <f t="shared" si="51"/>
        <v>-19.490924665858859</v>
      </c>
      <c r="AE143">
        <f t="shared" si="52"/>
        <v>-0.1651926650459643</v>
      </c>
      <c r="AF143">
        <v>10</v>
      </c>
      <c r="AG143">
        <v>3</v>
      </c>
      <c r="AH143">
        <f t="shared" si="53"/>
        <v>1</v>
      </c>
      <c r="AI143">
        <f t="shared" si="54"/>
        <v>0</v>
      </c>
      <c r="AJ143">
        <f t="shared" si="55"/>
        <v>52865.392729155385</v>
      </c>
      <c r="AK143">
        <f t="shared" si="56"/>
        <v>1800</v>
      </c>
      <c r="AL143">
        <f t="shared" si="57"/>
        <v>1499.1119676000001</v>
      </c>
      <c r="AM143">
        <f t="shared" si="58"/>
        <v>0.83283998200000009</v>
      </c>
      <c r="AN143">
        <f t="shared" si="59"/>
        <v>0.15339678871999998</v>
      </c>
      <c r="AO143">
        <v>33</v>
      </c>
      <c r="AP143">
        <v>0.5</v>
      </c>
      <c r="AQ143" t="s">
        <v>331</v>
      </c>
      <c r="AR143">
        <v>2</v>
      </c>
      <c r="AS143">
        <v>1690305179.5</v>
      </c>
      <c r="AT143">
        <v>525.505</v>
      </c>
      <c r="AU143">
        <v>800.024</v>
      </c>
      <c r="AV143">
        <v>22.115600000000001</v>
      </c>
      <c r="AW143">
        <v>6.2475500000000004</v>
      </c>
      <c r="AX143">
        <v>525.553</v>
      </c>
      <c r="AY143">
        <v>21.843800000000002</v>
      </c>
      <c r="AZ143">
        <v>300.06200000000001</v>
      </c>
      <c r="BA143">
        <v>99.247699999999995</v>
      </c>
      <c r="BB143">
        <v>9.9964200000000003E-2</v>
      </c>
      <c r="BC143">
        <v>25.129300000000001</v>
      </c>
      <c r="BD143">
        <v>26.940300000000001</v>
      </c>
      <c r="BE143">
        <v>26.389900000000001</v>
      </c>
      <c r="BF143">
        <v>0</v>
      </c>
      <c r="BG143">
        <v>0</v>
      </c>
      <c r="BH143">
        <v>10011.200000000001</v>
      </c>
      <c r="BI143">
        <v>1053.18</v>
      </c>
      <c r="BJ143">
        <v>1.62592</v>
      </c>
      <c r="BK143">
        <v>-274.51799999999997</v>
      </c>
      <c r="BL143">
        <v>537.39</v>
      </c>
      <c r="BM143">
        <v>805.053</v>
      </c>
      <c r="BN143">
        <v>15.8681</v>
      </c>
      <c r="BO143">
        <v>800.024</v>
      </c>
      <c r="BP143">
        <v>6.2475500000000004</v>
      </c>
      <c r="BQ143">
        <v>2.1949200000000002</v>
      </c>
      <c r="BR143">
        <v>0.62005399999999999</v>
      </c>
      <c r="BS143">
        <v>18.9253</v>
      </c>
      <c r="BT143">
        <v>0.14303399999999999</v>
      </c>
      <c r="BU143">
        <v>1800</v>
      </c>
      <c r="BV143">
        <v>0.91001399999999999</v>
      </c>
      <c r="BW143">
        <v>3.4004800000000002E-2</v>
      </c>
      <c r="BX143">
        <v>2.1992600000000001E-2</v>
      </c>
      <c r="BY143">
        <v>3.3988400000000002E-2</v>
      </c>
      <c r="BZ143">
        <v>26</v>
      </c>
      <c r="CA143">
        <v>33528.400000000001</v>
      </c>
      <c r="CB143">
        <v>1690303320.5</v>
      </c>
      <c r="CC143" t="s">
        <v>332</v>
      </c>
      <c r="CD143">
        <v>1690303320.5</v>
      </c>
      <c r="CE143">
        <v>1690303310.0999999</v>
      </c>
      <c r="CF143">
        <v>8</v>
      </c>
      <c r="CG143">
        <v>7.3999999999999996E-2</v>
      </c>
      <c r="CH143">
        <v>-0.01</v>
      </c>
      <c r="CI143">
        <v>-0.24199999999999999</v>
      </c>
      <c r="CJ143">
        <v>0.27200000000000002</v>
      </c>
      <c r="CK143">
        <v>800</v>
      </c>
      <c r="CL143">
        <v>23</v>
      </c>
      <c r="CM143">
        <v>0.06</v>
      </c>
      <c r="CN143">
        <v>0.09</v>
      </c>
      <c r="CO143">
        <v>-271.49992500000002</v>
      </c>
      <c r="CP143">
        <v>-17.117459662288599</v>
      </c>
      <c r="CQ143">
        <v>1.647750715179636</v>
      </c>
      <c r="CR143">
        <v>-1</v>
      </c>
      <c r="CS143">
        <v>15.621297500000001</v>
      </c>
      <c r="CT143">
        <v>1.37523714821764</v>
      </c>
      <c r="CU143">
        <v>0.1323747492679401</v>
      </c>
      <c r="CV143">
        <v>-1</v>
      </c>
      <c r="CW143">
        <v>0</v>
      </c>
      <c r="CX143">
        <v>0</v>
      </c>
      <c r="CY143" t="s">
        <v>333</v>
      </c>
      <c r="CZ143">
        <v>2.3643000000000001</v>
      </c>
      <c r="DA143">
        <v>2.7137600000000002</v>
      </c>
      <c r="DB143">
        <v>0.109764</v>
      </c>
      <c r="DC143">
        <v>0.14632999999999999</v>
      </c>
      <c r="DD143">
        <v>0.107364</v>
      </c>
      <c r="DE143">
        <v>4.0837699999999998E-2</v>
      </c>
      <c r="DF143">
        <v>32518.3</v>
      </c>
      <c r="DG143">
        <v>27531.3</v>
      </c>
      <c r="DH143">
        <v>31183.7</v>
      </c>
      <c r="DI143">
        <v>28101.9</v>
      </c>
      <c r="DJ143">
        <v>37792.9</v>
      </c>
      <c r="DK143">
        <v>38337.599999999999</v>
      </c>
      <c r="DL143">
        <v>44380.9</v>
      </c>
      <c r="DM143">
        <v>42599.6</v>
      </c>
      <c r="DN143">
        <v>1.4426300000000001</v>
      </c>
      <c r="DO143">
        <v>2.0392999999999999</v>
      </c>
      <c r="DP143">
        <v>0.16730999999999999</v>
      </c>
      <c r="DQ143">
        <v>0.14416899999999999</v>
      </c>
      <c r="DR143">
        <v>24.197600000000001</v>
      </c>
      <c r="DS143">
        <v>24.025200000000002</v>
      </c>
      <c r="DT143">
        <v>45.3</v>
      </c>
      <c r="DU143">
        <v>29.1</v>
      </c>
      <c r="DV143">
        <v>18.462700000000002</v>
      </c>
      <c r="DW143">
        <v>61.671199999999999</v>
      </c>
      <c r="DX143">
        <v>36.871000000000002</v>
      </c>
      <c r="DY143">
        <v>1</v>
      </c>
      <c r="DZ143">
        <v>-9.3160599999999996E-2</v>
      </c>
      <c r="EA143">
        <v>0.43638900000000003</v>
      </c>
      <c r="EB143">
        <v>20.188800000000001</v>
      </c>
      <c r="EC143">
        <v>5.2404999999999999</v>
      </c>
      <c r="ED143">
        <v>12.039899999999999</v>
      </c>
      <c r="EE143">
        <v>5.0160999999999998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1.8689199999999999</v>
      </c>
      <c r="EL143">
        <v>1.8646199999999999</v>
      </c>
      <c r="EM143">
        <v>1.8692</v>
      </c>
      <c r="EN143">
        <v>1.8672299999999999</v>
      </c>
      <c r="EO143">
        <v>1.8633900000000001</v>
      </c>
      <c r="EP143">
        <v>1.8644799999999999</v>
      </c>
      <c r="EQ143">
        <v>1.8702099999999999</v>
      </c>
      <c r="ER143">
        <v>1.86944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-4.8000000000000001E-2</v>
      </c>
      <c r="FG143">
        <v>0.27179999999999999</v>
      </c>
      <c r="FH143">
        <v>0.30965466913576151</v>
      </c>
      <c r="FI143">
        <v>-6.1462078757559423E-4</v>
      </c>
      <c r="FJ143">
        <v>-1.8861989874597051E-7</v>
      </c>
      <c r="FK143">
        <v>1.1980462299894961E-10</v>
      </c>
      <c r="FL143">
        <v>0.27184999999999349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31</v>
      </c>
      <c r="FU143">
        <v>31.2</v>
      </c>
      <c r="FV143">
        <v>1.7724599999999999</v>
      </c>
      <c r="FW143">
        <v>2.5915499999999998</v>
      </c>
      <c r="FX143">
        <v>1.5490699999999999</v>
      </c>
      <c r="FY143">
        <v>2.3278799999999999</v>
      </c>
      <c r="FZ143">
        <v>1.50146</v>
      </c>
      <c r="GA143">
        <v>2.3559600000000001</v>
      </c>
      <c r="GB143">
        <v>33.896099999999997</v>
      </c>
      <c r="GC143">
        <v>23.982399999999998</v>
      </c>
      <c r="GD143">
        <v>19</v>
      </c>
      <c r="GE143">
        <v>268.90600000000001</v>
      </c>
      <c r="GF143">
        <v>585.91300000000001</v>
      </c>
      <c r="GG143">
        <v>22.9514</v>
      </c>
      <c r="GH143">
        <v>26.191199999999998</v>
      </c>
      <c r="GI143">
        <v>30</v>
      </c>
      <c r="GJ143">
        <v>26.370799999999999</v>
      </c>
      <c r="GK143">
        <v>26.367699999999999</v>
      </c>
      <c r="GL143">
        <v>35.444899999999997</v>
      </c>
      <c r="GM143">
        <v>63.757800000000003</v>
      </c>
      <c r="GN143">
        <v>58.547199999999997</v>
      </c>
      <c r="GO143">
        <v>22.964500000000001</v>
      </c>
      <c r="GP143">
        <v>800</v>
      </c>
      <c r="GQ143">
        <v>6.0939500000000004</v>
      </c>
      <c r="GR143">
        <v>99.779200000000003</v>
      </c>
      <c r="GS143">
        <v>99.648899999999998</v>
      </c>
    </row>
    <row r="144" spans="1:201" x14ac:dyDescent="0.25">
      <c r="A144">
        <v>128</v>
      </c>
      <c r="B144">
        <v>1690305189.5</v>
      </c>
      <c r="C144">
        <v>1439.5</v>
      </c>
      <c r="D144" t="s">
        <v>587</v>
      </c>
      <c r="E144" t="s">
        <v>588</v>
      </c>
      <c r="F144" t="s">
        <v>330</v>
      </c>
      <c r="H144">
        <v>1690305189.5</v>
      </c>
      <c r="I144">
        <f t="shared" si="30"/>
        <v>1.4976461410682151E-3</v>
      </c>
      <c r="J144">
        <f t="shared" si="31"/>
        <v>1.4976461410682151</v>
      </c>
      <c r="K144">
        <f t="shared" si="32"/>
        <v>24.432679559236533</v>
      </c>
      <c r="L144">
        <f t="shared" si="33"/>
        <v>522.76599999999996</v>
      </c>
      <c r="M144">
        <f t="shared" si="34"/>
        <v>153.10948202885189</v>
      </c>
      <c r="N144">
        <f t="shared" si="35"/>
        <v>15.211148518107677</v>
      </c>
      <c r="O144">
        <f t="shared" si="36"/>
        <v>51.935851136369401</v>
      </c>
      <c r="P144">
        <f t="shared" si="37"/>
        <v>0.11063969255008059</v>
      </c>
      <c r="Q144">
        <f t="shared" si="38"/>
        <v>2.1030629678203048</v>
      </c>
      <c r="R144">
        <f t="shared" si="39"/>
        <v>0.10750481412805798</v>
      </c>
      <c r="S144">
        <f t="shared" si="40"/>
        <v>6.746476661594962E-2</v>
      </c>
      <c r="T144">
        <f t="shared" si="41"/>
        <v>276.11428552200005</v>
      </c>
      <c r="U144">
        <f t="shared" si="42"/>
        <v>26.825732660562924</v>
      </c>
      <c r="V144">
        <f t="shared" si="43"/>
        <v>26.825732660562924</v>
      </c>
      <c r="W144">
        <f t="shared" si="44"/>
        <v>3.5426896878345571</v>
      </c>
      <c r="X144">
        <f t="shared" si="45"/>
        <v>68.562751886946771</v>
      </c>
      <c r="Y144">
        <f t="shared" si="46"/>
        <v>2.19866465667981</v>
      </c>
      <c r="Z144">
        <f t="shared" si="47"/>
        <v>3.2067917289918464</v>
      </c>
      <c r="AA144">
        <f t="shared" si="48"/>
        <v>1.344025031154747</v>
      </c>
      <c r="AB144">
        <f t="shared" si="49"/>
        <v>-66.046194821108287</v>
      </c>
      <c r="AC144">
        <f t="shared" si="50"/>
        <v>-190.84547573522917</v>
      </c>
      <c r="AD144">
        <f t="shared" si="51"/>
        <v>-19.386017137067149</v>
      </c>
      <c r="AE144">
        <f t="shared" si="52"/>
        <v>-0.16340217140455593</v>
      </c>
      <c r="AF144">
        <v>10</v>
      </c>
      <c r="AG144">
        <v>3</v>
      </c>
      <c r="AH144">
        <f t="shared" si="53"/>
        <v>1</v>
      </c>
      <c r="AI144">
        <f t="shared" si="54"/>
        <v>0</v>
      </c>
      <c r="AJ144">
        <f t="shared" si="55"/>
        <v>52948.864949245501</v>
      </c>
      <c r="AK144">
        <f t="shared" si="56"/>
        <v>1800</v>
      </c>
      <c r="AL144">
        <f t="shared" si="57"/>
        <v>1499.1129342000002</v>
      </c>
      <c r="AM144">
        <f t="shared" si="58"/>
        <v>0.83284051900000011</v>
      </c>
      <c r="AN144">
        <f t="shared" si="59"/>
        <v>0.15339682529000001</v>
      </c>
      <c r="AO144">
        <v>33</v>
      </c>
      <c r="AP144">
        <v>0.5</v>
      </c>
      <c r="AQ144" t="s">
        <v>331</v>
      </c>
      <c r="AR144">
        <v>2</v>
      </c>
      <c r="AS144">
        <v>1690305189.5</v>
      </c>
      <c r="AT144">
        <v>522.76599999999996</v>
      </c>
      <c r="AU144">
        <v>800.04700000000003</v>
      </c>
      <c r="AV144">
        <v>22.1309</v>
      </c>
      <c r="AW144">
        <v>6.0266400000000004</v>
      </c>
      <c r="AX144">
        <v>522.81200000000001</v>
      </c>
      <c r="AY144">
        <v>21.859100000000002</v>
      </c>
      <c r="AZ144">
        <v>300.09800000000001</v>
      </c>
      <c r="BA144">
        <v>99.248199999999997</v>
      </c>
      <c r="BB144">
        <v>9.9980899999999998E-2</v>
      </c>
      <c r="BC144">
        <v>25.142499999999998</v>
      </c>
      <c r="BD144">
        <v>26.956700000000001</v>
      </c>
      <c r="BE144">
        <v>26.409099999999999</v>
      </c>
      <c r="BF144">
        <v>0</v>
      </c>
      <c r="BG144">
        <v>0</v>
      </c>
      <c r="BH144">
        <v>10028.1</v>
      </c>
      <c r="BI144">
        <v>1053.23</v>
      </c>
      <c r="BJ144">
        <v>1.5404199999999999</v>
      </c>
      <c r="BK144">
        <v>-277.28100000000001</v>
      </c>
      <c r="BL144">
        <v>534.59699999999998</v>
      </c>
      <c r="BM144">
        <v>804.89800000000002</v>
      </c>
      <c r="BN144">
        <v>16.104299999999999</v>
      </c>
      <c r="BO144">
        <v>800.04700000000003</v>
      </c>
      <c r="BP144">
        <v>6.0266400000000004</v>
      </c>
      <c r="BQ144">
        <v>2.19645</v>
      </c>
      <c r="BR144">
        <v>0.59813300000000003</v>
      </c>
      <c r="BS144">
        <v>18.936499999999999</v>
      </c>
      <c r="BT144">
        <v>-0.35210799999999998</v>
      </c>
      <c r="BU144">
        <v>1800</v>
      </c>
      <c r="BV144">
        <v>0.91001600000000005</v>
      </c>
      <c r="BW144">
        <v>3.4004199999999998E-2</v>
      </c>
      <c r="BX144">
        <v>2.19922E-2</v>
      </c>
      <c r="BY144">
        <v>3.3987900000000001E-2</v>
      </c>
      <c r="BZ144">
        <v>26</v>
      </c>
      <c r="CA144">
        <v>33528.5</v>
      </c>
      <c r="CB144">
        <v>1690303320.5</v>
      </c>
      <c r="CC144" t="s">
        <v>332</v>
      </c>
      <c r="CD144">
        <v>1690303320.5</v>
      </c>
      <c r="CE144">
        <v>1690303310.0999999</v>
      </c>
      <c r="CF144">
        <v>8</v>
      </c>
      <c r="CG144">
        <v>7.3999999999999996E-2</v>
      </c>
      <c r="CH144">
        <v>-0.01</v>
      </c>
      <c r="CI144">
        <v>-0.24199999999999999</v>
      </c>
      <c r="CJ144">
        <v>0.27200000000000002</v>
      </c>
      <c r="CK144">
        <v>800</v>
      </c>
      <c r="CL144">
        <v>23</v>
      </c>
      <c r="CM144">
        <v>0.06</v>
      </c>
      <c r="CN144">
        <v>0.09</v>
      </c>
      <c r="CO144">
        <v>-274.36122499999999</v>
      </c>
      <c r="CP144">
        <v>-17.273909943714891</v>
      </c>
      <c r="CQ144">
        <v>1.663114029276104</v>
      </c>
      <c r="CR144">
        <v>-1</v>
      </c>
      <c r="CS144">
        <v>15.851475000000001</v>
      </c>
      <c r="CT144">
        <v>1.398281425891174</v>
      </c>
      <c r="CU144">
        <v>0.13455738877891449</v>
      </c>
      <c r="CV144">
        <v>-1</v>
      </c>
      <c r="CW144">
        <v>0</v>
      </c>
      <c r="CX144">
        <v>0</v>
      </c>
      <c r="CY144" t="s">
        <v>333</v>
      </c>
      <c r="CZ144">
        <v>2.36443</v>
      </c>
      <c r="DA144">
        <v>2.7138</v>
      </c>
      <c r="DB144">
        <v>0.109351</v>
      </c>
      <c r="DC144">
        <v>0.14633099999999999</v>
      </c>
      <c r="DD144">
        <v>0.107419</v>
      </c>
      <c r="DE144">
        <v>3.96583E-2</v>
      </c>
      <c r="DF144">
        <v>32533.599999999999</v>
      </c>
      <c r="DG144">
        <v>27531.599999999999</v>
      </c>
      <c r="DH144">
        <v>31183.8</v>
      </c>
      <c r="DI144">
        <v>28102.2</v>
      </c>
      <c r="DJ144">
        <v>37790.800000000003</v>
      </c>
      <c r="DK144">
        <v>38385.199999999997</v>
      </c>
      <c r="DL144">
        <v>44381.2</v>
      </c>
      <c r="DM144">
        <v>42600</v>
      </c>
      <c r="DN144">
        <v>1.4431799999999999</v>
      </c>
      <c r="DO144">
        <v>2.0390199999999998</v>
      </c>
      <c r="DP144">
        <v>0.16794400000000001</v>
      </c>
      <c r="DQ144">
        <v>0.14494399999999999</v>
      </c>
      <c r="DR144">
        <v>24.203800000000001</v>
      </c>
      <c r="DS144">
        <v>24.0318</v>
      </c>
      <c r="DT144">
        <v>45</v>
      </c>
      <c r="DU144">
        <v>29.1</v>
      </c>
      <c r="DV144">
        <v>18.34</v>
      </c>
      <c r="DW144">
        <v>61.661200000000001</v>
      </c>
      <c r="DX144">
        <v>36.442300000000003</v>
      </c>
      <c r="DY144">
        <v>1</v>
      </c>
      <c r="DZ144">
        <v>-9.3188499999999994E-2</v>
      </c>
      <c r="EA144">
        <v>0.34005200000000002</v>
      </c>
      <c r="EB144">
        <v>20.189299999999999</v>
      </c>
      <c r="EC144">
        <v>5.2401999999999997</v>
      </c>
      <c r="ED144">
        <v>12.039899999999999</v>
      </c>
      <c r="EE144">
        <v>5.0158500000000004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1.8646199999999999</v>
      </c>
      <c r="EM144">
        <v>1.8692</v>
      </c>
      <c r="EN144">
        <v>1.8672299999999999</v>
      </c>
      <c r="EO144">
        <v>1.8633900000000001</v>
      </c>
      <c r="EP144">
        <v>1.8644700000000001</v>
      </c>
      <c r="EQ144">
        <v>1.8701700000000001</v>
      </c>
      <c r="ER144">
        <v>1.8694299999999999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-4.5999999999999999E-2</v>
      </c>
      <c r="FG144">
        <v>0.27179999999999999</v>
      </c>
      <c r="FH144">
        <v>0.30965466913576151</v>
      </c>
      <c r="FI144">
        <v>-6.1462078757559423E-4</v>
      </c>
      <c r="FJ144">
        <v>-1.8861989874597051E-7</v>
      </c>
      <c r="FK144">
        <v>1.1980462299894961E-10</v>
      </c>
      <c r="FL144">
        <v>0.27184999999999349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31.1</v>
      </c>
      <c r="FU144">
        <v>31.3</v>
      </c>
      <c r="FV144">
        <v>1.7724599999999999</v>
      </c>
      <c r="FW144">
        <v>2.5927699999999998</v>
      </c>
      <c r="FX144">
        <v>1.5490699999999999</v>
      </c>
      <c r="FY144">
        <v>2.3278799999999999</v>
      </c>
      <c r="FZ144">
        <v>1.50146</v>
      </c>
      <c r="GA144">
        <v>2.3718300000000001</v>
      </c>
      <c r="GB144">
        <v>33.896099999999997</v>
      </c>
      <c r="GC144">
        <v>23.982399999999998</v>
      </c>
      <c r="GD144">
        <v>19</v>
      </c>
      <c r="GE144">
        <v>269.11900000000003</v>
      </c>
      <c r="GF144">
        <v>585.63599999999997</v>
      </c>
      <c r="GG144">
        <v>23.023</v>
      </c>
      <c r="GH144">
        <v>26.187200000000001</v>
      </c>
      <c r="GI144">
        <v>30.0001</v>
      </c>
      <c r="GJ144">
        <v>26.3675</v>
      </c>
      <c r="GK144">
        <v>26.363299999999999</v>
      </c>
      <c r="GL144">
        <v>35.4373</v>
      </c>
      <c r="GM144">
        <v>64.625200000000007</v>
      </c>
      <c r="GN144">
        <v>57.793900000000001</v>
      </c>
      <c r="GO144">
        <v>23.035900000000002</v>
      </c>
      <c r="GP144">
        <v>800</v>
      </c>
      <c r="GQ144">
        <v>5.8715299999999999</v>
      </c>
      <c r="GR144">
        <v>99.779700000000005</v>
      </c>
      <c r="GS144">
        <v>99.65</v>
      </c>
    </row>
    <row r="145" spans="1:201" x14ac:dyDescent="0.25">
      <c r="A145">
        <v>129</v>
      </c>
      <c r="B145">
        <v>1690305199.5</v>
      </c>
      <c r="C145">
        <v>1449.5</v>
      </c>
      <c r="D145" t="s">
        <v>589</v>
      </c>
      <c r="E145" t="s">
        <v>590</v>
      </c>
      <c r="F145" t="s">
        <v>330</v>
      </c>
      <c r="H145">
        <v>1690305199.5</v>
      </c>
      <c r="I145">
        <f t="shared" ref="I145:I208" si="60">(J145)/1000</f>
        <v>1.5197578941361705E-3</v>
      </c>
      <c r="J145">
        <f t="shared" ref="J145:J208" si="61">1000*AZ145*AH145*(AV145-AW145)/(100*AO145*(1000-AH145*AV145))</f>
        <v>1.5197578941361705</v>
      </c>
      <c r="K145">
        <f t="shared" ref="K145:K208" si="62">AZ145*AH145*(AU145-AT145*(1000-AH145*AW145)/(1000-AH145*AV145))/(100*AO145)</f>
        <v>24.686185955775507</v>
      </c>
      <c r="L145">
        <f t="shared" ref="L145:L208" si="63">AT145 - IF(AH145&gt;1, K145*AO145*100/(AJ145*BH145), 0)</f>
        <v>520.00300000000004</v>
      </c>
      <c r="M145">
        <f t="shared" ref="M145:M208" si="64">((S145-I145/2)*L145-K145)/(S145+I145/2)</f>
        <v>151.73328143971258</v>
      </c>
      <c r="N145">
        <f t="shared" ref="N145:N208" si="65">M145*(BA145+BB145)/1000</f>
        <v>15.074227921117416</v>
      </c>
      <c r="O145">
        <f t="shared" ref="O145:O208" si="66">(AT145 - IF(AH145&gt;1, K145*AO145*100/(AJ145*BH145), 0))*(BA145+BB145)/1000</f>
        <v>51.660675016636404</v>
      </c>
      <c r="P145">
        <f t="shared" ref="P145:P208" si="67">2/((1/R145-1/Q145)+SIGN(R145)*SQRT((1/R145-1/Q145)*(1/R145-1/Q145) + 4*AP145/((AP145+1)*(AP145+1))*(2*1/R145*1/Q145-1/Q145*1/Q145)))</f>
        <v>0.11224627771630565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2.101431491917729</v>
      </c>
      <c r="R145">
        <f t="shared" ref="R145:R208" si="69">I145*(1000-(1000*0.61365*EXP(17.502*V145/(240.97+V145))/(BA145+BB145)+AV145)/2)/(1000*0.61365*EXP(17.502*V145/(240.97+V145))/(BA145+BB145)-AV145)</f>
        <v>0.10901869829627363</v>
      </c>
      <c r="S145">
        <f t="shared" ref="S145:S208" si="70">1/((AP145+1)/(P145/1.6)+1/(Q145/1.37)) + AP145/((AP145+1)/(P145/1.6) + AP145/(Q145/1.37))</f>
        <v>6.8418941183996745E-2</v>
      </c>
      <c r="T145">
        <f t="shared" ref="T145:T208" si="71">(AK145*AN145)</f>
        <v>276.11399350800002</v>
      </c>
      <c r="U145">
        <f t="shared" ref="U145:U208" si="72">(BC145+(T145+2*0.95*0.0000000567*(((BC145+$B$7)+273)^4-(BC145+273)^4)-44100*I145)/(1.84*29.3*Q145+8*0.95*0.0000000567*(BC145+273)^3))</f>
        <v>26.837669705304524</v>
      </c>
      <c r="V145">
        <f t="shared" ref="V145:V208" si="73">($C$7*BD145+$D$7*BE145+$E$7*U145)</f>
        <v>26.837669705304524</v>
      </c>
      <c r="W145">
        <f t="shared" ref="W145:W208" si="74">0.61365*EXP(17.502*V145/(240.97+V145))</f>
        <v>3.5451774357429606</v>
      </c>
      <c r="X145">
        <f t="shared" ref="X145:X208" si="75">(Y145/Z145*100)</f>
        <v>68.537632325867676</v>
      </c>
      <c r="Y145">
        <f t="shared" ref="Y145:Y208" si="76">AV145*(BA145+BB145)/1000</f>
        <v>2.2002949329108801</v>
      </c>
      <c r="Z145">
        <f t="shared" ref="Z145:Z208" si="77">0.61365*EXP(17.502*BC145/(240.97+BC145))</f>
        <v>3.2103457009565219</v>
      </c>
      <c r="AA145">
        <f t="shared" ref="AA145:AA208" si="78">(W145-AV145*(BA145+BB145)/1000)</f>
        <v>1.3448825028320806</v>
      </c>
      <c r="AB145">
        <f t="shared" ref="AB145:AB208" si="79">(-I145*44100)</f>
        <v>-67.021323131405126</v>
      </c>
      <c r="AC145">
        <f t="shared" ref="AC145:AC208" si="80">2*29.3*Q145*0.92*(BC145-V145)</f>
        <v>-189.94256308340942</v>
      </c>
      <c r="AD145">
        <f t="shared" ref="AD145:AD208" si="81">2*0.95*0.0000000567*(((BC145+$B$7)+273)^4-(V145+273)^4)</f>
        <v>-19.312236169999832</v>
      </c>
      <c r="AE145">
        <f t="shared" ref="AE145:AE208" si="82">T145+AD145+AB145+AC145</f>
        <v>-0.16212887681436428</v>
      </c>
      <c r="AF145">
        <v>10</v>
      </c>
      <c r="AG145">
        <v>3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52872.491101464482</v>
      </c>
      <c r="AK145">
        <f t="shared" ref="AK145:AK208" si="86">$B$11*BI145+$C$11*BJ145+$D$11*BU145</f>
        <v>1800</v>
      </c>
      <c r="AL145">
        <f t="shared" ref="AL145:AL208" si="87">AK145*AM145</f>
        <v>1499.1119927999998</v>
      </c>
      <c r="AM145">
        <f t="shared" ref="AM145:AM208" si="88">($B$11*$D$9+$C$11*$D$9+$D$11*(BV145*$E$9+BW145*$F$9+BX145*$G$9+BY145*$H$9))/($B$11+$C$11+$D$11)</f>
        <v>0.83283999599999992</v>
      </c>
      <c r="AN145">
        <f t="shared" ref="AN145:AN208" si="89">($B$11*$K$9+$C$11*$K$9+$D$11*(BV145*$L$9+BW145*$M$9+BX145*$N$9+BY145*$O$9))/($B$11+$C$11+$D$11)</f>
        <v>0.15339666306000002</v>
      </c>
      <c r="AO145">
        <v>33</v>
      </c>
      <c r="AP145">
        <v>0.5</v>
      </c>
      <c r="AQ145" t="s">
        <v>331</v>
      </c>
      <c r="AR145">
        <v>2</v>
      </c>
      <c r="AS145">
        <v>1690305199.5</v>
      </c>
      <c r="AT145">
        <v>520.00300000000004</v>
      </c>
      <c r="AU145">
        <v>800.077</v>
      </c>
      <c r="AV145">
        <v>22.147600000000001</v>
      </c>
      <c r="AW145">
        <v>5.8102600000000004</v>
      </c>
      <c r="AX145">
        <v>520.04700000000003</v>
      </c>
      <c r="AY145">
        <v>21.875800000000002</v>
      </c>
      <c r="AZ145">
        <v>300.17899999999997</v>
      </c>
      <c r="BA145">
        <v>99.246899999999997</v>
      </c>
      <c r="BB145">
        <v>9.9978800000000007E-2</v>
      </c>
      <c r="BC145">
        <v>25.161100000000001</v>
      </c>
      <c r="BD145">
        <v>26.993500000000001</v>
      </c>
      <c r="BE145">
        <v>26.405899999999999</v>
      </c>
      <c r="BF145">
        <v>0</v>
      </c>
      <c r="BG145">
        <v>0</v>
      </c>
      <c r="BH145">
        <v>10013.799999999999</v>
      </c>
      <c r="BI145">
        <v>1053.43</v>
      </c>
      <c r="BJ145">
        <v>1.3063400000000001</v>
      </c>
      <c r="BK145">
        <v>-280.07400000000001</v>
      </c>
      <c r="BL145">
        <v>531.78</v>
      </c>
      <c r="BM145">
        <v>804.75300000000004</v>
      </c>
      <c r="BN145">
        <v>16.337399999999999</v>
      </c>
      <c r="BO145">
        <v>800.077</v>
      </c>
      <c r="BP145">
        <v>5.8102600000000004</v>
      </c>
      <c r="BQ145">
        <v>2.19808</v>
      </c>
      <c r="BR145">
        <v>0.57665</v>
      </c>
      <c r="BS145">
        <v>18.948399999999999</v>
      </c>
      <c r="BT145">
        <v>-0.85320200000000002</v>
      </c>
      <c r="BU145">
        <v>1800</v>
      </c>
      <c r="BV145">
        <v>0.91001699999999996</v>
      </c>
      <c r="BW145">
        <v>3.4003499999999999E-2</v>
      </c>
      <c r="BX145">
        <v>2.1991799999999999E-2</v>
      </c>
      <c r="BY145">
        <v>3.3987200000000002E-2</v>
      </c>
      <c r="BZ145">
        <v>26</v>
      </c>
      <c r="CA145">
        <v>33528.5</v>
      </c>
      <c r="CB145">
        <v>1690303320.5</v>
      </c>
      <c r="CC145" t="s">
        <v>332</v>
      </c>
      <c r="CD145">
        <v>1690303320.5</v>
      </c>
      <c r="CE145">
        <v>1690303310.0999999</v>
      </c>
      <c r="CF145">
        <v>8</v>
      </c>
      <c r="CG145">
        <v>7.3999999999999996E-2</v>
      </c>
      <c r="CH145">
        <v>-0.01</v>
      </c>
      <c r="CI145">
        <v>-0.24199999999999999</v>
      </c>
      <c r="CJ145">
        <v>0.27200000000000002</v>
      </c>
      <c r="CK145">
        <v>800</v>
      </c>
      <c r="CL145">
        <v>23</v>
      </c>
      <c r="CM145">
        <v>0.06</v>
      </c>
      <c r="CN145">
        <v>0.09</v>
      </c>
      <c r="CO145">
        <v>-276.94246341463412</v>
      </c>
      <c r="CP145">
        <v>-16.697811846690598</v>
      </c>
      <c r="CQ145">
        <v>1.6483247829614509</v>
      </c>
      <c r="CR145">
        <v>-1</v>
      </c>
      <c r="CS145">
        <v>16.06810243902439</v>
      </c>
      <c r="CT145">
        <v>1.4030341463415019</v>
      </c>
      <c r="CU145">
        <v>0.1383962541573393</v>
      </c>
      <c r="CV145">
        <v>-1</v>
      </c>
      <c r="CW145">
        <v>0</v>
      </c>
      <c r="CX145">
        <v>0</v>
      </c>
      <c r="CY145" t="s">
        <v>333</v>
      </c>
      <c r="CZ145">
        <v>2.3647</v>
      </c>
      <c r="DA145">
        <v>2.7137799999999999</v>
      </c>
      <c r="DB145">
        <v>0.108931</v>
      </c>
      <c r="DC145">
        <v>0.14632899999999999</v>
      </c>
      <c r="DD145">
        <v>0.107477</v>
      </c>
      <c r="DE145">
        <v>3.8489700000000002E-2</v>
      </c>
      <c r="DF145">
        <v>32548.799999999999</v>
      </c>
      <c r="DG145">
        <v>27532</v>
      </c>
      <c r="DH145">
        <v>31183.7</v>
      </c>
      <c r="DI145">
        <v>28102.5</v>
      </c>
      <c r="DJ145">
        <v>37788.1</v>
      </c>
      <c r="DK145">
        <v>38432.300000000003</v>
      </c>
      <c r="DL145">
        <v>44381</v>
      </c>
      <c r="DM145">
        <v>42600.3</v>
      </c>
      <c r="DN145">
        <v>1.4432499999999999</v>
      </c>
      <c r="DO145">
        <v>2.0385300000000002</v>
      </c>
      <c r="DP145">
        <v>0.16991400000000001</v>
      </c>
      <c r="DQ145">
        <v>0.144314</v>
      </c>
      <c r="DR145">
        <v>24.208300000000001</v>
      </c>
      <c r="DS145">
        <v>24.038900000000002</v>
      </c>
      <c r="DT145">
        <v>44.7</v>
      </c>
      <c r="DU145">
        <v>29.1</v>
      </c>
      <c r="DV145">
        <v>18.220700000000001</v>
      </c>
      <c r="DW145">
        <v>61.111199999999997</v>
      </c>
      <c r="DX145">
        <v>36.053699999999999</v>
      </c>
      <c r="DY145">
        <v>1</v>
      </c>
      <c r="DZ145">
        <v>-9.3930399999999997E-2</v>
      </c>
      <c r="EA145">
        <v>0.374303</v>
      </c>
      <c r="EB145">
        <v>20.189399999999999</v>
      </c>
      <c r="EC145">
        <v>5.2409499999999998</v>
      </c>
      <c r="ED145">
        <v>12.039899999999999</v>
      </c>
      <c r="EE145">
        <v>5.0161499999999997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</v>
      </c>
      <c r="EL145">
        <v>1.8646199999999999</v>
      </c>
      <c r="EM145">
        <v>1.8692</v>
      </c>
      <c r="EN145">
        <v>1.8672500000000001</v>
      </c>
      <c r="EO145">
        <v>1.8633999999999999</v>
      </c>
      <c r="EP145">
        <v>1.8644700000000001</v>
      </c>
      <c r="EQ145">
        <v>1.87016</v>
      </c>
      <c r="ER145">
        <v>1.8694599999999999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-4.3999999999999997E-2</v>
      </c>
      <c r="FG145">
        <v>0.27179999999999999</v>
      </c>
      <c r="FH145">
        <v>0.30965466913576151</v>
      </c>
      <c r="FI145">
        <v>-6.1462078757559423E-4</v>
      </c>
      <c r="FJ145">
        <v>-1.8861989874597051E-7</v>
      </c>
      <c r="FK145">
        <v>1.1980462299894961E-10</v>
      </c>
      <c r="FL145">
        <v>0.27184999999999349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31.3</v>
      </c>
      <c r="FU145">
        <v>31.5</v>
      </c>
      <c r="FV145">
        <v>1.7724599999999999</v>
      </c>
      <c r="FW145">
        <v>2.5891099999999998</v>
      </c>
      <c r="FX145">
        <v>1.5490699999999999</v>
      </c>
      <c r="FY145">
        <v>2.3278799999999999</v>
      </c>
      <c r="FZ145">
        <v>1.50146</v>
      </c>
      <c r="GA145">
        <v>2.3742700000000001</v>
      </c>
      <c r="GB145">
        <v>33.896099999999997</v>
      </c>
      <c r="GC145">
        <v>23.991199999999999</v>
      </c>
      <c r="GD145">
        <v>19</v>
      </c>
      <c r="GE145">
        <v>269.13299999999998</v>
      </c>
      <c r="GF145">
        <v>585.17899999999997</v>
      </c>
      <c r="GG145">
        <v>23.081199999999999</v>
      </c>
      <c r="GH145">
        <v>26.1846</v>
      </c>
      <c r="GI145">
        <v>29.9999</v>
      </c>
      <c r="GJ145">
        <v>26.363700000000001</v>
      </c>
      <c r="GK145">
        <v>26.359500000000001</v>
      </c>
      <c r="GL145">
        <v>35.430100000000003</v>
      </c>
      <c r="GM145">
        <v>65.517300000000006</v>
      </c>
      <c r="GN145">
        <v>57.031700000000001</v>
      </c>
      <c r="GO145">
        <v>23.082100000000001</v>
      </c>
      <c r="GP145">
        <v>800</v>
      </c>
      <c r="GQ145">
        <v>5.6523099999999999</v>
      </c>
      <c r="GR145">
        <v>99.779399999999995</v>
      </c>
      <c r="GS145">
        <v>99.650700000000001</v>
      </c>
    </row>
    <row r="146" spans="1:201" x14ac:dyDescent="0.25">
      <c r="A146">
        <v>130</v>
      </c>
      <c r="B146">
        <v>1690305209.5</v>
      </c>
      <c r="C146">
        <v>1459.5</v>
      </c>
      <c r="D146" t="s">
        <v>591</v>
      </c>
      <c r="E146" t="s">
        <v>592</v>
      </c>
      <c r="F146" t="s">
        <v>330</v>
      </c>
      <c r="H146">
        <v>1690305209.5</v>
      </c>
      <c r="I146">
        <f t="shared" si="60"/>
        <v>1.5417351260305244E-3</v>
      </c>
      <c r="J146">
        <f t="shared" si="61"/>
        <v>1.5417351260305243</v>
      </c>
      <c r="K146">
        <f t="shared" si="62"/>
        <v>24.939816999873884</v>
      </c>
      <c r="L146">
        <f t="shared" si="63"/>
        <v>517.077</v>
      </c>
      <c r="M146">
        <f t="shared" si="64"/>
        <v>149.94217405296055</v>
      </c>
      <c r="N146">
        <f t="shared" si="65"/>
        <v>14.896462904806578</v>
      </c>
      <c r="O146">
        <f t="shared" si="66"/>
        <v>51.370592684004002</v>
      </c>
      <c r="P146">
        <f t="shared" si="67"/>
        <v>0.11379353279455313</v>
      </c>
      <c r="Q146">
        <f t="shared" si="68"/>
        <v>2.0929952882974638</v>
      </c>
      <c r="R146">
        <f t="shared" si="69"/>
        <v>0.11046483031540862</v>
      </c>
      <c r="S146">
        <f t="shared" si="70"/>
        <v>6.9331478917590839E-2</v>
      </c>
      <c r="T146">
        <f t="shared" si="71"/>
        <v>276.11397041400005</v>
      </c>
      <c r="U146">
        <f t="shared" si="72"/>
        <v>26.854777178477285</v>
      </c>
      <c r="V146">
        <f t="shared" si="73"/>
        <v>26.854777178477285</v>
      </c>
      <c r="W146">
        <f t="shared" si="74"/>
        <v>3.5487453892711054</v>
      </c>
      <c r="X146">
        <f t="shared" si="75"/>
        <v>68.52327653802945</v>
      </c>
      <c r="Y146">
        <f t="shared" si="76"/>
        <v>2.2022979427100005</v>
      </c>
      <c r="Z146">
        <f t="shared" si="77"/>
        <v>3.2139413845567595</v>
      </c>
      <c r="AA146">
        <f t="shared" si="78"/>
        <v>1.3464474465611049</v>
      </c>
      <c r="AB146">
        <f t="shared" si="79"/>
        <v>-67.99051905794613</v>
      </c>
      <c r="AC146">
        <f t="shared" si="80"/>
        <v>-188.9890574398284</v>
      </c>
      <c r="AD146">
        <f t="shared" si="81"/>
        <v>-19.296215369191248</v>
      </c>
      <c r="AE146">
        <f t="shared" si="82"/>
        <v>-0.16182145296573935</v>
      </c>
      <c r="AF146">
        <v>9</v>
      </c>
      <c r="AG146">
        <v>3</v>
      </c>
      <c r="AH146">
        <f t="shared" si="83"/>
        <v>1</v>
      </c>
      <c r="AI146">
        <f t="shared" si="84"/>
        <v>0</v>
      </c>
      <c r="AJ146">
        <f t="shared" si="85"/>
        <v>52492.609461959793</v>
      </c>
      <c r="AK146">
        <f t="shared" si="86"/>
        <v>1800</v>
      </c>
      <c r="AL146">
        <f t="shared" si="87"/>
        <v>1499.1132383999998</v>
      </c>
      <c r="AM146">
        <f t="shared" si="88"/>
        <v>0.83284068799999988</v>
      </c>
      <c r="AN146">
        <f t="shared" si="89"/>
        <v>0.15339665023000001</v>
      </c>
      <c r="AO146">
        <v>33</v>
      </c>
      <c r="AP146">
        <v>0.5</v>
      </c>
      <c r="AQ146" t="s">
        <v>331</v>
      </c>
      <c r="AR146">
        <v>2</v>
      </c>
      <c r="AS146">
        <v>1690305209.5</v>
      </c>
      <c r="AT146">
        <v>517.077</v>
      </c>
      <c r="AU146">
        <v>800.07</v>
      </c>
      <c r="AV146">
        <v>22.1675</v>
      </c>
      <c r="AW146">
        <v>5.5910399999999996</v>
      </c>
      <c r="AX146">
        <v>517.11900000000003</v>
      </c>
      <c r="AY146">
        <v>21.895600000000002</v>
      </c>
      <c r="AZ146">
        <v>300.12099999999998</v>
      </c>
      <c r="BA146">
        <v>99.248000000000005</v>
      </c>
      <c r="BB146">
        <v>0.100052</v>
      </c>
      <c r="BC146">
        <v>25.1799</v>
      </c>
      <c r="BD146">
        <v>26.9557</v>
      </c>
      <c r="BE146">
        <v>26.458300000000001</v>
      </c>
      <c r="BF146">
        <v>0</v>
      </c>
      <c r="BG146">
        <v>0</v>
      </c>
      <c r="BH146">
        <v>9939.3799999999992</v>
      </c>
      <c r="BI146">
        <v>1053.45</v>
      </c>
      <c r="BJ146">
        <v>1.51519</v>
      </c>
      <c r="BK146">
        <v>-282.99400000000003</v>
      </c>
      <c r="BL146">
        <v>528.79899999999998</v>
      </c>
      <c r="BM146">
        <v>804.56899999999996</v>
      </c>
      <c r="BN146">
        <v>16.5764</v>
      </c>
      <c r="BO146">
        <v>800.07</v>
      </c>
      <c r="BP146">
        <v>5.5910399999999996</v>
      </c>
      <c r="BQ146">
        <v>2.2000799999999998</v>
      </c>
      <c r="BR146">
        <v>0.55489999999999995</v>
      </c>
      <c r="BS146">
        <v>18.962900000000001</v>
      </c>
      <c r="BT146">
        <v>-1.3776600000000001</v>
      </c>
      <c r="BU146">
        <v>1800</v>
      </c>
      <c r="BV146">
        <v>0.91002099999999997</v>
      </c>
      <c r="BW146">
        <v>3.4002200000000003E-2</v>
      </c>
      <c r="BX146">
        <v>2.1990900000000001E-2</v>
      </c>
      <c r="BY146">
        <v>3.3985899999999999E-2</v>
      </c>
      <c r="BZ146">
        <v>26</v>
      </c>
      <c r="CA146">
        <v>33528.5</v>
      </c>
      <c r="CB146">
        <v>1690303320.5</v>
      </c>
      <c r="CC146" t="s">
        <v>332</v>
      </c>
      <c r="CD146">
        <v>1690303320.5</v>
      </c>
      <c r="CE146">
        <v>1690303310.0999999</v>
      </c>
      <c r="CF146">
        <v>8</v>
      </c>
      <c r="CG146">
        <v>7.3999999999999996E-2</v>
      </c>
      <c r="CH146">
        <v>-0.01</v>
      </c>
      <c r="CI146">
        <v>-0.24199999999999999</v>
      </c>
      <c r="CJ146">
        <v>0.27200000000000002</v>
      </c>
      <c r="CK146">
        <v>800</v>
      </c>
      <c r="CL146">
        <v>23</v>
      </c>
      <c r="CM146">
        <v>0.06</v>
      </c>
      <c r="CN146">
        <v>0.09</v>
      </c>
      <c r="CO146">
        <v>-279.68741463414631</v>
      </c>
      <c r="CP146">
        <v>-16.556174216027891</v>
      </c>
      <c r="CQ146">
        <v>1.63453160256565</v>
      </c>
      <c r="CR146">
        <v>-1</v>
      </c>
      <c r="CS146">
        <v>16.305170731707321</v>
      </c>
      <c r="CT146">
        <v>1.4441038327526481</v>
      </c>
      <c r="CU146">
        <v>0.14246773061054319</v>
      </c>
      <c r="CV146">
        <v>-1</v>
      </c>
      <c r="CW146">
        <v>0</v>
      </c>
      <c r="CX146">
        <v>0</v>
      </c>
      <c r="CY146" t="s">
        <v>333</v>
      </c>
      <c r="CZ146">
        <v>2.3645</v>
      </c>
      <c r="DA146">
        <v>2.7137899999999999</v>
      </c>
      <c r="DB146">
        <v>0.108488</v>
      </c>
      <c r="DC146">
        <v>0.14632700000000001</v>
      </c>
      <c r="DD146">
        <v>0.107548</v>
      </c>
      <c r="DE146">
        <v>3.7293600000000003E-2</v>
      </c>
      <c r="DF146">
        <v>32565</v>
      </c>
      <c r="DG146">
        <v>27532.400000000001</v>
      </c>
      <c r="DH146">
        <v>31183.7</v>
      </c>
      <c r="DI146">
        <v>28102.9</v>
      </c>
      <c r="DJ146">
        <v>37785.1</v>
      </c>
      <c r="DK146">
        <v>38480.9</v>
      </c>
      <c r="DL146">
        <v>44381.1</v>
      </c>
      <c r="DM146">
        <v>42601</v>
      </c>
      <c r="DN146">
        <v>1.4437199999999999</v>
      </c>
      <c r="DO146">
        <v>2.0382199999999999</v>
      </c>
      <c r="DP146">
        <v>0.16726199999999999</v>
      </c>
      <c r="DQ146">
        <v>0.14705599999999999</v>
      </c>
      <c r="DR146">
        <v>24.213899999999999</v>
      </c>
      <c r="DS146">
        <v>24.046500000000002</v>
      </c>
      <c r="DT146">
        <v>44.4</v>
      </c>
      <c r="DU146">
        <v>29.1</v>
      </c>
      <c r="DV146">
        <v>18.096399999999999</v>
      </c>
      <c r="DW146">
        <v>61.281199999999998</v>
      </c>
      <c r="DX146">
        <v>36.770800000000001</v>
      </c>
      <c r="DY146">
        <v>1</v>
      </c>
      <c r="DZ146">
        <v>-9.3076699999999998E-2</v>
      </c>
      <c r="EA146">
        <v>0.41251100000000002</v>
      </c>
      <c r="EB146">
        <v>20.1892</v>
      </c>
      <c r="EC146">
        <v>5.2406499999999996</v>
      </c>
      <c r="ED146">
        <v>12.039899999999999</v>
      </c>
      <c r="EE146">
        <v>5.0164499999999999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</v>
      </c>
      <c r="EL146">
        <v>1.8646199999999999</v>
      </c>
      <c r="EM146">
        <v>1.8692</v>
      </c>
      <c r="EN146">
        <v>1.8672500000000001</v>
      </c>
      <c r="EO146">
        <v>1.8633999999999999</v>
      </c>
      <c r="EP146">
        <v>1.8644700000000001</v>
      </c>
      <c r="EQ146">
        <v>1.87018</v>
      </c>
      <c r="ER146">
        <v>1.86944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-4.2000000000000003E-2</v>
      </c>
      <c r="FG146">
        <v>0.27189999999999998</v>
      </c>
      <c r="FH146">
        <v>0.30965466913576151</v>
      </c>
      <c r="FI146">
        <v>-6.1462078757559423E-4</v>
      </c>
      <c r="FJ146">
        <v>-1.8861989874597051E-7</v>
      </c>
      <c r="FK146">
        <v>1.1980462299894961E-10</v>
      </c>
      <c r="FL146">
        <v>0.27184999999999349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31.5</v>
      </c>
      <c r="FU146">
        <v>31.7</v>
      </c>
      <c r="FV146">
        <v>1.7712399999999999</v>
      </c>
      <c r="FW146">
        <v>2.5891099999999998</v>
      </c>
      <c r="FX146">
        <v>1.5490699999999999</v>
      </c>
      <c r="FY146">
        <v>2.3278799999999999</v>
      </c>
      <c r="FZ146">
        <v>1.50146</v>
      </c>
      <c r="GA146">
        <v>2.3107899999999999</v>
      </c>
      <c r="GB146">
        <v>33.896099999999997</v>
      </c>
      <c r="GC146">
        <v>23.982399999999998</v>
      </c>
      <c r="GD146">
        <v>19</v>
      </c>
      <c r="GE146">
        <v>269.31299999999999</v>
      </c>
      <c r="GF146">
        <v>584.89300000000003</v>
      </c>
      <c r="GG146">
        <v>23.103300000000001</v>
      </c>
      <c r="GH146">
        <v>26.181100000000001</v>
      </c>
      <c r="GI146">
        <v>30.000299999999999</v>
      </c>
      <c r="GJ146">
        <v>26.3598</v>
      </c>
      <c r="GK146">
        <v>26.356200000000001</v>
      </c>
      <c r="GL146">
        <v>35.426299999999998</v>
      </c>
      <c r="GM146">
        <v>66.358900000000006</v>
      </c>
      <c r="GN146">
        <v>56.26</v>
      </c>
      <c r="GO146">
        <v>23.1053</v>
      </c>
      <c r="GP146">
        <v>800</v>
      </c>
      <c r="GQ146">
        <v>5.4197800000000003</v>
      </c>
      <c r="GR146">
        <v>99.779499999999999</v>
      </c>
      <c r="GS146">
        <v>99.6524</v>
      </c>
    </row>
    <row r="147" spans="1:201" x14ac:dyDescent="0.25">
      <c r="A147">
        <v>131</v>
      </c>
      <c r="B147">
        <v>1690305219.5</v>
      </c>
      <c r="C147">
        <v>1469.5</v>
      </c>
      <c r="D147" t="s">
        <v>593</v>
      </c>
      <c r="E147" t="s">
        <v>594</v>
      </c>
      <c r="F147" t="s">
        <v>330</v>
      </c>
      <c r="H147">
        <v>1690305219.5</v>
      </c>
      <c r="I147">
        <f t="shared" si="60"/>
        <v>1.5651344072941053E-3</v>
      </c>
      <c r="J147">
        <f t="shared" si="61"/>
        <v>1.5651344072941054</v>
      </c>
      <c r="K147">
        <f t="shared" si="62"/>
        <v>25.172385765242797</v>
      </c>
      <c r="L147">
        <f t="shared" si="63"/>
        <v>514.44200000000001</v>
      </c>
      <c r="M147">
        <f t="shared" si="64"/>
        <v>149.6910067918933</v>
      </c>
      <c r="N147">
        <f t="shared" si="65"/>
        <v>14.871811853454068</v>
      </c>
      <c r="O147">
        <f t="shared" si="66"/>
        <v>51.109848196498</v>
      </c>
      <c r="P147">
        <f t="shared" si="67"/>
        <v>0.11565216952894881</v>
      </c>
      <c r="Q147">
        <f t="shared" si="68"/>
        <v>2.095791341006735</v>
      </c>
      <c r="R147">
        <f t="shared" si="69"/>
        <v>0.11222004692915506</v>
      </c>
      <c r="S147">
        <f t="shared" si="70"/>
        <v>7.043740785802094E-2</v>
      </c>
      <c r="T147">
        <f t="shared" si="71"/>
        <v>276.11465713200005</v>
      </c>
      <c r="U147">
        <f t="shared" si="72"/>
        <v>26.856640383536224</v>
      </c>
      <c r="V147">
        <f t="shared" si="73"/>
        <v>26.856640383536224</v>
      </c>
      <c r="W147">
        <f t="shared" si="74"/>
        <v>3.5491341706141664</v>
      </c>
      <c r="X147">
        <f t="shared" si="75"/>
        <v>68.514452730034392</v>
      </c>
      <c r="Y147">
        <f t="shared" si="76"/>
        <v>2.2036143354407001</v>
      </c>
      <c r="Z147">
        <f t="shared" si="77"/>
        <v>3.2162766360019552</v>
      </c>
      <c r="AA147">
        <f t="shared" si="78"/>
        <v>1.3455198351734663</v>
      </c>
      <c r="AB147">
        <f t="shared" si="79"/>
        <v>-69.02242736167004</v>
      </c>
      <c r="AC147">
        <f t="shared" si="80"/>
        <v>-188.07359283846111</v>
      </c>
      <c r="AD147">
        <f t="shared" si="81"/>
        <v>-19.178476494430715</v>
      </c>
      <c r="AE147">
        <f t="shared" si="82"/>
        <v>-0.15983956256181386</v>
      </c>
      <c r="AF147">
        <v>9</v>
      </c>
      <c r="AG147">
        <v>3</v>
      </c>
      <c r="AH147">
        <f t="shared" si="83"/>
        <v>1</v>
      </c>
      <c r="AI147">
        <f t="shared" si="84"/>
        <v>0</v>
      </c>
      <c r="AJ147">
        <f t="shared" si="85"/>
        <v>52615.105759843398</v>
      </c>
      <c r="AK147">
        <f t="shared" si="86"/>
        <v>1800</v>
      </c>
      <c r="AL147">
        <f t="shared" si="87"/>
        <v>1499.1114131999998</v>
      </c>
      <c r="AM147">
        <f t="shared" si="88"/>
        <v>0.83283967399999992</v>
      </c>
      <c r="AN147">
        <f t="shared" si="89"/>
        <v>0.15339703174000002</v>
      </c>
      <c r="AO147">
        <v>33</v>
      </c>
      <c r="AP147">
        <v>0.5</v>
      </c>
      <c r="AQ147" t="s">
        <v>331</v>
      </c>
      <c r="AR147">
        <v>2</v>
      </c>
      <c r="AS147">
        <v>1690305219.5</v>
      </c>
      <c r="AT147">
        <v>514.44200000000001</v>
      </c>
      <c r="AU147">
        <v>800.09799999999996</v>
      </c>
      <c r="AV147">
        <v>22.180299999999999</v>
      </c>
      <c r="AW147">
        <v>5.3514099999999996</v>
      </c>
      <c r="AX147">
        <v>514.48199999999997</v>
      </c>
      <c r="AY147">
        <v>21.9084</v>
      </c>
      <c r="AZ147">
        <v>300.10199999999998</v>
      </c>
      <c r="BA147">
        <v>99.25</v>
      </c>
      <c r="BB147">
        <v>0.10006900000000001</v>
      </c>
      <c r="BC147">
        <v>25.1921</v>
      </c>
      <c r="BD147">
        <v>26.971599999999999</v>
      </c>
      <c r="BE147">
        <v>26.450600000000001</v>
      </c>
      <c r="BF147">
        <v>0</v>
      </c>
      <c r="BG147">
        <v>0</v>
      </c>
      <c r="BH147">
        <v>9963.75</v>
      </c>
      <c r="BI147">
        <v>1053.48</v>
      </c>
      <c r="BJ147">
        <v>1.5291999999999999</v>
      </c>
      <c r="BK147">
        <v>-285.65600000000001</v>
      </c>
      <c r="BL147">
        <v>526.11199999999997</v>
      </c>
      <c r="BM147">
        <v>804.40200000000004</v>
      </c>
      <c r="BN147">
        <v>16.828900000000001</v>
      </c>
      <c r="BO147">
        <v>800.09799999999996</v>
      </c>
      <c r="BP147">
        <v>5.3514099999999996</v>
      </c>
      <c r="BQ147">
        <v>2.20139</v>
      </c>
      <c r="BR147">
        <v>0.53112700000000002</v>
      </c>
      <c r="BS147">
        <v>18.9724</v>
      </c>
      <c r="BT147">
        <v>-1.9721599999999999</v>
      </c>
      <c r="BU147">
        <v>1800</v>
      </c>
      <c r="BV147">
        <v>0.91000400000000004</v>
      </c>
      <c r="BW147">
        <v>3.4000700000000002E-2</v>
      </c>
      <c r="BX147">
        <v>2.1995199999999999E-2</v>
      </c>
      <c r="BY147">
        <v>3.4000000000000002E-2</v>
      </c>
      <c r="BZ147">
        <v>26</v>
      </c>
      <c r="CA147">
        <v>33528.5</v>
      </c>
      <c r="CB147">
        <v>1690303320.5</v>
      </c>
      <c r="CC147" t="s">
        <v>332</v>
      </c>
      <c r="CD147">
        <v>1690303320.5</v>
      </c>
      <c r="CE147">
        <v>1690303310.0999999</v>
      </c>
      <c r="CF147">
        <v>8</v>
      </c>
      <c r="CG147">
        <v>7.3999999999999996E-2</v>
      </c>
      <c r="CH147">
        <v>-0.01</v>
      </c>
      <c r="CI147">
        <v>-0.24199999999999999</v>
      </c>
      <c r="CJ147">
        <v>0.27200000000000002</v>
      </c>
      <c r="CK147">
        <v>800</v>
      </c>
      <c r="CL147">
        <v>23</v>
      </c>
      <c r="CM147">
        <v>0.06</v>
      </c>
      <c r="CN147">
        <v>0.09</v>
      </c>
      <c r="CO147">
        <v>-282.48741463414638</v>
      </c>
      <c r="CP147">
        <v>-16.609902439024928</v>
      </c>
      <c r="CQ147">
        <v>1.6408985042498121</v>
      </c>
      <c r="CR147">
        <v>-1</v>
      </c>
      <c r="CS147">
        <v>16.546819512195121</v>
      </c>
      <c r="CT147">
        <v>1.472370731707342</v>
      </c>
      <c r="CU147">
        <v>0.14524799015361431</v>
      </c>
      <c r="CV147">
        <v>-1</v>
      </c>
      <c r="CW147">
        <v>0</v>
      </c>
      <c r="CX147">
        <v>0</v>
      </c>
      <c r="CY147" t="s">
        <v>333</v>
      </c>
      <c r="CZ147">
        <v>2.3644500000000002</v>
      </c>
      <c r="DA147">
        <v>2.7138300000000002</v>
      </c>
      <c r="DB147">
        <v>0.10809000000000001</v>
      </c>
      <c r="DC147">
        <v>0.14632999999999999</v>
      </c>
      <c r="DD147">
        <v>0.107595</v>
      </c>
      <c r="DE147">
        <v>3.5970599999999998E-2</v>
      </c>
      <c r="DF147">
        <v>32579.7</v>
      </c>
      <c r="DG147">
        <v>27532.7</v>
      </c>
      <c r="DH147">
        <v>31183.8</v>
      </c>
      <c r="DI147">
        <v>28103.3</v>
      </c>
      <c r="DJ147">
        <v>37783.199999999997</v>
      </c>
      <c r="DK147">
        <v>38534.300000000003</v>
      </c>
      <c r="DL147">
        <v>44381.3</v>
      </c>
      <c r="DM147">
        <v>42601.4</v>
      </c>
      <c r="DN147">
        <v>1.4443999999999999</v>
      </c>
      <c r="DO147">
        <v>2.0381499999999999</v>
      </c>
      <c r="DP147">
        <v>0.16786200000000001</v>
      </c>
      <c r="DQ147">
        <v>0.14599799999999999</v>
      </c>
      <c r="DR147">
        <v>24.220099999999999</v>
      </c>
      <c r="DS147">
        <v>24.056100000000001</v>
      </c>
      <c r="DT147">
        <v>44.1</v>
      </c>
      <c r="DU147">
        <v>29.1</v>
      </c>
      <c r="DV147">
        <v>17.972200000000001</v>
      </c>
      <c r="DW147">
        <v>61.301200000000001</v>
      </c>
      <c r="DX147">
        <v>36.959099999999999</v>
      </c>
      <c r="DY147">
        <v>1</v>
      </c>
      <c r="DZ147">
        <v>-9.4476599999999994E-2</v>
      </c>
      <c r="EA147">
        <v>0.27018500000000001</v>
      </c>
      <c r="EB147">
        <v>20.189900000000002</v>
      </c>
      <c r="EC147">
        <v>5.2413999999999996</v>
      </c>
      <c r="ED147">
        <v>12.039899999999999</v>
      </c>
      <c r="EE147">
        <v>5.0166000000000004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1.8689100000000001</v>
      </c>
      <c r="EL147">
        <v>1.86463</v>
      </c>
      <c r="EM147">
        <v>1.8691899999999999</v>
      </c>
      <c r="EN147">
        <v>1.8672299999999999</v>
      </c>
      <c r="EO147">
        <v>1.8633999999999999</v>
      </c>
      <c r="EP147">
        <v>1.8644700000000001</v>
      </c>
      <c r="EQ147">
        <v>1.87018</v>
      </c>
      <c r="ER147">
        <v>1.86941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-0.04</v>
      </c>
      <c r="FG147">
        <v>0.27189999999999998</v>
      </c>
      <c r="FH147">
        <v>0.30965466913576151</v>
      </c>
      <c r="FI147">
        <v>-6.1462078757559423E-4</v>
      </c>
      <c r="FJ147">
        <v>-1.8861989874597051E-7</v>
      </c>
      <c r="FK147">
        <v>1.1980462299894961E-10</v>
      </c>
      <c r="FL147">
        <v>0.27184999999999349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31.6</v>
      </c>
      <c r="FU147">
        <v>31.8</v>
      </c>
      <c r="FV147">
        <v>1.7712399999999999</v>
      </c>
      <c r="FW147">
        <v>2.5952099999999998</v>
      </c>
      <c r="FX147">
        <v>1.5490699999999999</v>
      </c>
      <c r="FY147">
        <v>2.3278799999999999</v>
      </c>
      <c r="FZ147">
        <v>1.50146</v>
      </c>
      <c r="GA147">
        <v>2.2778299999999998</v>
      </c>
      <c r="GB147">
        <v>33.896099999999997</v>
      </c>
      <c r="GC147">
        <v>23.973700000000001</v>
      </c>
      <c r="GD147">
        <v>19</v>
      </c>
      <c r="GE147">
        <v>269.57900000000001</v>
      </c>
      <c r="GF147">
        <v>584.78599999999994</v>
      </c>
      <c r="GG147">
        <v>23.153500000000001</v>
      </c>
      <c r="GH147">
        <v>26.177900000000001</v>
      </c>
      <c r="GI147">
        <v>29.9999</v>
      </c>
      <c r="GJ147">
        <v>26.356999999999999</v>
      </c>
      <c r="GK147">
        <v>26.3522</v>
      </c>
      <c r="GL147">
        <v>35.420999999999999</v>
      </c>
      <c r="GM147">
        <v>66.936700000000002</v>
      </c>
      <c r="GN147">
        <v>55.4801</v>
      </c>
      <c r="GO147">
        <v>23.173999999999999</v>
      </c>
      <c r="GP147">
        <v>800</v>
      </c>
      <c r="GQ147">
        <v>5.19381</v>
      </c>
      <c r="GR147">
        <v>99.779899999999998</v>
      </c>
      <c r="GS147">
        <v>99.653400000000005</v>
      </c>
    </row>
    <row r="148" spans="1:201" x14ac:dyDescent="0.25">
      <c r="A148">
        <v>132</v>
      </c>
      <c r="B148">
        <v>1690305229.5</v>
      </c>
      <c r="C148">
        <v>1479.5</v>
      </c>
      <c r="D148" t="s">
        <v>595</v>
      </c>
      <c r="E148" t="s">
        <v>596</v>
      </c>
      <c r="F148" t="s">
        <v>330</v>
      </c>
      <c r="H148">
        <v>1690305229.5</v>
      </c>
      <c r="I148">
        <f t="shared" si="60"/>
        <v>1.5895980257191983E-3</v>
      </c>
      <c r="J148">
        <f t="shared" si="61"/>
        <v>1.5895980257191982</v>
      </c>
      <c r="K148">
        <f t="shared" si="62"/>
        <v>25.421988652360703</v>
      </c>
      <c r="L148">
        <f t="shared" si="63"/>
        <v>511.7</v>
      </c>
      <c r="M148">
        <f t="shared" si="64"/>
        <v>149.37492371039465</v>
      </c>
      <c r="N148">
        <f t="shared" si="65"/>
        <v>14.839864356525595</v>
      </c>
      <c r="O148">
        <f t="shared" si="66"/>
        <v>50.835564649099993</v>
      </c>
      <c r="P148">
        <f t="shared" si="67"/>
        <v>0.11763059024194153</v>
      </c>
      <c r="Q148">
        <f t="shared" si="68"/>
        <v>2.0985885513699731</v>
      </c>
      <c r="R148">
        <f t="shared" si="69"/>
        <v>0.11408655500117663</v>
      </c>
      <c r="S148">
        <f t="shared" si="70"/>
        <v>7.1613620053204027E-2</v>
      </c>
      <c r="T148">
        <f t="shared" si="71"/>
        <v>276.11357139519248</v>
      </c>
      <c r="U148">
        <f t="shared" si="72"/>
        <v>26.858436516124755</v>
      </c>
      <c r="V148">
        <f t="shared" si="73"/>
        <v>26.858436516124755</v>
      </c>
      <c r="W148">
        <f t="shared" si="74"/>
        <v>3.5495089916353431</v>
      </c>
      <c r="X148">
        <f t="shared" si="75"/>
        <v>68.518385780907906</v>
      </c>
      <c r="Y148">
        <f t="shared" si="76"/>
        <v>2.2053813095346997</v>
      </c>
      <c r="Z148">
        <f t="shared" si="77"/>
        <v>3.2186708492908065</v>
      </c>
      <c r="AA148">
        <f t="shared" si="78"/>
        <v>1.3441276821006434</v>
      </c>
      <c r="AB148">
        <f t="shared" si="79"/>
        <v>-70.101272934216638</v>
      </c>
      <c r="AC148">
        <f t="shared" si="80"/>
        <v>-187.11358487384399</v>
      </c>
      <c r="AD148">
        <f t="shared" si="81"/>
        <v>-19.056513486923105</v>
      </c>
      <c r="AE148">
        <f t="shared" si="82"/>
        <v>-0.1577998997912573</v>
      </c>
      <c r="AF148">
        <v>9</v>
      </c>
      <c r="AG148">
        <v>3</v>
      </c>
      <c r="AH148">
        <f t="shared" si="83"/>
        <v>1</v>
      </c>
      <c r="AI148">
        <f t="shared" si="84"/>
        <v>0</v>
      </c>
      <c r="AJ148">
        <f t="shared" si="85"/>
        <v>52737.671668994262</v>
      </c>
      <c r="AK148">
        <f t="shared" si="86"/>
        <v>1799.99</v>
      </c>
      <c r="AL148">
        <f t="shared" si="87"/>
        <v>1499.1028274046898</v>
      </c>
      <c r="AM148">
        <f t="shared" si="88"/>
        <v>0.83283953099999997</v>
      </c>
      <c r="AN148">
        <f t="shared" si="89"/>
        <v>0.15339728076000003</v>
      </c>
      <c r="AO148">
        <v>33</v>
      </c>
      <c r="AP148">
        <v>0.5</v>
      </c>
      <c r="AQ148" t="s">
        <v>331</v>
      </c>
      <c r="AR148">
        <v>2</v>
      </c>
      <c r="AS148">
        <v>1690305229.5</v>
      </c>
      <c r="AT148">
        <v>511.7</v>
      </c>
      <c r="AU148">
        <v>800.12099999999998</v>
      </c>
      <c r="AV148">
        <v>22.198899999999998</v>
      </c>
      <c r="AW148">
        <v>5.1114499999999996</v>
      </c>
      <c r="AX148">
        <v>511.73899999999998</v>
      </c>
      <c r="AY148">
        <v>21.927099999999999</v>
      </c>
      <c r="AZ148">
        <v>300.17500000000001</v>
      </c>
      <c r="BA148">
        <v>99.246399999999994</v>
      </c>
      <c r="BB148">
        <v>0.100023</v>
      </c>
      <c r="BC148">
        <v>25.204599999999999</v>
      </c>
      <c r="BD148">
        <v>26.982700000000001</v>
      </c>
      <c r="BE148">
        <v>26.4497</v>
      </c>
      <c r="BF148">
        <v>0</v>
      </c>
      <c r="BG148">
        <v>0</v>
      </c>
      <c r="BH148">
        <v>9988.75</v>
      </c>
      <c r="BI148">
        <v>1053.75</v>
      </c>
      <c r="BJ148">
        <v>1.62592</v>
      </c>
      <c r="BK148">
        <v>-288.42</v>
      </c>
      <c r="BL148">
        <v>523.31799999999998</v>
      </c>
      <c r="BM148">
        <v>804.23199999999997</v>
      </c>
      <c r="BN148">
        <v>17.087499999999999</v>
      </c>
      <c r="BO148">
        <v>800.12099999999998</v>
      </c>
      <c r="BP148">
        <v>5.1114499999999996</v>
      </c>
      <c r="BQ148">
        <v>2.20316</v>
      </c>
      <c r="BR148">
        <v>0.50729299999999999</v>
      </c>
      <c r="BS148">
        <v>18.985299999999999</v>
      </c>
      <c r="BT148">
        <v>-2.5923799999999999</v>
      </c>
      <c r="BU148">
        <v>1799.99</v>
      </c>
      <c r="BV148">
        <v>0.90999799999999997</v>
      </c>
      <c r="BW148">
        <v>3.4000200000000001E-2</v>
      </c>
      <c r="BX148">
        <v>2.1998299999999998E-2</v>
      </c>
      <c r="BY148">
        <v>3.4003400000000003E-2</v>
      </c>
      <c r="BZ148">
        <v>26</v>
      </c>
      <c r="CA148">
        <v>33528.199999999997</v>
      </c>
      <c r="CB148">
        <v>1690303320.5</v>
      </c>
      <c r="CC148" t="s">
        <v>332</v>
      </c>
      <c r="CD148">
        <v>1690303320.5</v>
      </c>
      <c r="CE148">
        <v>1690303310.0999999</v>
      </c>
      <c r="CF148">
        <v>8</v>
      </c>
      <c r="CG148">
        <v>7.3999999999999996E-2</v>
      </c>
      <c r="CH148">
        <v>-0.01</v>
      </c>
      <c r="CI148">
        <v>-0.24199999999999999</v>
      </c>
      <c r="CJ148">
        <v>0.27200000000000002</v>
      </c>
      <c r="CK148">
        <v>800</v>
      </c>
      <c r="CL148">
        <v>23</v>
      </c>
      <c r="CM148">
        <v>0.06</v>
      </c>
      <c r="CN148">
        <v>0.09</v>
      </c>
      <c r="CO148">
        <v>-285.53029268292681</v>
      </c>
      <c r="CP148">
        <v>-16.25761672473854</v>
      </c>
      <c r="CQ148">
        <v>1.6060159651106689</v>
      </c>
      <c r="CR148">
        <v>-1</v>
      </c>
      <c r="CS148">
        <v>16.819519512195129</v>
      </c>
      <c r="CT148">
        <v>1.5229400696864279</v>
      </c>
      <c r="CU148">
        <v>0.15023009055139089</v>
      </c>
      <c r="CV148">
        <v>-1</v>
      </c>
      <c r="CW148">
        <v>0</v>
      </c>
      <c r="CX148">
        <v>0</v>
      </c>
      <c r="CY148" t="s">
        <v>333</v>
      </c>
      <c r="CZ148">
        <v>2.36469</v>
      </c>
      <c r="DA148">
        <v>2.7138</v>
      </c>
      <c r="DB148">
        <v>0.107668</v>
      </c>
      <c r="DC148">
        <v>0.14632400000000001</v>
      </c>
      <c r="DD148">
        <v>0.107657</v>
      </c>
      <c r="DE148">
        <v>3.4627199999999997E-2</v>
      </c>
      <c r="DF148">
        <v>32595.1</v>
      </c>
      <c r="DG148">
        <v>27532.7</v>
      </c>
      <c r="DH148">
        <v>31183.9</v>
      </c>
      <c r="DI148">
        <v>28103.1</v>
      </c>
      <c r="DJ148">
        <v>37780.6</v>
      </c>
      <c r="DK148">
        <v>38587.699999999997</v>
      </c>
      <c r="DL148">
        <v>44381.3</v>
      </c>
      <c r="DM148">
        <v>42601</v>
      </c>
      <c r="DN148">
        <v>1.4442299999999999</v>
      </c>
      <c r="DO148">
        <v>2.0376300000000001</v>
      </c>
      <c r="DP148">
        <v>0.16807</v>
      </c>
      <c r="DQ148">
        <v>0.14526800000000001</v>
      </c>
      <c r="DR148">
        <v>24.227799999999998</v>
      </c>
      <c r="DS148">
        <v>24.0672</v>
      </c>
      <c r="DT148">
        <v>43.8</v>
      </c>
      <c r="DU148">
        <v>29.1</v>
      </c>
      <c r="DV148">
        <v>17.852599999999999</v>
      </c>
      <c r="DW148">
        <v>61.3812</v>
      </c>
      <c r="DX148">
        <v>36.410299999999999</v>
      </c>
      <c r="DY148">
        <v>1</v>
      </c>
      <c r="DZ148">
        <v>-9.4903500000000002E-2</v>
      </c>
      <c r="EA148">
        <v>0.34066200000000002</v>
      </c>
      <c r="EB148">
        <v>20.189399999999999</v>
      </c>
      <c r="EC148">
        <v>5.2408000000000001</v>
      </c>
      <c r="ED148">
        <v>12.039899999999999</v>
      </c>
      <c r="EE148">
        <v>5.0164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1.8689100000000001</v>
      </c>
      <c r="EL148">
        <v>1.86463</v>
      </c>
      <c r="EM148">
        <v>1.8692</v>
      </c>
      <c r="EN148">
        <v>1.86724</v>
      </c>
      <c r="EO148">
        <v>1.8633999999999999</v>
      </c>
      <c r="EP148">
        <v>1.8644700000000001</v>
      </c>
      <c r="EQ148">
        <v>1.8702099999999999</v>
      </c>
      <c r="ER148">
        <v>1.86941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-3.9E-2</v>
      </c>
      <c r="FG148">
        <v>0.27179999999999999</v>
      </c>
      <c r="FH148">
        <v>0.30965466913576151</v>
      </c>
      <c r="FI148">
        <v>-6.1462078757559423E-4</v>
      </c>
      <c r="FJ148">
        <v>-1.8861989874597051E-7</v>
      </c>
      <c r="FK148">
        <v>1.1980462299894961E-10</v>
      </c>
      <c r="FL148">
        <v>0.27184999999999349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31.8</v>
      </c>
      <c r="FU148">
        <v>32</v>
      </c>
      <c r="FV148">
        <v>1.7712399999999999</v>
      </c>
      <c r="FW148">
        <v>2.5915499999999998</v>
      </c>
      <c r="FX148">
        <v>1.5490699999999999</v>
      </c>
      <c r="FY148">
        <v>2.3278799999999999</v>
      </c>
      <c r="FZ148">
        <v>1.50146</v>
      </c>
      <c r="GA148">
        <v>2.36694</v>
      </c>
      <c r="GB148">
        <v>33.896099999999997</v>
      </c>
      <c r="GC148">
        <v>23.982399999999998</v>
      </c>
      <c r="GD148">
        <v>19</v>
      </c>
      <c r="GE148">
        <v>269.48899999999998</v>
      </c>
      <c r="GF148">
        <v>584.30899999999997</v>
      </c>
      <c r="GG148">
        <v>23.212299999999999</v>
      </c>
      <c r="GH148">
        <v>26.175799999999999</v>
      </c>
      <c r="GI148">
        <v>29.9998</v>
      </c>
      <c r="GJ148">
        <v>26.352599999999999</v>
      </c>
      <c r="GK148">
        <v>26.348500000000001</v>
      </c>
      <c r="GL148">
        <v>35.412300000000002</v>
      </c>
      <c r="GM148">
        <v>67.516800000000003</v>
      </c>
      <c r="GN148">
        <v>54.706200000000003</v>
      </c>
      <c r="GO148">
        <v>23.2087</v>
      </c>
      <c r="GP148">
        <v>800</v>
      </c>
      <c r="GQ148">
        <v>5.0460900000000004</v>
      </c>
      <c r="GR148">
        <v>99.78</v>
      </c>
      <c r="GS148">
        <v>99.652500000000003</v>
      </c>
    </row>
    <row r="149" spans="1:201" x14ac:dyDescent="0.25">
      <c r="A149">
        <v>133</v>
      </c>
      <c r="B149">
        <v>1690305239.5</v>
      </c>
      <c r="C149">
        <v>1489.5</v>
      </c>
      <c r="D149" t="s">
        <v>597</v>
      </c>
      <c r="E149" t="s">
        <v>598</v>
      </c>
      <c r="F149" t="s">
        <v>330</v>
      </c>
      <c r="H149">
        <v>1690305239.5</v>
      </c>
      <c r="I149">
        <f t="shared" si="60"/>
        <v>1.6016782741650241E-3</v>
      </c>
      <c r="J149">
        <f t="shared" si="61"/>
        <v>1.601678274165024</v>
      </c>
      <c r="K149">
        <f t="shared" si="62"/>
        <v>25.653944190524172</v>
      </c>
      <c r="L149">
        <f t="shared" si="63"/>
        <v>508.99099999999999</v>
      </c>
      <c r="M149">
        <f t="shared" si="64"/>
        <v>146.06982768163891</v>
      </c>
      <c r="N149">
        <f t="shared" si="65"/>
        <v>14.511413603578694</v>
      </c>
      <c r="O149">
        <f t="shared" si="66"/>
        <v>50.566082254833603</v>
      </c>
      <c r="P149">
        <f t="shared" si="67"/>
        <v>0.11851070792597619</v>
      </c>
      <c r="Q149">
        <f t="shared" si="68"/>
        <v>2.0956718022596053</v>
      </c>
      <c r="R149">
        <f t="shared" si="69"/>
        <v>0.11490947203784205</v>
      </c>
      <c r="S149">
        <f t="shared" si="70"/>
        <v>7.2132861170020129E-2</v>
      </c>
      <c r="T149">
        <f t="shared" si="71"/>
        <v>276.11523540000002</v>
      </c>
      <c r="U149">
        <f t="shared" si="72"/>
        <v>26.868139952466702</v>
      </c>
      <c r="V149">
        <f t="shared" si="73"/>
        <v>26.868139952466702</v>
      </c>
      <c r="W149">
        <f t="shared" si="74"/>
        <v>3.5515345244273093</v>
      </c>
      <c r="X149">
        <f t="shared" si="75"/>
        <v>68.517814846080583</v>
      </c>
      <c r="Y149">
        <f t="shared" si="76"/>
        <v>2.2069256447721601</v>
      </c>
      <c r="Z149">
        <f t="shared" si="77"/>
        <v>3.2209515871599672</v>
      </c>
      <c r="AA149">
        <f t="shared" si="78"/>
        <v>1.3446088796551492</v>
      </c>
      <c r="AB149">
        <f t="shared" si="79"/>
        <v>-70.634011890677556</v>
      </c>
      <c r="AC149">
        <f t="shared" si="80"/>
        <v>-186.60535091269605</v>
      </c>
      <c r="AD149">
        <f t="shared" si="81"/>
        <v>-19.033265372585358</v>
      </c>
      <c r="AE149">
        <f t="shared" si="82"/>
        <v>-0.15739277595892531</v>
      </c>
      <c r="AF149">
        <v>9</v>
      </c>
      <c r="AG149">
        <v>3</v>
      </c>
      <c r="AH149">
        <f t="shared" si="83"/>
        <v>1</v>
      </c>
      <c r="AI149">
        <f t="shared" si="84"/>
        <v>0</v>
      </c>
      <c r="AJ149">
        <f t="shared" si="85"/>
        <v>52605.381075078658</v>
      </c>
      <c r="AK149">
        <f t="shared" si="86"/>
        <v>1800</v>
      </c>
      <c r="AL149">
        <f t="shared" si="87"/>
        <v>1499.110686</v>
      </c>
      <c r="AM149">
        <f t="shared" si="88"/>
        <v>0.83283927000000002</v>
      </c>
      <c r="AN149">
        <f t="shared" si="89"/>
        <v>0.15339735300000001</v>
      </c>
      <c r="AO149">
        <v>33</v>
      </c>
      <c r="AP149">
        <v>0.5</v>
      </c>
      <c r="AQ149" t="s">
        <v>331</v>
      </c>
      <c r="AR149">
        <v>2</v>
      </c>
      <c r="AS149">
        <v>1690305239.5</v>
      </c>
      <c r="AT149">
        <v>508.99099999999999</v>
      </c>
      <c r="AU149">
        <v>800.02300000000002</v>
      </c>
      <c r="AV149">
        <v>22.214600000000001</v>
      </c>
      <c r="AW149">
        <v>4.9951600000000003</v>
      </c>
      <c r="AX149">
        <v>509.02699999999999</v>
      </c>
      <c r="AY149">
        <v>21.942799999999998</v>
      </c>
      <c r="AZ149">
        <v>300.13299999999998</v>
      </c>
      <c r="BA149">
        <v>99.245800000000003</v>
      </c>
      <c r="BB149">
        <v>9.9929599999999993E-2</v>
      </c>
      <c r="BC149">
        <v>25.2165</v>
      </c>
      <c r="BD149">
        <v>27.019200000000001</v>
      </c>
      <c r="BE149">
        <v>26.438500000000001</v>
      </c>
      <c r="BF149">
        <v>0</v>
      </c>
      <c r="BG149">
        <v>0</v>
      </c>
      <c r="BH149">
        <v>9963.1200000000008</v>
      </c>
      <c r="BI149">
        <v>1053.8699999999999</v>
      </c>
      <c r="BJ149">
        <v>1.62592</v>
      </c>
      <c r="BK149">
        <v>-291.03199999999998</v>
      </c>
      <c r="BL149">
        <v>520.55499999999995</v>
      </c>
      <c r="BM149">
        <v>804.03899999999999</v>
      </c>
      <c r="BN149">
        <v>17.2195</v>
      </c>
      <c r="BO149">
        <v>800.02300000000002</v>
      </c>
      <c r="BP149">
        <v>4.9951600000000003</v>
      </c>
      <c r="BQ149">
        <v>2.2047099999999999</v>
      </c>
      <c r="BR149">
        <v>0.495749</v>
      </c>
      <c r="BS149">
        <v>18.996600000000001</v>
      </c>
      <c r="BT149">
        <v>-2.90212</v>
      </c>
      <c r="BU149">
        <v>1800</v>
      </c>
      <c r="BV149">
        <v>0.90999399999999997</v>
      </c>
      <c r="BW149">
        <v>3.39999E-2</v>
      </c>
      <c r="BX149">
        <v>2.1999000000000001E-2</v>
      </c>
      <c r="BY149">
        <v>3.4007000000000003E-2</v>
      </c>
      <c r="BZ149">
        <v>26</v>
      </c>
      <c r="CA149">
        <v>33528.400000000001</v>
      </c>
      <c r="CB149">
        <v>1690303320.5</v>
      </c>
      <c r="CC149" t="s">
        <v>332</v>
      </c>
      <c r="CD149">
        <v>1690303320.5</v>
      </c>
      <c r="CE149">
        <v>1690303310.0999999</v>
      </c>
      <c r="CF149">
        <v>8</v>
      </c>
      <c r="CG149">
        <v>7.3999999999999996E-2</v>
      </c>
      <c r="CH149">
        <v>-0.01</v>
      </c>
      <c r="CI149">
        <v>-0.24199999999999999</v>
      </c>
      <c r="CJ149">
        <v>0.27200000000000002</v>
      </c>
      <c r="CK149">
        <v>800</v>
      </c>
      <c r="CL149">
        <v>23</v>
      </c>
      <c r="CM149">
        <v>0.06</v>
      </c>
      <c r="CN149">
        <v>0.09</v>
      </c>
      <c r="CO149">
        <v>-288.16217499999999</v>
      </c>
      <c r="CP149">
        <v>-16.436071294559088</v>
      </c>
      <c r="CQ149">
        <v>1.583911785540788</v>
      </c>
      <c r="CR149">
        <v>-1</v>
      </c>
      <c r="CS149">
        <v>17.037154999999998</v>
      </c>
      <c r="CT149">
        <v>1.1588870544090151</v>
      </c>
      <c r="CU149">
        <v>0.1136715552590005</v>
      </c>
      <c r="CV149">
        <v>-1</v>
      </c>
      <c r="CW149">
        <v>0</v>
      </c>
      <c r="CX149">
        <v>0</v>
      </c>
      <c r="CY149" t="s">
        <v>333</v>
      </c>
      <c r="CZ149">
        <v>2.3645299999999998</v>
      </c>
      <c r="DA149">
        <v>2.7136900000000002</v>
      </c>
      <c r="DB149">
        <v>0.107253</v>
      </c>
      <c r="DC149">
        <v>0.14630899999999999</v>
      </c>
      <c r="DD149">
        <v>0.107712</v>
      </c>
      <c r="DE149">
        <v>3.3970100000000003E-2</v>
      </c>
      <c r="DF149">
        <v>32610.5</v>
      </c>
      <c r="DG149">
        <v>27533.1</v>
      </c>
      <c r="DH149">
        <v>31184.1</v>
      </c>
      <c r="DI149">
        <v>28103.1</v>
      </c>
      <c r="DJ149">
        <v>37778.5</v>
      </c>
      <c r="DK149">
        <v>38614</v>
      </c>
      <c r="DL149">
        <v>44381.7</v>
      </c>
      <c r="DM149">
        <v>42600.9</v>
      </c>
      <c r="DN149">
        <v>1.4439299999999999</v>
      </c>
      <c r="DO149">
        <v>2.03748</v>
      </c>
      <c r="DP149">
        <v>0.16980999999999999</v>
      </c>
      <c r="DQ149">
        <v>0.143904</v>
      </c>
      <c r="DR149">
        <v>24.235900000000001</v>
      </c>
      <c r="DS149">
        <v>24.078399999999998</v>
      </c>
      <c r="DT149">
        <v>43.5</v>
      </c>
      <c r="DU149">
        <v>29.1</v>
      </c>
      <c r="DV149">
        <v>17.731300000000001</v>
      </c>
      <c r="DW149">
        <v>61.971200000000003</v>
      </c>
      <c r="DX149">
        <v>36.073700000000002</v>
      </c>
      <c r="DY149">
        <v>1</v>
      </c>
      <c r="DZ149">
        <v>-9.4392799999999999E-2</v>
      </c>
      <c r="EA149">
        <v>0.40933599999999998</v>
      </c>
      <c r="EB149">
        <v>20.189</v>
      </c>
      <c r="EC149">
        <v>5.2406499999999996</v>
      </c>
      <c r="ED149">
        <v>12.039899999999999</v>
      </c>
      <c r="EE149">
        <v>5.0163500000000001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1.8689100000000001</v>
      </c>
      <c r="EL149">
        <v>1.86463</v>
      </c>
      <c r="EM149">
        <v>1.8692</v>
      </c>
      <c r="EN149">
        <v>1.8672500000000001</v>
      </c>
      <c r="EO149">
        <v>1.8633999999999999</v>
      </c>
      <c r="EP149">
        <v>1.8644799999999999</v>
      </c>
      <c r="EQ149">
        <v>1.8702099999999999</v>
      </c>
      <c r="ER149">
        <v>1.8694500000000001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-3.5999999999999997E-2</v>
      </c>
      <c r="FG149">
        <v>0.27179999999999999</v>
      </c>
      <c r="FH149">
        <v>0.30965466913576151</v>
      </c>
      <c r="FI149">
        <v>-6.1462078757559423E-4</v>
      </c>
      <c r="FJ149">
        <v>-1.8861989874597051E-7</v>
      </c>
      <c r="FK149">
        <v>1.1980462299894961E-10</v>
      </c>
      <c r="FL149">
        <v>0.27184999999999349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32</v>
      </c>
      <c r="FU149">
        <v>32.200000000000003</v>
      </c>
      <c r="FV149">
        <v>1.7712399999999999</v>
      </c>
      <c r="FW149">
        <v>2.5878899999999998</v>
      </c>
      <c r="FX149">
        <v>1.5490699999999999</v>
      </c>
      <c r="FY149">
        <v>2.3278799999999999</v>
      </c>
      <c r="FZ149">
        <v>1.50146</v>
      </c>
      <c r="GA149">
        <v>2.323</v>
      </c>
      <c r="GB149">
        <v>33.896099999999997</v>
      </c>
      <c r="GC149">
        <v>23.982399999999998</v>
      </c>
      <c r="GD149">
        <v>19</v>
      </c>
      <c r="GE149">
        <v>269.35599999999999</v>
      </c>
      <c r="GF149">
        <v>584.154</v>
      </c>
      <c r="GG149">
        <v>23.2272</v>
      </c>
      <c r="GH149">
        <v>26.173400000000001</v>
      </c>
      <c r="GI149">
        <v>30.0001</v>
      </c>
      <c r="GJ149">
        <v>26.3504</v>
      </c>
      <c r="GK149">
        <v>26.345700000000001</v>
      </c>
      <c r="GL149">
        <v>35.411499999999997</v>
      </c>
      <c r="GM149">
        <v>68.128200000000007</v>
      </c>
      <c r="GN149">
        <v>53.927</v>
      </c>
      <c r="GO149">
        <v>23.220700000000001</v>
      </c>
      <c r="GP149">
        <v>800</v>
      </c>
      <c r="GQ149">
        <v>4.8315999999999999</v>
      </c>
      <c r="GR149">
        <v>99.780799999999999</v>
      </c>
      <c r="GS149">
        <v>99.6524</v>
      </c>
    </row>
    <row r="150" spans="1:201" x14ac:dyDescent="0.25">
      <c r="A150">
        <v>134</v>
      </c>
      <c r="B150">
        <v>1690305249.5999999</v>
      </c>
      <c r="C150">
        <v>1499.599999904633</v>
      </c>
      <c r="D150" t="s">
        <v>599</v>
      </c>
      <c r="E150" t="s">
        <v>600</v>
      </c>
      <c r="F150" t="s">
        <v>330</v>
      </c>
      <c r="H150">
        <v>1690305249.5999999</v>
      </c>
      <c r="I150">
        <f t="shared" si="60"/>
        <v>1.623410018914719E-3</v>
      </c>
      <c r="J150">
        <f t="shared" si="61"/>
        <v>1.6234100189147189</v>
      </c>
      <c r="K150">
        <f t="shared" si="62"/>
        <v>25.890571598859502</v>
      </c>
      <c r="L150">
        <f t="shared" si="63"/>
        <v>506.22199999999998</v>
      </c>
      <c r="M150">
        <f t="shared" si="64"/>
        <v>145.18517007134551</v>
      </c>
      <c r="N150">
        <f t="shared" si="65"/>
        <v>14.423889262318673</v>
      </c>
      <c r="O150">
        <f t="shared" si="66"/>
        <v>50.292258269638396</v>
      </c>
      <c r="P150">
        <f t="shared" si="67"/>
        <v>0.1202679635852443</v>
      </c>
      <c r="Q150">
        <f t="shared" si="68"/>
        <v>2.0979716378546027</v>
      </c>
      <c r="R150">
        <f t="shared" si="69"/>
        <v>0.11656486601490811</v>
      </c>
      <c r="S150">
        <f t="shared" si="70"/>
        <v>7.3176252038396353E-2</v>
      </c>
      <c r="T150">
        <f t="shared" si="71"/>
        <v>276.11672644800007</v>
      </c>
      <c r="U150">
        <f t="shared" si="72"/>
        <v>26.865302043711864</v>
      </c>
      <c r="V150">
        <f t="shared" si="73"/>
        <v>26.865302043711864</v>
      </c>
      <c r="W150">
        <f t="shared" si="74"/>
        <v>3.5509420240138359</v>
      </c>
      <c r="X150">
        <f t="shared" si="75"/>
        <v>68.506291345473585</v>
      </c>
      <c r="Y150">
        <f t="shared" si="76"/>
        <v>2.2074083253340802</v>
      </c>
      <c r="Z150">
        <f t="shared" si="77"/>
        <v>3.2221979645668419</v>
      </c>
      <c r="AA150">
        <f t="shared" si="78"/>
        <v>1.3435336986797557</v>
      </c>
      <c r="AB150">
        <f t="shared" si="79"/>
        <v>-71.592381834139104</v>
      </c>
      <c r="AC150">
        <f t="shared" si="80"/>
        <v>-185.75396358535193</v>
      </c>
      <c r="AD150">
        <f t="shared" si="81"/>
        <v>-18.926002652061282</v>
      </c>
      <c r="AE150">
        <f t="shared" si="82"/>
        <v>-0.15562162355226405</v>
      </c>
      <c r="AF150">
        <v>9</v>
      </c>
      <c r="AG150">
        <v>3</v>
      </c>
      <c r="AH150">
        <f t="shared" si="83"/>
        <v>1</v>
      </c>
      <c r="AI150">
        <f t="shared" si="84"/>
        <v>0</v>
      </c>
      <c r="AJ150">
        <f t="shared" si="85"/>
        <v>52706.908374449551</v>
      </c>
      <c r="AK150">
        <f t="shared" si="86"/>
        <v>1800</v>
      </c>
      <c r="AL150">
        <f t="shared" si="87"/>
        <v>1499.1108857999998</v>
      </c>
      <c r="AM150">
        <f t="shared" si="88"/>
        <v>0.83283938099999988</v>
      </c>
      <c r="AN150">
        <f t="shared" si="89"/>
        <v>0.15339818136000002</v>
      </c>
      <c r="AO150">
        <v>33</v>
      </c>
      <c r="AP150">
        <v>0.5</v>
      </c>
      <c r="AQ150" t="s">
        <v>331</v>
      </c>
      <c r="AR150">
        <v>2</v>
      </c>
      <c r="AS150">
        <v>1690305249.5999999</v>
      </c>
      <c r="AT150">
        <v>506.22199999999998</v>
      </c>
      <c r="AU150">
        <v>800.01800000000003</v>
      </c>
      <c r="AV150">
        <v>22.218900000000001</v>
      </c>
      <c r="AW150">
        <v>4.7605500000000003</v>
      </c>
      <c r="AX150">
        <v>506.25700000000001</v>
      </c>
      <c r="AY150">
        <v>21.947099999999999</v>
      </c>
      <c r="AZ150">
        <v>300.041</v>
      </c>
      <c r="BA150">
        <v>99.2483</v>
      </c>
      <c r="BB150">
        <v>9.9927199999999994E-2</v>
      </c>
      <c r="BC150">
        <v>25.222999999999999</v>
      </c>
      <c r="BD150">
        <v>26.956900000000001</v>
      </c>
      <c r="BE150">
        <v>26.464400000000001</v>
      </c>
      <c r="BF150">
        <v>0</v>
      </c>
      <c r="BG150">
        <v>0</v>
      </c>
      <c r="BH150">
        <v>9983.1200000000008</v>
      </c>
      <c r="BI150">
        <v>1053.96</v>
      </c>
      <c r="BJ150">
        <v>1.62592</v>
      </c>
      <c r="BK150">
        <v>-293.79599999999999</v>
      </c>
      <c r="BL150">
        <v>517.726</v>
      </c>
      <c r="BM150">
        <v>803.84500000000003</v>
      </c>
      <c r="BN150">
        <v>17.458400000000001</v>
      </c>
      <c r="BO150">
        <v>800.01800000000003</v>
      </c>
      <c r="BP150">
        <v>4.7605500000000003</v>
      </c>
      <c r="BQ150">
        <v>2.20519</v>
      </c>
      <c r="BR150">
        <v>0.47247699999999998</v>
      </c>
      <c r="BS150">
        <v>19.0001</v>
      </c>
      <c r="BT150">
        <v>-3.5465100000000001</v>
      </c>
      <c r="BU150">
        <v>1800</v>
      </c>
      <c r="BV150">
        <v>0.90997899999999998</v>
      </c>
      <c r="BW150">
        <v>3.3998399999999998E-2</v>
      </c>
      <c r="BX150">
        <v>2.2009299999999999E-2</v>
      </c>
      <c r="BY150">
        <v>3.4013399999999999E-2</v>
      </c>
      <c r="BZ150">
        <v>26</v>
      </c>
      <c r="CA150">
        <v>33528.199999999997</v>
      </c>
      <c r="CB150">
        <v>1690303320.5</v>
      </c>
      <c r="CC150" t="s">
        <v>332</v>
      </c>
      <c r="CD150">
        <v>1690303320.5</v>
      </c>
      <c r="CE150">
        <v>1690303310.0999999</v>
      </c>
      <c r="CF150">
        <v>8</v>
      </c>
      <c r="CG150">
        <v>7.3999999999999996E-2</v>
      </c>
      <c r="CH150">
        <v>-0.01</v>
      </c>
      <c r="CI150">
        <v>-0.24199999999999999</v>
      </c>
      <c r="CJ150">
        <v>0.27200000000000002</v>
      </c>
      <c r="CK150">
        <v>800</v>
      </c>
      <c r="CL150">
        <v>23</v>
      </c>
      <c r="CM150">
        <v>0.06</v>
      </c>
      <c r="CN150">
        <v>0.09</v>
      </c>
      <c r="CO150">
        <v>-290.79700000000003</v>
      </c>
      <c r="CP150">
        <v>-16.145390160351941</v>
      </c>
      <c r="CQ150">
        <v>1.588710030488766</v>
      </c>
      <c r="CR150">
        <v>-1</v>
      </c>
      <c r="CS150">
        <v>17.229475609756101</v>
      </c>
      <c r="CT150">
        <v>1.1467171799554701</v>
      </c>
      <c r="CU150">
        <v>0.1147887408018404</v>
      </c>
      <c r="CV150">
        <v>-1</v>
      </c>
      <c r="CW150">
        <v>0</v>
      </c>
      <c r="CX150">
        <v>0</v>
      </c>
      <c r="CY150" t="s">
        <v>333</v>
      </c>
      <c r="CZ150">
        <v>2.36422</v>
      </c>
      <c r="DA150">
        <v>2.7136999999999998</v>
      </c>
      <c r="DB150">
        <v>0.106831</v>
      </c>
      <c r="DC150">
        <v>0.14630899999999999</v>
      </c>
      <c r="DD150">
        <v>0.10773000000000001</v>
      </c>
      <c r="DE150">
        <v>3.2632799999999997E-2</v>
      </c>
      <c r="DF150">
        <v>32625.4</v>
      </c>
      <c r="DG150">
        <v>27533</v>
      </c>
      <c r="DH150">
        <v>31183.5</v>
      </c>
      <c r="DI150">
        <v>28102.9</v>
      </c>
      <c r="DJ150">
        <v>37777.1</v>
      </c>
      <c r="DK150">
        <v>38667.5</v>
      </c>
      <c r="DL150">
        <v>44381</v>
      </c>
      <c r="DM150">
        <v>42600.800000000003</v>
      </c>
      <c r="DN150">
        <v>1.4437199999999999</v>
      </c>
      <c r="DO150">
        <v>2.0372699999999999</v>
      </c>
      <c r="DP150">
        <v>0.16537299999999999</v>
      </c>
      <c r="DQ150">
        <v>0.14480199999999999</v>
      </c>
      <c r="DR150">
        <v>24.246200000000002</v>
      </c>
      <c r="DS150">
        <v>24.089600000000001</v>
      </c>
      <c r="DT150">
        <v>43.1</v>
      </c>
      <c r="DU150">
        <v>29.1</v>
      </c>
      <c r="DV150">
        <v>17.566099999999999</v>
      </c>
      <c r="DW150">
        <v>61.713000000000001</v>
      </c>
      <c r="DX150">
        <v>36.101799999999997</v>
      </c>
      <c r="DY150">
        <v>1</v>
      </c>
      <c r="DZ150">
        <v>-9.4311500000000006E-2</v>
      </c>
      <c r="EA150">
        <v>1.0626599999999999</v>
      </c>
      <c r="EB150">
        <v>20.184699999999999</v>
      </c>
      <c r="EC150">
        <v>5.2409499999999998</v>
      </c>
      <c r="ED150">
        <v>12.039899999999999</v>
      </c>
      <c r="EE150">
        <v>5.0167999999999999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1.8689100000000001</v>
      </c>
      <c r="EL150">
        <v>1.8646199999999999</v>
      </c>
      <c r="EM150">
        <v>1.8692</v>
      </c>
      <c r="EN150">
        <v>1.8672200000000001</v>
      </c>
      <c r="EO150">
        <v>1.8633900000000001</v>
      </c>
      <c r="EP150">
        <v>1.8644700000000001</v>
      </c>
      <c r="EQ150">
        <v>1.8702099999999999</v>
      </c>
      <c r="ER150">
        <v>1.86941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-3.5000000000000003E-2</v>
      </c>
      <c r="FG150">
        <v>0.27179999999999999</v>
      </c>
      <c r="FH150">
        <v>0.30965466913576151</v>
      </c>
      <c r="FI150">
        <v>-6.1462078757559423E-4</v>
      </c>
      <c r="FJ150">
        <v>-1.8861989874597051E-7</v>
      </c>
      <c r="FK150">
        <v>1.1980462299894961E-10</v>
      </c>
      <c r="FL150">
        <v>0.27184999999999349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32.200000000000003</v>
      </c>
      <c r="FU150">
        <v>32.299999999999997</v>
      </c>
      <c r="FV150">
        <v>1.7712399999999999</v>
      </c>
      <c r="FW150">
        <v>2.5878899999999998</v>
      </c>
      <c r="FX150">
        <v>1.5490699999999999</v>
      </c>
      <c r="FY150">
        <v>2.3278799999999999</v>
      </c>
      <c r="FZ150">
        <v>1.50146</v>
      </c>
      <c r="GA150">
        <v>2.3315399999999999</v>
      </c>
      <c r="GB150">
        <v>33.8735</v>
      </c>
      <c r="GC150">
        <v>23.982399999999998</v>
      </c>
      <c r="GD150">
        <v>19</v>
      </c>
      <c r="GE150">
        <v>269.25900000000001</v>
      </c>
      <c r="GF150">
        <v>583.95100000000002</v>
      </c>
      <c r="GG150">
        <v>22.957999999999998</v>
      </c>
      <c r="GH150">
        <v>26.1706</v>
      </c>
      <c r="GI150">
        <v>30.0001</v>
      </c>
      <c r="GJ150">
        <v>26.347000000000001</v>
      </c>
      <c r="GK150">
        <v>26.342300000000002</v>
      </c>
      <c r="GL150">
        <v>35.405999999999999</v>
      </c>
      <c r="GM150">
        <v>68.736199999999997</v>
      </c>
      <c r="GN150">
        <v>53.133400000000002</v>
      </c>
      <c r="GO150">
        <v>22.953499999999998</v>
      </c>
      <c r="GP150">
        <v>800</v>
      </c>
      <c r="GQ150">
        <v>4.6259899999999998</v>
      </c>
      <c r="GR150">
        <v>99.779200000000003</v>
      </c>
      <c r="GS150">
        <v>99.652000000000001</v>
      </c>
    </row>
    <row r="151" spans="1:201" x14ac:dyDescent="0.25">
      <c r="A151">
        <v>135</v>
      </c>
      <c r="B151">
        <v>1690305259.5999999</v>
      </c>
      <c r="C151">
        <v>1509.599999904633</v>
      </c>
      <c r="D151" t="s">
        <v>601</v>
      </c>
      <c r="E151" t="s">
        <v>602</v>
      </c>
      <c r="F151" t="s">
        <v>330</v>
      </c>
      <c r="H151">
        <v>1690305259.5999999</v>
      </c>
      <c r="I151">
        <f t="shared" si="60"/>
        <v>1.6393219514828292E-3</v>
      </c>
      <c r="J151">
        <f t="shared" si="61"/>
        <v>1.6393219514828292</v>
      </c>
      <c r="K151">
        <f t="shared" si="62"/>
        <v>26.144460471832797</v>
      </c>
      <c r="L151">
        <f t="shared" si="63"/>
        <v>503.65800000000002</v>
      </c>
      <c r="M151">
        <f t="shared" si="64"/>
        <v>143.56115536966888</v>
      </c>
      <c r="N151">
        <f t="shared" si="65"/>
        <v>14.262486530607498</v>
      </c>
      <c r="O151">
        <f t="shared" si="66"/>
        <v>50.037319792637994</v>
      </c>
      <c r="P151">
        <f t="shared" si="67"/>
        <v>0.1217908761492261</v>
      </c>
      <c r="Q151">
        <f t="shared" si="68"/>
        <v>2.09704429920617</v>
      </c>
      <c r="R151">
        <f t="shared" si="69"/>
        <v>0.11799337350766007</v>
      </c>
      <c r="S151">
        <f t="shared" si="70"/>
        <v>7.4077185496100817E-2</v>
      </c>
      <c r="T151">
        <f t="shared" si="71"/>
        <v>276.116745186</v>
      </c>
      <c r="U151">
        <f t="shared" si="72"/>
        <v>26.839256721452795</v>
      </c>
      <c r="V151">
        <f t="shared" si="73"/>
        <v>26.839256721452795</v>
      </c>
      <c r="W151">
        <f t="shared" si="74"/>
        <v>3.5455082937500664</v>
      </c>
      <c r="X151">
        <f t="shared" si="75"/>
        <v>68.523256440568829</v>
      </c>
      <c r="Y151">
        <f t="shared" si="76"/>
        <v>2.2051836216426</v>
      </c>
      <c r="Z151">
        <f t="shared" si="77"/>
        <v>3.2181535674026036</v>
      </c>
      <c r="AA151">
        <f t="shared" si="78"/>
        <v>1.3403246721074664</v>
      </c>
      <c r="AB151">
        <f t="shared" si="79"/>
        <v>-72.29409806039277</v>
      </c>
      <c r="AC151">
        <f t="shared" si="80"/>
        <v>-185.11275959552552</v>
      </c>
      <c r="AD151">
        <f t="shared" si="81"/>
        <v>-18.864549788575218</v>
      </c>
      <c r="AE151">
        <f t="shared" si="82"/>
        <v>-0.15466225849351645</v>
      </c>
      <c r="AF151">
        <v>9</v>
      </c>
      <c r="AG151">
        <v>3</v>
      </c>
      <c r="AH151">
        <f t="shared" si="83"/>
        <v>1</v>
      </c>
      <c r="AI151">
        <f t="shared" si="84"/>
        <v>0</v>
      </c>
      <c r="AJ151">
        <f t="shared" si="85"/>
        <v>52669.229061794569</v>
      </c>
      <c r="AK151">
        <f t="shared" si="86"/>
        <v>1800</v>
      </c>
      <c r="AL151">
        <f t="shared" si="87"/>
        <v>1499.1113015999997</v>
      </c>
      <c r="AM151">
        <f t="shared" si="88"/>
        <v>0.8328396119999999</v>
      </c>
      <c r="AN151">
        <f t="shared" si="89"/>
        <v>0.15339819177</v>
      </c>
      <c r="AO151">
        <v>33</v>
      </c>
      <c r="AP151">
        <v>0.5</v>
      </c>
      <c r="AQ151" t="s">
        <v>331</v>
      </c>
      <c r="AR151">
        <v>2</v>
      </c>
      <c r="AS151">
        <v>1690305259.5999999</v>
      </c>
      <c r="AT151">
        <v>503.65800000000002</v>
      </c>
      <c r="AU151">
        <v>800.10400000000004</v>
      </c>
      <c r="AV151">
        <v>22.1966</v>
      </c>
      <c r="AW151">
        <v>4.5777099999999997</v>
      </c>
      <c r="AX151">
        <v>503.69</v>
      </c>
      <c r="AY151">
        <v>21.924700000000001</v>
      </c>
      <c r="AZ151">
        <v>300.22800000000001</v>
      </c>
      <c r="BA151">
        <v>99.247799999999998</v>
      </c>
      <c r="BB151">
        <v>0.100011</v>
      </c>
      <c r="BC151">
        <v>25.201899999999998</v>
      </c>
      <c r="BD151">
        <v>26.9236</v>
      </c>
      <c r="BE151">
        <v>26.4251</v>
      </c>
      <c r="BF151">
        <v>0</v>
      </c>
      <c r="BG151">
        <v>0</v>
      </c>
      <c r="BH151">
        <v>9975</v>
      </c>
      <c r="BI151">
        <v>1053.96</v>
      </c>
      <c r="BJ151">
        <v>1.62592</v>
      </c>
      <c r="BK151">
        <v>-296.447</v>
      </c>
      <c r="BL151">
        <v>515.09100000000001</v>
      </c>
      <c r="BM151">
        <v>803.78399999999999</v>
      </c>
      <c r="BN151">
        <v>17.6188</v>
      </c>
      <c r="BO151">
        <v>800.10400000000004</v>
      </c>
      <c r="BP151">
        <v>4.5777099999999997</v>
      </c>
      <c r="BQ151">
        <v>2.20296</v>
      </c>
      <c r="BR151">
        <v>0.45432699999999998</v>
      </c>
      <c r="BS151">
        <v>18.983799999999999</v>
      </c>
      <c r="BT151">
        <v>-4.0689099999999998</v>
      </c>
      <c r="BU151">
        <v>1800</v>
      </c>
      <c r="BV151">
        <v>0.90998000000000001</v>
      </c>
      <c r="BW151">
        <v>3.3998100000000003E-2</v>
      </c>
      <c r="BX151">
        <v>2.20091E-2</v>
      </c>
      <c r="BY151">
        <v>3.4013099999999998E-2</v>
      </c>
      <c r="BZ151">
        <v>26</v>
      </c>
      <c r="CA151">
        <v>33528.199999999997</v>
      </c>
      <c r="CB151">
        <v>1690303320.5</v>
      </c>
      <c r="CC151" t="s">
        <v>332</v>
      </c>
      <c r="CD151">
        <v>1690303320.5</v>
      </c>
      <c r="CE151">
        <v>1690303310.0999999</v>
      </c>
      <c r="CF151">
        <v>8</v>
      </c>
      <c r="CG151">
        <v>7.3999999999999996E-2</v>
      </c>
      <c r="CH151">
        <v>-0.01</v>
      </c>
      <c r="CI151">
        <v>-0.24199999999999999</v>
      </c>
      <c r="CJ151">
        <v>0.27200000000000002</v>
      </c>
      <c r="CK151">
        <v>800</v>
      </c>
      <c r="CL151">
        <v>23</v>
      </c>
      <c r="CM151">
        <v>0.06</v>
      </c>
      <c r="CN151">
        <v>0.09</v>
      </c>
      <c r="CO151">
        <v>-293.42741463414632</v>
      </c>
      <c r="CP151">
        <v>-15.986543888615969</v>
      </c>
      <c r="CQ151">
        <v>1.5310928342536669</v>
      </c>
      <c r="CR151">
        <v>-1</v>
      </c>
      <c r="CS151">
        <v>17.41921951219512</v>
      </c>
      <c r="CT151">
        <v>1.19691729769532</v>
      </c>
      <c r="CU151">
        <v>0.1154496220393567</v>
      </c>
      <c r="CV151">
        <v>-1</v>
      </c>
      <c r="CW151">
        <v>0</v>
      </c>
      <c r="CX151">
        <v>0</v>
      </c>
      <c r="CY151" t="s">
        <v>333</v>
      </c>
      <c r="CZ151">
        <v>2.3648400000000001</v>
      </c>
      <c r="DA151">
        <v>2.7137799999999999</v>
      </c>
      <c r="DB151">
        <v>0.106435</v>
      </c>
      <c r="DC151">
        <v>0.146316</v>
      </c>
      <c r="DD151">
        <v>0.107652</v>
      </c>
      <c r="DE151">
        <v>3.1577399999999999E-2</v>
      </c>
      <c r="DF151">
        <v>32640.1</v>
      </c>
      <c r="DG151">
        <v>27533.1</v>
      </c>
      <c r="DH151">
        <v>31183.8</v>
      </c>
      <c r="DI151">
        <v>28103.3</v>
      </c>
      <c r="DJ151">
        <v>37780.6</v>
      </c>
      <c r="DK151">
        <v>38710.199999999997</v>
      </c>
      <c r="DL151">
        <v>44381.3</v>
      </c>
      <c r="DM151">
        <v>42601.2</v>
      </c>
      <c r="DN151">
        <v>1.4447700000000001</v>
      </c>
      <c r="DO151">
        <v>2.0367999999999999</v>
      </c>
      <c r="DP151">
        <v>0.16278000000000001</v>
      </c>
      <c r="DQ151">
        <v>0.14185200000000001</v>
      </c>
      <c r="DR151">
        <v>24.255299999999998</v>
      </c>
      <c r="DS151">
        <v>24.098700000000001</v>
      </c>
      <c r="DT151">
        <v>42.7</v>
      </c>
      <c r="DU151">
        <v>29.1</v>
      </c>
      <c r="DV151">
        <v>17.404499999999999</v>
      </c>
      <c r="DW151">
        <v>61.582999999999998</v>
      </c>
      <c r="DX151">
        <v>35.881399999999999</v>
      </c>
      <c r="DY151">
        <v>1</v>
      </c>
      <c r="DZ151">
        <v>-9.4606200000000001E-2</v>
      </c>
      <c r="EA151">
        <v>0.50763899999999995</v>
      </c>
      <c r="EB151">
        <v>20.188400000000001</v>
      </c>
      <c r="EC151">
        <v>5.2408000000000001</v>
      </c>
      <c r="ED151">
        <v>12.039899999999999</v>
      </c>
      <c r="EE151">
        <v>5.0167000000000002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1.8689100000000001</v>
      </c>
      <c r="EL151">
        <v>1.8646199999999999</v>
      </c>
      <c r="EM151">
        <v>1.8692</v>
      </c>
      <c r="EN151">
        <v>1.8672200000000001</v>
      </c>
      <c r="EO151">
        <v>1.8633999999999999</v>
      </c>
      <c r="EP151">
        <v>1.8644700000000001</v>
      </c>
      <c r="EQ151">
        <v>1.87018</v>
      </c>
      <c r="ER151">
        <v>1.8694299999999999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-3.2000000000000001E-2</v>
      </c>
      <c r="FG151">
        <v>0.27189999999999998</v>
      </c>
      <c r="FH151">
        <v>0.30965466913576151</v>
      </c>
      <c r="FI151">
        <v>-6.1462078757559423E-4</v>
      </c>
      <c r="FJ151">
        <v>-1.8861989874597051E-7</v>
      </c>
      <c r="FK151">
        <v>1.1980462299894961E-10</v>
      </c>
      <c r="FL151">
        <v>0.27184999999999349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32.299999999999997</v>
      </c>
      <c r="FU151">
        <v>32.5</v>
      </c>
      <c r="FV151">
        <v>1.7700199999999999</v>
      </c>
      <c r="FW151">
        <v>2.5988799999999999</v>
      </c>
      <c r="FX151">
        <v>1.5490699999999999</v>
      </c>
      <c r="FY151">
        <v>2.3278799999999999</v>
      </c>
      <c r="FZ151">
        <v>1.50024</v>
      </c>
      <c r="GA151">
        <v>2.3144499999999999</v>
      </c>
      <c r="GB151">
        <v>33.896099999999997</v>
      </c>
      <c r="GC151">
        <v>23.982399999999998</v>
      </c>
      <c r="GD151">
        <v>19</v>
      </c>
      <c r="GE151">
        <v>269.678</v>
      </c>
      <c r="GF151">
        <v>583.52</v>
      </c>
      <c r="GG151">
        <v>22.933299999999999</v>
      </c>
      <c r="GH151">
        <v>26.168900000000001</v>
      </c>
      <c r="GI151">
        <v>29.9998</v>
      </c>
      <c r="GJ151">
        <v>26.343800000000002</v>
      </c>
      <c r="GK151">
        <v>26.338999999999999</v>
      </c>
      <c r="GL151">
        <v>35.399099999999997</v>
      </c>
      <c r="GM151">
        <v>69.306899999999999</v>
      </c>
      <c r="GN151">
        <v>52.342100000000002</v>
      </c>
      <c r="GO151">
        <v>22.988800000000001</v>
      </c>
      <c r="GP151">
        <v>800</v>
      </c>
      <c r="GQ151">
        <v>4.4381000000000004</v>
      </c>
      <c r="GR151">
        <v>99.779899999999998</v>
      </c>
      <c r="GS151">
        <v>99.653099999999995</v>
      </c>
    </row>
    <row r="152" spans="1:201" x14ac:dyDescent="0.25">
      <c r="A152">
        <v>136</v>
      </c>
      <c r="B152">
        <v>1690305269.5999999</v>
      </c>
      <c r="C152">
        <v>1519.599999904633</v>
      </c>
      <c r="D152" t="s">
        <v>603</v>
      </c>
      <c r="E152" t="s">
        <v>604</v>
      </c>
      <c r="F152" t="s">
        <v>330</v>
      </c>
      <c r="H152">
        <v>1690305269.5999999</v>
      </c>
      <c r="I152">
        <f t="shared" si="60"/>
        <v>1.659668160051991E-3</v>
      </c>
      <c r="J152">
        <f t="shared" si="61"/>
        <v>1.6596681600519909</v>
      </c>
      <c r="K152">
        <f t="shared" si="62"/>
        <v>26.353259014003477</v>
      </c>
      <c r="L152">
        <f t="shared" si="63"/>
        <v>501.07600000000002</v>
      </c>
      <c r="M152">
        <f t="shared" si="64"/>
        <v>143.5760968618734</v>
      </c>
      <c r="N152">
        <f t="shared" si="65"/>
        <v>14.264202178812697</v>
      </c>
      <c r="O152">
        <f t="shared" si="66"/>
        <v>49.781610777641603</v>
      </c>
      <c r="P152">
        <f t="shared" si="67"/>
        <v>0.12370245149376249</v>
      </c>
      <c r="Q152">
        <f t="shared" si="68"/>
        <v>2.1006803270441083</v>
      </c>
      <c r="R152">
        <f t="shared" si="69"/>
        <v>0.11979341503971867</v>
      </c>
      <c r="S152">
        <f t="shared" si="70"/>
        <v>7.5211805815093971E-2</v>
      </c>
      <c r="T152">
        <f t="shared" si="71"/>
        <v>276.11652924000003</v>
      </c>
      <c r="U152">
        <f t="shared" si="72"/>
        <v>26.835275322816322</v>
      </c>
      <c r="V152">
        <f t="shared" si="73"/>
        <v>26.835275322816322</v>
      </c>
      <c r="W152">
        <f t="shared" si="74"/>
        <v>3.5446783105983464</v>
      </c>
      <c r="X152">
        <f t="shared" si="75"/>
        <v>68.59020938265688</v>
      </c>
      <c r="Y152">
        <f t="shared" si="76"/>
        <v>2.2081005047129603</v>
      </c>
      <c r="Z152">
        <f t="shared" si="77"/>
        <v>3.2192648551256369</v>
      </c>
      <c r="AA152">
        <f t="shared" si="78"/>
        <v>1.3365778058853861</v>
      </c>
      <c r="AB152">
        <f t="shared" si="79"/>
        <v>-73.191365858292798</v>
      </c>
      <c r="AC152">
        <f t="shared" si="80"/>
        <v>-184.32596155622139</v>
      </c>
      <c r="AD152">
        <f t="shared" si="81"/>
        <v>-18.752024326098937</v>
      </c>
      <c r="AE152">
        <f t="shared" si="82"/>
        <v>-0.15282250061306968</v>
      </c>
      <c r="AF152">
        <v>9</v>
      </c>
      <c r="AG152">
        <v>3</v>
      </c>
      <c r="AH152">
        <f t="shared" si="83"/>
        <v>1</v>
      </c>
      <c r="AI152">
        <f t="shared" si="84"/>
        <v>0</v>
      </c>
      <c r="AJ152">
        <f t="shared" si="85"/>
        <v>52830.684222582087</v>
      </c>
      <c r="AK152">
        <f t="shared" si="86"/>
        <v>1800</v>
      </c>
      <c r="AL152">
        <f t="shared" si="87"/>
        <v>1499.1110369999997</v>
      </c>
      <c r="AM152">
        <f t="shared" si="88"/>
        <v>0.83283946499999983</v>
      </c>
      <c r="AN152">
        <f t="shared" si="89"/>
        <v>0.15339807180000001</v>
      </c>
      <c r="AO152">
        <v>33</v>
      </c>
      <c r="AP152">
        <v>0.5</v>
      </c>
      <c r="AQ152" t="s">
        <v>331</v>
      </c>
      <c r="AR152">
        <v>2</v>
      </c>
      <c r="AS152">
        <v>1690305269.5999999</v>
      </c>
      <c r="AT152">
        <v>501.07600000000002</v>
      </c>
      <c r="AU152">
        <v>800.01599999999996</v>
      </c>
      <c r="AV152">
        <v>22.2256</v>
      </c>
      <c r="AW152">
        <v>4.3806000000000003</v>
      </c>
      <c r="AX152">
        <v>501.10700000000003</v>
      </c>
      <c r="AY152">
        <v>21.953700000000001</v>
      </c>
      <c r="AZ152">
        <v>300.09399999999999</v>
      </c>
      <c r="BA152">
        <v>99.249499999999998</v>
      </c>
      <c r="BB152">
        <v>9.9921599999999999E-2</v>
      </c>
      <c r="BC152">
        <v>25.207699999999999</v>
      </c>
      <c r="BD152">
        <v>26.9453</v>
      </c>
      <c r="BE152">
        <v>26.421700000000001</v>
      </c>
      <c r="BF152">
        <v>0</v>
      </c>
      <c r="BG152">
        <v>0</v>
      </c>
      <c r="BH152">
        <v>10006.9</v>
      </c>
      <c r="BI152">
        <v>1054.1400000000001</v>
      </c>
      <c r="BJ152">
        <v>1.62592</v>
      </c>
      <c r="BK152">
        <v>-298.94</v>
      </c>
      <c r="BL152">
        <v>512.46600000000001</v>
      </c>
      <c r="BM152">
        <v>803.53599999999994</v>
      </c>
      <c r="BN152">
        <v>17.844999999999999</v>
      </c>
      <c r="BO152">
        <v>800.01599999999996</v>
      </c>
      <c r="BP152">
        <v>4.3806000000000003</v>
      </c>
      <c r="BQ152">
        <v>2.2058800000000001</v>
      </c>
      <c r="BR152">
        <v>0.43477300000000002</v>
      </c>
      <c r="BS152">
        <v>19.005099999999999</v>
      </c>
      <c r="BT152">
        <v>-4.6529100000000003</v>
      </c>
      <c r="BU152">
        <v>1800</v>
      </c>
      <c r="BV152">
        <v>0.90998199999999996</v>
      </c>
      <c r="BW152">
        <v>3.3997199999999998E-2</v>
      </c>
      <c r="BX152">
        <v>2.20085E-2</v>
      </c>
      <c r="BY152">
        <v>3.4012199999999999E-2</v>
      </c>
      <c r="BZ152">
        <v>26</v>
      </c>
      <c r="CA152">
        <v>33528.199999999997</v>
      </c>
      <c r="CB152">
        <v>1690303320.5</v>
      </c>
      <c r="CC152" t="s">
        <v>332</v>
      </c>
      <c r="CD152">
        <v>1690303320.5</v>
      </c>
      <c r="CE152">
        <v>1690303310.0999999</v>
      </c>
      <c r="CF152">
        <v>8</v>
      </c>
      <c r="CG152">
        <v>7.3999999999999996E-2</v>
      </c>
      <c r="CH152">
        <v>-0.01</v>
      </c>
      <c r="CI152">
        <v>-0.24199999999999999</v>
      </c>
      <c r="CJ152">
        <v>0.27200000000000002</v>
      </c>
      <c r="CK152">
        <v>800</v>
      </c>
      <c r="CL152">
        <v>23</v>
      </c>
      <c r="CM152">
        <v>0.06</v>
      </c>
      <c r="CN152">
        <v>0.09</v>
      </c>
      <c r="CO152">
        <v>-296.09057500000011</v>
      </c>
      <c r="CP152">
        <v>-15.561242026266051</v>
      </c>
      <c r="CQ152">
        <v>1.4977485417702781</v>
      </c>
      <c r="CR152">
        <v>-1</v>
      </c>
      <c r="CS152">
        <v>17.610022499999999</v>
      </c>
      <c r="CT152">
        <v>1.132864165103119</v>
      </c>
      <c r="CU152">
        <v>0.1095686097554861</v>
      </c>
      <c r="CV152">
        <v>-1</v>
      </c>
      <c r="CW152">
        <v>0</v>
      </c>
      <c r="CX152">
        <v>0</v>
      </c>
      <c r="CY152" t="s">
        <v>333</v>
      </c>
      <c r="CZ152">
        <v>2.3643999999999998</v>
      </c>
      <c r="DA152">
        <v>2.7137199999999999</v>
      </c>
      <c r="DB152">
        <v>0.10603899999999999</v>
      </c>
      <c r="DC152">
        <v>0.14630399999999999</v>
      </c>
      <c r="DD152">
        <v>0.107756</v>
      </c>
      <c r="DE152">
        <v>3.0427599999999999E-2</v>
      </c>
      <c r="DF152">
        <v>32655</v>
      </c>
      <c r="DG152">
        <v>27533.7</v>
      </c>
      <c r="DH152">
        <v>31184.3</v>
      </c>
      <c r="DI152">
        <v>28103.5</v>
      </c>
      <c r="DJ152">
        <v>37776.699999999997</v>
      </c>
      <c r="DK152">
        <v>38756.800000000003</v>
      </c>
      <c r="DL152">
        <v>44381.9</v>
      </c>
      <c r="DM152">
        <v>42601.8</v>
      </c>
      <c r="DN152">
        <v>1.4445300000000001</v>
      </c>
      <c r="DO152">
        <v>2.0363500000000001</v>
      </c>
      <c r="DP152">
        <v>0.16370399999999999</v>
      </c>
      <c r="DQ152">
        <v>0.141203</v>
      </c>
      <c r="DR152">
        <v>24.261900000000001</v>
      </c>
      <c r="DS152">
        <v>24.105899999999998</v>
      </c>
      <c r="DT152">
        <v>42.3</v>
      </c>
      <c r="DU152">
        <v>29.1</v>
      </c>
      <c r="DV152">
        <v>17.236799999999999</v>
      </c>
      <c r="DW152">
        <v>61.603000000000002</v>
      </c>
      <c r="DX152">
        <v>36.959099999999999</v>
      </c>
      <c r="DY152">
        <v>1</v>
      </c>
      <c r="DZ152">
        <v>-9.5327700000000001E-2</v>
      </c>
      <c r="EA152">
        <v>0.23932500000000001</v>
      </c>
      <c r="EB152">
        <v>20.189499999999999</v>
      </c>
      <c r="EC152">
        <v>5.2411000000000003</v>
      </c>
      <c r="ED152">
        <v>12.039899999999999</v>
      </c>
      <c r="EE152">
        <v>5.0166500000000003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</v>
      </c>
      <c r="EL152">
        <v>1.86463</v>
      </c>
      <c r="EM152">
        <v>1.8692</v>
      </c>
      <c r="EN152">
        <v>1.8672500000000001</v>
      </c>
      <c r="EO152">
        <v>1.8633999999999999</v>
      </c>
      <c r="EP152">
        <v>1.8644700000000001</v>
      </c>
      <c r="EQ152">
        <v>1.87019</v>
      </c>
      <c r="ER152">
        <v>1.8694200000000001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-3.1E-2</v>
      </c>
      <c r="FG152">
        <v>0.27189999999999998</v>
      </c>
      <c r="FH152">
        <v>0.30965466913576151</v>
      </c>
      <c r="FI152">
        <v>-6.1462078757559423E-4</v>
      </c>
      <c r="FJ152">
        <v>-1.8861989874597051E-7</v>
      </c>
      <c r="FK152">
        <v>1.1980462299894961E-10</v>
      </c>
      <c r="FL152">
        <v>0.27184999999999349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32.5</v>
      </c>
      <c r="FU152">
        <v>32.700000000000003</v>
      </c>
      <c r="FV152">
        <v>1.7700199999999999</v>
      </c>
      <c r="FW152">
        <v>2.5927699999999998</v>
      </c>
      <c r="FX152">
        <v>1.5490699999999999</v>
      </c>
      <c r="FY152">
        <v>2.3278799999999999</v>
      </c>
      <c r="FZ152">
        <v>1.50146</v>
      </c>
      <c r="GA152">
        <v>2.3730500000000001</v>
      </c>
      <c r="GB152">
        <v>33.896099999999997</v>
      </c>
      <c r="GC152">
        <v>23.982399999999998</v>
      </c>
      <c r="GD152">
        <v>19</v>
      </c>
      <c r="GE152">
        <v>269.56599999999997</v>
      </c>
      <c r="GF152">
        <v>583.12400000000002</v>
      </c>
      <c r="GG152">
        <v>23.0549</v>
      </c>
      <c r="GH152">
        <v>26.166699999999999</v>
      </c>
      <c r="GI152">
        <v>29.999700000000001</v>
      </c>
      <c r="GJ152">
        <v>26.3416</v>
      </c>
      <c r="GK152">
        <v>26.3369</v>
      </c>
      <c r="GL152">
        <v>35.396000000000001</v>
      </c>
      <c r="GM152">
        <v>70.448499999999996</v>
      </c>
      <c r="GN152">
        <v>51.557400000000001</v>
      </c>
      <c r="GO152">
        <v>23.091799999999999</v>
      </c>
      <c r="GP152">
        <v>800</v>
      </c>
      <c r="GQ152">
        <v>4.2140899999999997</v>
      </c>
      <c r="GR152">
        <v>99.781300000000002</v>
      </c>
      <c r="GS152">
        <v>99.654300000000006</v>
      </c>
    </row>
    <row r="153" spans="1:201" x14ac:dyDescent="0.25">
      <c r="A153">
        <v>137</v>
      </c>
      <c r="B153">
        <v>1690305279.5999999</v>
      </c>
      <c r="C153">
        <v>1529.599999904633</v>
      </c>
      <c r="D153" t="s">
        <v>605</v>
      </c>
      <c r="E153" t="s">
        <v>606</v>
      </c>
      <c r="F153" t="s">
        <v>330</v>
      </c>
      <c r="H153">
        <v>1690305279.5999999</v>
      </c>
      <c r="I153">
        <f t="shared" si="60"/>
        <v>1.6829271765751905E-3</v>
      </c>
      <c r="J153">
        <f t="shared" si="61"/>
        <v>1.6829271765751905</v>
      </c>
      <c r="K153">
        <f t="shared" si="62"/>
        <v>26.581488497091026</v>
      </c>
      <c r="L153">
        <f t="shared" si="63"/>
        <v>498.58</v>
      </c>
      <c r="M153">
        <f t="shared" si="64"/>
        <v>143.50835743971621</v>
      </c>
      <c r="N153">
        <f t="shared" si="65"/>
        <v>14.258085417157352</v>
      </c>
      <c r="O153">
        <f t="shared" si="66"/>
        <v>49.535764704662</v>
      </c>
      <c r="P153">
        <f t="shared" si="67"/>
        <v>0.12568093713713527</v>
      </c>
      <c r="Q153">
        <f t="shared" si="68"/>
        <v>2.1030591033586781</v>
      </c>
      <c r="R153">
        <f t="shared" si="69"/>
        <v>0.12165245728351949</v>
      </c>
      <c r="S153">
        <f t="shared" si="70"/>
        <v>7.6383972188754076E-2</v>
      </c>
      <c r="T153">
        <f t="shared" si="71"/>
        <v>276.11660743200002</v>
      </c>
      <c r="U153">
        <f t="shared" si="72"/>
        <v>26.840862031364491</v>
      </c>
      <c r="V153">
        <f t="shared" si="73"/>
        <v>26.840862031364491</v>
      </c>
      <c r="W153">
        <f t="shared" si="74"/>
        <v>3.5458429930288236</v>
      </c>
      <c r="X153">
        <f t="shared" si="75"/>
        <v>68.623638707252823</v>
      </c>
      <c r="Y153">
        <f t="shared" si="76"/>
        <v>2.2112158114384002</v>
      </c>
      <c r="Z153">
        <f t="shared" si="77"/>
        <v>3.2222363213227529</v>
      </c>
      <c r="AA153">
        <f t="shared" si="78"/>
        <v>1.3346271815904234</v>
      </c>
      <c r="AB153">
        <f t="shared" si="79"/>
        <v>-74.217088486965906</v>
      </c>
      <c r="AC153">
        <f t="shared" si="80"/>
        <v>-183.41071908602726</v>
      </c>
      <c r="AD153">
        <f t="shared" si="81"/>
        <v>-18.639778718747692</v>
      </c>
      <c r="AE153">
        <f t="shared" si="82"/>
        <v>-0.15097885974086012</v>
      </c>
      <c r="AF153">
        <v>9</v>
      </c>
      <c r="AG153">
        <v>3</v>
      </c>
      <c r="AH153">
        <f t="shared" si="83"/>
        <v>1</v>
      </c>
      <c r="AI153">
        <f t="shared" si="84"/>
        <v>0</v>
      </c>
      <c r="AJ153">
        <f t="shared" si="85"/>
        <v>52934.487852579601</v>
      </c>
      <c r="AK153">
        <f t="shared" si="86"/>
        <v>1800</v>
      </c>
      <c r="AL153">
        <f t="shared" si="87"/>
        <v>1499.1120251999998</v>
      </c>
      <c r="AM153">
        <f t="shared" si="88"/>
        <v>0.83284001399999996</v>
      </c>
      <c r="AN153">
        <f t="shared" si="89"/>
        <v>0.15339811524000002</v>
      </c>
      <c r="AO153">
        <v>33</v>
      </c>
      <c r="AP153">
        <v>0.5</v>
      </c>
      <c r="AQ153" t="s">
        <v>331</v>
      </c>
      <c r="AR153">
        <v>2</v>
      </c>
      <c r="AS153">
        <v>1690305279.5999999</v>
      </c>
      <c r="AT153">
        <v>498.58</v>
      </c>
      <c r="AU153">
        <v>800.17100000000005</v>
      </c>
      <c r="AV153">
        <v>22.256</v>
      </c>
      <c r="AW153">
        <v>4.1579199999999998</v>
      </c>
      <c r="AX153">
        <v>498.60899999999998</v>
      </c>
      <c r="AY153">
        <v>21.984200000000001</v>
      </c>
      <c r="AZ153">
        <v>300.03500000000003</v>
      </c>
      <c r="BA153">
        <v>99.253799999999998</v>
      </c>
      <c r="BB153">
        <v>9.9893899999999994E-2</v>
      </c>
      <c r="BC153">
        <v>25.223199999999999</v>
      </c>
      <c r="BD153">
        <v>26.920200000000001</v>
      </c>
      <c r="BE153">
        <v>26.455400000000001</v>
      </c>
      <c r="BF153">
        <v>0</v>
      </c>
      <c r="BG153">
        <v>0</v>
      </c>
      <c r="BH153">
        <v>10027.5</v>
      </c>
      <c r="BI153">
        <v>1054.29</v>
      </c>
      <c r="BJ153">
        <v>1.5726500000000001</v>
      </c>
      <c r="BK153">
        <v>-301.58999999999997</v>
      </c>
      <c r="BL153">
        <v>509.92899999999997</v>
      </c>
      <c r="BM153">
        <v>803.51199999999994</v>
      </c>
      <c r="BN153">
        <v>18.098099999999999</v>
      </c>
      <c r="BO153">
        <v>800.17100000000005</v>
      </c>
      <c r="BP153">
        <v>4.1579199999999998</v>
      </c>
      <c r="BQ153">
        <v>2.20899</v>
      </c>
      <c r="BR153">
        <v>0.41268899999999997</v>
      </c>
      <c r="BS153">
        <v>19.027699999999999</v>
      </c>
      <c r="BT153">
        <v>-5.3411600000000004</v>
      </c>
      <c r="BU153">
        <v>1800</v>
      </c>
      <c r="BV153">
        <v>0.90998400000000002</v>
      </c>
      <c r="BW153">
        <v>3.3996600000000002E-2</v>
      </c>
      <c r="BX153">
        <v>2.2008199999999999E-2</v>
      </c>
      <c r="BY153">
        <v>3.4011600000000003E-2</v>
      </c>
      <c r="BZ153">
        <v>26</v>
      </c>
      <c r="CA153">
        <v>33528.199999999997</v>
      </c>
      <c r="CB153">
        <v>1690303320.5</v>
      </c>
      <c r="CC153" t="s">
        <v>332</v>
      </c>
      <c r="CD153">
        <v>1690303320.5</v>
      </c>
      <c r="CE153">
        <v>1690303310.0999999</v>
      </c>
      <c r="CF153">
        <v>8</v>
      </c>
      <c r="CG153">
        <v>7.3999999999999996E-2</v>
      </c>
      <c r="CH153">
        <v>-0.01</v>
      </c>
      <c r="CI153">
        <v>-0.24199999999999999</v>
      </c>
      <c r="CJ153">
        <v>0.27200000000000002</v>
      </c>
      <c r="CK153">
        <v>800</v>
      </c>
      <c r="CL153">
        <v>23</v>
      </c>
      <c r="CM153">
        <v>0.06</v>
      </c>
      <c r="CN153">
        <v>0.09</v>
      </c>
      <c r="CO153">
        <v>-298.62625000000003</v>
      </c>
      <c r="CP153">
        <v>-14.666026266415701</v>
      </c>
      <c r="CQ153">
        <v>1.4115637737984079</v>
      </c>
      <c r="CR153">
        <v>-1</v>
      </c>
      <c r="CS153">
        <v>17.820274999999999</v>
      </c>
      <c r="CT153">
        <v>1.4174769230768951</v>
      </c>
      <c r="CU153">
        <v>0.13642862373783579</v>
      </c>
      <c r="CV153">
        <v>-1</v>
      </c>
      <c r="CW153">
        <v>0</v>
      </c>
      <c r="CX153">
        <v>0</v>
      </c>
      <c r="CY153" t="s">
        <v>333</v>
      </c>
      <c r="CZ153">
        <v>2.3641800000000002</v>
      </c>
      <c r="DA153">
        <v>2.7137099999999998</v>
      </c>
      <c r="DB153">
        <v>0.105658</v>
      </c>
      <c r="DC153">
        <v>0.14632600000000001</v>
      </c>
      <c r="DD153">
        <v>0.107866</v>
      </c>
      <c r="DE153">
        <v>2.9112900000000001E-2</v>
      </c>
      <c r="DF153">
        <v>32669.4</v>
      </c>
      <c r="DG153">
        <v>27533.5</v>
      </c>
      <c r="DH153">
        <v>31184.7</v>
      </c>
      <c r="DI153">
        <v>28104.1</v>
      </c>
      <c r="DJ153">
        <v>37772.6</v>
      </c>
      <c r="DK153">
        <v>38810.199999999997</v>
      </c>
      <c r="DL153">
        <v>44382.7</v>
      </c>
      <c r="DM153">
        <v>42602.5</v>
      </c>
      <c r="DN153">
        <v>1.4448799999999999</v>
      </c>
      <c r="DO153">
        <v>2.036</v>
      </c>
      <c r="DP153">
        <v>0.161827</v>
      </c>
      <c r="DQ153">
        <v>0.14283499999999999</v>
      </c>
      <c r="DR153">
        <v>24.267499999999998</v>
      </c>
      <c r="DS153">
        <v>24.1129</v>
      </c>
      <c r="DT153">
        <v>41.9</v>
      </c>
      <c r="DU153">
        <v>29.1</v>
      </c>
      <c r="DV153">
        <v>17.078199999999999</v>
      </c>
      <c r="DW153">
        <v>61.143000000000001</v>
      </c>
      <c r="DX153">
        <v>37.159500000000001</v>
      </c>
      <c r="DY153">
        <v>1</v>
      </c>
      <c r="DZ153">
        <v>-9.5627500000000004E-2</v>
      </c>
      <c r="EA153">
        <v>0.20300099999999999</v>
      </c>
      <c r="EB153">
        <v>20.189699999999998</v>
      </c>
      <c r="EC153">
        <v>5.2408000000000001</v>
      </c>
      <c r="ED153">
        <v>12.039899999999999</v>
      </c>
      <c r="EE153">
        <v>5.0168499999999998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1.8689100000000001</v>
      </c>
      <c r="EL153">
        <v>1.8646199999999999</v>
      </c>
      <c r="EM153">
        <v>1.8692</v>
      </c>
      <c r="EN153">
        <v>1.8672200000000001</v>
      </c>
      <c r="EO153">
        <v>1.8633999999999999</v>
      </c>
      <c r="EP153">
        <v>1.8644700000000001</v>
      </c>
      <c r="EQ153">
        <v>1.8702000000000001</v>
      </c>
      <c r="ER153">
        <v>1.8694599999999999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-2.9000000000000001E-2</v>
      </c>
      <c r="FG153">
        <v>0.27179999999999999</v>
      </c>
      <c r="FH153">
        <v>0.30965466913576151</v>
      </c>
      <c r="FI153">
        <v>-6.1462078757559423E-4</v>
      </c>
      <c r="FJ153">
        <v>-1.8861989874597051E-7</v>
      </c>
      <c r="FK153">
        <v>1.1980462299894961E-10</v>
      </c>
      <c r="FL153">
        <v>0.27184999999999349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32.700000000000003</v>
      </c>
      <c r="FU153">
        <v>32.799999999999997</v>
      </c>
      <c r="FV153">
        <v>1.7700199999999999</v>
      </c>
      <c r="FW153">
        <v>2.5854499999999998</v>
      </c>
      <c r="FX153">
        <v>1.5490699999999999</v>
      </c>
      <c r="FY153">
        <v>2.3278799999999999</v>
      </c>
      <c r="FZ153">
        <v>1.50146</v>
      </c>
      <c r="GA153">
        <v>2.3889200000000002</v>
      </c>
      <c r="GB153">
        <v>33.896099999999997</v>
      </c>
      <c r="GC153">
        <v>23.991199999999999</v>
      </c>
      <c r="GD153">
        <v>19</v>
      </c>
      <c r="GE153">
        <v>269.70100000000002</v>
      </c>
      <c r="GF153">
        <v>582.798</v>
      </c>
      <c r="GG153">
        <v>23.165900000000001</v>
      </c>
      <c r="GH153">
        <v>26.1647</v>
      </c>
      <c r="GI153">
        <v>30</v>
      </c>
      <c r="GJ153">
        <v>26.339400000000001</v>
      </c>
      <c r="GK153">
        <v>26.333500000000001</v>
      </c>
      <c r="GL153">
        <v>35.386000000000003</v>
      </c>
      <c r="GM153">
        <v>71.612399999999994</v>
      </c>
      <c r="GN153">
        <v>50.752299999999998</v>
      </c>
      <c r="GO153">
        <v>23.1861</v>
      </c>
      <c r="GP153">
        <v>800</v>
      </c>
      <c r="GQ153">
        <v>3.97784</v>
      </c>
      <c r="GR153">
        <v>99.783000000000001</v>
      </c>
      <c r="GS153">
        <v>99.656099999999995</v>
      </c>
    </row>
    <row r="154" spans="1:201" x14ac:dyDescent="0.25">
      <c r="A154">
        <v>138</v>
      </c>
      <c r="B154">
        <v>1690305289.5999999</v>
      </c>
      <c r="C154">
        <v>1539.599999904633</v>
      </c>
      <c r="D154" t="s">
        <v>607</v>
      </c>
      <c r="E154" t="s">
        <v>608</v>
      </c>
      <c r="F154" t="s">
        <v>330</v>
      </c>
      <c r="H154">
        <v>1690305289.5999999</v>
      </c>
      <c r="I154">
        <f t="shared" si="60"/>
        <v>1.7082052273323046E-3</v>
      </c>
      <c r="J154">
        <f t="shared" si="61"/>
        <v>1.7082052273323047</v>
      </c>
      <c r="K154">
        <f t="shared" si="62"/>
        <v>26.799906695241795</v>
      </c>
      <c r="L154">
        <f t="shared" si="63"/>
        <v>496.202</v>
      </c>
      <c r="M154">
        <f t="shared" si="64"/>
        <v>143.38444360326184</v>
      </c>
      <c r="N154">
        <f t="shared" si="65"/>
        <v>14.245793777787508</v>
      </c>
      <c r="O154">
        <f t="shared" si="66"/>
        <v>49.299569649862001</v>
      </c>
      <c r="P154">
        <f t="shared" si="67"/>
        <v>0.12759166405387648</v>
      </c>
      <c r="Q154">
        <f t="shared" si="68"/>
        <v>2.0983894764020481</v>
      </c>
      <c r="R154">
        <f t="shared" si="69"/>
        <v>0.12343302898755731</v>
      </c>
      <c r="S154">
        <f t="shared" si="70"/>
        <v>7.7507988626389107E-2</v>
      </c>
      <c r="T154">
        <f t="shared" si="71"/>
        <v>276.116448816</v>
      </c>
      <c r="U154">
        <f t="shared" si="72"/>
        <v>26.855550164683258</v>
      </c>
      <c r="V154">
        <f t="shared" si="73"/>
        <v>26.855550164683258</v>
      </c>
      <c r="W154">
        <f t="shared" si="74"/>
        <v>3.5489066781241125</v>
      </c>
      <c r="X154">
        <f t="shared" si="75"/>
        <v>68.620846647395553</v>
      </c>
      <c r="Y154">
        <f t="shared" si="76"/>
        <v>2.2138119977251001</v>
      </c>
      <c r="Z154">
        <f t="shared" si="77"/>
        <v>3.2261508067667122</v>
      </c>
      <c r="AA154">
        <f t="shared" si="78"/>
        <v>1.3350946803990125</v>
      </c>
      <c r="AB154">
        <f t="shared" si="79"/>
        <v>-75.331850525354639</v>
      </c>
      <c r="AC154">
        <f t="shared" si="80"/>
        <v>-182.35730021595748</v>
      </c>
      <c r="AD154">
        <f t="shared" si="81"/>
        <v>-18.577231183243512</v>
      </c>
      <c r="AE154">
        <f t="shared" si="82"/>
        <v>-0.14993310855561504</v>
      </c>
      <c r="AF154">
        <v>9</v>
      </c>
      <c r="AG154">
        <v>3</v>
      </c>
      <c r="AH154">
        <f t="shared" si="83"/>
        <v>1</v>
      </c>
      <c r="AI154">
        <f t="shared" si="84"/>
        <v>0</v>
      </c>
      <c r="AJ154">
        <f t="shared" si="85"/>
        <v>52722.043997750334</v>
      </c>
      <c r="AK154">
        <f t="shared" si="86"/>
        <v>1800</v>
      </c>
      <c r="AL154">
        <f t="shared" si="87"/>
        <v>1499.1120215999999</v>
      </c>
      <c r="AM154">
        <f t="shared" si="88"/>
        <v>0.83284001200000002</v>
      </c>
      <c r="AN154">
        <f t="shared" si="89"/>
        <v>0.15339802712</v>
      </c>
      <c r="AO154">
        <v>33</v>
      </c>
      <c r="AP154">
        <v>0.5</v>
      </c>
      <c r="AQ154" t="s">
        <v>331</v>
      </c>
      <c r="AR154">
        <v>2</v>
      </c>
      <c r="AS154">
        <v>1690305289.5999999</v>
      </c>
      <c r="AT154">
        <v>496.202</v>
      </c>
      <c r="AU154">
        <v>800.11199999999997</v>
      </c>
      <c r="AV154">
        <v>22.2821</v>
      </c>
      <c r="AW154">
        <v>3.9233799999999999</v>
      </c>
      <c r="AX154">
        <v>496.22899999999998</v>
      </c>
      <c r="AY154">
        <v>22.010300000000001</v>
      </c>
      <c r="AZ154">
        <v>300.20999999999998</v>
      </c>
      <c r="BA154">
        <v>99.253799999999998</v>
      </c>
      <c r="BB154">
        <v>0.10003099999999999</v>
      </c>
      <c r="BC154">
        <v>25.243600000000001</v>
      </c>
      <c r="BD154">
        <v>26.9343</v>
      </c>
      <c r="BE154">
        <v>26.452100000000002</v>
      </c>
      <c r="BF154">
        <v>0</v>
      </c>
      <c r="BG154">
        <v>0</v>
      </c>
      <c r="BH154">
        <v>9986.25</v>
      </c>
      <c r="BI154">
        <v>1054.5999999999999</v>
      </c>
      <c r="BJ154">
        <v>1.5362100000000001</v>
      </c>
      <c r="BK154">
        <v>-303.90899999999999</v>
      </c>
      <c r="BL154">
        <v>507.51100000000002</v>
      </c>
      <c r="BM154">
        <v>803.26300000000003</v>
      </c>
      <c r="BN154">
        <v>18.358799999999999</v>
      </c>
      <c r="BO154">
        <v>800.11199999999997</v>
      </c>
      <c r="BP154">
        <v>3.9233799999999999</v>
      </c>
      <c r="BQ154">
        <v>2.2115900000000002</v>
      </c>
      <c r="BR154">
        <v>0.38940999999999998</v>
      </c>
      <c r="BS154">
        <v>19.046500000000002</v>
      </c>
      <c r="BT154">
        <v>-6.1030600000000002</v>
      </c>
      <c r="BU154">
        <v>1800</v>
      </c>
      <c r="BV154">
        <v>0.90998599999999996</v>
      </c>
      <c r="BW154">
        <v>3.39958E-2</v>
      </c>
      <c r="BX154">
        <v>2.2007599999999999E-2</v>
      </c>
      <c r="BY154">
        <v>3.4010800000000001E-2</v>
      </c>
      <c r="BZ154">
        <v>26</v>
      </c>
      <c r="CA154">
        <v>33528.300000000003</v>
      </c>
      <c r="CB154">
        <v>1690303320.5</v>
      </c>
      <c r="CC154" t="s">
        <v>332</v>
      </c>
      <c r="CD154">
        <v>1690303320.5</v>
      </c>
      <c r="CE154">
        <v>1690303310.0999999</v>
      </c>
      <c r="CF154">
        <v>8</v>
      </c>
      <c r="CG154">
        <v>7.3999999999999996E-2</v>
      </c>
      <c r="CH154">
        <v>-0.01</v>
      </c>
      <c r="CI154">
        <v>-0.24199999999999999</v>
      </c>
      <c r="CJ154">
        <v>0.27200000000000002</v>
      </c>
      <c r="CK154">
        <v>800</v>
      </c>
      <c r="CL154">
        <v>23</v>
      </c>
      <c r="CM154">
        <v>0.06</v>
      </c>
      <c r="CN154">
        <v>0.09</v>
      </c>
      <c r="CO154">
        <v>-301.2278048780488</v>
      </c>
      <c r="CP154">
        <v>-15.41573519163768</v>
      </c>
      <c r="CQ154">
        <v>1.521734524129432</v>
      </c>
      <c r="CR154">
        <v>-1</v>
      </c>
      <c r="CS154">
        <v>18.07367073170732</v>
      </c>
      <c r="CT154">
        <v>1.5418724738676211</v>
      </c>
      <c r="CU154">
        <v>0.15207483915606379</v>
      </c>
      <c r="CV154">
        <v>-1</v>
      </c>
      <c r="CW154">
        <v>0</v>
      </c>
      <c r="CX154">
        <v>0</v>
      </c>
      <c r="CY154" t="s">
        <v>333</v>
      </c>
      <c r="CZ154">
        <v>2.3647100000000001</v>
      </c>
      <c r="DA154">
        <v>2.7138100000000001</v>
      </c>
      <c r="DB154">
        <v>0.10528999999999999</v>
      </c>
      <c r="DC154">
        <v>0.146315</v>
      </c>
      <c r="DD154">
        <v>0.107958</v>
      </c>
      <c r="DE154">
        <v>2.77074E-2</v>
      </c>
      <c r="DF154">
        <v>32682.9</v>
      </c>
      <c r="DG154">
        <v>27533.5</v>
      </c>
      <c r="DH154">
        <v>31184.7</v>
      </c>
      <c r="DI154">
        <v>28103.7</v>
      </c>
      <c r="DJ154">
        <v>37768.400000000001</v>
      </c>
      <c r="DK154">
        <v>38866</v>
      </c>
      <c r="DL154">
        <v>44382.5</v>
      </c>
      <c r="DM154">
        <v>42602</v>
      </c>
      <c r="DN154">
        <v>1.4454499999999999</v>
      </c>
      <c r="DO154">
        <v>2.0363199999999999</v>
      </c>
      <c r="DP154">
        <v>0.162408</v>
      </c>
      <c r="DQ154">
        <v>0.14214199999999999</v>
      </c>
      <c r="DR154">
        <v>24.272200000000002</v>
      </c>
      <c r="DS154">
        <v>24.120999999999999</v>
      </c>
      <c r="DT154">
        <v>41.5</v>
      </c>
      <c r="DU154">
        <v>29.1</v>
      </c>
      <c r="DV154">
        <v>16.913900000000002</v>
      </c>
      <c r="DW154">
        <v>61.493000000000002</v>
      </c>
      <c r="DX154">
        <v>36.101799999999997</v>
      </c>
      <c r="DY154">
        <v>1</v>
      </c>
      <c r="DZ154">
        <v>-9.5874000000000001E-2</v>
      </c>
      <c r="EA154">
        <v>0.21540000000000001</v>
      </c>
      <c r="EB154">
        <v>20.189800000000002</v>
      </c>
      <c r="EC154">
        <v>5.2411000000000003</v>
      </c>
      <c r="ED154">
        <v>12.039899999999999</v>
      </c>
      <c r="EE154">
        <v>5.0169499999999996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1.8646199999999999</v>
      </c>
      <c r="EM154">
        <v>1.8692</v>
      </c>
      <c r="EN154">
        <v>1.8672200000000001</v>
      </c>
      <c r="EO154">
        <v>1.8633900000000001</v>
      </c>
      <c r="EP154">
        <v>1.8644700000000001</v>
      </c>
      <c r="EQ154">
        <v>1.87015</v>
      </c>
      <c r="ER154">
        <v>1.8694299999999999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-2.7E-2</v>
      </c>
      <c r="FG154">
        <v>0.27179999999999999</v>
      </c>
      <c r="FH154">
        <v>0.30965466913576151</v>
      </c>
      <c r="FI154">
        <v>-6.1462078757559423E-4</v>
      </c>
      <c r="FJ154">
        <v>-1.8861989874597051E-7</v>
      </c>
      <c r="FK154">
        <v>1.1980462299894961E-10</v>
      </c>
      <c r="FL154">
        <v>0.27184999999999349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32.799999999999997</v>
      </c>
      <c r="FU154">
        <v>33</v>
      </c>
      <c r="FV154">
        <v>1.7687999999999999</v>
      </c>
      <c r="FW154">
        <v>2.5903299999999998</v>
      </c>
      <c r="FX154">
        <v>1.5490699999999999</v>
      </c>
      <c r="FY154">
        <v>2.3278799999999999</v>
      </c>
      <c r="FZ154">
        <v>1.50146</v>
      </c>
      <c r="GA154">
        <v>2.3071299999999999</v>
      </c>
      <c r="GB154">
        <v>33.896099999999997</v>
      </c>
      <c r="GC154">
        <v>23.982399999999998</v>
      </c>
      <c r="GD154">
        <v>19</v>
      </c>
      <c r="GE154">
        <v>269.92599999999999</v>
      </c>
      <c r="GF154">
        <v>583.02800000000002</v>
      </c>
      <c r="GG154">
        <v>23.272300000000001</v>
      </c>
      <c r="GH154">
        <v>26.162500000000001</v>
      </c>
      <c r="GI154">
        <v>29.9999</v>
      </c>
      <c r="GJ154">
        <v>26.336500000000001</v>
      </c>
      <c r="GK154">
        <v>26.330200000000001</v>
      </c>
      <c r="GL154">
        <v>35.377200000000002</v>
      </c>
      <c r="GM154">
        <v>72.498000000000005</v>
      </c>
      <c r="GN154">
        <v>49.983800000000002</v>
      </c>
      <c r="GO154">
        <v>23.275700000000001</v>
      </c>
      <c r="GP154">
        <v>800</v>
      </c>
      <c r="GQ154">
        <v>3.74695</v>
      </c>
      <c r="GR154">
        <v>99.782600000000002</v>
      </c>
      <c r="GS154">
        <v>99.654899999999998</v>
      </c>
    </row>
    <row r="155" spans="1:201" x14ac:dyDescent="0.25">
      <c r="A155">
        <v>139</v>
      </c>
      <c r="B155">
        <v>1690305299.5999999</v>
      </c>
      <c r="C155">
        <v>1549.599999904633</v>
      </c>
      <c r="D155" t="s">
        <v>609</v>
      </c>
      <c r="E155" t="s">
        <v>610</v>
      </c>
      <c r="F155" t="s">
        <v>330</v>
      </c>
      <c r="H155">
        <v>1690305299.5999999</v>
      </c>
      <c r="I155">
        <f t="shared" si="60"/>
        <v>1.7306106629419516E-3</v>
      </c>
      <c r="J155">
        <f t="shared" si="61"/>
        <v>1.7306106629419515</v>
      </c>
      <c r="K155">
        <f t="shared" si="62"/>
        <v>27.007133664446698</v>
      </c>
      <c r="L155">
        <f t="shared" si="63"/>
        <v>493.77600000000001</v>
      </c>
      <c r="M155">
        <f t="shared" si="64"/>
        <v>142.72453649963288</v>
      </c>
      <c r="N155">
        <f t="shared" si="65"/>
        <v>14.179714386085628</v>
      </c>
      <c r="O155">
        <f t="shared" si="66"/>
        <v>49.056755218272002</v>
      </c>
      <c r="P155">
        <f t="shared" si="67"/>
        <v>0.12927020620174418</v>
      </c>
      <c r="Q155">
        <f t="shared" si="68"/>
        <v>2.1005411441654784</v>
      </c>
      <c r="R155">
        <f t="shared" si="69"/>
        <v>0.12500761744815522</v>
      </c>
      <c r="S155">
        <f t="shared" si="70"/>
        <v>7.8501028588177771E-2</v>
      </c>
      <c r="T155">
        <f t="shared" si="71"/>
        <v>276.11628382800001</v>
      </c>
      <c r="U155">
        <f t="shared" si="72"/>
        <v>26.863198604021111</v>
      </c>
      <c r="V155">
        <f t="shared" si="73"/>
        <v>26.863198604021111</v>
      </c>
      <c r="W155">
        <f t="shared" si="74"/>
        <v>3.550502922207694</v>
      </c>
      <c r="X155">
        <f t="shared" si="75"/>
        <v>68.58794436743139</v>
      </c>
      <c r="Y155">
        <f t="shared" si="76"/>
        <v>2.2150032644677999</v>
      </c>
      <c r="Z155">
        <f t="shared" si="77"/>
        <v>3.2294352672269064</v>
      </c>
      <c r="AA155">
        <f t="shared" si="78"/>
        <v>1.3354996577398941</v>
      </c>
      <c r="AB155">
        <f t="shared" si="79"/>
        <v>-76.31993023574006</v>
      </c>
      <c r="AC155">
        <f t="shared" si="80"/>
        <v>-181.47395151145386</v>
      </c>
      <c r="AD155">
        <f t="shared" si="81"/>
        <v>-18.470595932727601</v>
      </c>
      <c r="AE155">
        <f t="shared" si="82"/>
        <v>-0.1481938519214907</v>
      </c>
      <c r="AF155">
        <v>9</v>
      </c>
      <c r="AG155">
        <v>3</v>
      </c>
      <c r="AH155">
        <f t="shared" si="83"/>
        <v>1</v>
      </c>
      <c r="AI155">
        <f t="shared" si="84"/>
        <v>0</v>
      </c>
      <c r="AJ155">
        <f t="shared" si="85"/>
        <v>52815.088323660595</v>
      </c>
      <c r="AK155">
        <f t="shared" si="86"/>
        <v>1800</v>
      </c>
      <c r="AL155">
        <f t="shared" si="87"/>
        <v>1499.1116238</v>
      </c>
      <c r="AM155">
        <f t="shared" si="88"/>
        <v>0.83283979099999994</v>
      </c>
      <c r="AN155">
        <f t="shared" si="89"/>
        <v>0.15339793546</v>
      </c>
      <c r="AO155">
        <v>33</v>
      </c>
      <c r="AP155">
        <v>0.5</v>
      </c>
      <c r="AQ155" t="s">
        <v>331</v>
      </c>
      <c r="AR155">
        <v>2</v>
      </c>
      <c r="AS155">
        <v>1690305299.5999999</v>
      </c>
      <c r="AT155">
        <v>493.77600000000001</v>
      </c>
      <c r="AU155">
        <v>800.04200000000003</v>
      </c>
      <c r="AV155">
        <v>22.294899999999998</v>
      </c>
      <c r="AW155">
        <v>3.6955</v>
      </c>
      <c r="AX155">
        <v>493.80099999999999</v>
      </c>
      <c r="AY155">
        <v>22.023099999999999</v>
      </c>
      <c r="AZ155">
        <v>300.20800000000003</v>
      </c>
      <c r="BA155">
        <v>99.250200000000007</v>
      </c>
      <c r="BB155">
        <v>0.100022</v>
      </c>
      <c r="BC155">
        <v>25.2607</v>
      </c>
      <c r="BD155">
        <v>26.936599999999999</v>
      </c>
      <c r="BE155">
        <v>26.473299999999998</v>
      </c>
      <c r="BF155">
        <v>0</v>
      </c>
      <c r="BG155">
        <v>0</v>
      </c>
      <c r="BH155">
        <v>10005.6</v>
      </c>
      <c r="BI155">
        <v>1054.6500000000001</v>
      </c>
      <c r="BJ155">
        <v>1.68198</v>
      </c>
      <c r="BK155">
        <v>-306.26600000000002</v>
      </c>
      <c r="BL155">
        <v>505.036</v>
      </c>
      <c r="BM155">
        <v>803.01</v>
      </c>
      <c r="BN155">
        <v>18.599499999999999</v>
      </c>
      <c r="BO155">
        <v>800.04200000000003</v>
      </c>
      <c r="BP155">
        <v>3.6955</v>
      </c>
      <c r="BQ155">
        <v>2.21278</v>
      </c>
      <c r="BR155">
        <v>0.36677900000000002</v>
      </c>
      <c r="BS155">
        <v>19.055099999999999</v>
      </c>
      <c r="BT155">
        <v>-6.8835699999999997</v>
      </c>
      <c r="BU155">
        <v>1800</v>
      </c>
      <c r="BV155">
        <v>0.90998699999999999</v>
      </c>
      <c r="BW155">
        <v>3.3995299999999999E-2</v>
      </c>
      <c r="BX155">
        <v>2.20073E-2</v>
      </c>
      <c r="BY155">
        <v>3.4010199999999997E-2</v>
      </c>
      <c r="BZ155">
        <v>26</v>
      </c>
      <c r="CA155">
        <v>33528.300000000003</v>
      </c>
      <c r="CB155">
        <v>1690303320.5</v>
      </c>
      <c r="CC155" t="s">
        <v>332</v>
      </c>
      <c r="CD155">
        <v>1690303320.5</v>
      </c>
      <c r="CE155">
        <v>1690303310.0999999</v>
      </c>
      <c r="CF155">
        <v>8</v>
      </c>
      <c r="CG155">
        <v>7.3999999999999996E-2</v>
      </c>
      <c r="CH155">
        <v>-0.01</v>
      </c>
      <c r="CI155">
        <v>-0.24199999999999999</v>
      </c>
      <c r="CJ155">
        <v>0.27200000000000002</v>
      </c>
      <c r="CK155">
        <v>800</v>
      </c>
      <c r="CL155">
        <v>23</v>
      </c>
      <c r="CM155">
        <v>0.06</v>
      </c>
      <c r="CN155">
        <v>0.09</v>
      </c>
      <c r="CO155">
        <v>-303.64019999999999</v>
      </c>
      <c r="CP155">
        <v>-13.96054784240108</v>
      </c>
      <c r="CQ155">
        <v>1.343608968413059</v>
      </c>
      <c r="CR155">
        <v>-1</v>
      </c>
      <c r="CS155">
        <v>18.324024999999999</v>
      </c>
      <c r="CT155">
        <v>1.5352750469042831</v>
      </c>
      <c r="CU155">
        <v>0.14770825425479761</v>
      </c>
      <c r="CV155">
        <v>-1</v>
      </c>
      <c r="CW155">
        <v>0</v>
      </c>
      <c r="CX155">
        <v>0</v>
      </c>
      <c r="CY155" t="s">
        <v>333</v>
      </c>
      <c r="CZ155">
        <v>2.3647</v>
      </c>
      <c r="DA155">
        <v>2.7138200000000001</v>
      </c>
      <c r="DB155">
        <v>0.10491</v>
      </c>
      <c r="DC155">
        <v>0.14629800000000001</v>
      </c>
      <c r="DD155">
        <v>0.107999</v>
      </c>
      <c r="DE155">
        <v>2.6321000000000001E-2</v>
      </c>
      <c r="DF155">
        <v>32696.799999999999</v>
      </c>
      <c r="DG155">
        <v>27534.1</v>
      </c>
      <c r="DH155">
        <v>31184.7</v>
      </c>
      <c r="DI155">
        <v>28103.8</v>
      </c>
      <c r="DJ155">
        <v>37766.800000000003</v>
      </c>
      <c r="DK155">
        <v>38921.699999999997</v>
      </c>
      <c r="DL155">
        <v>44382.7</v>
      </c>
      <c r="DM155">
        <v>42602.1</v>
      </c>
      <c r="DN155">
        <v>1.4454</v>
      </c>
      <c r="DO155">
        <v>2.03565</v>
      </c>
      <c r="DP155">
        <v>0.16216900000000001</v>
      </c>
      <c r="DQ155">
        <v>0.14293900000000001</v>
      </c>
      <c r="DR155">
        <v>24.278400000000001</v>
      </c>
      <c r="DS155">
        <v>24.129200000000001</v>
      </c>
      <c r="DT155">
        <v>41.1</v>
      </c>
      <c r="DU155">
        <v>29.2</v>
      </c>
      <c r="DV155">
        <v>16.847100000000001</v>
      </c>
      <c r="DW155">
        <v>61.662999999999997</v>
      </c>
      <c r="DX155">
        <v>36.262</v>
      </c>
      <c r="DY155">
        <v>1</v>
      </c>
      <c r="DZ155">
        <v>-9.6069600000000005E-2</v>
      </c>
      <c r="EA155">
        <v>0.169627</v>
      </c>
      <c r="EB155">
        <v>20.189900000000002</v>
      </c>
      <c r="EC155">
        <v>5.24125</v>
      </c>
      <c r="ED155">
        <v>12.039899999999999</v>
      </c>
      <c r="EE155">
        <v>5.0170500000000002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1.8689100000000001</v>
      </c>
      <c r="EL155">
        <v>1.8646199999999999</v>
      </c>
      <c r="EM155">
        <v>1.8692</v>
      </c>
      <c r="EN155">
        <v>1.86724</v>
      </c>
      <c r="EO155">
        <v>1.8633900000000001</v>
      </c>
      <c r="EP155">
        <v>1.8644700000000001</v>
      </c>
      <c r="EQ155">
        <v>1.87016</v>
      </c>
      <c r="ER155">
        <v>1.8694599999999999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-2.5000000000000001E-2</v>
      </c>
      <c r="FG155">
        <v>0.27179999999999999</v>
      </c>
      <c r="FH155">
        <v>0.30965466913576151</v>
      </c>
      <c r="FI155">
        <v>-6.1462078757559423E-4</v>
      </c>
      <c r="FJ155">
        <v>-1.8861989874597051E-7</v>
      </c>
      <c r="FK155">
        <v>1.1980462299894961E-10</v>
      </c>
      <c r="FL155">
        <v>0.27184999999999349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33</v>
      </c>
      <c r="FU155">
        <v>33.200000000000003</v>
      </c>
      <c r="FV155">
        <v>1.7687999999999999</v>
      </c>
      <c r="FW155">
        <v>2.5952099999999998</v>
      </c>
      <c r="FX155">
        <v>1.5490699999999999</v>
      </c>
      <c r="FY155">
        <v>2.32666</v>
      </c>
      <c r="FZ155">
        <v>1.50146</v>
      </c>
      <c r="GA155">
        <v>2.3083499999999999</v>
      </c>
      <c r="GB155">
        <v>33.896099999999997</v>
      </c>
      <c r="GC155">
        <v>23.982399999999998</v>
      </c>
      <c r="GD155">
        <v>19</v>
      </c>
      <c r="GE155">
        <v>269.892</v>
      </c>
      <c r="GF155">
        <v>582.42899999999997</v>
      </c>
      <c r="GG155">
        <v>23.347899999999999</v>
      </c>
      <c r="GH155">
        <v>26.161200000000001</v>
      </c>
      <c r="GI155">
        <v>30.0001</v>
      </c>
      <c r="GJ155">
        <v>26.333200000000001</v>
      </c>
      <c r="GK155">
        <v>26.3264</v>
      </c>
      <c r="GL155">
        <v>35.370699999999999</v>
      </c>
      <c r="GM155">
        <v>73.695599999999999</v>
      </c>
      <c r="GN155">
        <v>49.193899999999999</v>
      </c>
      <c r="GO155">
        <v>23.360099999999999</v>
      </c>
      <c r="GP155">
        <v>800</v>
      </c>
      <c r="GQ155">
        <v>3.5212500000000002</v>
      </c>
      <c r="GR155">
        <v>99.783000000000001</v>
      </c>
      <c r="GS155">
        <v>99.655100000000004</v>
      </c>
    </row>
    <row r="156" spans="1:201" x14ac:dyDescent="0.25">
      <c r="A156">
        <v>140</v>
      </c>
      <c r="B156">
        <v>1690305309.5999999</v>
      </c>
      <c r="C156">
        <v>1559.599999904633</v>
      </c>
      <c r="D156" t="s">
        <v>611</v>
      </c>
      <c r="E156" t="s">
        <v>612</v>
      </c>
      <c r="F156" t="s">
        <v>330</v>
      </c>
      <c r="H156">
        <v>1690305309.5999999</v>
      </c>
      <c r="I156">
        <f t="shared" si="60"/>
        <v>1.7525784363426806E-3</v>
      </c>
      <c r="J156">
        <f t="shared" si="61"/>
        <v>1.7525784363426806</v>
      </c>
      <c r="K156">
        <f t="shared" si="62"/>
        <v>27.221414305025604</v>
      </c>
      <c r="L156">
        <f t="shared" si="63"/>
        <v>491.39699999999999</v>
      </c>
      <c r="M156">
        <f t="shared" si="64"/>
        <v>141.28524987204327</v>
      </c>
      <c r="N156">
        <f t="shared" si="65"/>
        <v>14.037162597804071</v>
      </c>
      <c r="O156">
        <f t="shared" si="66"/>
        <v>48.821937147156007</v>
      </c>
      <c r="P156">
        <f t="shared" si="67"/>
        <v>0.13068616228501176</v>
      </c>
      <c r="Q156">
        <f t="shared" si="68"/>
        <v>2.0985947144340416</v>
      </c>
      <c r="R156">
        <f t="shared" si="69"/>
        <v>0.12632748055556234</v>
      </c>
      <c r="S156">
        <f t="shared" si="70"/>
        <v>7.9334175242520483E-2</v>
      </c>
      <c r="T156">
        <f t="shared" si="71"/>
        <v>276.11458099158341</v>
      </c>
      <c r="U156">
        <f t="shared" si="72"/>
        <v>26.882220456329289</v>
      </c>
      <c r="V156">
        <f t="shared" si="73"/>
        <v>26.882220456329289</v>
      </c>
      <c r="W156">
        <f t="shared" si="74"/>
        <v>3.5544755376671571</v>
      </c>
      <c r="X156">
        <f t="shared" si="75"/>
        <v>68.51929456106626</v>
      </c>
      <c r="Y156">
        <f t="shared" si="76"/>
        <v>2.2161459744836001</v>
      </c>
      <c r="Z156">
        <f t="shared" si="77"/>
        <v>3.2343385737991079</v>
      </c>
      <c r="AA156">
        <f t="shared" si="78"/>
        <v>1.338329563183557</v>
      </c>
      <c r="AB156">
        <f t="shared" si="79"/>
        <v>-77.288709042712213</v>
      </c>
      <c r="AC156">
        <f t="shared" si="80"/>
        <v>-180.57285785593484</v>
      </c>
      <c r="AD156">
        <f t="shared" si="81"/>
        <v>-18.400035175379259</v>
      </c>
      <c r="AE156">
        <f t="shared" si="82"/>
        <v>-0.14702108244293299</v>
      </c>
      <c r="AF156">
        <v>9</v>
      </c>
      <c r="AG156">
        <v>3</v>
      </c>
      <c r="AH156">
        <f t="shared" si="83"/>
        <v>1</v>
      </c>
      <c r="AI156">
        <f t="shared" si="84"/>
        <v>0</v>
      </c>
      <c r="AJ156">
        <f t="shared" si="85"/>
        <v>52723.666468601077</v>
      </c>
      <c r="AK156">
        <f t="shared" si="86"/>
        <v>1799.99</v>
      </c>
      <c r="AL156">
        <f t="shared" si="87"/>
        <v>1499.1035816005001</v>
      </c>
      <c r="AM156">
        <f t="shared" si="88"/>
        <v>0.83283995</v>
      </c>
      <c r="AN156">
        <f t="shared" si="89"/>
        <v>0.15339784164999995</v>
      </c>
      <c r="AO156">
        <v>33</v>
      </c>
      <c r="AP156">
        <v>0.5</v>
      </c>
      <c r="AQ156" t="s">
        <v>331</v>
      </c>
      <c r="AR156">
        <v>2</v>
      </c>
      <c r="AS156">
        <v>1690305309.5999999</v>
      </c>
      <c r="AT156">
        <v>491.39699999999999</v>
      </c>
      <c r="AU156">
        <v>800.09699999999998</v>
      </c>
      <c r="AV156">
        <v>22.305700000000002</v>
      </c>
      <c r="AW156">
        <v>3.4701</v>
      </c>
      <c r="AX156">
        <v>491.42099999999999</v>
      </c>
      <c r="AY156">
        <v>22.033799999999999</v>
      </c>
      <c r="AZ156">
        <v>300.20299999999997</v>
      </c>
      <c r="BA156">
        <v>99.253200000000007</v>
      </c>
      <c r="BB156">
        <v>0.100148</v>
      </c>
      <c r="BC156">
        <v>25.286200000000001</v>
      </c>
      <c r="BD156">
        <v>27.0045</v>
      </c>
      <c r="BE156">
        <v>26.494299999999999</v>
      </c>
      <c r="BF156">
        <v>0</v>
      </c>
      <c r="BG156">
        <v>0</v>
      </c>
      <c r="BH156">
        <v>9988.1200000000008</v>
      </c>
      <c r="BI156">
        <v>1054.73</v>
      </c>
      <c r="BJ156">
        <v>1.68198</v>
      </c>
      <c r="BK156">
        <v>-308.7</v>
      </c>
      <c r="BL156">
        <v>502.608</v>
      </c>
      <c r="BM156">
        <v>802.88300000000004</v>
      </c>
      <c r="BN156">
        <v>18.835599999999999</v>
      </c>
      <c r="BO156">
        <v>800.09699999999998</v>
      </c>
      <c r="BP156">
        <v>3.4701</v>
      </c>
      <c r="BQ156">
        <v>2.2139099999999998</v>
      </c>
      <c r="BR156">
        <v>0.344418</v>
      </c>
      <c r="BS156">
        <v>19.063300000000002</v>
      </c>
      <c r="BT156">
        <v>-7.6980000000000004</v>
      </c>
      <c r="BU156">
        <v>1799.99</v>
      </c>
      <c r="BV156">
        <v>0.90998999999999997</v>
      </c>
      <c r="BW156">
        <v>3.3994099999999999E-2</v>
      </c>
      <c r="BX156">
        <v>2.2006499999999998E-2</v>
      </c>
      <c r="BY156">
        <v>3.40091E-2</v>
      </c>
      <c r="BZ156">
        <v>26</v>
      </c>
      <c r="CA156">
        <v>33528.199999999997</v>
      </c>
      <c r="CB156">
        <v>1690303320.5</v>
      </c>
      <c r="CC156" t="s">
        <v>332</v>
      </c>
      <c r="CD156">
        <v>1690303320.5</v>
      </c>
      <c r="CE156">
        <v>1690303310.0999999</v>
      </c>
      <c r="CF156">
        <v>8</v>
      </c>
      <c r="CG156">
        <v>7.3999999999999996E-2</v>
      </c>
      <c r="CH156">
        <v>-0.01</v>
      </c>
      <c r="CI156">
        <v>-0.24199999999999999</v>
      </c>
      <c r="CJ156">
        <v>0.27200000000000002</v>
      </c>
      <c r="CK156">
        <v>800</v>
      </c>
      <c r="CL156">
        <v>23</v>
      </c>
      <c r="CM156">
        <v>0.06</v>
      </c>
      <c r="CN156">
        <v>0.09</v>
      </c>
      <c r="CO156">
        <v>-306.07556097560968</v>
      </c>
      <c r="CP156">
        <v>-14.57590243902473</v>
      </c>
      <c r="CQ156">
        <v>1.4383125792227029</v>
      </c>
      <c r="CR156">
        <v>-1</v>
      </c>
      <c r="CS156">
        <v>18.576326829268289</v>
      </c>
      <c r="CT156">
        <v>1.437100348432087</v>
      </c>
      <c r="CU156">
        <v>0.14175227967262291</v>
      </c>
      <c r="CV156">
        <v>-1</v>
      </c>
      <c r="CW156">
        <v>0</v>
      </c>
      <c r="CX156">
        <v>0</v>
      </c>
      <c r="CY156" t="s">
        <v>333</v>
      </c>
      <c r="CZ156">
        <v>2.3646500000000001</v>
      </c>
      <c r="DA156">
        <v>2.71393</v>
      </c>
      <c r="DB156">
        <v>0.104543</v>
      </c>
      <c r="DC156">
        <v>0.14630499999999999</v>
      </c>
      <c r="DD156">
        <v>0.10804</v>
      </c>
      <c r="DE156">
        <v>2.4930999999999998E-2</v>
      </c>
      <c r="DF156">
        <v>32709.7</v>
      </c>
      <c r="DG156">
        <v>27533.8</v>
      </c>
      <c r="DH156">
        <v>31184.2</v>
      </c>
      <c r="DI156">
        <v>28103.8</v>
      </c>
      <c r="DJ156">
        <v>37764.400000000001</v>
      </c>
      <c r="DK156">
        <v>38977.4</v>
      </c>
      <c r="DL156">
        <v>44382</v>
      </c>
      <c r="DM156">
        <v>42602.1</v>
      </c>
      <c r="DN156">
        <v>1.4459200000000001</v>
      </c>
      <c r="DO156">
        <v>2.0350700000000002</v>
      </c>
      <c r="DP156">
        <v>0.165857</v>
      </c>
      <c r="DQ156">
        <v>0.143543</v>
      </c>
      <c r="DR156">
        <v>24.286000000000001</v>
      </c>
      <c r="DS156">
        <v>24.1403</v>
      </c>
      <c r="DT156">
        <v>40.700000000000003</v>
      </c>
      <c r="DU156">
        <v>29.2</v>
      </c>
      <c r="DV156">
        <v>16.682700000000001</v>
      </c>
      <c r="DW156">
        <v>61.503</v>
      </c>
      <c r="DX156">
        <v>37.223599999999998</v>
      </c>
      <c r="DY156">
        <v>1</v>
      </c>
      <c r="DZ156">
        <v>-9.6343999999999999E-2</v>
      </c>
      <c r="EA156">
        <v>0.19693099999999999</v>
      </c>
      <c r="EB156">
        <v>20.189800000000002</v>
      </c>
      <c r="EC156">
        <v>5.2411000000000003</v>
      </c>
      <c r="ED156">
        <v>12.039899999999999</v>
      </c>
      <c r="EE156">
        <v>5.0168499999999998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</v>
      </c>
      <c r="EL156">
        <v>1.8646199999999999</v>
      </c>
      <c r="EM156">
        <v>1.8691899999999999</v>
      </c>
      <c r="EN156">
        <v>1.8672299999999999</v>
      </c>
      <c r="EO156">
        <v>1.86338</v>
      </c>
      <c r="EP156">
        <v>1.8644700000000001</v>
      </c>
      <c r="EQ156">
        <v>1.87016</v>
      </c>
      <c r="ER156">
        <v>1.8694299999999999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-2.4E-2</v>
      </c>
      <c r="FG156">
        <v>0.27189999999999998</v>
      </c>
      <c r="FH156">
        <v>0.30965466913576151</v>
      </c>
      <c r="FI156">
        <v>-6.1462078757559423E-4</v>
      </c>
      <c r="FJ156">
        <v>-1.8861989874597051E-7</v>
      </c>
      <c r="FK156">
        <v>1.1980462299894961E-10</v>
      </c>
      <c r="FL156">
        <v>0.27184999999999349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33.200000000000003</v>
      </c>
      <c r="FU156">
        <v>33.299999999999997</v>
      </c>
      <c r="FV156">
        <v>1.7687999999999999</v>
      </c>
      <c r="FW156">
        <v>2.5939899999999998</v>
      </c>
      <c r="FX156">
        <v>1.5490699999999999</v>
      </c>
      <c r="FY156">
        <v>2.3278799999999999</v>
      </c>
      <c r="FZ156">
        <v>1.50146</v>
      </c>
      <c r="GA156">
        <v>2.3901400000000002</v>
      </c>
      <c r="GB156">
        <v>33.896099999999997</v>
      </c>
      <c r="GC156">
        <v>23.991199999999999</v>
      </c>
      <c r="GD156">
        <v>19</v>
      </c>
      <c r="GE156">
        <v>270.09699999999998</v>
      </c>
      <c r="GF156">
        <v>581.923</v>
      </c>
      <c r="GG156">
        <v>23.4269</v>
      </c>
      <c r="GH156">
        <v>26.160299999999999</v>
      </c>
      <c r="GI156">
        <v>29.9999</v>
      </c>
      <c r="GJ156">
        <v>26.330500000000001</v>
      </c>
      <c r="GK156">
        <v>26.323599999999999</v>
      </c>
      <c r="GL156">
        <v>35.3626</v>
      </c>
      <c r="GM156">
        <v>74.869500000000002</v>
      </c>
      <c r="GN156">
        <v>48.006799999999998</v>
      </c>
      <c r="GO156">
        <v>23.4251</v>
      </c>
      <c r="GP156">
        <v>800</v>
      </c>
      <c r="GQ156">
        <v>3.2909600000000001</v>
      </c>
      <c r="GR156">
        <v>99.781400000000005</v>
      </c>
      <c r="GS156">
        <v>99.655000000000001</v>
      </c>
    </row>
    <row r="157" spans="1:201" x14ac:dyDescent="0.25">
      <c r="A157">
        <v>141</v>
      </c>
      <c r="B157">
        <v>1690305319.5999999</v>
      </c>
      <c r="C157">
        <v>1569.599999904633</v>
      </c>
      <c r="D157" t="s">
        <v>613</v>
      </c>
      <c r="E157" t="s">
        <v>614</v>
      </c>
      <c r="F157" t="s">
        <v>330</v>
      </c>
      <c r="H157">
        <v>1690305319.5999999</v>
      </c>
      <c r="I157">
        <f t="shared" si="60"/>
        <v>1.7662783554910455E-3</v>
      </c>
      <c r="J157">
        <f t="shared" si="61"/>
        <v>1.7662783554910455</v>
      </c>
      <c r="K157">
        <f t="shared" si="62"/>
        <v>27.423023833130703</v>
      </c>
      <c r="L157">
        <f t="shared" si="63"/>
        <v>488.96300000000002</v>
      </c>
      <c r="M157">
        <f t="shared" si="64"/>
        <v>138.89290399058061</v>
      </c>
      <c r="N157">
        <f t="shared" si="65"/>
        <v>13.798499621709887</v>
      </c>
      <c r="O157">
        <f t="shared" si="66"/>
        <v>48.576677257663896</v>
      </c>
      <c r="P157">
        <f t="shared" si="67"/>
        <v>0.1316729506815521</v>
      </c>
      <c r="Q157">
        <f t="shared" si="68"/>
        <v>2.1020591345497612</v>
      </c>
      <c r="R157">
        <f t="shared" si="69"/>
        <v>0.12725642333716919</v>
      </c>
      <c r="S157">
        <f t="shared" si="70"/>
        <v>7.9919731216261364E-2</v>
      </c>
      <c r="T157">
        <f t="shared" si="71"/>
        <v>276.11607637799995</v>
      </c>
      <c r="U157">
        <f t="shared" si="72"/>
        <v>26.883288470609394</v>
      </c>
      <c r="V157">
        <f t="shared" si="73"/>
        <v>26.883288470609394</v>
      </c>
      <c r="W157">
        <f t="shared" si="74"/>
        <v>3.5546987019285692</v>
      </c>
      <c r="X157">
        <f t="shared" si="75"/>
        <v>68.476331870846366</v>
      </c>
      <c r="Y157">
        <f t="shared" si="76"/>
        <v>2.2158502433887897</v>
      </c>
      <c r="Z157">
        <f t="shared" si="77"/>
        <v>3.2359359545837219</v>
      </c>
      <c r="AA157">
        <f t="shared" si="78"/>
        <v>1.3388484585397795</v>
      </c>
      <c r="AB157">
        <f t="shared" si="79"/>
        <v>-77.892875477155101</v>
      </c>
      <c r="AC157">
        <f t="shared" si="80"/>
        <v>-180.05137914169734</v>
      </c>
      <c r="AD157">
        <f t="shared" si="81"/>
        <v>-18.31751921916317</v>
      </c>
      <c r="AE157">
        <f t="shared" si="82"/>
        <v>-0.14569746001563999</v>
      </c>
      <c r="AF157">
        <v>9</v>
      </c>
      <c r="AG157">
        <v>3</v>
      </c>
      <c r="AH157">
        <f t="shared" si="83"/>
        <v>1</v>
      </c>
      <c r="AI157">
        <f t="shared" si="84"/>
        <v>0</v>
      </c>
      <c r="AJ157">
        <f t="shared" si="85"/>
        <v>52876.914118295856</v>
      </c>
      <c r="AK157">
        <f t="shared" si="86"/>
        <v>1800</v>
      </c>
      <c r="AL157">
        <f t="shared" si="87"/>
        <v>1499.1120647999999</v>
      </c>
      <c r="AM157">
        <f t="shared" si="88"/>
        <v>0.83284003599999989</v>
      </c>
      <c r="AN157">
        <f t="shared" si="89"/>
        <v>0.15339782020999998</v>
      </c>
      <c r="AO157">
        <v>33</v>
      </c>
      <c r="AP157">
        <v>0.5</v>
      </c>
      <c r="AQ157" t="s">
        <v>331</v>
      </c>
      <c r="AR157">
        <v>2</v>
      </c>
      <c r="AS157">
        <v>1690305319.5999999</v>
      </c>
      <c r="AT157">
        <v>488.96300000000002</v>
      </c>
      <c r="AU157">
        <v>800.02200000000005</v>
      </c>
      <c r="AV157">
        <v>22.304300000000001</v>
      </c>
      <c r="AW157">
        <v>3.3143500000000001</v>
      </c>
      <c r="AX157">
        <v>488.98500000000001</v>
      </c>
      <c r="AY157">
        <v>22.032499999999999</v>
      </c>
      <c r="AZ157">
        <v>300.09100000000001</v>
      </c>
      <c r="BA157">
        <v>99.246399999999994</v>
      </c>
      <c r="BB157">
        <v>9.9925299999999995E-2</v>
      </c>
      <c r="BC157">
        <v>25.294499999999999</v>
      </c>
      <c r="BD157">
        <v>27.043700000000001</v>
      </c>
      <c r="BE157">
        <v>26.509</v>
      </c>
      <c r="BF157">
        <v>0</v>
      </c>
      <c r="BG157">
        <v>0</v>
      </c>
      <c r="BH157">
        <v>10019.4</v>
      </c>
      <c r="BI157">
        <v>1054.8699999999999</v>
      </c>
      <c r="BJ157">
        <v>1.5530299999999999</v>
      </c>
      <c r="BK157">
        <v>-311.06</v>
      </c>
      <c r="BL157">
        <v>500.11700000000002</v>
      </c>
      <c r="BM157">
        <v>802.68299999999999</v>
      </c>
      <c r="BN157">
        <v>18.989999999999998</v>
      </c>
      <c r="BO157">
        <v>800.02200000000005</v>
      </c>
      <c r="BP157">
        <v>3.3143500000000001</v>
      </c>
      <c r="BQ157">
        <v>2.2136200000000001</v>
      </c>
      <c r="BR157">
        <v>0.32893699999999998</v>
      </c>
      <c r="BS157">
        <v>19.061299999999999</v>
      </c>
      <c r="BT157">
        <v>-8.2898800000000001</v>
      </c>
      <c r="BU157">
        <v>1800</v>
      </c>
      <c r="BV157">
        <v>0.90999099999999999</v>
      </c>
      <c r="BW157">
        <v>3.3993700000000002E-2</v>
      </c>
      <c r="BX157">
        <v>2.2006299999999999E-2</v>
      </c>
      <c r="BY157">
        <v>3.4008700000000003E-2</v>
      </c>
      <c r="BZ157">
        <v>26</v>
      </c>
      <c r="CA157">
        <v>33528.300000000003</v>
      </c>
      <c r="CB157">
        <v>1690303320.5</v>
      </c>
      <c r="CC157" t="s">
        <v>332</v>
      </c>
      <c r="CD157">
        <v>1690303320.5</v>
      </c>
      <c r="CE157">
        <v>1690303310.0999999</v>
      </c>
      <c r="CF157">
        <v>8</v>
      </c>
      <c r="CG157">
        <v>7.3999999999999996E-2</v>
      </c>
      <c r="CH157">
        <v>-0.01</v>
      </c>
      <c r="CI157">
        <v>-0.24199999999999999</v>
      </c>
      <c r="CJ157">
        <v>0.27200000000000002</v>
      </c>
      <c r="CK157">
        <v>800</v>
      </c>
      <c r="CL157">
        <v>23</v>
      </c>
      <c r="CM157">
        <v>0.06</v>
      </c>
      <c r="CN157">
        <v>0.09</v>
      </c>
      <c r="CO157">
        <v>-308.45499999999998</v>
      </c>
      <c r="CP157">
        <v>-14.05952613240432</v>
      </c>
      <c r="CQ157">
        <v>1.3875980123589231</v>
      </c>
      <c r="CR157">
        <v>-1</v>
      </c>
      <c r="CS157">
        <v>18.804095121951221</v>
      </c>
      <c r="CT157">
        <v>1.287219512195136</v>
      </c>
      <c r="CU157">
        <v>0.12770612597033459</v>
      </c>
      <c r="CV157">
        <v>-1</v>
      </c>
      <c r="CW157">
        <v>0</v>
      </c>
      <c r="CX157">
        <v>0</v>
      </c>
      <c r="CY157" t="s">
        <v>333</v>
      </c>
      <c r="CZ157">
        <v>2.3643100000000001</v>
      </c>
      <c r="DA157">
        <v>2.71373</v>
      </c>
      <c r="DB157">
        <v>0.104156</v>
      </c>
      <c r="DC157">
        <v>0.146284</v>
      </c>
      <c r="DD157">
        <v>0.108029</v>
      </c>
      <c r="DE157">
        <v>2.3956100000000001E-2</v>
      </c>
      <c r="DF157">
        <v>32724.7</v>
      </c>
      <c r="DG157">
        <v>27534.2</v>
      </c>
      <c r="DH157">
        <v>31185.1</v>
      </c>
      <c r="DI157">
        <v>28103.4</v>
      </c>
      <c r="DJ157">
        <v>37765.800000000003</v>
      </c>
      <c r="DK157">
        <v>39015.800000000003</v>
      </c>
      <c r="DL157">
        <v>44383.1</v>
      </c>
      <c r="DM157">
        <v>42601.4</v>
      </c>
      <c r="DN157">
        <v>1.4451700000000001</v>
      </c>
      <c r="DO157">
        <v>2.03478</v>
      </c>
      <c r="DP157">
        <v>0.167631</v>
      </c>
      <c r="DQ157">
        <v>0.143819</v>
      </c>
      <c r="DR157">
        <v>24.296199999999999</v>
      </c>
      <c r="DS157">
        <v>24.150500000000001</v>
      </c>
      <c r="DT157">
        <v>40.299999999999997</v>
      </c>
      <c r="DU157">
        <v>29.2</v>
      </c>
      <c r="DV157">
        <v>16.520600000000002</v>
      </c>
      <c r="DW157">
        <v>61.493000000000002</v>
      </c>
      <c r="DX157">
        <v>36.899000000000001</v>
      </c>
      <c r="DY157">
        <v>1</v>
      </c>
      <c r="DZ157">
        <v>-9.5612299999999997E-2</v>
      </c>
      <c r="EA157">
        <v>0.65496200000000004</v>
      </c>
      <c r="EB157">
        <v>20.1873</v>
      </c>
      <c r="EC157">
        <v>5.2406499999999996</v>
      </c>
      <c r="ED157">
        <v>12.039899999999999</v>
      </c>
      <c r="EE157">
        <v>5.01675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1.86463</v>
      </c>
      <c r="EM157">
        <v>1.8692</v>
      </c>
      <c r="EN157">
        <v>1.8672299999999999</v>
      </c>
      <c r="EO157">
        <v>1.86338</v>
      </c>
      <c r="EP157">
        <v>1.8644799999999999</v>
      </c>
      <c r="EQ157">
        <v>1.87016</v>
      </c>
      <c r="ER157">
        <v>1.8694200000000001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-2.1999999999999999E-2</v>
      </c>
      <c r="FG157">
        <v>0.27179999999999999</v>
      </c>
      <c r="FH157">
        <v>0.30965466913576151</v>
      </c>
      <c r="FI157">
        <v>-6.1462078757559423E-4</v>
      </c>
      <c r="FJ157">
        <v>-1.8861989874597051E-7</v>
      </c>
      <c r="FK157">
        <v>1.1980462299894961E-10</v>
      </c>
      <c r="FL157">
        <v>0.27184999999999349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33.299999999999997</v>
      </c>
      <c r="FU157">
        <v>33.5</v>
      </c>
      <c r="FV157">
        <v>1.7687999999999999</v>
      </c>
      <c r="FW157">
        <v>2.5891099999999998</v>
      </c>
      <c r="FX157">
        <v>1.5490699999999999</v>
      </c>
      <c r="FY157">
        <v>2.3278799999999999</v>
      </c>
      <c r="FZ157">
        <v>1.50146</v>
      </c>
      <c r="GA157">
        <v>2.3889200000000002</v>
      </c>
      <c r="GB157">
        <v>33.896099999999997</v>
      </c>
      <c r="GC157">
        <v>23.982399999999998</v>
      </c>
      <c r="GD157">
        <v>19</v>
      </c>
      <c r="GE157">
        <v>269.779</v>
      </c>
      <c r="GF157">
        <v>581.65099999999995</v>
      </c>
      <c r="GG157">
        <v>23.212900000000001</v>
      </c>
      <c r="GH157">
        <v>26.158100000000001</v>
      </c>
      <c r="GI157">
        <v>30.0001</v>
      </c>
      <c r="GJ157">
        <v>26.328299999999999</v>
      </c>
      <c r="GK157">
        <v>26.321400000000001</v>
      </c>
      <c r="GL157">
        <v>35.361199999999997</v>
      </c>
      <c r="GM157">
        <v>75.429599999999994</v>
      </c>
      <c r="GN157">
        <v>47.257800000000003</v>
      </c>
      <c r="GO157">
        <v>23.2453</v>
      </c>
      <c r="GP157">
        <v>800</v>
      </c>
      <c r="GQ157">
        <v>3.16961</v>
      </c>
      <c r="GR157">
        <v>99.784000000000006</v>
      </c>
      <c r="GS157">
        <v>99.653599999999997</v>
      </c>
    </row>
    <row r="158" spans="1:201" x14ac:dyDescent="0.25">
      <c r="A158">
        <v>142</v>
      </c>
      <c r="B158">
        <v>1690305329.5999999</v>
      </c>
      <c r="C158">
        <v>1579.599999904633</v>
      </c>
      <c r="D158" t="s">
        <v>615</v>
      </c>
      <c r="E158" t="s">
        <v>616</v>
      </c>
      <c r="F158" t="s">
        <v>330</v>
      </c>
      <c r="H158">
        <v>1690305329.5999999</v>
      </c>
      <c r="I158">
        <f t="shared" si="60"/>
        <v>1.7838547375854344E-3</v>
      </c>
      <c r="J158">
        <f t="shared" si="61"/>
        <v>1.7838547375854343</v>
      </c>
      <c r="K158">
        <f t="shared" si="62"/>
        <v>27.640446081548095</v>
      </c>
      <c r="L158">
        <f t="shared" si="63"/>
        <v>486.68099999999998</v>
      </c>
      <c r="M158">
        <f t="shared" si="64"/>
        <v>137.87158752718409</v>
      </c>
      <c r="N158">
        <f t="shared" si="65"/>
        <v>13.697428338894442</v>
      </c>
      <c r="O158">
        <f t="shared" si="66"/>
        <v>48.351355351494</v>
      </c>
      <c r="P158">
        <f t="shared" si="67"/>
        <v>0.13323498386805621</v>
      </c>
      <c r="Q158">
        <f t="shared" si="68"/>
        <v>2.1012427813641685</v>
      </c>
      <c r="R158">
        <f t="shared" si="69"/>
        <v>0.12871329214723651</v>
      </c>
      <c r="S158">
        <f t="shared" si="70"/>
        <v>8.083927961608961E-2</v>
      </c>
      <c r="T158">
        <f t="shared" si="71"/>
        <v>276.11446197624468</v>
      </c>
      <c r="U158">
        <f t="shared" si="72"/>
        <v>26.870132248279067</v>
      </c>
      <c r="V158">
        <f t="shared" si="73"/>
        <v>26.870132248279067</v>
      </c>
      <c r="W158">
        <f t="shared" si="74"/>
        <v>3.5519505287879829</v>
      </c>
      <c r="X158">
        <f t="shared" si="75"/>
        <v>68.481210992587876</v>
      </c>
      <c r="Y158">
        <f t="shared" si="76"/>
        <v>2.2150196390822003</v>
      </c>
      <c r="Z158">
        <f t="shared" si="77"/>
        <v>3.234492508203374</v>
      </c>
      <c r="AA158">
        <f t="shared" si="78"/>
        <v>1.3369308897057826</v>
      </c>
      <c r="AB158">
        <f t="shared" si="79"/>
        <v>-78.667993927517657</v>
      </c>
      <c r="AC158">
        <f t="shared" si="80"/>
        <v>-179.34070528826533</v>
      </c>
      <c r="AD158">
        <f t="shared" si="81"/>
        <v>-18.250415587849766</v>
      </c>
      <c r="AE158">
        <f t="shared" si="82"/>
        <v>-0.14465282738808583</v>
      </c>
      <c r="AF158">
        <v>9</v>
      </c>
      <c r="AG158">
        <v>3</v>
      </c>
      <c r="AH158">
        <f t="shared" si="83"/>
        <v>1</v>
      </c>
      <c r="AI158">
        <f t="shared" si="84"/>
        <v>0</v>
      </c>
      <c r="AJ158">
        <f t="shared" si="85"/>
        <v>52841.784635324417</v>
      </c>
      <c r="AK158">
        <f t="shared" si="86"/>
        <v>1799.99</v>
      </c>
      <c r="AL158">
        <f t="shared" si="87"/>
        <v>1499.1047209941698</v>
      </c>
      <c r="AM158">
        <f t="shared" si="88"/>
        <v>0.83284058299999997</v>
      </c>
      <c r="AN158">
        <f t="shared" si="89"/>
        <v>0.15339777553</v>
      </c>
      <c r="AO158">
        <v>33</v>
      </c>
      <c r="AP158">
        <v>0.5</v>
      </c>
      <c r="AQ158" t="s">
        <v>331</v>
      </c>
      <c r="AR158">
        <v>2</v>
      </c>
      <c r="AS158">
        <v>1690305329.5999999</v>
      </c>
      <c r="AT158">
        <v>486.68099999999998</v>
      </c>
      <c r="AU158">
        <v>800.04700000000003</v>
      </c>
      <c r="AV158">
        <v>22.295300000000001</v>
      </c>
      <c r="AW158">
        <v>3.1243799999999999</v>
      </c>
      <c r="AX158">
        <v>486.70100000000002</v>
      </c>
      <c r="AY158">
        <v>22.023499999999999</v>
      </c>
      <c r="AZ158">
        <v>300.21899999999999</v>
      </c>
      <c r="BA158">
        <v>99.249200000000002</v>
      </c>
      <c r="BB158">
        <v>9.9973999999999993E-2</v>
      </c>
      <c r="BC158">
        <v>25.286999999999999</v>
      </c>
      <c r="BD158">
        <v>26.923100000000002</v>
      </c>
      <c r="BE158">
        <v>26.4863</v>
      </c>
      <c r="BF158">
        <v>0</v>
      </c>
      <c r="BG158">
        <v>0</v>
      </c>
      <c r="BH158">
        <v>10011.9</v>
      </c>
      <c r="BI158">
        <v>1054.8900000000001</v>
      </c>
      <c r="BJ158">
        <v>1.5137799999999999</v>
      </c>
      <c r="BK158">
        <v>-313.36599999999999</v>
      </c>
      <c r="BL158">
        <v>497.779</v>
      </c>
      <c r="BM158">
        <v>802.55399999999997</v>
      </c>
      <c r="BN158">
        <v>19.1709</v>
      </c>
      <c r="BO158">
        <v>800.04700000000003</v>
      </c>
      <c r="BP158">
        <v>3.1243799999999999</v>
      </c>
      <c r="BQ158">
        <v>2.21279</v>
      </c>
      <c r="BR158">
        <v>0.31009300000000001</v>
      </c>
      <c r="BS158">
        <v>19.055199999999999</v>
      </c>
      <c r="BT158">
        <v>-9.0447500000000005</v>
      </c>
      <c r="BU158">
        <v>1799.99</v>
      </c>
      <c r="BV158">
        <v>0.909995</v>
      </c>
      <c r="BW158">
        <v>3.3992300000000003E-2</v>
      </c>
      <c r="BX158">
        <v>2.2005400000000001E-2</v>
      </c>
      <c r="BY158">
        <v>3.4007299999999997E-2</v>
      </c>
      <c r="BZ158">
        <v>26</v>
      </c>
      <c r="CA158">
        <v>33528.199999999997</v>
      </c>
      <c r="CB158">
        <v>1690303320.5</v>
      </c>
      <c r="CC158" t="s">
        <v>332</v>
      </c>
      <c r="CD158">
        <v>1690303320.5</v>
      </c>
      <c r="CE158">
        <v>1690303310.0999999</v>
      </c>
      <c r="CF158">
        <v>8</v>
      </c>
      <c r="CG158">
        <v>7.3999999999999996E-2</v>
      </c>
      <c r="CH158">
        <v>-0.01</v>
      </c>
      <c r="CI158">
        <v>-0.24199999999999999</v>
      </c>
      <c r="CJ158">
        <v>0.27200000000000002</v>
      </c>
      <c r="CK158">
        <v>800</v>
      </c>
      <c r="CL158">
        <v>23</v>
      </c>
      <c r="CM158">
        <v>0.06</v>
      </c>
      <c r="CN158">
        <v>0.09</v>
      </c>
      <c r="CO158">
        <v>-310.82387804878039</v>
      </c>
      <c r="CP158">
        <v>-14.216717770034609</v>
      </c>
      <c r="CQ158">
        <v>1.403177703662202</v>
      </c>
      <c r="CR158">
        <v>-1</v>
      </c>
      <c r="CS158">
        <v>18.988182926829271</v>
      </c>
      <c r="CT158">
        <v>0.92818118466898514</v>
      </c>
      <c r="CU158">
        <v>9.2081111917273736E-2</v>
      </c>
      <c r="CV158">
        <v>-1</v>
      </c>
      <c r="CW158">
        <v>0</v>
      </c>
      <c r="CX158">
        <v>0</v>
      </c>
      <c r="CY158" t="s">
        <v>333</v>
      </c>
      <c r="CZ158">
        <v>2.3647</v>
      </c>
      <c r="DA158">
        <v>2.7137799999999999</v>
      </c>
      <c r="DB158">
        <v>0.10380200000000001</v>
      </c>
      <c r="DC158">
        <v>0.146288</v>
      </c>
      <c r="DD158">
        <v>0.108001</v>
      </c>
      <c r="DE158">
        <v>2.2755500000000001E-2</v>
      </c>
      <c r="DF158">
        <v>32737.599999999999</v>
      </c>
      <c r="DG158">
        <v>27534.9</v>
      </c>
      <c r="DH158">
        <v>31185</v>
      </c>
      <c r="DI158">
        <v>28104.3</v>
      </c>
      <c r="DJ158">
        <v>37766.9</v>
      </c>
      <c r="DK158">
        <v>39065</v>
      </c>
      <c r="DL158">
        <v>44383.1</v>
      </c>
      <c r="DM158">
        <v>42602.5</v>
      </c>
      <c r="DN158">
        <v>1.4457</v>
      </c>
      <c r="DO158">
        <v>2.0345499999999999</v>
      </c>
      <c r="DP158">
        <v>0.159696</v>
      </c>
      <c r="DQ158">
        <v>0.14185200000000001</v>
      </c>
      <c r="DR158">
        <v>24.305399999999999</v>
      </c>
      <c r="DS158">
        <v>24.1601</v>
      </c>
      <c r="DT158">
        <v>40</v>
      </c>
      <c r="DU158">
        <v>29.2</v>
      </c>
      <c r="DV158">
        <v>16.395800000000001</v>
      </c>
      <c r="DW158">
        <v>61.692999999999998</v>
      </c>
      <c r="DX158">
        <v>35.977600000000002</v>
      </c>
      <c r="DY158">
        <v>1</v>
      </c>
      <c r="DZ158">
        <v>-9.6125500000000003E-2</v>
      </c>
      <c r="EA158">
        <v>0.53301500000000002</v>
      </c>
      <c r="EB158">
        <v>20.188500000000001</v>
      </c>
      <c r="EC158">
        <v>5.2409499999999998</v>
      </c>
      <c r="ED158">
        <v>12.039899999999999</v>
      </c>
      <c r="EE158">
        <v>5.0168499999999998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</v>
      </c>
      <c r="EL158">
        <v>1.86463</v>
      </c>
      <c r="EM158">
        <v>1.8692</v>
      </c>
      <c r="EN158">
        <v>1.8672299999999999</v>
      </c>
      <c r="EO158">
        <v>1.86338</v>
      </c>
      <c r="EP158">
        <v>1.8644700000000001</v>
      </c>
      <c r="EQ158">
        <v>1.87015</v>
      </c>
      <c r="ER158">
        <v>1.8694200000000001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-0.02</v>
      </c>
      <c r="FG158">
        <v>0.27179999999999999</v>
      </c>
      <c r="FH158">
        <v>0.30965466913576151</v>
      </c>
      <c r="FI158">
        <v>-6.1462078757559423E-4</v>
      </c>
      <c r="FJ158">
        <v>-1.8861989874597051E-7</v>
      </c>
      <c r="FK158">
        <v>1.1980462299894961E-10</v>
      </c>
      <c r="FL158">
        <v>0.27184999999999349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33.5</v>
      </c>
      <c r="FU158">
        <v>33.700000000000003</v>
      </c>
      <c r="FV158">
        <v>1.7687999999999999</v>
      </c>
      <c r="FW158">
        <v>2.5939899999999998</v>
      </c>
      <c r="FX158">
        <v>1.5490699999999999</v>
      </c>
      <c r="FY158">
        <v>2.3278799999999999</v>
      </c>
      <c r="FZ158">
        <v>1.50146</v>
      </c>
      <c r="GA158">
        <v>2.2839399999999999</v>
      </c>
      <c r="GB158">
        <v>33.896099999999997</v>
      </c>
      <c r="GC158">
        <v>23.982399999999998</v>
      </c>
      <c r="GD158">
        <v>19</v>
      </c>
      <c r="GE158">
        <v>269.98599999999999</v>
      </c>
      <c r="GF158">
        <v>581.44100000000003</v>
      </c>
      <c r="GG158">
        <v>23.2105</v>
      </c>
      <c r="GH158">
        <v>26.155899999999999</v>
      </c>
      <c r="GI158">
        <v>30.0001</v>
      </c>
      <c r="GJ158">
        <v>26.3261</v>
      </c>
      <c r="GK158">
        <v>26.319199999999999</v>
      </c>
      <c r="GL158">
        <v>35.3553</v>
      </c>
      <c r="GM158">
        <v>76.313500000000005</v>
      </c>
      <c r="GN158">
        <v>46.494799999999998</v>
      </c>
      <c r="GO158">
        <v>23.221399999999999</v>
      </c>
      <c r="GP158">
        <v>800</v>
      </c>
      <c r="GQ158">
        <v>2.9745300000000001</v>
      </c>
      <c r="GR158">
        <v>99.783900000000003</v>
      </c>
      <c r="GS158">
        <v>99.656400000000005</v>
      </c>
    </row>
    <row r="159" spans="1:201" x14ac:dyDescent="0.25">
      <c r="A159">
        <v>143</v>
      </c>
      <c r="B159">
        <v>1690305339.5999999</v>
      </c>
      <c r="C159">
        <v>1589.599999904633</v>
      </c>
      <c r="D159" t="s">
        <v>617</v>
      </c>
      <c r="E159" t="s">
        <v>618</v>
      </c>
      <c r="F159" t="s">
        <v>330</v>
      </c>
      <c r="H159">
        <v>1690305339.5999999</v>
      </c>
      <c r="I159">
        <f t="shared" si="60"/>
        <v>1.8037386809784399E-3</v>
      </c>
      <c r="J159">
        <f t="shared" si="61"/>
        <v>1.8037386809784399</v>
      </c>
      <c r="K159">
        <f t="shared" si="62"/>
        <v>27.835989969277712</v>
      </c>
      <c r="L159">
        <f t="shared" si="63"/>
        <v>484.33800000000002</v>
      </c>
      <c r="M159">
        <f t="shared" si="64"/>
        <v>137.32238219600336</v>
      </c>
      <c r="N159">
        <f t="shared" si="65"/>
        <v>13.643161502192591</v>
      </c>
      <c r="O159">
        <f t="shared" si="66"/>
        <v>48.119625147613199</v>
      </c>
      <c r="P159">
        <f t="shared" si="67"/>
        <v>0.13492333335278844</v>
      </c>
      <c r="Q159">
        <f t="shared" si="68"/>
        <v>2.0991410601258536</v>
      </c>
      <c r="R159">
        <f t="shared" si="69"/>
        <v>0.13028399409266428</v>
      </c>
      <c r="S159">
        <f t="shared" si="70"/>
        <v>8.1831032815981947E-2</v>
      </c>
      <c r="T159">
        <f t="shared" si="71"/>
        <v>276.11444912431608</v>
      </c>
      <c r="U159">
        <f t="shared" si="72"/>
        <v>26.872123411365823</v>
      </c>
      <c r="V159">
        <f t="shared" si="73"/>
        <v>26.872123411365823</v>
      </c>
      <c r="W159">
        <f t="shared" si="74"/>
        <v>3.5523663391301823</v>
      </c>
      <c r="X159">
        <f t="shared" si="75"/>
        <v>68.505779048608076</v>
      </c>
      <c r="Y159">
        <f t="shared" si="76"/>
        <v>2.2168163223950601</v>
      </c>
      <c r="Z159">
        <f t="shared" si="77"/>
        <v>3.2359552043370305</v>
      </c>
      <c r="AA159">
        <f t="shared" si="78"/>
        <v>1.3355500167351222</v>
      </c>
      <c r="AB159">
        <f t="shared" si="79"/>
        <v>-79.544875831149199</v>
      </c>
      <c r="AC159">
        <f t="shared" si="80"/>
        <v>-178.52657788320423</v>
      </c>
      <c r="AD159">
        <f t="shared" si="81"/>
        <v>-18.186630587006778</v>
      </c>
      <c r="AE159">
        <f t="shared" si="82"/>
        <v>-0.14363517704413198</v>
      </c>
      <c r="AF159">
        <v>9</v>
      </c>
      <c r="AG159">
        <v>3</v>
      </c>
      <c r="AH159">
        <f t="shared" si="83"/>
        <v>1</v>
      </c>
      <c r="AI159">
        <f t="shared" si="84"/>
        <v>0</v>
      </c>
      <c r="AJ159">
        <f t="shared" si="85"/>
        <v>52746.54458793925</v>
      </c>
      <c r="AK159">
        <f t="shared" si="86"/>
        <v>1799.99</v>
      </c>
      <c r="AL159">
        <f t="shared" si="87"/>
        <v>1499.1056767888599</v>
      </c>
      <c r="AM159">
        <f t="shared" si="88"/>
        <v>0.83284111399999994</v>
      </c>
      <c r="AN159">
        <f t="shared" si="89"/>
        <v>0.15339776838999999</v>
      </c>
      <c r="AO159">
        <v>33</v>
      </c>
      <c r="AP159">
        <v>0.5</v>
      </c>
      <c r="AQ159" t="s">
        <v>331</v>
      </c>
      <c r="AR159">
        <v>2</v>
      </c>
      <c r="AS159">
        <v>1690305339.5999999</v>
      </c>
      <c r="AT159">
        <v>484.33800000000002</v>
      </c>
      <c r="AU159">
        <v>799.96799999999996</v>
      </c>
      <c r="AV159">
        <v>22.312899999999999</v>
      </c>
      <c r="AW159">
        <v>2.9252799999999999</v>
      </c>
      <c r="AX159">
        <v>484.35700000000003</v>
      </c>
      <c r="AY159">
        <v>22.041</v>
      </c>
      <c r="AZ159">
        <v>300.16699999999997</v>
      </c>
      <c r="BA159">
        <v>99.251400000000004</v>
      </c>
      <c r="BB159">
        <v>9.9931400000000004E-2</v>
      </c>
      <c r="BC159">
        <v>25.294599999999999</v>
      </c>
      <c r="BD159">
        <v>26.934899999999999</v>
      </c>
      <c r="BE159">
        <v>26.4894</v>
      </c>
      <c r="BF159">
        <v>0</v>
      </c>
      <c r="BG159">
        <v>0</v>
      </c>
      <c r="BH159">
        <v>9993.1200000000008</v>
      </c>
      <c r="BI159">
        <v>1054.94</v>
      </c>
      <c r="BJ159">
        <v>1.5137799999999999</v>
      </c>
      <c r="BK159">
        <v>-315.63</v>
      </c>
      <c r="BL159">
        <v>495.392</v>
      </c>
      <c r="BM159">
        <v>802.31500000000005</v>
      </c>
      <c r="BN159">
        <v>19.387599999999999</v>
      </c>
      <c r="BO159">
        <v>799.96799999999996</v>
      </c>
      <c r="BP159">
        <v>2.9252799999999999</v>
      </c>
      <c r="BQ159">
        <v>2.2145800000000002</v>
      </c>
      <c r="BR159">
        <v>0.29033799999999998</v>
      </c>
      <c r="BS159">
        <v>19.068200000000001</v>
      </c>
      <c r="BT159">
        <v>-9.8812800000000003</v>
      </c>
      <c r="BU159">
        <v>1799.99</v>
      </c>
      <c r="BV159">
        <v>0.90999799999999997</v>
      </c>
      <c r="BW159">
        <v>3.3991399999999998E-2</v>
      </c>
      <c r="BX159">
        <v>2.2004699999999999E-2</v>
      </c>
      <c r="BY159">
        <v>3.4006300000000003E-2</v>
      </c>
      <c r="BZ159">
        <v>26</v>
      </c>
      <c r="CA159">
        <v>33528.199999999997</v>
      </c>
      <c r="CB159">
        <v>1690303320.5</v>
      </c>
      <c r="CC159" t="s">
        <v>332</v>
      </c>
      <c r="CD159">
        <v>1690303320.5</v>
      </c>
      <c r="CE159">
        <v>1690303310.0999999</v>
      </c>
      <c r="CF159">
        <v>8</v>
      </c>
      <c r="CG159">
        <v>7.3999999999999996E-2</v>
      </c>
      <c r="CH159">
        <v>-0.01</v>
      </c>
      <c r="CI159">
        <v>-0.24199999999999999</v>
      </c>
      <c r="CJ159">
        <v>0.27200000000000002</v>
      </c>
      <c r="CK159">
        <v>800</v>
      </c>
      <c r="CL159">
        <v>23</v>
      </c>
      <c r="CM159">
        <v>0.06</v>
      </c>
      <c r="CN159">
        <v>0.09</v>
      </c>
      <c r="CO159">
        <v>-313.15422499999988</v>
      </c>
      <c r="CP159">
        <v>-14.16629268292567</v>
      </c>
      <c r="CQ159">
        <v>1.3642961461409311</v>
      </c>
      <c r="CR159">
        <v>-1</v>
      </c>
      <c r="CS159">
        <v>19.153880000000001</v>
      </c>
      <c r="CT159">
        <v>1.156228142589099</v>
      </c>
      <c r="CU159">
        <v>0.1114296486577967</v>
      </c>
      <c r="CV159">
        <v>-1</v>
      </c>
      <c r="CW159">
        <v>0</v>
      </c>
      <c r="CX159">
        <v>0</v>
      </c>
      <c r="CY159" t="s">
        <v>333</v>
      </c>
      <c r="CZ159">
        <v>2.3645399999999999</v>
      </c>
      <c r="DA159">
        <v>2.7137199999999999</v>
      </c>
      <c r="DB159">
        <v>0.103437</v>
      </c>
      <c r="DC159">
        <v>0.14627799999999999</v>
      </c>
      <c r="DD159">
        <v>0.10806499999999999</v>
      </c>
      <c r="DE159">
        <v>2.1479700000000001E-2</v>
      </c>
      <c r="DF159">
        <v>32750.7</v>
      </c>
      <c r="DG159">
        <v>27535.4</v>
      </c>
      <c r="DH159">
        <v>31184.799999999999</v>
      </c>
      <c r="DI159">
        <v>28104.5</v>
      </c>
      <c r="DJ159">
        <v>37764</v>
      </c>
      <c r="DK159">
        <v>39116.300000000003</v>
      </c>
      <c r="DL159">
        <v>44382.9</v>
      </c>
      <c r="DM159">
        <v>42602.7</v>
      </c>
      <c r="DN159">
        <v>1.4460999999999999</v>
      </c>
      <c r="DO159">
        <v>2.0341499999999999</v>
      </c>
      <c r="DP159">
        <v>0.15983</v>
      </c>
      <c r="DQ159">
        <v>0.14157600000000001</v>
      </c>
      <c r="DR159">
        <v>24.315200000000001</v>
      </c>
      <c r="DS159">
        <v>24.1677</v>
      </c>
      <c r="DT159">
        <v>39.6</v>
      </c>
      <c r="DU159">
        <v>29.2</v>
      </c>
      <c r="DV159">
        <v>16.235399999999998</v>
      </c>
      <c r="DW159">
        <v>61.713000000000001</v>
      </c>
      <c r="DX159">
        <v>36.686700000000002</v>
      </c>
      <c r="DY159">
        <v>1</v>
      </c>
      <c r="DZ159">
        <v>-9.6257599999999999E-2</v>
      </c>
      <c r="EA159">
        <v>0.26158799999999999</v>
      </c>
      <c r="EB159">
        <v>20.189299999999999</v>
      </c>
      <c r="EC159">
        <v>5.2406499999999996</v>
      </c>
      <c r="ED159">
        <v>12.039899999999999</v>
      </c>
      <c r="EE159">
        <v>5.0166500000000003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1.86463</v>
      </c>
      <c r="EM159">
        <v>1.8692</v>
      </c>
      <c r="EN159">
        <v>1.8672299999999999</v>
      </c>
      <c r="EO159">
        <v>1.86338</v>
      </c>
      <c r="EP159">
        <v>1.8644700000000001</v>
      </c>
      <c r="EQ159">
        <v>1.87018</v>
      </c>
      <c r="ER159">
        <v>1.8694299999999999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-1.9E-2</v>
      </c>
      <c r="FG159">
        <v>0.27189999999999998</v>
      </c>
      <c r="FH159">
        <v>0.30965466913576151</v>
      </c>
      <c r="FI159">
        <v>-6.1462078757559423E-4</v>
      </c>
      <c r="FJ159">
        <v>-1.8861989874597051E-7</v>
      </c>
      <c r="FK159">
        <v>1.1980462299894961E-10</v>
      </c>
      <c r="FL159">
        <v>0.27184999999999349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33.700000000000003</v>
      </c>
      <c r="FU159">
        <v>33.799999999999997</v>
      </c>
      <c r="FV159">
        <v>1.7687999999999999</v>
      </c>
      <c r="FW159">
        <v>2.5964399999999999</v>
      </c>
      <c r="FX159">
        <v>1.5490699999999999</v>
      </c>
      <c r="FY159">
        <v>2.3278799999999999</v>
      </c>
      <c r="FZ159">
        <v>1.50146</v>
      </c>
      <c r="GA159">
        <v>2.32544</v>
      </c>
      <c r="GB159">
        <v>33.896099999999997</v>
      </c>
      <c r="GC159">
        <v>23.982399999999998</v>
      </c>
      <c r="GD159">
        <v>19</v>
      </c>
      <c r="GE159">
        <v>270.142</v>
      </c>
      <c r="GF159">
        <v>581.08699999999999</v>
      </c>
      <c r="GG159">
        <v>23.273</v>
      </c>
      <c r="GH159">
        <v>26.155899999999999</v>
      </c>
      <c r="GI159">
        <v>30</v>
      </c>
      <c r="GJ159">
        <v>26.323899999999998</v>
      </c>
      <c r="GK159">
        <v>26.3171</v>
      </c>
      <c r="GL159">
        <v>35.350099999999998</v>
      </c>
      <c r="GM159">
        <v>77.490099999999998</v>
      </c>
      <c r="GN159">
        <v>45.751800000000003</v>
      </c>
      <c r="GO159">
        <v>23.299099999999999</v>
      </c>
      <c r="GP159">
        <v>800</v>
      </c>
      <c r="GQ159">
        <v>2.7606299999999999</v>
      </c>
      <c r="GR159">
        <v>99.7834</v>
      </c>
      <c r="GS159">
        <v>99.656999999999996</v>
      </c>
    </row>
    <row r="160" spans="1:201" x14ac:dyDescent="0.25">
      <c r="A160">
        <v>144</v>
      </c>
      <c r="B160">
        <v>1690305349.5999999</v>
      </c>
      <c r="C160">
        <v>1599.599999904633</v>
      </c>
      <c r="D160" t="s">
        <v>619</v>
      </c>
      <c r="E160" t="s">
        <v>620</v>
      </c>
      <c r="F160" t="s">
        <v>330</v>
      </c>
      <c r="H160">
        <v>1690305349.5999999</v>
      </c>
      <c r="I160">
        <f t="shared" si="60"/>
        <v>1.8253796069247178E-3</v>
      </c>
      <c r="J160">
        <f t="shared" si="61"/>
        <v>1.8253796069247177</v>
      </c>
      <c r="K160">
        <f t="shared" si="62"/>
        <v>28.039748970152701</v>
      </c>
      <c r="L160">
        <f t="shared" si="63"/>
        <v>482.08199999999999</v>
      </c>
      <c r="M160">
        <f t="shared" si="64"/>
        <v>137.00494962981116</v>
      </c>
      <c r="N160">
        <f t="shared" si="65"/>
        <v>13.611007440031411</v>
      </c>
      <c r="O160">
        <f t="shared" si="66"/>
        <v>47.893318500059998</v>
      </c>
      <c r="P160">
        <f t="shared" si="67"/>
        <v>0.1367310793654386</v>
      </c>
      <c r="Q160">
        <f t="shared" si="68"/>
        <v>2.0985216740774288</v>
      </c>
      <c r="R160">
        <f t="shared" si="69"/>
        <v>0.13196759638660635</v>
      </c>
      <c r="S160">
        <f t="shared" si="70"/>
        <v>8.2893902349779711E-2</v>
      </c>
      <c r="T160">
        <f t="shared" si="71"/>
        <v>276.11571589199997</v>
      </c>
      <c r="U160">
        <f t="shared" si="72"/>
        <v>26.877377230570076</v>
      </c>
      <c r="V160">
        <f t="shared" si="73"/>
        <v>26.877377230570076</v>
      </c>
      <c r="W160">
        <f t="shared" si="74"/>
        <v>3.5534636869851668</v>
      </c>
      <c r="X160">
        <f t="shared" si="75"/>
        <v>68.529067418785289</v>
      </c>
      <c r="Y160">
        <f t="shared" si="76"/>
        <v>2.219219423223</v>
      </c>
      <c r="Z160">
        <f t="shared" si="77"/>
        <v>3.2383622115579298</v>
      </c>
      <c r="AA160">
        <f t="shared" si="78"/>
        <v>1.3342442637621668</v>
      </c>
      <c r="AB160">
        <f t="shared" si="79"/>
        <v>-80.499240665380057</v>
      </c>
      <c r="AC160">
        <f t="shared" si="80"/>
        <v>-177.65410039309154</v>
      </c>
      <c r="AD160">
        <f t="shared" si="81"/>
        <v>-18.104703100377421</v>
      </c>
      <c r="AE160">
        <f t="shared" si="82"/>
        <v>-0.14232826684906286</v>
      </c>
      <c r="AF160">
        <v>9</v>
      </c>
      <c r="AG160">
        <v>3</v>
      </c>
      <c r="AH160">
        <f t="shared" si="83"/>
        <v>1</v>
      </c>
      <c r="AI160">
        <f t="shared" si="84"/>
        <v>0</v>
      </c>
      <c r="AJ160">
        <f t="shared" si="85"/>
        <v>52716.573076223453</v>
      </c>
      <c r="AK160">
        <f t="shared" si="86"/>
        <v>1800</v>
      </c>
      <c r="AL160">
        <f t="shared" si="87"/>
        <v>1499.1125111999997</v>
      </c>
      <c r="AM160">
        <f t="shared" si="88"/>
        <v>0.83284028399999988</v>
      </c>
      <c r="AN160">
        <f t="shared" si="89"/>
        <v>0.15339761993999998</v>
      </c>
      <c r="AO160">
        <v>33</v>
      </c>
      <c r="AP160">
        <v>0.5</v>
      </c>
      <c r="AQ160" t="s">
        <v>331</v>
      </c>
      <c r="AR160">
        <v>2</v>
      </c>
      <c r="AS160">
        <v>1690305349.5999999</v>
      </c>
      <c r="AT160">
        <v>482.08199999999999</v>
      </c>
      <c r="AU160">
        <v>800.11</v>
      </c>
      <c r="AV160">
        <v>22.338100000000001</v>
      </c>
      <c r="AW160">
        <v>2.7129500000000002</v>
      </c>
      <c r="AX160">
        <v>482.09899999999999</v>
      </c>
      <c r="AY160">
        <v>22.066299999999998</v>
      </c>
      <c r="AZ160">
        <v>300.084</v>
      </c>
      <c r="BA160">
        <v>99.246799999999993</v>
      </c>
      <c r="BB160">
        <v>0.10002999999999999</v>
      </c>
      <c r="BC160">
        <v>25.307099999999998</v>
      </c>
      <c r="BD160">
        <v>26.980899999999998</v>
      </c>
      <c r="BE160">
        <v>26.479500000000002</v>
      </c>
      <c r="BF160">
        <v>0</v>
      </c>
      <c r="BG160">
        <v>0</v>
      </c>
      <c r="BH160">
        <v>9988.1200000000008</v>
      </c>
      <c r="BI160">
        <v>1055.04</v>
      </c>
      <c r="BJ160">
        <v>1.5137799999999999</v>
      </c>
      <c r="BK160">
        <v>-318.02800000000002</v>
      </c>
      <c r="BL160">
        <v>493.09699999999998</v>
      </c>
      <c r="BM160">
        <v>802.28700000000003</v>
      </c>
      <c r="BN160">
        <v>19.6252</v>
      </c>
      <c r="BO160">
        <v>800.11</v>
      </c>
      <c r="BP160">
        <v>2.7129500000000002</v>
      </c>
      <c r="BQ160">
        <v>2.21699</v>
      </c>
      <c r="BR160">
        <v>0.26925199999999999</v>
      </c>
      <c r="BS160">
        <v>19.085599999999999</v>
      </c>
      <c r="BT160">
        <v>-10.832100000000001</v>
      </c>
      <c r="BU160">
        <v>1800</v>
      </c>
      <c r="BV160">
        <v>0.90999699999999994</v>
      </c>
      <c r="BW160">
        <v>3.3993000000000002E-2</v>
      </c>
      <c r="BX160">
        <v>2.2004200000000002E-2</v>
      </c>
      <c r="BY160">
        <v>3.4005399999999998E-2</v>
      </c>
      <c r="BZ160">
        <v>26</v>
      </c>
      <c r="CA160">
        <v>33528.300000000003</v>
      </c>
      <c r="CB160">
        <v>1690303320.5</v>
      </c>
      <c r="CC160" t="s">
        <v>332</v>
      </c>
      <c r="CD160">
        <v>1690303320.5</v>
      </c>
      <c r="CE160">
        <v>1690303310.0999999</v>
      </c>
      <c r="CF160">
        <v>8</v>
      </c>
      <c r="CG160">
        <v>7.3999999999999996E-2</v>
      </c>
      <c r="CH160">
        <v>-0.01</v>
      </c>
      <c r="CI160">
        <v>-0.24199999999999999</v>
      </c>
      <c r="CJ160">
        <v>0.27200000000000002</v>
      </c>
      <c r="CK160">
        <v>800</v>
      </c>
      <c r="CL160">
        <v>23</v>
      </c>
      <c r="CM160">
        <v>0.06</v>
      </c>
      <c r="CN160">
        <v>0.09</v>
      </c>
      <c r="CO160">
        <v>-315.51897560975613</v>
      </c>
      <c r="CP160">
        <v>-13.73701045296297</v>
      </c>
      <c r="CQ160">
        <v>1.3560793646787641</v>
      </c>
      <c r="CR160">
        <v>-1</v>
      </c>
      <c r="CS160">
        <v>19.370131707317071</v>
      </c>
      <c r="CT160">
        <v>1.3841832752613239</v>
      </c>
      <c r="CU160">
        <v>0.13666683976812741</v>
      </c>
      <c r="CV160">
        <v>-1</v>
      </c>
      <c r="CW160">
        <v>0</v>
      </c>
      <c r="CX160">
        <v>0</v>
      </c>
      <c r="CY160" t="s">
        <v>333</v>
      </c>
      <c r="CZ160">
        <v>2.3643200000000002</v>
      </c>
      <c r="DA160">
        <v>2.7138100000000001</v>
      </c>
      <c r="DB160">
        <v>0.103078</v>
      </c>
      <c r="DC160">
        <v>0.146286</v>
      </c>
      <c r="DD160">
        <v>0.10814799999999999</v>
      </c>
      <c r="DE160">
        <v>2.0097299999999998E-2</v>
      </c>
      <c r="DF160">
        <v>32764.3</v>
      </c>
      <c r="DG160">
        <v>27535.200000000001</v>
      </c>
      <c r="DH160">
        <v>31185.3</v>
      </c>
      <c r="DI160">
        <v>28104.6</v>
      </c>
      <c r="DJ160">
        <v>37760.9</v>
      </c>
      <c r="DK160">
        <v>39171.9</v>
      </c>
      <c r="DL160">
        <v>44383.6</v>
      </c>
      <c r="DM160">
        <v>42602.9</v>
      </c>
      <c r="DN160">
        <v>1.44512</v>
      </c>
      <c r="DO160">
        <v>2.0335999999999999</v>
      </c>
      <c r="DP160">
        <v>0.16205</v>
      </c>
      <c r="DQ160">
        <v>0.14047299999999999</v>
      </c>
      <c r="DR160">
        <v>24.3249</v>
      </c>
      <c r="DS160">
        <v>24.175899999999999</v>
      </c>
      <c r="DT160">
        <v>39.200000000000003</v>
      </c>
      <c r="DU160">
        <v>29.2</v>
      </c>
      <c r="DV160">
        <v>16.070900000000002</v>
      </c>
      <c r="DW160">
        <v>61.613</v>
      </c>
      <c r="DX160">
        <v>37.524000000000001</v>
      </c>
      <c r="DY160">
        <v>1</v>
      </c>
      <c r="DZ160">
        <v>-9.6907999999999994E-2</v>
      </c>
      <c r="EA160">
        <v>0.19816700000000001</v>
      </c>
      <c r="EB160">
        <v>20.189299999999999</v>
      </c>
      <c r="EC160">
        <v>5.2396000000000003</v>
      </c>
      <c r="ED160">
        <v>12.039899999999999</v>
      </c>
      <c r="EE160">
        <v>5.0129000000000001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1.8689100000000001</v>
      </c>
      <c r="EL160">
        <v>1.86463</v>
      </c>
      <c r="EM160">
        <v>1.8692</v>
      </c>
      <c r="EN160">
        <v>1.8672299999999999</v>
      </c>
      <c r="EO160">
        <v>1.8633999999999999</v>
      </c>
      <c r="EP160">
        <v>1.8644700000000001</v>
      </c>
      <c r="EQ160">
        <v>1.87019</v>
      </c>
      <c r="ER160">
        <v>1.8694299999999999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-1.7000000000000001E-2</v>
      </c>
      <c r="FG160">
        <v>0.27179999999999999</v>
      </c>
      <c r="FH160">
        <v>0.30965466913576151</v>
      </c>
      <c r="FI160">
        <v>-6.1462078757559423E-4</v>
      </c>
      <c r="FJ160">
        <v>-1.8861989874597051E-7</v>
      </c>
      <c r="FK160">
        <v>1.1980462299894961E-10</v>
      </c>
      <c r="FL160">
        <v>0.27184999999999349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33.799999999999997</v>
      </c>
      <c r="FU160">
        <v>34</v>
      </c>
      <c r="FV160">
        <v>1.7675799999999999</v>
      </c>
      <c r="FW160">
        <v>2.5915499999999998</v>
      </c>
      <c r="FX160">
        <v>1.5490699999999999</v>
      </c>
      <c r="FY160">
        <v>2.3278799999999999</v>
      </c>
      <c r="FZ160">
        <v>1.50146</v>
      </c>
      <c r="GA160">
        <v>2.3889200000000002</v>
      </c>
      <c r="GB160">
        <v>33.896099999999997</v>
      </c>
      <c r="GC160">
        <v>23.991199999999999</v>
      </c>
      <c r="GD160">
        <v>19</v>
      </c>
      <c r="GE160">
        <v>269.73</v>
      </c>
      <c r="GF160">
        <v>580.60299999999995</v>
      </c>
      <c r="GG160">
        <v>23.3645</v>
      </c>
      <c r="GH160">
        <v>26.153700000000001</v>
      </c>
      <c r="GI160">
        <v>29.9999</v>
      </c>
      <c r="GJ160">
        <v>26.3217</v>
      </c>
      <c r="GK160">
        <v>26.314299999999999</v>
      </c>
      <c r="GL160">
        <v>35.339500000000001</v>
      </c>
      <c r="GM160">
        <v>78.664000000000001</v>
      </c>
      <c r="GN160">
        <v>44.994799999999998</v>
      </c>
      <c r="GO160">
        <v>23.3764</v>
      </c>
      <c r="GP160">
        <v>800</v>
      </c>
      <c r="GQ160">
        <v>2.5351400000000002</v>
      </c>
      <c r="GR160">
        <v>99.784899999999993</v>
      </c>
      <c r="GS160">
        <v>99.657399999999996</v>
      </c>
    </row>
    <row r="161" spans="1:201" x14ac:dyDescent="0.25">
      <c r="A161">
        <v>145</v>
      </c>
      <c r="B161">
        <v>1690305359.5999999</v>
      </c>
      <c r="C161">
        <v>1609.599999904633</v>
      </c>
      <c r="D161" t="s">
        <v>621</v>
      </c>
      <c r="E161" t="s">
        <v>622</v>
      </c>
      <c r="F161" t="s">
        <v>330</v>
      </c>
      <c r="H161">
        <v>1690305359.5999999</v>
      </c>
      <c r="I161">
        <f t="shared" si="60"/>
        <v>1.8478322365147496E-3</v>
      </c>
      <c r="J161">
        <f t="shared" si="61"/>
        <v>1.8478322365147497</v>
      </c>
      <c r="K161">
        <f t="shared" si="62"/>
        <v>28.233601689556924</v>
      </c>
      <c r="L161">
        <f t="shared" si="63"/>
        <v>479.89699999999999</v>
      </c>
      <c r="M161">
        <f t="shared" si="64"/>
        <v>136.80932862612198</v>
      </c>
      <c r="N161">
        <f t="shared" si="65"/>
        <v>13.591308318977918</v>
      </c>
      <c r="O161">
        <f t="shared" si="66"/>
        <v>47.675316835866496</v>
      </c>
      <c r="P161">
        <f t="shared" si="67"/>
        <v>0.13853456687470511</v>
      </c>
      <c r="Q161">
        <f t="shared" si="68"/>
        <v>2.0979328349635034</v>
      </c>
      <c r="R161">
        <f t="shared" si="69"/>
        <v>0.13364569095742374</v>
      </c>
      <c r="S161">
        <f t="shared" si="70"/>
        <v>8.395342942946378E-2</v>
      </c>
      <c r="T161">
        <f t="shared" si="71"/>
        <v>276.11735608678947</v>
      </c>
      <c r="U161">
        <f t="shared" si="72"/>
        <v>26.884618922967984</v>
      </c>
      <c r="V161">
        <f t="shared" si="73"/>
        <v>26.884618922967984</v>
      </c>
      <c r="W161">
        <f t="shared" si="74"/>
        <v>3.5549767203934284</v>
      </c>
      <c r="X161">
        <f t="shared" si="75"/>
        <v>68.53394692763753</v>
      </c>
      <c r="Y161">
        <f t="shared" si="76"/>
        <v>2.2213319720411002</v>
      </c>
      <c r="Z161">
        <f t="shared" si="77"/>
        <v>3.2412141305483586</v>
      </c>
      <c r="AA161">
        <f t="shared" si="78"/>
        <v>1.3336447483523282</v>
      </c>
      <c r="AB161">
        <f t="shared" si="79"/>
        <v>-81.489401630300463</v>
      </c>
      <c r="AC161">
        <f t="shared" si="80"/>
        <v>-176.74937819497265</v>
      </c>
      <c r="AD161">
        <f t="shared" si="81"/>
        <v>-18.019549255756374</v>
      </c>
      <c r="AE161">
        <f t="shared" si="82"/>
        <v>-0.14097299424000198</v>
      </c>
      <c r="AF161">
        <v>9</v>
      </c>
      <c r="AG161">
        <v>3</v>
      </c>
      <c r="AH161">
        <f t="shared" si="83"/>
        <v>1</v>
      </c>
      <c r="AI161">
        <f t="shared" si="84"/>
        <v>0</v>
      </c>
      <c r="AJ161">
        <f t="shared" si="85"/>
        <v>52687.629913952136</v>
      </c>
      <c r="AK161">
        <f t="shared" si="86"/>
        <v>1800.01</v>
      </c>
      <c r="AL161">
        <f t="shared" si="87"/>
        <v>1499.1190143926999</v>
      </c>
      <c r="AM161">
        <f t="shared" si="88"/>
        <v>0.83283926999999991</v>
      </c>
      <c r="AN161">
        <f t="shared" si="89"/>
        <v>0.15339767894999998</v>
      </c>
      <c r="AO161">
        <v>33</v>
      </c>
      <c r="AP161">
        <v>0.5</v>
      </c>
      <c r="AQ161" t="s">
        <v>331</v>
      </c>
      <c r="AR161">
        <v>2</v>
      </c>
      <c r="AS161">
        <v>1690305359.5999999</v>
      </c>
      <c r="AT161">
        <v>479.89699999999999</v>
      </c>
      <c r="AU161">
        <v>800.029</v>
      </c>
      <c r="AV161">
        <v>22.3598</v>
      </c>
      <c r="AW161">
        <v>2.5000499999999999</v>
      </c>
      <c r="AX161">
        <v>479.91199999999998</v>
      </c>
      <c r="AY161">
        <v>22.087900000000001</v>
      </c>
      <c r="AZ161">
        <v>300.18</v>
      </c>
      <c r="BA161">
        <v>99.244900000000001</v>
      </c>
      <c r="BB161">
        <v>9.99945E-2</v>
      </c>
      <c r="BC161">
        <v>25.321899999999999</v>
      </c>
      <c r="BD161">
        <v>26.964300000000001</v>
      </c>
      <c r="BE161">
        <v>26.513500000000001</v>
      </c>
      <c r="BF161">
        <v>0</v>
      </c>
      <c r="BG161">
        <v>0</v>
      </c>
      <c r="BH161">
        <v>9983.1200000000008</v>
      </c>
      <c r="BI161">
        <v>1055.25</v>
      </c>
      <c r="BJ161">
        <v>1.5137799999999999</v>
      </c>
      <c r="BK161">
        <v>-320.13299999999998</v>
      </c>
      <c r="BL161">
        <v>490.87200000000001</v>
      </c>
      <c r="BM161">
        <v>802.03399999999999</v>
      </c>
      <c r="BN161">
        <v>19.8597</v>
      </c>
      <c r="BO161">
        <v>800.029</v>
      </c>
      <c r="BP161">
        <v>2.5000499999999999</v>
      </c>
      <c r="BQ161">
        <v>2.2191000000000001</v>
      </c>
      <c r="BR161">
        <v>0.248117</v>
      </c>
      <c r="BS161">
        <v>19.1008</v>
      </c>
      <c r="BT161">
        <v>-11.854100000000001</v>
      </c>
      <c r="BU161">
        <v>1800.01</v>
      </c>
      <c r="BV161">
        <v>0.90998999999999997</v>
      </c>
      <c r="BW161">
        <v>3.4001999999999998E-2</v>
      </c>
      <c r="BX161">
        <v>2.2003499999999999E-2</v>
      </c>
      <c r="BY161">
        <v>3.4004300000000001E-2</v>
      </c>
      <c r="BZ161">
        <v>26</v>
      </c>
      <c r="CA161">
        <v>33528.400000000001</v>
      </c>
      <c r="CB161">
        <v>1690303320.5</v>
      </c>
      <c r="CC161" t="s">
        <v>332</v>
      </c>
      <c r="CD161">
        <v>1690303320.5</v>
      </c>
      <c r="CE161">
        <v>1690303310.0999999</v>
      </c>
      <c r="CF161">
        <v>8</v>
      </c>
      <c r="CG161">
        <v>7.3999999999999996E-2</v>
      </c>
      <c r="CH161">
        <v>-0.01</v>
      </c>
      <c r="CI161">
        <v>-0.24199999999999999</v>
      </c>
      <c r="CJ161">
        <v>0.27200000000000002</v>
      </c>
      <c r="CK161">
        <v>800</v>
      </c>
      <c r="CL161">
        <v>23</v>
      </c>
      <c r="CM161">
        <v>0.06</v>
      </c>
      <c r="CN161">
        <v>0.09</v>
      </c>
      <c r="CO161">
        <v>-317.75119999999998</v>
      </c>
      <c r="CP161">
        <v>-13.975339587241271</v>
      </c>
      <c r="CQ161">
        <v>1.3453299260776159</v>
      </c>
      <c r="CR161">
        <v>-1</v>
      </c>
      <c r="CS161">
        <v>19.597507499999999</v>
      </c>
      <c r="CT161">
        <v>1.441651407129461</v>
      </c>
      <c r="CU161">
        <v>0.13876152094060551</v>
      </c>
      <c r="CV161">
        <v>-1</v>
      </c>
      <c r="CW161">
        <v>0</v>
      </c>
      <c r="CX161">
        <v>0</v>
      </c>
      <c r="CY161" t="s">
        <v>333</v>
      </c>
      <c r="CZ161">
        <v>2.3646500000000001</v>
      </c>
      <c r="DA161">
        <v>2.7137699999999998</v>
      </c>
      <c r="DB161">
        <v>0.102732</v>
      </c>
      <c r="DC161">
        <v>0.14627000000000001</v>
      </c>
      <c r="DD161">
        <v>0.108221</v>
      </c>
      <c r="DE161">
        <v>1.8689600000000001E-2</v>
      </c>
      <c r="DF161">
        <v>32777.1</v>
      </c>
      <c r="DG161">
        <v>27535.200000000001</v>
      </c>
      <c r="DH161">
        <v>31185.4</v>
      </c>
      <c r="DI161">
        <v>28104.1</v>
      </c>
      <c r="DJ161">
        <v>37757.9</v>
      </c>
      <c r="DK161">
        <v>39227.800000000003</v>
      </c>
      <c r="DL161">
        <v>44383.8</v>
      </c>
      <c r="DM161">
        <v>42602.3</v>
      </c>
      <c r="DN161">
        <v>1.4455199999999999</v>
      </c>
      <c r="DO161">
        <v>2.0332499999999998</v>
      </c>
      <c r="DP161">
        <v>0.16041800000000001</v>
      </c>
      <c r="DQ161">
        <v>0.14199300000000001</v>
      </c>
      <c r="DR161">
        <v>24.335000000000001</v>
      </c>
      <c r="DS161">
        <v>24.185099999999998</v>
      </c>
      <c r="DT161">
        <v>38.799999999999997</v>
      </c>
      <c r="DU161">
        <v>29.2</v>
      </c>
      <c r="DV161">
        <v>15.9056</v>
      </c>
      <c r="DW161">
        <v>61.542999999999999</v>
      </c>
      <c r="DX161">
        <v>36.995199999999997</v>
      </c>
      <c r="DY161">
        <v>1</v>
      </c>
      <c r="DZ161">
        <v>-9.6168699999999996E-2</v>
      </c>
      <c r="EA161">
        <v>0.29147299999999998</v>
      </c>
      <c r="EB161">
        <v>20.189399999999999</v>
      </c>
      <c r="EC161">
        <v>5.2394499999999997</v>
      </c>
      <c r="ED161">
        <v>12.039899999999999</v>
      </c>
      <c r="EE161">
        <v>5.0128000000000004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1.86463</v>
      </c>
      <c r="EM161">
        <v>1.8692</v>
      </c>
      <c r="EN161">
        <v>1.8672200000000001</v>
      </c>
      <c r="EO161">
        <v>1.8633999999999999</v>
      </c>
      <c r="EP161">
        <v>1.8644700000000001</v>
      </c>
      <c r="EQ161">
        <v>1.87018</v>
      </c>
      <c r="ER161">
        <v>1.8694200000000001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-1.4999999999999999E-2</v>
      </c>
      <c r="FG161">
        <v>0.27189999999999998</v>
      </c>
      <c r="FH161">
        <v>0.30965466913576151</v>
      </c>
      <c r="FI161">
        <v>-6.1462078757559423E-4</v>
      </c>
      <c r="FJ161">
        <v>-1.8861989874597051E-7</v>
      </c>
      <c r="FK161">
        <v>1.1980462299894961E-10</v>
      </c>
      <c r="FL161">
        <v>0.27184999999999349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34</v>
      </c>
      <c r="FU161">
        <v>34.200000000000003</v>
      </c>
      <c r="FV161">
        <v>1.7675799999999999</v>
      </c>
      <c r="FW161">
        <v>2.5854499999999998</v>
      </c>
      <c r="FX161">
        <v>1.5490699999999999</v>
      </c>
      <c r="FY161">
        <v>2.3278799999999999</v>
      </c>
      <c r="FZ161">
        <v>1.50146</v>
      </c>
      <c r="GA161">
        <v>2.3877000000000002</v>
      </c>
      <c r="GB161">
        <v>33.896099999999997</v>
      </c>
      <c r="GC161">
        <v>23.991199999999999</v>
      </c>
      <c r="GD161">
        <v>19</v>
      </c>
      <c r="GE161">
        <v>269.89</v>
      </c>
      <c r="GF161">
        <v>580.28399999999999</v>
      </c>
      <c r="GG161">
        <v>23.409199999999998</v>
      </c>
      <c r="GH161">
        <v>26.153700000000001</v>
      </c>
      <c r="GI161">
        <v>30.000299999999999</v>
      </c>
      <c r="GJ161">
        <v>26.320499999999999</v>
      </c>
      <c r="GK161">
        <v>26.311499999999999</v>
      </c>
      <c r="GL161">
        <v>35.332700000000003</v>
      </c>
      <c r="GM161">
        <v>79.882599999999996</v>
      </c>
      <c r="GN161">
        <v>43.863799999999998</v>
      </c>
      <c r="GO161">
        <v>23.407599999999999</v>
      </c>
      <c r="GP161">
        <v>800</v>
      </c>
      <c r="GQ161">
        <v>2.3122699999999998</v>
      </c>
      <c r="GR161">
        <v>99.785300000000007</v>
      </c>
      <c r="GS161">
        <v>99.655799999999999</v>
      </c>
    </row>
    <row r="162" spans="1:201" x14ac:dyDescent="0.25">
      <c r="A162">
        <v>146</v>
      </c>
      <c r="B162">
        <v>1690305369.5999999</v>
      </c>
      <c r="C162">
        <v>1619.599999904633</v>
      </c>
      <c r="D162" t="s">
        <v>623</v>
      </c>
      <c r="E162" t="s">
        <v>624</v>
      </c>
      <c r="F162" t="s">
        <v>330</v>
      </c>
      <c r="H162">
        <v>1690305369.5999999</v>
      </c>
      <c r="I162">
        <f t="shared" si="60"/>
        <v>1.8686368103776473E-3</v>
      </c>
      <c r="J162">
        <f t="shared" si="61"/>
        <v>1.8686368103776472</v>
      </c>
      <c r="K162">
        <f t="shared" si="62"/>
        <v>28.450950934809239</v>
      </c>
      <c r="L162">
        <f t="shared" si="63"/>
        <v>477.62</v>
      </c>
      <c r="M162">
        <f t="shared" si="64"/>
        <v>135.50802825054996</v>
      </c>
      <c r="N162">
        <f t="shared" si="65"/>
        <v>13.46236229084502</v>
      </c>
      <c r="O162">
        <f t="shared" si="66"/>
        <v>47.450277008420002</v>
      </c>
      <c r="P162">
        <f t="shared" si="67"/>
        <v>0.14003795933619689</v>
      </c>
      <c r="Q162">
        <f t="shared" si="68"/>
        <v>2.0983867510817538</v>
      </c>
      <c r="R162">
        <f t="shared" si="69"/>
        <v>0.13504549470423324</v>
      </c>
      <c r="S162">
        <f t="shared" si="70"/>
        <v>8.4837158980209007E-2</v>
      </c>
      <c r="T162">
        <f t="shared" si="71"/>
        <v>276.11428678321801</v>
      </c>
      <c r="U162">
        <f t="shared" si="72"/>
        <v>26.893897617263999</v>
      </c>
      <c r="V162">
        <f t="shared" si="73"/>
        <v>26.893897617263999</v>
      </c>
      <c r="W162">
        <f t="shared" si="74"/>
        <v>3.5569161740247219</v>
      </c>
      <c r="X162">
        <f t="shared" si="75"/>
        <v>68.49210044411555</v>
      </c>
      <c r="Y162">
        <f t="shared" si="76"/>
        <v>2.2222211929562001</v>
      </c>
      <c r="Z162">
        <f t="shared" si="77"/>
        <v>3.2444926911963625</v>
      </c>
      <c r="AA162">
        <f t="shared" si="78"/>
        <v>1.3346949810685218</v>
      </c>
      <c r="AB162">
        <f t="shared" si="79"/>
        <v>-82.40688333765425</v>
      </c>
      <c r="AC162">
        <f t="shared" si="80"/>
        <v>-175.91412269061891</v>
      </c>
      <c r="AD162">
        <f t="shared" si="81"/>
        <v>-17.932877586192994</v>
      </c>
      <c r="AE162">
        <f t="shared" si="82"/>
        <v>-0.13959683124815569</v>
      </c>
      <c r="AF162">
        <v>9</v>
      </c>
      <c r="AG162">
        <v>3</v>
      </c>
      <c r="AH162">
        <f t="shared" si="83"/>
        <v>1</v>
      </c>
      <c r="AI162">
        <f t="shared" si="84"/>
        <v>0</v>
      </c>
      <c r="AJ162">
        <f t="shared" si="85"/>
        <v>52704.941078944845</v>
      </c>
      <c r="AK162">
        <f t="shared" si="86"/>
        <v>1799.99</v>
      </c>
      <c r="AL162">
        <f t="shared" si="87"/>
        <v>1499.1013856126997</v>
      </c>
      <c r="AM162">
        <f t="shared" si="88"/>
        <v>0.83283872999999986</v>
      </c>
      <c r="AN162">
        <f t="shared" si="89"/>
        <v>0.1533976782</v>
      </c>
      <c r="AO162">
        <v>33</v>
      </c>
      <c r="AP162">
        <v>0.5</v>
      </c>
      <c r="AQ162" t="s">
        <v>331</v>
      </c>
      <c r="AR162">
        <v>2</v>
      </c>
      <c r="AS162">
        <v>1690305369.5999999</v>
      </c>
      <c r="AT162">
        <v>477.62</v>
      </c>
      <c r="AU162">
        <v>800.14099999999996</v>
      </c>
      <c r="AV162">
        <v>22.368200000000002</v>
      </c>
      <c r="AW162">
        <v>2.2889699999999999</v>
      </c>
      <c r="AX162">
        <v>477.63400000000001</v>
      </c>
      <c r="AY162">
        <v>22.096299999999999</v>
      </c>
      <c r="AZ162">
        <v>300.23899999999998</v>
      </c>
      <c r="BA162">
        <v>99.247299999999996</v>
      </c>
      <c r="BB162">
        <v>0.100041</v>
      </c>
      <c r="BC162">
        <v>25.338899999999999</v>
      </c>
      <c r="BD162">
        <v>26.9847</v>
      </c>
      <c r="BE162">
        <v>26.5123</v>
      </c>
      <c r="BF162">
        <v>0</v>
      </c>
      <c r="BG162">
        <v>0</v>
      </c>
      <c r="BH162">
        <v>9986.8799999999992</v>
      </c>
      <c r="BI162">
        <v>1055.3900000000001</v>
      </c>
      <c r="BJ162">
        <v>1.5137799999999999</v>
      </c>
      <c r="BK162">
        <v>-322.52100000000002</v>
      </c>
      <c r="BL162">
        <v>488.548</v>
      </c>
      <c r="BM162">
        <v>801.97699999999998</v>
      </c>
      <c r="BN162">
        <v>20.0792</v>
      </c>
      <c r="BO162">
        <v>800.14099999999996</v>
      </c>
      <c r="BP162">
        <v>2.2889699999999999</v>
      </c>
      <c r="BQ162">
        <v>2.2199800000000001</v>
      </c>
      <c r="BR162">
        <v>0.22717399999999999</v>
      </c>
      <c r="BS162">
        <v>19.107199999999999</v>
      </c>
      <c r="BT162">
        <v>-12.946400000000001</v>
      </c>
      <c r="BU162">
        <v>1799.99</v>
      </c>
      <c r="BV162">
        <v>0.90998699999999999</v>
      </c>
      <c r="BW162">
        <v>3.40062E-2</v>
      </c>
      <c r="BX162">
        <v>2.2003000000000002E-2</v>
      </c>
      <c r="BY162">
        <v>3.4003600000000002E-2</v>
      </c>
      <c r="BZ162">
        <v>26</v>
      </c>
      <c r="CA162">
        <v>33528.199999999997</v>
      </c>
      <c r="CB162">
        <v>1690303320.5</v>
      </c>
      <c r="CC162" t="s">
        <v>332</v>
      </c>
      <c r="CD162">
        <v>1690303320.5</v>
      </c>
      <c r="CE162">
        <v>1690303310.0999999</v>
      </c>
      <c r="CF162">
        <v>8</v>
      </c>
      <c r="CG162">
        <v>7.3999999999999996E-2</v>
      </c>
      <c r="CH162">
        <v>-0.01</v>
      </c>
      <c r="CI162">
        <v>-0.24199999999999999</v>
      </c>
      <c r="CJ162">
        <v>0.27200000000000002</v>
      </c>
      <c r="CK162">
        <v>800</v>
      </c>
      <c r="CL162">
        <v>23</v>
      </c>
      <c r="CM162">
        <v>0.06</v>
      </c>
      <c r="CN162">
        <v>0.09</v>
      </c>
      <c r="CO162">
        <v>-319.94837500000011</v>
      </c>
      <c r="CP162">
        <v>-12.69387242026141</v>
      </c>
      <c r="CQ162">
        <v>1.222889093243942</v>
      </c>
      <c r="CR162">
        <v>-1</v>
      </c>
      <c r="CS162">
        <v>19.827639999999999</v>
      </c>
      <c r="CT162">
        <v>1.343313320825507</v>
      </c>
      <c r="CU162">
        <v>0.1292944600514653</v>
      </c>
      <c r="CV162">
        <v>-1</v>
      </c>
      <c r="CW162">
        <v>0</v>
      </c>
      <c r="CX162">
        <v>0</v>
      </c>
      <c r="CY162" t="s">
        <v>333</v>
      </c>
      <c r="CZ162">
        <v>2.3648099999999999</v>
      </c>
      <c r="DA162">
        <v>2.7138200000000001</v>
      </c>
      <c r="DB162">
        <v>0.10237599999999999</v>
      </c>
      <c r="DC162">
        <v>0.146283</v>
      </c>
      <c r="DD162">
        <v>0.108253</v>
      </c>
      <c r="DE162">
        <v>1.72718E-2</v>
      </c>
      <c r="DF162">
        <v>32790.199999999997</v>
      </c>
      <c r="DG162">
        <v>27535.4</v>
      </c>
      <c r="DH162">
        <v>31185.4</v>
      </c>
      <c r="DI162">
        <v>28104.7</v>
      </c>
      <c r="DJ162">
        <v>37756.699999999997</v>
      </c>
      <c r="DK162">
        <v>39285.199999999997</v>
      </c>
      <c r="DL162">
        <v>44384</v>
      </c>
      <c r="DM162">
        <v>42603</v>
      </c>
      <c r="DN162">
        <v>1.4458500000000001</v>
      </c>
      <c r="DO162">
        <v>2.0329999999999999</v>
      </c>
      <c r="DP162">
        <v>0.16125300000000001</v>
      </c>
      <c r="DQ162">
        <v>0.14139699999999999</v>
      </c>
      <c r="DR162">
        <v>24.341799999999999</v>
      </c>
      <c r="DS162">
        <v>24.1936</v>
      </c>
      <c r="DT162">
        <v>38.5</v>
      </c>
      <c r="DU162">
        <v>29.2</v>
      </c>
      <c r="DV162">
        <v>15.7834</v>
      </c>
      <c r="DW162">
        <v>61.472999999999999</v>
      </c>
      <c r="DX162">
        <v>36.426299999999998</v>
      </c>
      <c r="DY162">
        <v>1</v>
      </c>
      <c r="DZ162">
        <v>-9.6816600000000003E-2</v>
      </c>
      <c r="EA162">
        <v>0.24352699999999999</v>
      </c>
      <c r="EB162">
        <v>20.189399999999999</v>
      </c>
      <c r="EC162">
        <v>5.2397499999999999</v>
      </c>
      <c r="ED162">
        <v>12.039899999999999</v>
      </c>
      <c r="EE162">
        <v>5.0131500000000004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1.8646199999999999</v>
      </c>
      <c r="EM162">
        <v>1.8691899999999999</v>
      </c>
      <c r="EN162">
        <v>1.8672200000000001</v>
      </c>
      <c r="EO162">
        <v>1.86338</v>
      </c>
      <c r="EP162">
        <v>1.8644700000000001</v>
      </c>
      <c r="EQ162">
        <v>1.87015</v>
      </c>
      <c r="ER162">
        <v>1.86938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-1.4E-2</v>
      </c>
      <c r="FG162">
        <v>0.27189999999999998</v>
      </c>
      <c r="FH162">
        <v>0.30965466913576151</v>
      </c>
      <c r="FI162">
        <v>-6.1462078757559423E-4</v>
      </c>
      <c r="FJ162">
        <v>-1.8861989874597051E-7</v>
      </c>
      <c r="FK162">
        <v>1.1980462299894961E-10</v>
      </c>
      <c r="FL162">
        <v>0.27184999999999349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34.200000000000003</v>
      </c>
      <c r="FU162">
        <v>34.299999999999997</v>
      </c>
      <c r="FV162">
        <v>1.7663599999999999</v>
      </c>
      <c r="FW162">
        <v>2.5927699999999998</v>
      </c>
      <c r="FX162">
        <v>1.5490699999999999</v>
      </c>
      <c r="FY162">
        <v>2.3278799999999999</v>
      </c>
      <c r="FZ162">
        <v>1.50146</v>
      </c>
      <c r="GA162">
        <v>2.2790499999999998</v>
      </c>
      <c r="GB162">
        <v>33.896099999999997</v>
      </c>
      <c r="GC162">
        <v>23.982399999999998</v>
      </c>
      <c r="GD162">
        <v>19</v>
      </c>
      <c r="GE162">
        <v>270.01799999999997</v>
      </c>
      <c r="GF162">
        <v>580.05399999999997</v>
      </c>
      <c r="GG162">
        <v>23.4498</v>
      </c>
      <c r="GH162">
        <v>26.151499999999999</v>
      </c>
      <c r="GI162">
        <v>30</v>
      </c>
      <c r="GJ162">
        <v>26.3188</v>
      </c>
      <c r="GK162">
        <v>26.3093</v>
      </c>
      <c r="GL162">
        <v>35.320999999999998</v>
      </c>
      <c r="GM162">
        <v>81.480599999999995</v>
      </c>
      <c r="GN162">
        <v>43.096699999999998</v>
      </c>
      <c r="GO162">
        <v>23.457699999999999</v>
      </c>
      <c r="GP162">
        <v>800</v>
      </c>
      <c r="GQ162">
        <v>2.0941999999999998</v>
      </c>
      <c r="GR162">
        <v>99.785700000000006</v>
      </c>
      <c r="GS162">
        <v>99.657600000000002</v>
      </c>
    </row>
    <row r="163" spans="1:201" x14ac:dyDescent="0.25">
      <c r="A163">
        <v>147</v>
      </c>
      <c r="B163">
        <v>1690305379.5999999</v>
      </c>
      <c r="C163">
        <v>1629.599999904633</v>
      </c>
      <c r="D163" t="s">
        <v>625</v>
      </c>
      <c r="E163" t="s">
        <v>626</v>
      </c>
      <c r="F163" t="s">
        <v>330</v>
      </c>
      <c r="H163">
        <v>1690305379.5999999</v>
      </c>
      <c r="I163">
        <f t="shared" si="60"/>
        <v>1.8900925791471778E-3</v>
      </c>
      <c r="J163">
        <f t="shared" si="61"/>
        <v>1.8900925791471779</v>
      </c>
      <c r="K163">
        <f t="shared" si="62"/>
        <v>28.648306761484989</v>
      </c>
      <c r="L163">
        <f t="shared" si="63"/>
        <v>475.43299999999999</v>
      </c>
      <c r="M163">
        <f t="shared" si="64"/>
        <v>134.71086618918358</v>
      </c>
      <c r="N163">
        <f t="shared" si="65"/>
        <v>13.382831199067112</v>
      </c>
      <c r="O163">
        <f t="shared" si="66"/>
        <v>47.231821496348999</v>
      </c>
      <c r="P163">
        <f t="shared" si="67"/>
        <v>0.14163984038407065</v>
      </c>
      <c r="Q163">
        <f t="shared" si="68"/>
        <v>2.0951635391456707</v>
      </c>
      <c r="R163">
        <f t="shared" si="69"/>
        <v>0.13652719695474305</v>
      </c>
      <c r="S163">
        <f t="shared" si="70"/>
        <v>8.5773473626342384E-2</v>
      </c>
      <c r="T163">
        <f t="shared" si="71"/>
        <v>276.11590177799997</v>
      </c>
      <c r="U163">
        <f t="shared" si="72"/>
        <v>26.904353697243625</v>
      </c>
      <c r="V163">
        <f t="shared" si="73"/>
        <v>26.904353697243625</v>
      </c>
      <c r="W163">
        <f t="shared" si="74"/>
        <v>3.5591028343430313</v>
      </c>
      <c r="X163">
        <f t="shared" si="75"/>
        <v>68.475828335495649</v>
      </c>
      <c r="Y163">
        <f t="shared" si="76"/>
        <v>2.2237947964637996</v>
      </c>
      <c r="Z163">
        <f t="shared" si="77"/>
        <v>3.2475617316644514</v>
      </c>
      <c r="AA163">
        <f t="shared" si="78"/>
        <v>1.3353080378792317</v>
      </c>
      <c r="AB163">
        <f t="shared" si="79"/>
        <v>-83.353082740390548</v>
      </c>
      <c r="AC163">
        <f t="shared" si="80"/>
        <v>-175.02899603437302</v>
      </c>
      <c r="AD163">
        <f t="shared" si="81"/>
        <v>-17.872457176628213</v>
      </c>
      <c r="AE163">
        <f t="shared" si="82"/>
        <v>-0.13863417339180728</v>
      </c>
      <c r="AF163">
        <v>9</v>
      </c>
      <c r="AG163">
        <v>3</v>
      </c>
      <c r="AH163">
        <f t="shared" si="83"/>
        <v>1</v>
      </c>
      <c r="AI163">
        <f t="shared" si="84"/>
        <v>0</v>
      </c>
      <c r="AJ163">
        <f t="shared" si="85"/>
        <v>52558.324440553806</v>
      </c>
      <c r="AK163">
        <f t="shared" si="86"/>
        <v>1800</v>
      </c>
      <c r="AL163">
        <f t="shared" si="87"/>
        <v>1499.1104088</v>
      </c>
      <c r="AM163">
        <f t="shared" si="88"/>
        <v>0.83283911599999993</v>
      </c>
      <c r="AN163">
        <f t="shared" si="89"/>
        <v>0.15339772320999998</v>
      </c>
      <c r="AO163">
        <v>33</v>
      </c>
      <c r="AP163">
        <v>0.5</v>
      </c>
      <c r="AQ163" t="s">
        <v>331</v>
      </c>
      <c r="AR163">
        <v>2</v>
      </c>
      <c r="AS163">
        <v>1690305379.5999999</v>
      </c>
      <c r="AT163">
        <v>475.43299999999999</v>
      </c>
      <c r="AU163">
        <v>800.17200000000003</v>
      </c>
      <c r="AV163">
        <v>22.384599999999999</v>
      </c>
      <c r="AW163">
        <v>2.0763099999999999</v>
      </c>
      <c r="AX163">
        <v>475.44499999999999</v>
      </c>
      <c r="AY163">
        <v>22.1128</v>
      </c>
      <c r="AZ163">
        <v>300.25599999999997</v>
      </c>
      <c r="BA163">
        <v>99.244799999999998</v>
      </c>
      <c r="BB163">
        <v>0.100053</v>
      </c>
      <c r="BC163">
        <v>25.354800000000001</v>
      </c>
      <c r="BD163">
        <v>26.9695</v>
      </c>
      <c r="BE163">
        <v>26.5365</v>
      </c>
      <c r="BF163">
        <v>0</v>
      </c>
      <c r="BG163">
        <v>0</v>
      </c>
      <c r="BH163">
        <v>9958.75</v>
      </c>
      <c r="BI163">
        <v>1055.43</v>
      </c>
      <c r="BJ163">
        <v>1.4969699999999999</v>
      </c>
      <c r="BK163">
        <v>-324.74</v>
      </c>
      <c r="BL163">
        <v>486.31900000000002</v>
      </c>
      <c r="BM163">
        <v>801.83699999999999</v>
      </c>
      <c r="BN163">
        <v>20.308299999999999</v>
      </c>
      <c r="BO163">
        <v>800.17200000000003</v>
      </c>
      <c r="BP163">
        <v>2.0763099999999999</v>
      </c>
      <c r="BQ163">
        <v>2.2215600000000002</v>
      </c>
      <c r="BR163">
        <v>0.206063</v>
      </c>
      <c r="BS163">
        <v>19.118600000000001</v>
      </c>
      <c r="BT163">
        <v>-14.1426</v>
      </c>
      <c r="BU163">
        <v>1800</v>
      </c>
      <c r="BV163">
        <v>0.90998800000000002</v>
      </c>
      <c r="BW163">
        <v>3.4007599999999999E-2</v>
      </c>
      <c r="BX163">
        <v>2.2002299999999999E-2</v>
      </c>
      <c r="BY163">
        <v>3.4002499999999998E-2</v>
      </c>
      <c r="BZ163">
        <v>26</v>
      </c>
      <c r="CA163">
        <v>33528.199999999997</v>
      </c>
      <c r="CB163">
        <v>1690303320.5</v>
      </c>
      <c r="CC163" t="s">
        <v>332</v>
      </c>
      <c r="CD163">
        <v>1690303320.5</v>
      </c>
      <c r="CE163">
        <v>1690303310.0999999</v>
      </c>
      <c r="CF163">
        <v>8</v>
      </c>
      <c r="CG163">
        <v>7.3999999999999996E-2</v>
      </c>
      <c r="CH163">
        <v>-0.01</v>
      </c>
      <c r="CI163">
        <v>-0.24199999999999999</v>
      </c>
      <c r="CJ163">
        <v>0.27200000000000002</v>
      </c>
      <c r="CK163">
        <v>800</v>
      </c>
      <c r="CL163">
        <v>23</v>
      </c>
      <c r="CM163">
        <v>0.06</v>
      </c>
      <c r="CN163">
        <v>0.09</v>
      </c>
      <c r="CO163">
        <v>-322.15063414634147</v>
      </c>
      <c r="CP163">
        <v>-13.18112195121922</v>
      </c>
      <c r="CQ163">
        <v>1.301741493128181</v>
      </c>
      <c r="CR163">
        <v>-1</v>
      </c>
      <c r="CS163">
        <v>20.056695121951218</v>
      </c>
      <c r="CT163">
        <v>1.3445101045296131</v>
      </c>
      <c r="CU163">
        <v>0.13259995760441429</v>
      </c>
      <c r="CV163">
        <v>-1</v>
      </c>
      <c r="CW163">
        <v>0</v>
      </c>
      <c r="CX163">
        <v>0</v>
      </c>
      <c r="CY163" t="s">
        <v>333</v>
      </c>
      <c r="CZ163">
        <v>2.3649100000000001</v>
      </c>
      <c r="DA163">
        <v>2.7138100000000001</v>
      </c>
      <c r="DB163">
        <v>0.10202700000000001</v>
      </c>
      <c r="DC163">
        <v>0.14627999999999999</v>
      </c>
      <c r="DD163">
        <v>0.108308</v>
      </c>
      <c r="DE163">
        <v>1.5818100000000002E-2</v>
      </c>
      <c r="DF163">
        <v>32802.9</v>
      </c>
      <c r="DG163">
        <v>27534.9</v>
      </c>
      <c r="DH163">
        <v>31185.5</v>
      </c>
      <c r="DI163">
        <v>28104.1</v>
      </c>
      <c r="DJ163">
        <v>37754.199999999997</v>
      </c>
      <c r="DK163">
        <v>39343</v>
      </c>
      <c r="DL163">
        <v>44383.9</v>
      </c>
      <c r="DM163">
        <v>42602.400000000001</v>
      </c>
      <c r="DN163">
        <v>1.4460500000000001</v>
      </c>
      <c r="DO163">
        <v>2.0330499999999998</v>
      </c>
      <c r="DP163">
        <v>0.15986</v>
      </c>
      <c r="DQ163">
        <v>0.14227600000000001</v>
      </c>
      <c r="DR163">
        <v>24.349399999999999</v>
      </c>
      <c r="DS163">
        <v>24.203499999999998</v>
      </c>
      <c r="DT163">
        <v>38</v>
      </c>
      <c r="DU163">
        <v>29.2</v>
      </c>
      <c r="DV163">
        <v>15.5783</v>
      </c>
      <c r="DW163">
        <v>61.732999999999997</v>
      </c>
      <c r="DX163">
        <v>36.654600000000002</v>
      </c>
      <c r="DY163">
        <v>1</v>
      </c>
      <c r="DZ163">
        <v>-9.6478700000000001E-2</v>
      </c>
      <c r="EA163">
        <v>0.26321099999999997</v>
      </c>
      <c r="EB163">
        <v>20.189299999999999</v>
      </c>
      <c r="EC163">
        <v>5.2396000000000003</v>
      </c>
      <c r="ED163">
        <v>12.039899999999999</v>
      </c>
      <c r="EE163">
        <v>5.01295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1.86463</v>
      </c>
      <c r="EM163">
        <v>1.8691899999999999</v>
      </c>
      <c r="EN163">
        <v>1.8672299999999999</v>
      </c>
      <c r="EO163">
        <v>1.8633999999999999</v>
      </c>
      <c r="EP163">
        <v>1.8644700000000001</v>
      </c>
      <c r="EQ163">
        <v>1.87019</v>
      </c>
      <c r="ER163">
        <v>1.86937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-1.2E-2</v>
      </c>
      <c r="FG163">
        <v>0.27179999999999999</v>
      </c>
      <c r="FH163">
        <v>0.30965466913576151</v>
      </c>
      <c r="FI163">
        <v>-6.1462078757559423E-4</v>
      </c>
      <c r="FJ163">
        <v>-1.8861989874597051E-7</v>
      </c>
      <c r="FK163">
        <v>1.1980462299894961E-10</v>
      </c>
      <c r="FL163">
        <v>0.27184999999999349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34.299999999999997</v>
      </c>
      <c r="FU163">
        <v>34.5</v>
      </c>
      <c r="FV163">
        <v>1.7663599999999999</v>
      </c>
      <c r="FW163">
        <v>2.5927699999999998</v>
      </c>
      <c r="FX163">
        <v>1.5490699999999999</v>
      </c>
      <c r="FY163">
        <v>2.3278799999999999</v>
      </c>
      <c r="FZ163">
        <v>1.50146</v>
      </c>
      <c r="GA163">
        <v>2.31934</v>
      </c>
      <c r="GB163">
        <v>33.896099999999997</v>
      </c>
      <c r="GC163">
        <v>23.973700000000001</v>
      </c>
      <c r="GD163">
        <v>19</v>
      </c>
      <c r="GE163">
        <v>270.09300000000002</v>
      </c>
      <c r="GF163">
        <v>580.07000000000005</v>
      </c>
      <c r="GG163">
        <v>23.4849</v>
      </c>
      <c r="GH163">
        <v>26.151499999999999</v>
      </c>
      <c r="GI163">
        <v>30.0001</v>
      </c>
      <c r="GJ163">
        <v>26.3172</v>
      </c>
      <c r="GK163">
        <v>26.307099999999998</v>
      </c>
      <c r="GL163">
        <v>35.3202</v>
      </c>
      <c r="GM163">
        <v>82.989000000000004</v>
      </c>
      <c r="GN163">
        <v>42.334099999999999</v>
      </c>
      <c r="GO163">
        <v>23.488499999999998</v>
      </c>
      <c r="GP163">
        <v>800</v>
      </c>
      <c r="GQ163">
        <v>1.86555</v>
      </c>
      <c r="GR163">
        <v>99.785499999999999</v>
      </c>
      <c r="GS163">
        <v>99.656000000000006</v>
      </c>
    </row>
    <row r="164" spans="1:201" x14ac:dyDescent="0.25">
      <c r="A164">
        <v>148</v>
      </c>
      <c r="B164">
        <v>1690305389.5999999</v>
      </c>
      <c r="C164">
        <v>1639.599999904633</v>
      </c>
      <c r="D164" t="s">
        <v>627</v>
      </c>
      <c r="E164" t="s">
        <v>628</v>
      </c>
      <c r="F164" t="s">
        <v>330</v>
      </c>
      <c r="H164">
        <v>1690305389.5999999</v>
      </c>
      <c r="I164">
        <f t="shared" si="60"/>
        <v>1.9092930937718486E-3</v>
      </c>
      <c r="J164">
        <f t="shared" si="61"/>
        <v>1.9092930937718486</v>
      </c>
      <c r="K164">
        <f t="shared" si="62"/>
        <v>28.785995424511558</v>
      </c>
      <c r="L164">
        <f t="shared" si="63"/>
        <v>473.69400000000002</v>
      </c>
      <c r="M164">
        <f t="shared" si="64"/>
        <v>134.66130322492396</v>
      </c>
      <c r="N164">
        <f t="shared" si="65"/>
        <v>13.378243757603951</v>
      </c>
      <c r="O164">
        <f t="shared" si="66"/>
        <v>47.060244084593997</v>
      </c>
      <c r="P164">
        <f t="shared" si="67"/>
        <v>0.14306987698477663</v>
      </c>
      <c r="Q164">
        <f t="shared" si="68"/>
        <v>2.1005080443361672</v>
      </c>
      <c r="R164">
        <f t="shared" si="69"/>
        <v>0.13786826776043756</v>
      </c>
      <c r="S164">
        <f t="shared" si="70"/>
        <v>8.6619255291172453E-2</v>
      </c>
      <c r="T164">
        <f t="shared" si="71"/>
        <v>276.11424990142291</v>
      </c>
      <c r="U164">
        <f t="shared" si="72"/>
        <v>26.904453805884156</v>
      </c>
      <c r="V164">
        <f t="shared" si="73"/>
        <v>26.904453805884156</v>
      </c>
      <c r="W164">
        <f t="shared" si="74"/>
        <v>3.5591237755447485</v>
      </c>
      <c r="X164">
        <f t="shared" si="75"/>
        <v>68.418914749025731</v>
      </c>
      <c r="Y164">
        <f t="shared" si="76"/>
        <v>2.2233341069693999</v>
      </c>
      <c r="Z164">
        <f t="shared" si="77"/>
        <v>3.2495898467916868</v>
      </c>
      <c r="AA164">
        <f t="shared" si="78"/>
        <v>1.3357896685753485</v>
      </c>
      <c r="AB164">
        <f t="shared" si="79"/>
        <v>-84.199825435338525</v>
      </c>
      <c r="AC164">
        <f t="shared" si="80"/>
        <v>-174.29776290377166</v>
      </c>
      <c r="AD164">
        <f t="shared" si="81"/>
        <v>-17.753447517921995</v>
      </c>
      <c r="AE164">
        <f t="shared" si="82"/>
        <v>-0.13678595560926965</v>
      </c>
      <c r="AF164">
        <v>9</v>
      </c>
      <c r="AG164">
        <v>3</v>
      </c>
      <c r="AH164">
        <f t="shared" si="83"/>
        <v>1</v>
      </c>
      <c r="AI164">
        <f t="shared" si="84"/>
        <v>0</v>
      </c>
      <c r="AJ164">
        <f t="shared" si="85"/>
        <v>52795.029903000599</v>
      </c>
      <c r="AK164">
        <f t="shared" si="86"/>
        <v>1799.99</v>
      </c>
      <c r="AL164">
        <f t="shared" si="87"/>
        <v>1499.1022334079901</v>
      </c>
      <c r="AM164">
        <f t="shared" si="88"/>
        <v>0.83283920099999997</v>
      </c>
      <c r="AN164">
        <f t="shared" si="89"/>
        <v>0.15339765771</v>
      </c>
      <c r="AO164">
        <v>33</v>
      </c>
      <c r="AP164">
        <v>0.5</v>
      </c>
      <c r="AQ164" t="s">
        <v>331</v>
      </c>
      <c r="AR164">
        <v>2</v>
      </c>
      <c r="AS164">
        <v>1690305389.5999999</v>
      </c>
      <c r="AT164">
        <v>473.69400000000002</v>
      </c>
      <c r="AU164">
        <v>800.096</v>
      </c>
      <c r="AV164">
        <v>22.3794</v>
      </c>
      <c r="AW164">
        <v>1.8593</v>
      </c>
      <c r="AX164">
        <v>473.70499999999998</v>
      </c>
      <c r="AY164">
        <v>22.107500000000002</v>
      </c>
      <c r="AZ164">
        <v>300.17700000000002</v>
      </c>
      <c r="BA164">
        <v>99.247299999999996</v>
      </c>
      <c r="BB164">
        <v>0.100051</v>
      </c>
      <c r="BC164">
        <v>25.365300000000001</v>
      </c>
      <c r="BD164">
        <v>26.962700000000002</v>
      </c>
      <c r="BE164">
        <v>26.519600000000001</v>
      </c>
      <c r="BF164">
        <v>0</v>
      </c>
      <c r="BG164">
        <v>0</v>
      </c>
      <c r="BH164">
        <v>10005.6</v>
      </c>
      <c r="BI164">
        <v>1055.43</v>
      </c>
      <c r="BJ164">
        <v>1.4577199999999999</v>
      </c>
      <c r="BK164">
        <v>-326.40199999999999</v>
      </c>
      <c r="BL164">
        <v>484.53800000000001</v>
      </c>
      <c r="BM164">
        <v>801.58600000000001</v>
      </c>
      <c r="BN164">
        <v>20.520099999999999</v>
      </c>
      <c r="BO164">
        <v>800.096</v>
      </c>
      <c r="BP164">
        <v>1.8593</v>
      </c>
      <c r="BQ164">
        <v>2.2210899999999998</v>
      </c>
      <c r="BR164">
        <v>0.18453</v>
      </c>
      <c r="BS164">
        <v>19.115300000000001</v>
      </c>
      <c r="BT164">
        <v>-15.4811</v>
      </c>
      <c r="BU164">
        <v>1799.99</v>
      </c>
      <c r="BV164">
        <v>0.90998999999999997</v>
      </c>
      <c r="BW164">
        <v>3.4006799999999997E-2</v>
      </c>
      <c r="BX164">
        <v>2.2001799999999998E-2</v>
      </c>
      <c r="BY164">
        <v>3.4001700000000003E-2</v>
      </c>
      <c r="BZ164">
        <v>26</v>
      </c>
      <c r="CA164">
        <v>33528.199999999997</v>
      </c>
      <c r="CB164">
        <v>1690303320.5</v>
      </c>
      <c r="CC164" t="s">
        <v>332</v>
      </c>
      <c r="CD164">
        <v>1690303320.5</v>
      </c>
      <c r="CE164">
        <v>1690303310.0999999</v>
      </c>
      <c r="CF164">
        <v>8</v>
      </c>
      <c r="CG164">
        <v>7.3999999999999996E-2</v>
      </c>
      <c r="CH164">
        <v>-0.01</v>
      </c>
      <c r="CI164">
        <v>-0.24199999999999999</v>
      </c>
      <c r="CJ164">
        <v>0.27200000000000002</v>
      </c>
      <c r="CK164">
        <v>800</v>
      </c>
      <c r="CL164">
        <v>23</v>
      </c>
      <c r="CM164">
        <v>0.06</v>
      </c>
      <c r="CN164">
        <v>0.09</v>
      </c>
      <c r="CO164">
        <v>-324.25547499999999</v>
      </c>
      <c r="CP164">
        <v>-12.3619024390246</v>
      </c>
      <c r="CQ164">
        <v>1.1929138901760661</v>
      </c>
      <c r="CR164">
        <v>-1</v>
      </c>
      <c r="CS164">
        <v>20.276317500000001</v>
      </c>
      <c r="CT164">
        <v>1.3533129455909949</v>
      </c>
      <c r="CU164">
        <v>0.13020124017746509</v>
      </c>
      <c r="CV164">
        <v>-1</v>
      </c>
      <c r="CW164">
        <v>0</v>
      </c>
      <c r="CX164">
        <v>0</v>
      </c>
      <c r="CY164" t="s">
        <v>333</v>
      </c>
      <c r="CZ164">
        <v>2.3646600000000002</v>
      </c>
      <c r="DA164">
        <v>2.7138499999999999</v>
      </c>
      <c r="DB164">
        <v>0.101754</v>
      </c>
      <c r="DC164">
        <v>0.14627000000000001</v>
      </c>
      <c r="DD164">
        <v>0.108293</v>
      </c>
      <c r="DE164">
        <v>1.43088E-2</v>
      </c>
      <c r="DF164">
        <v>32812.9</v>
      </c>
      <c r="DG164">
        <v>27535.7</v>
      </c>
      <c r="DH164">
        <v>31185.5</v>
      </c>
      <c r="DI164">
        <v>28104.6</v>
      </c>
      <c r="DJ164">
        <v>37754.800000000003</v>
      </c>
      <c r="DK164">
        <v>39403.800000000003</v>
      </c>
      <c r="DL164">
        <v>44383.8</v>
      </c>
      <c r="DM164">
        <v>42602.7</v>
      </c>
      <c r="DN164">
        <v>1.44642</v>
      </c>
      <c r="DO164">
        <v>2.0325000000000002</v>
      </c>
      <c r="DP164">
        <v>0.15882399999999999</v>
      </c>
      <c r="DQ164">
        <v>0.14050299999999999</v>
      </c>
      <c r="DR164">
        <v>24.3596</v>
      </c>
      <c r="DS164">
        <v>24.215599999999998</v>
      </c>
      <c r="DT164">
        <v>37.6</v>
      </c>
      <c r="DU164">
        <v>29.2</v>
      </c>
      <c r="DV164">
        <v>15.4161</v>
      </c>
      <c r="DW164">
        <v>61.843000000000004</v>
      </c>
      <c r="DX164">
        <v>37.5321</v>
      </c>
      <c r="DY164">
        <v>1</v>
      </c>
      <c r="DZ164">
        <v>-9.6748000000000001E-2</v>
      </c>
      <c r="EA164">
        <v>0.22203999999999999</v>
      </c>
      <c r="EB164">
        <v>20.1892</v>
      </c>
      <c r="EC164">
        <v>5.2396000000000003</v>
      </c>
      <c r="ED164">
        <v>12.039899999999999</v>
      </c>
      <c r="EE164">
        <v>5.0129000000000001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1.86466</v>
      </c>
      <c r="EM164">
        <v>1.8692</v>
      </c>
      <c r="EN164">
        <v>1.8672200000000001</v>
      </c>
      <c r="EO164">
        <v>1.8633999999999999</v>
      </c>
      <c r="EP164">
        <v>1.8644700000000001</v>
      </c>
      <c r="EQ164">
        <v>1.8702000000000001</v>
      </c>
      <c r="ER164">
        <v>1.8694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-1.0999999999999999E-2</v>
      </c>
      <c r="FG164">
        <v>0.27189999999999998</v>
      </c>
      <c r="FH164">
        <v>0.30965466913576151</v>
      </c>
      <c r="FI164">
        <v>-6.1462078757559423E-4</v>
      </c>
      <c r="FJ164">
        <v>-1.8861989874597051E-7</v>
      </c>
      <c r="FK164">
        <v>1.1980462299894961E-10</v>
      </c>
      <c r="FL164">
        <v>0.27184999999999349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34.5</v>
      </c>
      <c r="FU164">
        <v>34.700000000000003</v>
      </c>
      <c r="FV164">
        <v>1.7663599999999999</v>
      </c>
      <c r="FW164">
        <v>2.5903299999999998</v>
      </c>
      <c r="FX164">
        <v>1.5490699999999999</v>
      </c>
      <c r="FY164">
        <v>2.3278799999999999</v>
      </c>
      <c r="FZ164">
        <v>1.50146</v>
      </c>
      <c r="GA164">
        <v>2.3877000000000002</v>
      </c>
      <c r="GB164">
        <v>33.896099999999997</v>
      </c>
      <c r="GC164">
        <v>23.982399999999998</v>
      </c>
      <c r="GD164">
        <v>19</v>
      </c>
      <c r="GE164">
        <v>270.23899999999998</v>
      </c>
      <c r="GF164">
        <v>579.6</v>
      </c>
      <c r="GG164">
        <v>23.520299999999999</v>
      </c>
      <c r="GH164">
        <v>26.151499999999999</v>
      </c>
      <c r="GI164">
        <v>30.0001</v>
      </c>
      <c r="GJ164">
        <v>26.315100000000001</v>
      </c>
      <c r="GK164">
        <v>26.305499999999999</v>
      </c>
      <c r="GL164">
        <v>35.314399999999999</v>
      </c>
      <c r="GM164">
        <v>84.601100000000002</v>
      </c>
      <c r="GN164">
        <v>41.560899999999997</v>
      </c>
      <c r="GO164">
        <v>23.5303</v>
      </c>
      <c r="GP164">
        <v>800</v>
      </c>
      <c r="GQ164">
        <v>1.65743</v>
      </c>
      <c r="GR164">
        <v>99.785499999999999</v>
      </c>
      <c r="GS164">
        <v>99.6571</v>
      </c>
    </row>
    <row r="165" spans="1:201" x14ac:dyDescent="0.25">
      <c r="A165">
        <v>149</v>
      </c>
      <c r="B165">
        <v>1690305399.5999999</v>
      </c>
      <c r="C165">
        <v>1649.599999904633</v>
      </c>
      <c r="D165" t="s">
        <v>629</v>
      </c>
      <c r="E165" t="s">
        <v>630</v>
      </c>
      <c r="F165" t="s">
        <v>330</v>
      </c>
      <c r="H165">
        <v>1690305399.5999999</v>
      </c>
      <c r="I165">
        <f t="shared" si="60"/>
        <v>1.9307675764406263E-3</v>
      </c>
      <c r="J165">
        <f t="shared" si="61"/>
        <v>1.9307675764406262</v>
      </c>
      <c r="K165">
        <f t="shared" si="62"/>
        <v>28.982158567292739</v>
      </c>
      <c r="L165">
        <f t="shared" si="63"/>
        <v>471.58699999999999</v>
      </c>
      <c r="M165">
        <f t="shared" si="64"/>
        <v>133.77657958936538</v>
      </c>
      <c r="N165">
        <f t="shared" si="65"/>
        <v>13.290148678281053</v>
      </c>
      <c r="O165">
        <f t="shared" si="66"/>
        <v>46.850213721884998</v>
      </c>
      <c r="P165">
        <f t="shared" si="67"/>
        <v>0.14460356146749151</v>
      </c>
      <c r="Q165">
        <f t="shared" si="68"/>
        <v>2.1048068074952133</v>
      </c>
      <c r="R165">
        <f t="shared" si="69"/>
        <v>0.13930248095779091</v>
      </c>
      <c r="S165">
        <f t="shared" si="70"/>
        <v>8.7524140661696836E-2</v>
      </c>
      <c r="T165">
        <f t="shared" si="71"/>
        <v>276.11389731938169</v>
      </c>
      <c r="U165">
        <f t="shared" si="72"/>
        <v>26.914086147760042</v>
      </c>
      <c r="V165">
        <f t="shared" si="73"/>
        <v>26.914086147760042</v>
      </c>
      <c r="W165">
        <f t="shared" si="74"/>
        <v>3.5611392178015255</v>
      </c>
      <c r="X165">
        <f t="shared" si="75"/>
        <v>68.366100683652576</v>
      </c>
      <c r="Y165">
        <f t="shared" si="76"/>
        <v>2.2242742167659997</v>
      </c>
      <c r="Z165">
        <f t="shared" si="77"/>
        <v>3.2534753255246853</v>
      </c>
      <c r="AA165">
        <f t="shared" si="78"/>
        <v>1.3368650010355259</v>
      </c>
      <c r="AB165">
        <f t="shared" si="79"/>
        <v>-85.146850121031619</v>
      </c>
      <c r="AC165">
        <f t="shared" si="80"/>
        <v>-173.46665872485534</v>
      </c>
      <c r="AD165">
        <f t="shared" si="81"/>
        <v>-17.635335211702159</v>
      </c>
      <c r="AE165">
        <f t="shared" si="82"/>
        <v>-0.13494673820741809</v>
      </c>
      <c r="AF165">
        <v>8</v>
      </c>
      <c r="AG165">
        <v>3</v>
      </c>
      <c r="AH165">
        <f t="shared" si="83"/>
        <v>1</v>
      </c>
      <c r="AI165">
        <f t="shared" si="84"/>
        <v>0</v>
      </c>
      <c r="AJ165">
        <f t="shared" si="85"/>
        <v>52983.797087695537</v>
      </c>
      <c r="AK165">
        <f t="shared" si="86"/>
        <v>1799.99</v>
      </c>
      <c r="AL165">
        <f t="shared" si="87"/>
        <v>1499.1017060109202</v>
      </c>
      <c r="AM165">
        <f t="shared" si="88"/>
        <v>0.83283890800000016</v>
      </c>
      <c r="AN165">
        <f t="shared" si="89"/>
        <v>0.15339746183</v>
      </c>
      <c r="AO165">
        <v>33</v>
      </c>
      <c r="AP165">
        <v>0.5</v>
      </c>
      <c r="AQ165" t="s">
        <v>331</v>
      </c>
      <c r="AR165">
        <v>2</v>
      </c>
      <c r="AS165">
        <v>1690305399.5999999</v>
      </c>
      <c r="AT165">
        <v>471.58699999999999</v>
      </c>
      <c r="AU165">
        <v>800.101</v>
      </c>
      <c r="AV165">
        <v>22.389199999999999</v>
      </c>
      <c r="AW165">
        <v>1.6455599999999999</v>
      </c>
      <c r="AX165">
        <v>471.596</v>
      </c>
      <c r="AY165">
        <v>22.1173</v>
      </c>
      <c r="AZ165">
        <v>300.279</v>
      </c>
      <c r="BA165">
        <v>99.245699999999999</v>
      </c>
      <c r="BB165">
        <v>0.10015499999999999</v>
      </c>
      <c r="BC165">
        <v>25.385400000000001</v>
      </c>
      <c r="BD165">
        <v>26.986999999999998</v>
      </c>
      <c r="BE165">
        <v>26.546099999999999</v>
      </c>
      <c r="BF165">
        <v>0</v>
      </c>
      <c r="BG165">
        <v>0</v>
      </c>
      <c r="BH165">
        <v>10043.799999999999</v>
      </c>
      <c r="BI165">
        <v>1055.47</v>
      </c>
      <c r="BJ165">
        <v>1.50257</v>
      </c>
      <c r="BK165">
        <v>-328.51499999999999</v>
      </c>
      <c r="BL165">
        <v>482.387</v>
      </c>
      <c r="BM165">
        <v>801.42</v>
      </c>
      <c r="BN165">
        <v>20.743600000000001</v>
      </c>
      <c r="BO165">
        <v>800.101</v>
      </c>
      <c r="BP165">
        <v>1.6455599999999999</v>
      </c>
      <c r="BQ165">
        <v>2.2220300000000002</v>
      </c>
      <c r="BR165">
        <v>0.16331499999999999</v>
      </c>
      <c r="BS165">
        <v>19.122</v>
      </c>
      <c r="BT165">
        <v>-16.943999999999999</v>
      </c>
      <c r="BU165">
        <v>1799.99</v>
      </c>
      <c r="BV165">
        <v>0.90999300000000005</v>
      </c>
      <c r="BW165">
        <v>3.4005399999999998E-2</v>
      </c>
      <c r="BX165">
        <v>2.20009E-2</v>
      </c>
      <c r="BY165">
        <v>3.4000299999999997E-2</v>
      </c>
      <c r="BZ165">
        <v>26</v>
      </c>
      <c r="CA165">
        <v>33528.199999999997</v>
      </c>
      <c r="CB165">
        <v>1690303320.5</v>
      </c>
      <c r="CC165" t="s">
        <v>332</v>
      </c>
      <c r="CD165">
        <v>1690303320.5</v>
      </c>
      <c r="CE165">
        <v>1690303310.0999999</v>
      </c>
      <c r="CF165">
        <v>8</v>
      </c>
      <c r="CG165">
        <v>7.3999999999999996E-2</v>
      </c>
      <c r="CH165">
        <v>-0.01</v>
      </c>
      <c r="CI165">
        <v>-0.24199999999999999</v>
      </c>
      <c r="CJ165">
        <v>0.27200000000000002</v>
      </c>
      <c r="CK165">
        <v>800</v>
      </c>
      <c r="CL165">
        <v>23</v>
      </c>
      <c r="CM165">
        <v>0.06</v>
      </c>
      <c r="CN165">
        <v>0.09</v>
      </c>
      <c r="CO165">
        <v>-326.30937499999999</v>
      </c>
      <c r="CP165">
        <v>-12.07935084427732</v>
      </c>
      <c r="CQ165">
        <v>1.165890211115524</v>
      </c>
      <c r="CR165">
        <v>-1</v>
      </c>
      <c r="CS165">
        <v>20.496707499999999</v>
      </c>
      <c r="CT165">
        <v>1.297991369606013</v>
      </c>
      <c r="CU165">
        <v>0.1248932271732542</v>
      </c>
      <c r="CV165">
        <v>-1</v>
      </c>
      <c r="CW165">
        <v>0</v>
      </c>
      <c r="CX165">
        <v>0</v>
      </c>
      <c r="CY165" t="s">
        <v>333</v>
      </c>
      <c r="CZ165">
        <v>2.3649800000000001</v>
      </c>
      <c r="DA165">
        <v>2.7139899999999999</v>
      </c>
      <c r="DB165">
        <v>0.10141799999999999</v>
      </c>
      <c r="DC165">
        <v>0.14626500000000001</v>
      </c>
      <c r="DD165">
        <v>0.10832600000000001</v>
      </c>
      <c r="DE165">
        <v>1.27939E-2</v>
      </c>
      <c r="DF165">
        <v>32824.9</v>
      </c>
      <c r="DG165">
        <v>27536.2</v>
      </c>
      <c r="DH165">
        <v>31185.200000000001</v>
      </c>
      <c r="DI165">
        <v>28105</v>
      </c>
      <c r="DJ165">
        <v>37753.1</v>
      </c>
      <c r="DK165">
        <v>39465</v>
      </c>
      <c r="DL165">
        <v>44383.6</v>
      </c>
      <c r="DM165">
        <v>42603.199999999997</v>
      </c>
      <c r="DN165">
        <v>1.44753</v>
      </c>
      <c r="DO165">
        <v>2.03227</v>
      </c>
      <c r="DP165">
        <v>0.1598</v>
      </c>
      <c r="DQ165">
        <v>0.14144200000000001</v>
      </c>
      <c r="DR165">
        <v>24.367899999999999</v>
      </c>
      <c r="DS165">
        <v>24.226800000000001</v>
      </c>
      <c r="DT165">
        <v>37.200000000000003</v>
      </c>
      <c r="DU165">
        <v>29.2</v>
      </c>
      <c r="DV165">
        <v>15.2498</v>
      </c>
      <c r="DW165">
        <v>61.503</v>
      </c>
      <c r="DX165">
        <v>37.203499999999998</v>
      </c>
      <c r="DY165">
        <v>1</v>
      </c>
      <c r="DZ165">
        <v>-9.6603099999999997E-2</v>
      </c>
      <c r="EA165">
        <v>0.93222499999999997</v>
      </c>
      <c r="EB165">
        <v>20.185700000000001</v>
      </c>
      <c r="EC165">
        <v>5.2401999999999997</v>
      </c>
      <c r="ED165">
        <v>12.039899999999999</v>
      </c>
      <c r="EE165">
        <v>5.0163000000000002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1.86463</v>
      </c>
      <c r="EM165">
        <v>1.8691899999999999</v>
      </c>
      <c r="EN165">
        <v>1.8672299999999999</v>
      </c>
      <c r="EO165">
        <v>1.8633999999999999</v>
      </c>
      <c r="EP165">
        <v>1.8644700000000001</v>
      </c>
      <c r="EQ165">
        <v>1.87018</v>
      </c>
      <c r="ER165">
        <v>1.86938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-8.9999999999999993E-3</v>
      </c>
      <c r="FG165">
        <v>0.27189999999999998</v>
      </c>
      <c r="FH165">
        <v>0.30965466913576151</v>
      </c>
      <c r="FI165">
        <v>-6.1462078757559423E-4</v>
      </c>
      <c r="FJ165">
        <v>-1.8861989874597051E-7</v>
      </c>
      <c r="FK165">
        <v>1.1980462299894961E-10</v>
      </c>
      <c r="FL165">
        <v>0.27184999999999349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34.700000000000003</v>
      </c>
      <c r="FU165">
        <v>34.799999999999997</v>
      </c>
      <c r="FV165">
        <v>1.7663599999999999</v>
      </c>
      <c r="FW165">
        <v>2.5854499999999998</v>
      </c>
      <c r="FX165">
        <v>1.5490699999999999</v>
      </c>
      <c r="FY165">
        <v>2.3278799999999999</v>
      </c>
      <c r="FZ165">
        <v>1.50146</v>
      </c>
      <c r="GA165">
        <v>2.3645</v>
      </c>
      <c r="GB165">
        <v>33.896099999999997</v>
      </c>
      <c r="GC165">
        <v>23.991199999999999</v>
      </c>
      <c r="GD165">
        <v>19</v>
      </c>
      <c r="GE165">
        <v>270.68299999999999</v>
      </c>
      <c r="GF165">
        <v>579.39099999999996</v>
      </c>
      <c r="GG165">
        <v>23.516500000000001</v>
      </c>
      <c r="GH165">
        <v>26.1496</v>
      </c>
      <c r="GI165">
        <v>30.0002</v>
      </c>
      <c r="GJ165">
        <v>26.312799999999999</v>
      </c>
      <c r="GK165">
        <v>26.3033</v>
      </c>
      <c r="GL165">
        <v>35.306899999999999</v>
      </c>
      <c r="GM165">
        <v>85.602900000000005</v>
      </c>
      <c r="GN165">
        <v>40.792000000000002</v>
      </c>
      <c r="GO165">
        <v>23.388400000000001</v>
      </c>
      <c r="GP165">
        <v>800</v>
      </c>
      <c r="GQ165">
        <v>1.51783</v>
      </c>
      <c r="GR165">
        <v>99.784800000000004</v>
      </c>
      <c r="GS165">
        <v>99.658299999999997</v>
      </c>
    </row>
    <row r="166" spans="1:201" x14ac:dyDescent="0.25">
      <c r="A166">
        <v>150</v>
      </c>
      <c r="B166">
        <v>1690305409.5999999</v>
      </c>
      <c r="C166">
        <v>1659.599999904633</v>
      </c>
      <c r="D166" t="s">
        <v>631</v>
      </c>
      <c r="E166" t="s">
        <v>632</v>
      </c>
      <c r="F166" t="s">
        <v>330</v>
      </c>
      <c r="H166">
        <v>1690305409.5999999</v>
      </c>
      <c r="I166">
        <f t="shared" si="60"/>
        <v>1.9403961299867671E-3</v>
      </c>
      <c r="J166">
        <f t="shared" si="61"/>
        <v>1.9403961299867671</v>
      </c>
      <c r="K166">
        <f t="shared" si="62"/>
        <v>29.140293946830653</v>
      </c>
      <c r="L166">
        <f t="shared" si="63"/>
        <v>469.495</v>
      </c>
      <c r="M166">
        <f t="shared" si="64"/>
        <v>131.61076149115175</v>
      </c>
      <c r="N166">
        <f t="shared" si="65"/>
        <v>13.074942341243665</v>
      </c>
      <c r="O166">
        <f t="shared" si="66"/>
        <v>46.642234912643502</v>
      </c>
      <c r="P166">
        <f t="shared" si="67"/>
        <v>0.145371942257189</v>
      </c>
      <c r="Q166">
        <f t="shared" si="68"/>
        <v>2.1009866883110999</v>
      </c>
      <c r="R166">
        <f t="shared" si="69"/>
        <v>0.14000614514613471</v>
      </c>
      <c r="S166">
        <f t="shared" si="70"/>
        <v>8.7969435107898231E-2</v>
      </c>
      <c r="T166">
        <f t="shared" si="71"/>
        <v>276.11535086999999</v>
      </c>
      <c r="U166">
        <f t="shared" si="72"/>
        <v>26.906227388058543</v>
      </c>
      <c r="V166">
        <f t="shared" si="73"/>
        <v>26.906227388058543</v>
      </c>
      <c r="W166">
        <f t="shared" si="74"/>
        <v>3.5594947997361932</v>
      </c>
      <c r="X166">
        <f t="shared" si="75"/>
        <v>68.346074644339112</v>
      </c>
      <c r="Y166">
        <f t="shared" si="76"/>
        <v>2.2226975337214196</v>
      </c>
      <c r="Z166">
        <f t="shared" si="77"/>
        <v>3.2521217133360545</v>
      </c>
      <c r="AA166">
        <f t="shared" si="78"/>
        <v>1.3367972660147736</v>
      </c>
      <c r="AB166">
        <f t="shared" si="79"/>
        <v>-85.571469332416427</v>
      </c>
      <c r="AC166">
        <f t="shared" si="80"/>
        <v>-173.05455507441573</v>
      </c>
      <c r="AD166">
        <f t="shared" si="81"/>
        <v>-17.62411505570882</v>
      </c>
      <c r="AE166">
        <f t="shared" si="82"/>
        <v>-0.13478859254101394</v>
      </c>
      <c r="AF166">
        <v>8</v>
      </c>
      <c r="AG166">
        <v>3</v>
      </c>
      <c r="AH166">
        <f t="shared" si="83"/>
        <v>1</v>
      </c>
      <c r="AI166">
        <f t="shared" si="84"/>
        <v>0</v>
      </c>
      <c r="AJ166">
        <f t="shared" si="85"/>
        <v>52814.069668005512</v>
      </c>
      <c r="AK166">
        <f t="shared" si="86"/>
        <v>1800</v>
      </c>
      <c r="AL166">
        <f t="shared" si="87"/>
        <v>1499.1110189999999</v>
      </c>
      <c r="AM166">
        <f t="shared" si="88"/>
        <v>0.83283945500000001</v>
      </c>
      <c r="AN166">
        <f t="shared" si="89"/>
        <v>0.15339741714999999</v>
      </c>
      <c r="AO166">
        <v>33</v>
      </c>
      <c r="AP166">
        <v>0.5</v>
      </c>
      <c r="AQ166" t="s">
        <v>331</v>
      </c>
      <c r="AR166">
        <v>2</v>
      </c>
      <c r="AS166">
        <v>1690305409.5999999</v>
      </c>
      <c r="AT166">
        <v>469.495</v>
      </c>
      <c r="AU166">
        <v>799.99099999999999</v>
      </c>
      <c r="AV166">
        <v>22.3734</v>
      </c>
      <c r="AW166">
        <v>1.5108999999999999</v>
      </c>
      <c r="AX166">
        <v>469.50299999999999</v>
      </c>
      <c r="AY166">
        <v>22.101600000000001</v>
      </c>
      <c r="AZ166">
        <v>300.06200000000001</v>
      </c>
      <c r="BA166">
        <v>99.245599999999996</v>
      </c>
      <c r="BB166">
        <v>9.9941299999999997E-2</v>
      </c>
      <c r="BC166">
        <v>25.378399999999999</v>
      </c>
      <c r="BD166">
        <v>27.0383</v>
      </c>
      <c r="BE166">
        <v>26.5549</v>
      </c>
      <c r="BF166">
        <v>0</v>
      </c>
      <c r="BG166">
        <v>0</v>
      </c>
      <c r="BH166">
        <v>10010</v>
      </c>
      <c r="BI166">
        <v>1055.52</v>
      </c>
      <c r="BJ166">
        <v>1.56985</v>
      </c>
      <c r="BK166">
        <v>-330.49599999999998</v>
      </c>
      <c r="BL166">
        <v>480.24</v>
      </c>
      <c r="BM166">
        <v>801.202</v>
      </c>
      <c r="BN166">
        <v>20.862500000000001</v>
      </c>
      <c r="BO166">
        <v>799.99099999999999</v>
      </c>
      <c r="BP166">
        <v>1.5108999999999999</v>
      </c>
      <c r="BQ166">
        <v>2.2204600000000001</v>
      </c>
      <c r="BR166">
        <v>0.14995</v>
      </c>
      <c r="BS166">
        <v>19.110700000000001</v>
      </c>
      <c r="BT166">
        <v>-17.955400000000001</v>
      </c>
      <c r="BU166">
        <v>1800</v>
      </c>
      <c r="BV166">
        <v>0.90999699999999994</v>
      </c>
      <c r="BW166">
        <v>3.4004E-2</v>
      </c>
      <c r="BX166">
        <v>2.1999999999999999E-2</v>
      </c>
      <c r="BY166">
        <v>3.3998899999999999E-2</v>
      </c>
      <c r="BZ166">
        <v>26</v>
      </c>
      <c r="CA166">
        <v>33528.300000000003</v>
      </c>
      <c r="CB166">
        <v>1690303320.5</v>
      </c>
      <c r="CC166" t="s">
        <v>332</v>
      </c>
      <c r="CD166">
        <v>1690303320.5</v>
      </c>
      <c r="CE166">
        <v>1690303310.0999999</v>
      </c>
      <c r="CF166">
        <v>8</v>
      </c>
      <c r="CG166">
        <v>7.3999999999999996E-2</v>
      </c>
      <c r="CH166">
        <v>-0.01</v>
      </c>
      <c r="CI166">
        <v>-0.24199999999999999</v>
      </c>
      <c r="CJ166">
        <v>0.27200000000000002</v>
      </c>
      <c r="CK166">
        <v>800</v>
      </c>
      <c r="CL166">
        <v>23</v>
      </c>
      <c r="CM166">
        <v>0.06</v>
      </c>
      <c r="CN166">
        <v>0.09</v>
      </c>
      <c r="CO166">
        <v>-328.33300000000003</v>
      </c>
      <c r="CP166">
        <v>-12.03198606271773</v>
      </c>
      <c r="CQ166">
        <v>1.189358384110381</v>
      </c>
      <c r="CR166">
        <v>-1</v>
      </c>
      <c r="CS166">
        <v>20.697604878048779</v>
      </c>
      <c r="CT166">
        <v>1.0466801393728351</v>
      </c>
      <c r="CU166">
        <v>0.10485711986298681</v>
      </c>
      <c r="CV166">
        <v>-1</v>
      </c>
      <c r="CW166">
        <v>0</v>
      </c>
      <c r="CX166">
        <v>0</v>
      </c>
      <c r="CY166" t="s">
        <v>333</v>
      </c>
      <c r="CZ166">
        <v>2.36429</v>
      </c>
      <c r="DA166">
        <v>2.71374</v>
      </c>
      <c r="DB166">
        <v>0.10108499999999999</v>
      </c>
      <c r="DC166">
        <v>0.14624899999999999</v>
      </c>
      <c r="DD166">
        <v>0.10827199999999999</v>
      </c>
      <c r="DE166">
        <v>1.1824899999999999E-2</v>
      </c>
      <c r="DF166">
        <v>32837.4</v>
      </c>
      <c r="DG166">
        <v>27536.5</v>
      </c>
      <c r="DH166">
        <v>31185.599999999999</v>
      </c>
      <c r="DI166">
        <v>28104.7</v>
      </c>
      <c r="DJ166">
        <v>37755.800000000003</v>
      </c>
      <c r="DK166">
        <v>39503.5</v>
      </c>
      <c r="DL166">
        <v>44384</v>
      </c>
      <c r="DM166">
        <v>42602.9</v>
      </c>
      <c r="DN166">
        <v>1.44675</v>
      </c>
      <c r="DO166">
        <v>2.0321500000000001</v>
      </c>
      <c r="DP166">
        <v>0.16237799999999999</v>
      </c>
      <c r="DQ166">
        <v>0.141293</v>
      </c>
      <c r="DR166">
        <v>24.377099999999999</v>
      </c>
      <c r="DS166">
        <v>24.238099999999999</v>
      </c>
      <c r="DT166">
        <v>36.799999999999997</v>
      </c>
      <c r="DU166">
        <v>29.2</v>
      </c>
      <c r="DV166">
        <v>15.088200000000001</v>
      </c>
      <c r="DW166">
        <v>61.493000000000002</v>
      </c>
      <c r="DX166">
        <v>36.810899999999997</v>
      </c>
      <c r="DY166">
        <v>1</v>
      </c>
      <c r="DZ166">
        <v>-9.6730200000000002E-2</v>
      </c>
      <c r="EA166">
        <v>0.494643</v>
      </c>
      <c r="EB166">
        <v>20.188600000000001</v>
      </c>
      <c r="EC166">
        <v>5.2411000000000003</v>
      </c>
      <c r="ED166">
        <v>12.039899999999999</v>
      </c>
      <c r="EE166">
        <v>5.0168499999999998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</v>
      </c>
      <c r="EL166">
        <v>1.86463</v>
      </c>
      <c r="EM166">
        <v>1.8692</v>
      </c>
      <c r="EN166">
        <v>1.86724</v>
      </c>
      <c r="EO166">
        <v>1.8633999999999999</v>
      </c>
      <c r="EP166">
        <v>1.8644700000000001</v>
      </c>
      <c r="EQ166">
        <v>1.8701700000000001</v>
      </c>
      <c r="ER166">
        <v>1.8694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-8.0000000000000002E-3</v>
      </c>
      <c r="FG166">
        <v>0.27179999999999999</v>
      </c>
      <c r="FH166">
        <v>0.30965466913576151</v>
      </c>
      <c r="FI166">
        <v>-6.1462078757559423E-4</v>
      </c>
      <c r="FJ166">
        <v>-1.8861989874597051E-7</v>
      </c>
      <c r="FK166">
        <v>1.1980462299894961E-10</v>
      </c>
      <c r="FL166">
        <v>0.27184999999999349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34.799999999999997</v>
      </c>
      <c r="FU166">
        <v>35</v>
      </c>
      <c r="FV166">
        <v>1.7663599999999999</v>
      </c>
      <c r="FW166">
        <v>2.5866699999999998</v>
      </c>
      <c r="FX166">
        <v>1.5490699999999999</v>
      </c>
      <c r="FY166">
        <v>2.3278799999999999</v>
      </c>
      <c r="FZ166">
        <v>1.50146</v>
      </c>
      <c r="GA166">
        <v>2.3535200000000001</v>
      </c>
      <c r="GB166">
        <v>33.896099999999997</v>
      </c>
      <c r="GC166">
        <v>23.991199999999999</v>
      </c>
      <c r="GD166">
        <v>19</v>
      </c>
      <c r="GE166">
        <v>270.35599999999999</v>
      </c>
      <c r="GF166">
        <v>579.26900000000001</v>
      </c>
      <c r="GG166">
        <v>23.4054</v>
      </c>
      <c r="GH166">
        <v>26.1493</v>
      </c>
      <c r="GI166">
        <v>30.0001</v>
      </c>
      <c r="GJ166">
        <v>26.3111</v>
      </c>
      <c r="GK166">
        <v>26.301600000000001</v>
      </c>
      <c r="GL166">
        <v>35.306199999999997</v>
      </c>
      <c r="GM166">
        <v>87.084900000000005</v>
      </c>
      <c r="GN166">
        <v>39.623199999999997</v>
      </c>
      <c r="GO166">
        <v>23.4147</v>
      </c>
      <c r="GP166">
        <v>800</v>
      </c>
      <c r="GQ166">
        <v>1.3346499999999999</v>
      </c>
      <c r="GR166">
        <v>99.785799999999995</v>
      </c>
      <c r="GS166">
        <v>99.657499999999999</v>
      </c>
    </row>
    <row r="167" spans="1:201" x14ac:dyDescent="0.25">
      <c r="A167">
        <v>151</v>
      </c>
      <c r="B167">
        <v>1690305419.5999999</v>
      </c>
      <c r="C167">
        <v>1669.599999904633</v>
      </c>
      <c r="D167" t="s">
        <v>633</v>
      </c>
      <c r="E167" t="s">
        <v>634</v>
      </c>
      <c r="F167" t="s">
        <v>330</v>
      </c>
      <c r="H167">
        <v>1690305419.5999999</v>
      </c>
      <c r="I167">
        <f t="shared" si="60"/>
        <v>1.9584256571583774E-3</v>
      </c>
      <c r="J167">
        <f t="shared" si="61"/>
        <v>1.9584256571583776</v>
      </c>
      <c r="K167">
        <f t="shared" si="62"/>
        <v>29.342384628974013</v>
      </c>
      <c r="L167">
        <f t="shared" si="63"/>
        <v>467.50099999999998</v>
      </c>
      <c r="M167">
        <f t="shared" si="64"/>
        <v>130.57176791993049</v>
      </c>
      <c r="N167">
        <f t="shared" si="65"/>
        <v>12.971928835009951</v>
      </c>
      <c r="O167">
        <f t="shared" si="66"/>
        <v>46.444877012117999</v>
      </c>
      <c r="P167">
        <f t="shared" si="67"/>
        <v>0.14684330939715312</v>
      </c>
      <c r="Q167">
        <f t="shared" si="68"/>
        <v>2.0969659107759409</v>
      </c>
      <c r="R167">
        <f t="shared" si="69"/>
        <v>0.14136047111806338</v>
      </c>
      <c r="S167">
        <f t="shared" si="70"/>
        <v>8.8825849187917388E-2</v>
      </c>
      <c r="T167">
        <f t="shared" si="71"/>
        <v>276.11363842681999</v>
      </c>
      <c r="U167">
        <f t="shared" si="72"/>
        <v>26.908079460055045</v>
      </c>
      <c r="V167">
        <f t="shared" si="73"/>
        <v>26.908079460055045</v>
      </c>
      <c r="W167">
        <f t="shared" si="74"/>
        <v>3.5598822796297447</v>
      </c>
      <c r="X167">
        <f t="shared" si="75"/>
        <v>68.350367055470969</v>
      </c>
      <c r="Y167">
        <f t="shared" si="76"/>
        <v>2.2235772603642006</v>
      </c>
      <c r="Z167">
        <f t="shared" si="77"/>
        <v>3.2532045637145104</v>
      </c>
      <c r="AA167">
        <f t="shared" si="78"/>
        <v>1.3363050192655441</v>
      </c>
      <c r="AB167">
        <f t="shared" si="79"/>
        <v>-86.366571480684442</v>
      </c>
      <c r="AC167">
        <f t="shared" si="80"/>
        <v>-172.29966138943021</v>
      </c>
      <c r="AD167">
        <f t="shared" si="81"/>
        <v>-17.58153756187356</v>
      </c>
      <c r="AE167">
        <f t="shared" si="82"/>
        <v>-0.13413200516825441</v>
      </c>
      <c r="AF167">
        <v>8</v>
      </c>
      <c r="AG167">
        <v>3</v>
      </c>
      <c r="AH167">
        <f t="shared" si="83"/>
        <v>1</v>
      </c>
      <c r="AI167">
        <f t="shared" si="84"/>
        <v>0</v>
      </c>
      <c r="AJ167">
        <f t="shared" si="85"/>
        <v>52633.574507214937</v>
      </c>
      <c r="AK167">
        <f t="shared" si="86"/>
        <v>1799.99</v>
      </c>
      <c r="AL167">
        <f t="shared" si="87"/>
        <v>1499.1032576022999</v>
      </c>
      <c r="AM167">
        <f t="shared" si="88"/>
        <v>0.83283976999999998</v>
      </c>
      <c r="AN167">
        <f t="shared" si="89"/>
        <v>0.153397318</v>
      </c>
      <c r="AO167">
        <v>33</v>
      </c>
      <c r="AP167">
        <v>0.5</v>
      </c>
      <c r="AQ167" t="s">
        <v>331</v>
      </c>
      <c r="AR167">
        <v>2</v>
      </c>
      <c r="AS167">
        <v>1690305419.5999999</v>
      </c>
      <c r="AT167">
        <v>467.50099999999998</v>
      </c>
      <c r="AU167">
        <v>800.05799999999999</v>
      </c>
      <c r="AV167">
        <v>22.381900000000002</v>
      </c>
      <c r="AW167">
        <v>1.3391299999999999</v>
      </c>
      <c r="AX167">
        <v>467.50700000000001</v>
      </c>
      <c r="AY167">
        <v>22.110099999999999</v>
      </c>
      <c r="AZ167">
        <v>300.25299999999999</v>
      </c>
      <c r="BA167">
        <v>99.247100000000003</v>
      </c>
      <c r="BB167">
        <v>0.100018</v>
      </c>
      <c r="BC167">
        <v>25.384</v>
      </c>
      <c r="BD167">
        <v>27.013000000000002</v>
      </c>
      <c r="BE167">
        <v>26.547599999999999</v>
      </c>
      <c r="BF167">
        <v>0</v>
      </c>
      <c r="BG167">
        <v>0</v>
      </c>
      <c r="BH167">
        <v>9974.3799999999992</v>
      </c>
      <c r="BI167">
        <v>1055.6099999999999</v>
      </c>
      <c r="BJ167">
        <v>1.5306</v>
      </c>
      <c r="BK167">
        <v>-332.55700000000002</v>
      </c>
      <c r="BL167">
        <v>478.20400000000001</v>
      </c>
      <c r="BM167">
        <v>801.13099999999997</v>
      </c>
      <c r="BN167">
        <v>21.0428</v>
      </c>
      <c r="BO167">
        <v>800.05799999999999</v>
      </c>
      <c r="BP167">
        <v>1.3391299999999999</v>
      </c>
      <c r="BQ167">
        <v>2.2213400000000001</v>
      </c>
      <c r="BR167">
        <v>0.132905</v>
      </c>
      <c r="BS167">
        <v>19.117100000000001</v>
      </c>
      <c r="BT167">
        <v>-19.369399999999999</v>
      </c>
      <c r="BU167">
        <v>1799.99</v>
      </c>
      <c r="BV167">
        <v>0.91000099999999995</v>
      </c>
      <c r="BW167">
        <v>3.4002499999999998E-2</v>
      </c>
      <c r="BX167">
        <v>2.1999000000000001E-2</v>
      </c>
      <c r="BY167">
        <v>3.3997399999999997E-2</v>
      </c>
      <c r="BZ167">
        <v>26</v>
      </c>
      <c r="CA167">
        <v>33528.199999999997</v>
      </c>
      <c r="CB167">
        <v>1690303320.5</v>
      </c>
      <c r="CC167" t="s">
        <v>332</v>
      </c>
      <c r="CD167">
        <v>1690303320.5</v>
      </c>
      <c r="CE167">
        <v>1690303310.0999999</v>
      </c>
      <c r="CF167">
        <v>8</v>
      </c>
      <c r="CG167">
        <v>7.3999999999999996E-2</v>
      </c>
      <c r="CH167">
        <v>-0.01</v>
      </c>
      <c r="CI167">
        <v>-0.24199999999999999</v>
      </c>
      <c r="CJ167">
        <v>0.27200000000000002</v>
      </c>
      <c r="CK167">
        <v>800</v>
      </c>
      <c r="CL167">
        <v>23</v>
      </c>
      <c r="CM167">
        <v>0.06</v>
      </c>
      <c r="CN167">
        <v>0.09</v>
      </c>
      <c r="CO167">
        <v>-330.30640000000011</v>
      </c>
      <c r="CP167">
        <v>-12.544975609756049</v>
      </c>
      <c r="CQ167">
        <v>1.2087087283543569</v>
      </c>
      <c r="CR167">
        <v>-1</v>
      </c>
      <c r="CS167">
        <v>20.856475</v>
      </c>
      <c r="CT167">
        <v>0.86462589118199595</v>
      </c>
      <c r="CU167">
        <v>8.3891938677086206E-2</v>
      </c>
      <c r="CV167">
        <v>-1</v>
      </c>
      <c r="CW167">
        <v>0</v>
      </c>
      <c r="CX167">
        <v>0</v>
      </c>
      <c r="CY167" t="s">
        <v>333</v>
      </c>
      <c r="CZ167">
        <v>2.3649399999999998</v>
      </c>
      <c r="DA167">
        <v>2.7137899999999999</v>
      </c>
      <c r="DB167">
        <v>0.100769</v>
      </c>
      <c r="DC167">
        <v>0.146257</v>
      </c>
      <c r="DD167">
        <v>0.108303</v>
      </c>
      <c r="DE167">
        <v>1.05714E-2</v>
      </c>
      <c r="DF167">
        <v>32848.699999999997</v>
      </c>
      <c r="DG167">
        <v>27536.2</v>
      </c>
      <c r="DH167">
        <v>31185.3</v>
      </c>
      <c r="DI167">
        <v>28104.7</v>
      </c>
      <c r="DJ167">
        <v>37754</v>
      </c>
      <c r="DK167">
        <v>39553.699999999997</v>
      </c>
      <c r="DL167">
        <v>44383.5</v>
      </c>
      <c r="DM167">
        <v>42602.8</v>
      </c>
      <c r="DN167">
        <v>1.4473199999999999</v>
      </c>
      <c r="DO167">
        <v>2.03172</v>
      </c>
      <c r="DP167">
        <v>0.16023999999999999</v>
      </c>
      <c r="DQ167">
        <v>0.14016799999999999</v>
      </c>
      <c r="DR167">
        <v>24.386900000000001</v>
      </c>
      <c r="DS167">
        <v>24.249300000000002</v>
      </c>
      <c r="DT167">
        <v>36.4</v>
      </c>
      <c r="DU167">
        <v>29.2</v>
      </c>
      <c r="DV167">
        <v>14.922499999999999</v>
      </c>
      <c r="DW167">
        <v>61.843000000000004</v>
      </c>
      <c r="DX167">
        <v>36.298099999999998</v>
      </c>
      <c r="DY167">
        <v>1</v>
      </c>
      <c r="DZ167">
        <v>-9.6753000000000006E-2</v>
      </c>
      <c r="EA167">
        <v>0.56732800000000005</v>
      </c>
      <c r="EB167">
        <v>20.187999999999999</v>
      </c>
      <c r="EC167">
        <v>5.2408000000000001</v>
      </c>
      <c r="ED167">
        <v>12.039899999999999</v>
      </c>
      <c r="EE167">
        <v>5.0167000000000002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</v>
      </c>
      <c r="EL167">
        <v>1.8646199999999999</v>
      </c>
      <c r="EM167">
        <v>1.8692</v>
      </c>
      <c r="EN167">
        <v>1.8672500000000001</v>
      </c>
      <c r="EO167">
        <v>1.8633999999999999</v>
      </c>
      <c r="EP167">
        <v>1.8644700000000001</v>
      </c>
      <c r="EQ167">
        <v>1.87016</v>
      </c>
      <c r="ER167">
        <v>1.86941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-6.0000000000000001E-3</v>
      </c>
      <c r="FG167">
        <v>0.27179999999999999</v>
      </c>
      <c r="FH167">
        <v>0.30965466913576151</v>
      </c>
      <c r="FI167">
        <v>-6.1462078757559423E-4</v>
      </c>
      <c r="FJ167">
        <v>-1.8861989874597051E-7</v>
      </c>
      <c r="FK167">
        <v>1.1980462299894961E-10</v>
      </c>
      <c r="FL167">
        <v>0.27184999999999349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35</v>
      </c>
      <c r="FU167">
        <v>35.200000000000003</v>
      </c>
      <c r="FV167">
        <v>1.7651399999999999</v>
      </c>
      <c r="FW167">
        <v>2.5915499999999998</v>
      </c>
      <c r="FX167">
        <v>1.5490699999999999</v>
      </c>
      <c r="FY167">
        <v>2.3290999999999999</v>
      </c>
      <c r="FZ167">
        <v>1.50146</v>
      </c>
      <c r="GA167">
        <v>2.3095699999999999</v>
      </c>
      <c r="GB167">
        <v>33.896099999999997</v>
      </c>
      <c r="GC167">
        <v>23.982399999999998</v>
      </c>
      <c r="GD167">
        <v>19</v>
      </c>
      <c r="GE167">
        <v>270.59199999999998</v>
      </c>
      <c r="GF167">
        <v>578.89499999999998</v>
      </c>
      <c r="GG167">
        <v>23.366800000000001</v>
      </c>
      <c r="GH167">
        <v>26.1493</v>
      </c>
      <c r="GI167">
        <v>30</v>
      </c>
      <c r="GJ167">
        <v>26.310600000000001</v>
      </c>
      <c r="GK167">
        <v>26.299399999999999</v>
      </c>
      <c r="GL167">
        <v>35.2971</v>
      </c>
      <c r="GM167">
        <v>88.785600000000002</v>
      </c>
      <c r="GN167">
        <v>38.853299999999997</v>
      </c>
      <c r="GO167">
        <v>23.360299999999999</v>
      </c>
      <c r="GP167">
        <v>800</v>
      </c>
      <c r="GQ167">
        <v>1.1345799999999999</v>
      </c>
      <c r="GR167">
        <v>99.784800000000004</v>
      </c>
      <c r="GS167">
        <v>99.657399999999996</v>
      </c>
    </row>
    <row r="168" spans="1:201" x14ac:dyDescent="0.25">
      <c r="A168">
        <v>152</v>
      </c>
      <c r="B168">
        <v>1690305429.5999999</v>
      </c>
      <c r="C168">
        <v>1679.599999904633</v>
      </c>
      <c r="D168" t="s">
        <v>635</v>
      </c>
      <c r="E168" t="s">
        <v>636</v>
      </c>
      <c r="F168" t="s">
        <v>330</v>
      </c>
      <c r="H168">
        <v>1690305429.5999999</v>
      </c>
      <c r="I168">
        <f t="shared" si="60"/>
        <v>1.9743172572465138E-3</v>
      </c>
      <c r="J168">
        <f t="shared" si="61"/>
        <v>1.974317257246514</v>
      </c>
      <c r="K168">
        <f t="shared" si="62"/>
        <v>29.518650391113386</v>
      </c>
      <c r="L168">
        <f t="shared" si="63"/>
        <v>465.54700000000003</v>
      </c>
      <c r="M168">
        <f t="shared" si="64"/>
        <v>130.06212778956964</v>
      </c>
      <c r="N168">
        <f t="shared" si="65"/>
        <v>12.920976368416877</v>
      </c>
      <c r="O168">
        <f t="shared" si="66"/>
        <v>46.249603075229494</v>
      </c>
      <c r="P168">
        <f t="shared" si="67"/>
        <v>0.14839801902285699</v>
      </c>
      <c r="Q168">
        <f t="shared" si="68"/>
        <v>2.1004104361627833</v>
      </c>
      <c r="R168">
        <f t="shared" si="69"/>
        <v>0.14280965385118496</v>
      </c>
      <c r="S168">
        <f t="shared" si="70"/>
        <v>8.9740592124265689E-2</v>
      </c>
      <c r="T168">
        <f t="shared" si="71"/>
        <v>276.11495645399998</v>
      </c>
      <c r="U168">
        <f t="shared" si="72"/>
        <v>26.896904031083778</v>
      </c>
      <c r="V168">
        <f t="shared" si="73"/>
        <v>26.896904031083778</v>
      </c>
      <c r="W168">
        <f t="shared" si="74"/>
        <v>3.5575447795262098</v>
      </c>
      <c r="X168">
        <f t="shared" si="75"/>
        <v>68.379487683959553</v>
      </c>
      <c r="Y168">
        <f t="shared" si="76"/>
        <v>2.2240882527585994</v>
      </c>
      <c r="Z168">
        <f t="shared" si="77"/>
        <v>3.2525664173414475</v>
      </c>
      <c r="AA168">
        <f t="shared" si="78"/>
        <v>1.3334565267676104</v>
      </c>
      <c r="AB168">
        <f t="shared" si="79"/>
        <v>-87.067391044571252</v>
      </c>
      <c r="AC168">
        <f t="shared" si="80"/>
        <v>-171.69089232520301</v>
      </c>
      <c r="AD168">
        <f t="shared" si="81"/>
        <v>-17.489417195836893</v>
      </c>
      <c r="AE168">
        <f t="shared" si="82"/>
        <v>-0.13274411161117428</v>
      </c>
      <c r="AF168">
        <v>8</v>
      </c>
      <c r="AG168">
        <v>3</v>
      </c>
      <c r="AH168">
        <f t="shared" si="83"/>
        <v>1</v>
      </c>
      <c r="AI168">
        <f t="shared" si="84"/>
        <v>0</v>
      </c>
      <c r="AJ168">
        <f t="shared" si="85"/>
        <v>52787.886148069316</v>
      </c>
      <c r="AK168">
        <f t="shared" si="86"/>
        <v>1800</v>
      </c>
      <c r="AL168">
        <f t="shared" si="87"/>
        <v>1499.1113214</v>
      </c>
      <c r="AM168">
        <f t="shared" si="88"/>
        <v>0.83283962300000003</v>
      </c>
      <c r="AN168">
        <f t="shared" si="89"/>
        <v>0.15339719802999999</v>
      </c>
      <c r="AO168">
        <v>33</v>
      </c>
      <c r="AP168">
        <v>0.5</v>
      </c>
      <c r="AQ168" t="s">
        <v>331</v>
      </c>
      <c r="AR168">
        <v>2</v>
      </c>
      <c r="AS168">
        <v>1690305429.5999999</v>
      </c>
      <c r="AT168">
        <v>465.54700000000003</v>
      </c>
      <c r="AU168">
        <v>800.08500000000004</v>
      </c>
      <c r="AV168">
        <v>22.387599999999999</v>
      </c>
      <c r="AW168">
        <v>1.1739200000000001</v>
      </c>
      <c r="AX168">
        <v>465.55200000000002</v>
      </c>
      <c r="AY168">
        <v>22.1157</v>
      </c>
      <c r="AZ168">
        <v>300.24900000000002</v>
      </c>
      <c r="BA168">
        <v>99.244699999999995</v>
      </c>
      <c r="BB168">
        <v>9.9948499999999996E-2</v>
      </c>
      <c r="BC168">
        <v>25.380700000000001</v>
      </c>
      <c r="BD168">
        <v>26.979399999999998</v>
      </c>
      <c r="BE168">
        <v>26.538900000000002</v>
      </c>
      <c r="BF168">
        <v>0</v>
      </c>
      <c r="BG168">
        <v>0</v>
      </c>
      <c r="BH168">
        <v>10005</v>
      </c>
      <c r="BI168">
        <v>1055.77</v>
      </c>
      <c r="BJ168">
        <v>1.5306</v>
      </c>
      <c r="BK168">
        <v>-334.53800000000001</v>
      </c>
      <c r="BL168">
        <v>476.20800000000003</v>
      </c>
      <c r="BM168">
        <v>801.02499999999998</v>
      </c>
      <c r="BN168">
        <v>21.213699999999999</v>
      </c>
      <c r="BO168">
        <v>800.08500000000004</v>
      </c>
      <c r="BP168">
        <v>1.1739200000000001</v>
      </c>
      <c r="BQ168">
        <v>2.2218499999999999</v>
      </c>
      <c r="BR168">
        <v>0.116505</v>
      </c>
      <c r="BS168">
        <v>19.120699999999999</v>
      </c>
      <c r="BT168">
        <v>-20.892299999999999</v>
      </c>
      <c r="BU168">
        <v>1800</v>
      </c>
      <c r="BV168">
        <v>0.91000300000000001</v>
      </c>
      <c r="BW168">
        <v>3.40016E-2</v>
      </c>
      <c r="BX168">
        <v>2.1998400000000001E-2</v>
      </c>
      <c r="BY168">
        <v>3.3996499999999999E-2</v>
      </c>
      <c r="BZ168">
        <v>26</v>
      </c>
      <c r="CA168">
        <v>33528.5</v>
      </c>
      <c r="CB168">
        <v>1690303320.5</v>
      </c>
      <c r="CC168" t="s">
        <v>332</v>
      </c>
      <c r="CD168">
        <v>1690303320.5</v>
      </c>
      <c r="CE168">
        <v>1690303310.0999999</v>
      </c>
      <c r="CF168">
        <v>8</v>
      </c>
      <c r="CG168">
        <v>7.3999999999999996E-2</v>
      </c>
      <c r="CH168">
        <v>-0.01</v>
      </c>
      <c r="CI168">
        <v>-0.24199999999999999</v>
      </c>
      <c r="CJ168">
        <v>0.27200000000000002</v>
      </c>
      <c r="CK168">
        <v>800</v>
      </c>
      <c r="CL168">
        <v>23</v>
      </c>
      <c r="CM168">
        <v>0.06</v>
      </c>
      <c r="CN168">
        <v>0.09</v>
      </c>
      <c r="CO168">
        <v>-332.34834146341461</v>
      </c>
      <c r="CP168">
        <v>-11.459017421603891</v>
      </c>
      <c r="CQ168">
        <v>1.1318057579137151</v>
      </c>
      <c r="CR168">
        <v>-1</v>
      </c>
      <c r="CS168">
        <v>21.021443902439021</v>
      </c>
      <c r="CT168">
        <v>1.050681533101018</v>
      </c>
      <c r="CU168">
        <v>0.10361011356789231</v>
      </c>
      <c r="CV168">
        <v>-1</v>
      </c>
      <c r="CW168">
        <v>0</v>
      </c>
      <c r="CX168">
        <v>0</v>
      </c>
      <c r="CY168" t="s">
        <v>333</v>
      </c>
      <c r="CZ168">
        <v>2.3649300000000002</v>
      </c>
      <c r="DA168">
        <v>2.7137500000000001</v>
      </c>
      <c r="DB168">
        <v>0.100454</v>
      </c>
      <c r="DC168">
        <v>0.146254</v>
      </c>
      <c r="DD168">
        <v>0.10832</v>
      </c>
      <c r="DE168">
        <v>9.3461399999999993E-3</v>
      </c>
      <c r="DF168">
        <v>32860</v>
      </c>
      <c r="DG168">
        <v>27536.3</v>
      </c>
      <c r="DH168">
        <v>31185.1</v>
      </c>
      <c r="DI168">
        <v>28104.7</v>
      </c>
      <c r="DJ168">
        <v>37753</v>
      </c>
      <c r="DK168">
        <v>39602.699999999997</v>
      </c>
      <c r="DL168">
        <v>44383.3</v>
      </c>
      <c r="DM168">
        <v>42602.7</v>
      </c>
      <c r="DN168">
        <v>1.44753</v>
      </c>
      <c r="DO168">
        <v>2.03172</v>
      </c>
      <c r="DP168">
        <v>0.15765399999999999</v>
      </c>
      <c r="DQ168">
        <v>0.13905000000000001</v>
      </c>
      <c r="DR168">
        <v>24.395600000000002</v>
      </c>
      <c r="DS168">
        <v>24.258900000000001</v>
      </c>
      <c r="DT168">
        <v>36</v>
      </c>
      <c r="DU168">
        <v>29.2</v>
      </c>
      <c r="DV168">
        <v>14.7577</v>
      </c>
      <c r="DW168">
        <v>61.683</v>
      </c>
      <c r="DX168">
        <v>36.173900000000003</v>
      </c>
      <c r="DY168">
        <v>1</v>
      </c>
      <c r="DZ168">
        <v>-9.6737799999999999E-2</v>
      </c>
      <c r="EA168">
        <v>0.52284299999999995</v>
      </c>
      <c r="EB168">
        <v>20.188400000000001</v>
      </c>
      <c r="EC168">
        <v>5.2409499999999998</v>
      </c>
      <c r="ED168">
        <v>12.039899999999999</v>
      </c>
      <c r="EE168">
        <v>5.0169499999999996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1.8646499999999999</v>
      </c>
      <c r="EM168">
        <v>1.8692</v>
      </c>
      <c r="EN168">
        <v>1.86724</v>
      </c>
      <c r="EO168">
        <v>1.8633900000000001</v>
      </c>
      <c r="EP168">
        <v>1.8644700000000001</v>
      </c>
      <c r="EQ168">
        <v>1.87018</v>
      </c>
      <c r="ER168">
        <v>1.8694200000000001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-5.0000000000000001E-3</v>
      </c>
      <c r="FG168">
        <v>0.27189999999999998</v>
      </c>
      <c r="FH168">
        <v>0.30965466913576151</v>
      </c>
      <c r="FI168">
        <v>-6.1462078757559423E-4</v>
      </c>
      <c r="FJ168">
        <v>-1.8861989874597051E-7</v>
      </c>
      <c r="FK168">
        <v>1.1980462299894961E-10</v>
      </c>
      <c r="FL168">
        <v>0.27184999999999349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35.200000000000003</v>
      </c>
      <c r="FU168">
        <v>35.299999999999997</v>
      </c>
      <c r="FV168">
        <v>1.7651399999999999</v>
      </c>
      <c r="FW168">
        <v>2.5964399999999999</v>
      </c>
      <c r="FX168">
        <v>1.5490699999999999</v>
      </c>
      <c r="FY168">
        <v>2.3290999999999999</v>
      </c>
      <c r="FZ168">
        <v>1.50146</v>
      </c>
      <c r="GA168">
        <v>2.2985799999999998</v>
      </c>
      <c r="GB168">
        <v>33.896099999999997</v>
      </c>
      <c r="GC168">
        <v>23.982399999999998</v>
      </c>
      <c r="GD168">
        <v>19</v>
      </c>
      <c r="GE168">
        <v>270.66500000000002</v>
      </c>
      <c r="GF168">
        <v>578.87099999999998</v>
      </c>
      <c r="GG168">
        <v>23.34</v>
      </c>
      <c r="GH168">
        <v>26.1493</v>
      </c>
      <c r="GI168">
        <v>30.0001</v>
      </c>
      <c r="GJ168">
        <v>26.308399999999999</v>
      </c>
      <c r="GK168">
        <v>26.2973</v>
      </c>
      <c r="GL168">
        <v>35.293199999999999</v>
      </c>
      <c r="GM168">
        <v>90.675899999999999</v>
      </c>
      <c r="GN168">
        <v>38.084800000000001</v>
      </c>
      <c r="GO168">
        <v>23.341999999999999</v>
      </c>
      <c r="GP168">
        <v>800</v>
      </c>
      <c r="GQ168">
        <v>0.93100099999999997</v>
      </c>
      <c r="GR168">
        <v>99.784199999999998</v>
      </c>
      <c r="GS168">
        <v>99.657300000000006</v>
      </c>
    </row>
    <row r="169" spans="1:201" x14ac:dyDescent="0.25">
      <c r="A169">
        <v>153</v>
      </c>
      <c r="B169">
        <v>1690305439.5999999</v>
      </c>
      <c r="C169">
        <v>1689.599999904633</v>
      </c>
      <c r="D169" t="s">
        <v>637</v>
      </c>
      <c r="E169" t="s">
        <v>638</v>
      </c>
      <c r="F169" t="s">
        <v>330</v>
      </c>
      <c r="H169">
        <v>1690305439.5999999</v>
      </c>
      <c r="I169">
        <f t="shared" si="60"/>
        <v>1.9905170443194624E-3</v>
      </c>
      <c r="J169">
        <f t="shared" si="61"/>
        <v>1.9905170443194624</v>
      </c>
      <c r="K169">
        <f t="shared" si="62"/>
        <v>29.688592493759209</v>
      </c>
      <c r="L169">
        <f t="shared" si="63"/>
        <v>463.62099999999998</v>
      </c>
      <c r="M169">
        <f t="shared" si="64"/>
        <v>129.50222499418416</v>
      </c>
      <c r="N169">
        <f t="shared" si="65"/>
        <v>12.865303603966082</v>
      </c>
      <c r="O169">
        <f t="shared" si="66"/>
        <v>46.058088364444899</v>
      </c>
      <c r="P169">
        <f t="shared" si="67"/>
        <v>0.14989694043957164</v>
      </c>
      <c r="Q169">
        <f t="shared" si="68"/>
        <v>2.1044974931726692</v>
      </c>
      <c r="R169">
        <f t="shared" si="69"/>
        <v>0.14420806132024566</v>
      </c>
      <c r="S169">
        <f t="shared" si="70"/>
        <v>9.0623172665464519E-2</v>
      </c>
      <c r="T169">
        <f t="shared" si="71"/>
        <v>276.11502290999999</v>
      </c>
      <c r="U169">
        <f t="shared" si="72"/>
        <v>26.891805661296139</v>
      </c>
      <c r="V169">
        <f t="shared" si="73"/>
        <v>26.891805661296139</v>
      </c>
      <c r="W169">
        <f t="shared" si="74"/>
        <v>3.5564788280339963</v>
      </c>
      <c r="X169">
        <f t="shared" si="75"/>
        <v>68.397876028805385</v>
      </c>
      <c r="Y169">
        <f t="shared" si="76"/>
        <v>2.2251228244528898</v>
      </c>
      <c r="Z169">
        <f t="shared" si="77"/>
        <v>3.2532045637145104</v>
      </c>
      <c r="AA169">
        <f t="shared" si="78"/>
        <v>1.3313560035811065</v>
      </c>
      <c r="AB169">
        <f t="shared" si="79"/>
        <v>-87.781801654488291</v>
      </c>
      <c r="AC169">
        <f t="shared" si="80"/>
        <v>-171.07211541239505</v>
      </c>
      <c r="AD169">
        <f t="shared" si="81"/>
        <v>-17.392383905604667</v>
      </c>
      <c r="AE169">
        <f t="shared" si="82"/>
        <v>-0.13127806248800766</v>
      </c>
      <c r="AF169">
        <v>8</v>
      </c>
      <c r="AG169">
        <v>3</v>
      </c>
      <c r="AH169">
        <f t="shared" si="83"/>
        <v>1</v>
      </c>
      <c r="AI169">
        <f t="shared" si="84"/>
        <v>0</v>
      </c>
      <c r="AJ169">
        <f t="shared" si="85"/>
        <v>52970.15720787194</v>
      </c>
      <c r="AK169">
        <f t="shared" si="86"/>
        <v>1800</v>
      </c>
      <c r="AL169">
        <f t="shared" si="87"/>
        <v>1499.1122789999999</v>
      </c>
      <c r="AM169">
        <f t="shared" si="88"/>
        <v>0.83284015499999997</v>
      </c>
      <c r="AN169">
        <f t="shared" si="89"/>
        <v>0.15339723494999999</v>
      </c>
      <c r="AO169">
        <v>33</v>
      </c>
      <c r="AP169">
        <v>0.5</v>
      </c>
      <c r="AQ169" t="s">
        <v>331</v>
      </c>
      <c r="AR169">
        <v>2</v>
      </c>
      <c r="AS169">
        <v>1690305439.5999999</v>
      </c>
      <c r="AT169">
        <v>463.62099999999998</v>
      </c>
      <c r="AU169">
        <v>800.11800000000005</v>
      </c>
      <c r="AV169">
        <v>22.398099999999999</v>
      </c>
      <c r="AW169">
        <v>1.0073799999999999</v>
      </c>
      <c r="AX169">
        <v>463.625</v>
      </c>
      <c r="AY169">
        <v>22.126200000000001</v>
      </c>
      <c r="AZ169">
        <v>300.20400000000001</v>
      </c>
      <c r="BA169">
        <v>99.244299999999996</v>
      </c>
      <c r="BB169">
        <v>9.9966899999999997E-2</v>
      </c>
      <c r="BC169">
        <v>25.384</v>
      </c>
      <c r="BD169">
        <v>26.965399999999999</v>
      </c>
      <c r="BE169">
        <v>26.5428</v>
      </c>
      <c r="BF169">
        <v>0</v>
      </c>
      <c r="BG169">
        <v>0</v>
      </c>
      <c r="BH169">
        <v>10041.200000000001</v>
      </c>
      <c r="BI169">
        <v>1055.8499999999999</v>
      </c>
      <c r="BJ169">
        <v>1.55583</v>
      </c>
      <c r="BK169">
        <v>-336.49700000000001</v>
      </c>
      <c r="BL169">
        <v>474.24299999999999</v>
      </c>
      <c r="BM169">
        <v>800.92399999999998</v>
      </c>
      <c r="BN169">
        <v>21.390699999999999</v>
      </c>
      <c r="BO169">
        <v>800.11800000000005</v>
      </c>
      <c r="BP169">
        <v>1.0073799999999999</v>
      </c>
      <c r="BQ169">
        <v>2.22288</v>
      </c>
      <c r="BR169">
        <v>9.9976999999999996E-2</v>
      </c>
      <c r="BS169">
        <v>19.1282</v>
      </c>
      <c r="BT169">
        <v>-22.635400000000001</v>
      </c>
      <c r="BU169">
        <v>1800</v>
      </c>
      <c r="BV169">
        <v>0.91000499999999995</v>
      </c>
      <c r="BW169">
        <v>3.4001099999999999E-2</v>
      </c>
      <c r="BX169">
        <v>2.1998E-2</v>
      </c>
      <c r="BY169">
        <v>3.3995900000000003E-2</v>
      </c>
      <c r="BZ169">
        <v>26</v>
      </c>
      <c r="CA169">
        <v>33528.300000000003</v>
      </c>
      <c r="CB169">
        <v>1690303320.5</v>
      </c>
      <c r="CC169" t="s">
        <v>332</v>
      </c>
      <c r="CD169">
        <v>1690303320.5</v>
      </c>
      <c r="CE169">
        <v>1690303310.0999999</v>
      </c>
      <c r="CF169">
        <v>8</v>
      </c>
      <c r="CG169">
        <v>7.3999999999999996E-2</v>
      </c>
      <c r="CH169">
        <v>-0.01</v>
      </c>
      <c r="CI169">
        <v>-0.24199999999999999</v>
      </c>
      <c r="CJ169">
        <v>0.27200000000000002</v>
      </c>
      <c r="CK169">
        <v>800</v>
      </c>
      <c r="CL169">
        <v>23</v>
      </c>
      <c r="CM169">
        <v>0.06</v>
      </c>
      <c r="CN169">
        <v>0.09</v>
      </c>
      <c r="CO169">
        <v>-334.29099999999988</v>
      </c>
      <c r="CP169">
        <v>-11.75201393728257</v>
      </c>
      <c r="CQ169">
        <v>1.1606456781653449</v>
      </c>
      <c r="CR169">
        <v>-1</v>
      </c>
      <c r="CS169">
        <v>21.197160975609759</v>
      </c>
      <c r="CT169">
        <v>1.048250174216059</v>
      </c>
      <c r="CU169">
        <v>0.1033695215684587</v>
      </c>
      <c r="CV169">
        <v>-1</v>
      </c>
      <c r="CW169">
        <v>0</v>
      </c>
      <c r="CX169">
        <v>0</v>
      </c>
      <c r="CY169" t="s">
        <v>333</v>
      </c>
      <c r="CZ169">
        <v>2.3647800000000001</v>
      </c>
      <c r="DA169">
        <v>2.7137899999999999</v>
      </c>
      <c r="DB169">
        <v>0.100145</v>
      </c>
      <c r="DC169">
        <v>0.146254</v>
      </c>
      <c r="DD169">
        <v>0.10835599999999999</v>
      </c>
      <c r="DE169">
        <v>8.0909199999999997E-3</v>
      </c>
      <c r="DF169">
        <v>32871.199999999997</v>
      </c>
      <c r="DG169">
        <v>27536.2</v>
      </c>
      <c r="DH169">
        <v>31185</v>
      </c>
      <c r="DI169">
        <v>28104.6</v>
      </c>
      <c r="DJ169">
        <v>37751.300000000003</v>
      </c>
      <c r="DK169">
        <v>39652.9</v>
      </c>
      <c r="DL169">
        <v>44383.1</v>
      </c>
      <c r="DM169">
        <v>42602.5</v>
      </c>
      <c r="DN169">
        <v>1.44747</v>
      </c>
      <c r="DO169">
        <v>2.0315500000000002</v>
      </c>
      <c r="DP169">
        <v>0.156358</v>
      </c>
      <c r="DQ169">
        <v>0.138849</v>
      </c>
      <c r="DR169">
        <v>24.402799999999999</v>
      </c>
      <c r="DS169">
        <v>24.266100000000002</v>
      </c>
      <c r="DT169">
        <v>35.6</v>
      </c>
      <c r="DU169">
        <v>29.2</v>
      </c>
      <c r="DV169">
        <v>14.5952</v>
      </c>
      <c r="DW169">
        <v>61.343000000000004</v>
      </c>
      <c r="DX169">
        <v>36.334099999999999</v>
      </c>
      <c r="DY169">
        <v>1</v>
      </c>
      <c r="DZ169">
        <v>-9.6697199999999997E-2</v>
      </c>
      <c r="EA169">
        <v>0.36845</v>
      </c>
      <c r="EB169">
        <v>20.1892</v>
      </c>
      <c r="EC169">
        <v>5.2409499999999998</v>
      </c>
      <c r="ED169">
        <v>12.039899999999999</v>
      </c>
      <c r="EE169">
        <v>5.0170500000000002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1.8689199999999999</v>
      </c>
      <c r="EL169">
        <v>1.8646400000000001</v>
      </c>
      <c r="EM169">
        <v>1.86921</v>
      </c>
      <c r="EN169">
        <v>1.8672500000000001</v>
      </c>
      <c r="EO169">
        <v>1.8633999999999999</v>
      </c>
      <c r="EP169">
        <v>1.8644799999999999</v>
      </c>
      <c r="EQ169">
        <v>1.87018</v>
      </c>
      <c r="ER169">
        <v>1.8693900000000001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-4.0000000000000001E-3</v>
      </c>
      <c r="FG169">
        <v>0.27189999999999998</v>
      </c>
      <c r="FH169">
        <v>0.30965466913576151</v>
      </c>
      <c r="FI169">
        <v>-6.1462078757559423E-4</v>
      </c>
      <c r="FJ169">
        <v>-1.8861989874597051E-7</v>
      </c>
      <c r="FK169">
        <v>1.1980462299894961E-10</v>
      </c>
      <c r="FL169">
        <v>0.27184999999999349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35.299999999999997</v>
      </c>
      <c r="FU169">
        <v>35.5</v>
      </c>
      <c r="FV169">
        <v>1.7651399999999999</v>
      </c>
      <c r="FW169">
        <v>2.5952099999999998</v>
      </c>
      <c r="FX169">
        <v>1.5490699999999999</v>
      </c>
      <c r="FY169">
        <v>2.3290999999999999</v>
      </c>
      <c r="FZ169">
        <v>1.50146</v>
      </c>
      <c r="GA169">
        <v>2.31812</v>
      </c>
      <c r="GB169">
        <v>33.896099999999997</v>
      </c>
      <c r="GC169">
        <v>23.973700000000001</v>
      </c>
      <c r="GD169">
        <v>19</v>
      </c>
      <c r="GE169">
        <v>270.64400000000001</v>
      </c>
      <c r="GF169">
        <v>578.72699999999998</v>
      </c>
      <c r="GG169">
        <v>23.376899999999999</v>
      </c>
      <c r="GH169">
        <v>26.1493</v>
      </c>
      <c r="GI169">
        <v>30.0001</v>
      </c>
      <c r="GJ169">
        <v>26.308399999999999</v>
      </c>
      <c r="GK169">
        <v>26.2973</v>
      </c>
      <c r="GL169">
        <v>35.288699999999999</v>
      </c>
      <c r="GM169">
        <v>93.56</v>
      </c>
      <c r="GN169">
        <v>37.314</v>
      </c>
      <c r="GO169">
        <v>23.3855</v>
      </c>
      <c r="GP169">
        <v>800</v>
      </c>
      <c r="GQ169">
        <v>0.72600900000000002</v>
      </c>
      <c r="GR169">
        <v>99.783900000000003</v>
      </c>
      <c r="GS169">
        <v>99.656800000000004</v>
      </c>
    </row>
    <row r="170" spans="1:201" x14ac:dyDescent="0.25">
      <c r="A170">
        <v>154</v>
      </c>
      <c r="B170">
        <v>1690305449.5999999</v>
      </c>
      <c r="C170">
        <v>1699.599999904633</v>
      </c>
      <c r="D170" t="s">
        <v>639</v>
      </c>
      <c r="E170" t="s">
        <v>640</v>
      </c>
      <c r="F170" t="s">
        <v>330</v>
      </c>
      <c r="H170">
        <v>1690305449.5999999</v>
      </c>
      <c r="I170">
        <f t="shared" si="60"/>
        <v>2.0062350633658814E-3</v>
      </c>
      <c r="J170">
        <f t="shared" si="61"/>
        <v>2.0062350633658816</v>
      </c>
      <c r="K170">
        <f t="shared" si="62"/>
        <v>29.826882404975493</v>
      </c>
      <c r="L170">
        <f t="shared" si="63"/>
        <v>461.92700000000002</v>
      </c>
      <c r="M170">
        <f t="shared" si="64"/>
        <v>128.69507468036073</v>
      </c>
      <c r="N170">
        <f t="shared" si="65"/>
        <v>12.785246028055569</v>
      </c>
      <c r="O170">
        <f t="shared" si="66"/>
        <v>45.890259255608299</v>
      </c>
      <c r="P170">
        <f t="shared" si="67"/>
        <v>0.1510432871603781</v>
      </c>
      <c r="Q170">
        <f t="shared" si="68"/>
        <v>2.0991428491640836</v>
      </c>
      <c r="R170">
        <f t="shared" si="69"/>
        <v>0.14525474322836127</v>
      </c>
      <c r="S170">
        <f t="shared" si="70"/>
        <v>9.1285808625652498E-2</v>
      </c>
      <c r="T170">
        <f t="shared" si="71"/>
        <v>276.11506038600004</v>
      </c>
      <c r="U170">
        <f t="shared" si="72"/>
        <v>26.899123409441167</v>
      </c>
      <c r="V170">
        <f t="shared" si="73"/>
        <v>26.899123409441167</v>
      </c>
      <c r="W170">
        <f t="shared" si="74"/>
        <v>3.5580088874586733</v>
      </c>
      <c r="X170">
        <f t="shared" si="75"/>
        <v>68.380801158675681</v>
      </c>
      <c r="Y170">
        <f t="shared" si="76"/>
        <v>2.2258107462219199</v>
      </c>
      <c r="Z170">
        <f t="shared" si="77"/>
        <v>3.2550229136055164</v>
      </c>
      <c r="AA170">
        <f t="shared" si="78"/>
        <v>1.3321981412367534</v>
      </c>
      <c r="AB170">
        <f t="shared" si="79"/>
        <v>-88.474966294435376</v>
      </c>
      <c r="AC170">
        <f t="shared" si="80"/>
        <v>-170.40119638791725</v>
      </c>
      <c r="AD170">
        <f t="shared" si="81"/>
        <v>-17.369821057493066</v>
      </c>
      <c r="AE170">
        <f t="shared" si="82"/>
        <v>-0.13092335384567377</v>
      </c>
      <c r="AF170">
        <v>8</v>
      </c>
      <c r="AG170">
        <v>3</v>
      </c>
      <c r="AH170">
        <f t="shared" si="83"/>
        <v>1</v>
      </c>
      <c r="AI170">
        <f t="shared" si="84"/>
        <v>0</v>
      </c>
      <c r="AJ170">
        <f t="shared" si="85"/>
        <v>52729.027803975048</v>
      </c>
      <c r="AK170">
        <f t="shared" si="86"/>
        <v>1800</v>
      </c>
      <c r="AL170">
        <f t="shared" si="87"/>
        <v>1499.1131106</v>
      </c>
      <c r="AM170">
        <f t="shared" si="88"/>
        <v>0.83284061700000001</v>
      </c>
      <c r="AN170">
        <f t="shared" si="89"/>
        <v>0.15339725577000002</v>
      </c>
      <c r="AO170">
        <v>33</v>
      </c>
      <c r="AP170">
        <v>0.5</v>
      </c>
      <c r="AQ170" t="s">
        <v>331</v>
      </c>
      <c r="AR170">
        <v>2</v>
      </c>
      <c r="AS170">
        <v>1690305449.5999999</v>
      </c>
      <c r="AT170">
        <v>461.92700000000002</v>
      </c>
      <c r="AU170">
        <v>800.06799999999998</v>
      </c>
      <c r="AV170">
        <v>22.404800000000002</v>
      </c>
      <c r="AW170">
        <v>0.84014500000000003</v>
      </c>
      <c r="AX170">
        <v>461.93</v>
      </c>
      <c r="AY170">
        <v>22.132899999999999</v>
      </c>
      <c r="AZ170">
        <v>300.13200000000001</v>
      </c>
      <c r="BA170">
        <v>99.2453</v>
      </c>
      <c r="BB170">
        <v>9.9962899999999993E-2</v>
      </c>
      <c r="BC170">
        <v>25.3934</v>
      </c>
      <c r="BD170">
        <v>26.9922</v>
      </c>
      <c r="BE170">
        <v>26.565899999999999</v>
      </c>
      <c r="BF170">
        <v>0</v>
      </c>
      <c r="BG170">
        <v>0</v>
      </c>
      <c r="BH170">
        <v>9993.75</v>
      </c>
      <c r="BI170">
        <v>1056.01</v>
      </c>
      <c r="BJ170">
        <v>1.5670500000000001</v>
      </c>
      <c r="BK170">
        <v>-338.14100000000002</v>
      </c>
      <c r="BL170">
        <v>472.51400000000001</v>
      </c>
      <c r="BM170">
        <v>800.74099999999999</v>
      </c>
      <c r="BN170">
        <v>21.564599999999999</v>
      </c>
      <c r="BO170">
        <v>800.06799999999998</v>
      </c>
      <c r="BP170">
        <v>0.84014500000000003</v>
      </c>
      <c r="BQ170">
        <v>2.22357</v>
      </c>
      <c r="BR170">
        <v>8.3380399999999993E-2</v>
      </c>
      <c r="BS170">
        <v>19.133099999999999</v>
      </c>
      <c r="BT170">
        <v>-24.668099999999999</v>
      </c>
      <c r="BU170">
        <v>1800</v>
      </c>
      <c r="BV170">
        <v>0.91000700000000001</v>
      </c>
      <c r="BW170">
        <v>3.4000500000000003E-2</v>
      </c>
      <c r="BX170">
        <v>2.1997599999999999E-2</v>
      </c>
      <c r="BY170">
        <v>3.3995299999999999E-2</v>
      </c>
      <c r="BZ170">
        <v>26</v>
      </c>
      <c r="CA170">
        <v>33528.400000000001</v>
      </c>
      <c r="CB170">
        <v>1690303320.5</v>
      </c>
      <c r="CC170" t="s">
        <v>332</v>
      </c>
      <c r="CD170">
        <v>1690303320.5</v>
      </c>
      <c r="CE170">
        <v>1690303310.0999999</v>
      </c>
      <c r="CF170">
        <v>8</v>
      </c>
      <c r="CG170">
        <v>7.3999999999999996E-2</v>
      </c>
      <c r="CH170">
        <v>-0.01</v>
      </c>
      <c r="CI170">
        <v>-0.24199999999999999</v>
      </c>
      <c r="CJ170">
        <v>0.27200000000000002</v>
      </c>
      <c r="CK170">
        <v>800</v>
      </c>
      <c r="CL170">
        <v>23</v>
      </c>
      <c r="CM170">
        <v>0.06</v>
      </c>
      <c r="CN170">
        <v>0.09</v>
      </c>
      <c r="CO170">
        <v>-336.12467500000002</v>
      </c>
      <c r="CP170">
        <v>-10.497061913694539</v>
      </c>
      <c r="CQ170">
        <v>1.012839434152818</v>
      </c>
      <c r="CR170">
        <v>-1</v>
      </c>
      <c r="CS170">
        <v>21.3694025</v>
      </c>
      <c r="CT170">
        <v>1.0647973733582781</v>
      </c>
      <c r="CU170">
        <v>0.1024380165941825</v>
      </c>
      <c r="CV170">
        <v>-1</v>
      </c>
      <c r="CW170">
        <v>0</v>
      </c>
      <c r="CX170">
        <v>0</v>
      </c>
      <c r="CY170" t="s">
        <v>333</v>
      </c>
      <c r="CZ170">
        <v>2.3645800000000001</v>
      </c>
      <c r="DA170">
        <v>2.7137500000000001</v>
      </c>
      <c r="DB170">
        <v>9.9874699999999997E-2</v>
      </c>
      <c r="DC170">
        <v>0.14624699999999999</v>
      </c>
      <c r="DD170">
        <v>0.10838100000000001</v>
      </c>
      <c r="DE170">
        <v>6.8092500000000002E-3</v>
      </c>
      <c r="DF170">
        <v>32881</v>
      </c>
      <c r="DG170">
        <v>27536.3</v>
      </c>
      <c r="DH170">
        <v>31184.9</v>
      </c>
      <c r="DI170">
        <v>28104.6</v>
      </c>
      <c r="DJ170">
        <v>37750.199999999997</v>
      </c>
      <c r="DK170">
        <v>39703.9</v>
      </c>
      <c r="DL170">
        <v>44383.1</v>
      </c>
      <c r="DM170">
        <v>42602.2</v>
      </c>
      <c r="DN170">
        <v>1.4473499999999999</v>
      </c>
      <c r="DO170">
        <v>2.0310800000000002</v>
      </c>
      <c r="DP170">
        <v>0.15750500000000001</v>
      </c>
      <c r="DQ170">
        <v>0.13983200000000001</v>
      </c>
      <c r="DR170">
        <v>24.410900000000002</v>
      </c>
      <c r="DS170">
        <v>24.273199999999999</v>
      </c>
      <c r="DT170">
        <v>35.200000000000003</v>
      </c>
      <c r="DU170">
        <v>29.2</v>
      </c>
      <c r="DV170">
        <v>14.4297</v>
      </c>
      <c r="DW170">
        <v>61.453000000000003</v>
      </c>
      <c r="DX170">
        <v>36.522399999999998</v>
      </c>
      <c r="DY170">
        <v>1</v>
      </c>
      <c r="DZ170">
        <v>-9.6796199999999999E-2</v>
      </c>
      <c r="EA170">
        <v>0.26214599999999999</v>
      </c>
      <c r="EB170">
        <v>20.189399999999999</v>
      </c>
      <c r="EC170">
        <v>5.2411000000000003</v>
      </c>
      <c r="ED170">
        <v>12.039899999999999</v>
      </c>
      <c r="EE170">
        <v>5.0168499999999998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1.8689100000000001</v>
      </c>
      <c r="EL170">
        <v>1.8646400000000001</v>
      </c>
      <c r="EM170">
        <v>1.8692</v>
      </c>
      <c r="EN170">
        <v>1.8672500000000001</v>
      </c>
      <c r="EO170">
        <v>1.8633999999999999</v>
      </c>
      <c r="EP170">
        <v>1.8644799999999999</v>
      </c>
      <c r="EQ170">
        <v>1.87018</v>
      </c>
      <c r="ER170">
        <v>1.8694200000000001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-3.0000000000000001E-3</v>
      </c>
      <c r="FG170">
        <v>0.27189999999999998</v>
      </c>
      <c r="FH170">
        <v>0.30965466913576151</v>
      </c>
      <c r="FI170">
        <v>-6.1462078757559423E-4</v>
      </c>
      <c r="FJ170">
        <v>-1.8861989874597051E-7</v>
      </c>
      <c r="FK170">
        <v>1.1980462299894961E-10</v>
      </c>
      <c r="FL170">
        <v>0.27184999999999349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35.5</v>
      </c>
      <c r="FU170">
        <v>35.700000000000003</v>
      </c>
      <c r="FV170">
        <v>1.7651399999999999</v>
      </c>
      <c r="FW170">
        <v>2.5964399999999999</v>
      </c>
      <c r="FX170">
        <v>1.5490699999999999</v>
      </c>
      <c r="FY170">
        <v>2.3290999999999999</v>
      </c>
      <c r="FZ170">
        <v>1.50146</v>
      </c>
      <c r="GA170">
        <v>2.3083499999999999</v>
      </c>
      <c r="GB170">
        <v>33.896099999999997</v>
      </c>
      <c r="GC170">
        <v>23.982399999999998</v>
      </c>
      <c r="GD170">
        <v>19</v>
      </c>
      <c r="GE170">
        <v>270.58800000000002</v>
      </c>
      <c r="GF170">
        <v>578.31299999999999</v>
      </c>
      <c r="GG170">
        <v>23.424800000000001</v>
      </c>
      <c r="GH170">
        <v>26.1493</v>
      </c>
      <c r="GI170">
        <v>30</v>
      </c>
      <c r="GJ170">
        <v>26.307200000000002</v>
      </c>
      <c r="GK170">
        <v>26.295100000000001</v>
      </c>
      <c r="GL170">
        <v>35.284599999999998</v>
      </c>
      <c r="GM170">
        <v>96.721999999999994</v>
      </c>
      <c r="GN170">
        <v>36.536900000000003</v>
      </c>
      <c r="GO170">
        <v>23.442399999999999</v>
      </c>
      <c r="GP170">
        <v>800</v>
      </c>
      <c r="GQ170">
        <v>0.52371299999999998</v>
      </c>
      <c r="GR170">
        <v>99.783699999999996</v>
      </c>
      <c r="GS170">
        <v>99.656300000000002</v>
      </c>
    </row>
    <row r="171" spans="1:201" x14ac:dyDescent="0.25">
      <c r="A171">
        <v>155</v>
      </c>
      <c r="B171">
        <v>1690305459.5999999</v>
      </c>
      <c r="C171">
        <v>1709.599999904633</v>
      </c>
      <c r="D171" t="s">
        <v>641</v>
      </c>
      <c r="E171" t="s">
        <v>642</v>
      </c>
      <c r="F171" t="s">
        <v>330</v>
      </c>
      <c r="H171">
        <v>1690305459.5999999</v>
      </c>
      <c r="I171">
        <f t="shared" si="60"/>
        <v>2.0254982940156631E-3</v>
      </c>
      <c r="J171">
        <f t="shared" si="61"/>
        <v>2.0254982940156632</v>
      </c>
      <c r="K171">
        <f t="shared" si="62"/>
        <v>30.002767005232492</v>
      </c>
      <c r="L171">
        <f t="shared" si="63"/>
        <v>460.37</v>
      </c>
      <c r="M171">
        <f t="shared" si="64"/>
        <v>128.2177331766201</v>
      </c>
      <c r="N171">
        <f t="shared" si="65"/>
        <v>12.737812499445964</v>
      </c>
      <c r="O171">
        <f t="shared" si="66"/>
        <v>45.735535912899998</v>
      </c>
      <c r="P171">
        <f t="shared" si="67"/>
        <v>0.15247805489791547</v>
      </c>
      <c r="Q171">
        <f t="shared" si="68"/>
        <v>2.098361642717995</v>
      </c>
      <c r="R171">
        <f t="shared" si="69"/>
        <v>0.1465792222023391</v>
      </c>
      <c r="S171">
        <f t="shared" si="70"/>
        <v>9.2122986311627839E-2</v>
      </c>
      <c r="T171">
        <f t="shared" si="71"/>
        <v>276.11466008399998</v>
      </c>
      <c r="U171">
        <f t="shared" si="72"/>
        <v>26.907289949375421</v>
      </c>
      <c r="V171">
        <f t="shared" si="73"/>
        <v>26.907289949375421</v>
      </c>
      <c r="W171">
        <f t="shared" si="74"/>
        <v>3.5597170982255721</v>
      </c>
      <c r="X171">
        <f t="shared" si="75"/>
        <v>68.355370444043885</v>
      </c>
      <c r="Y171">
        <f t="shared" si="76"/>
        <v>2.2269014616859999</v>
      </c>
      <c r="Z171">
        <f t="shared" si="77"/>
        <v>3.2578295563608348</v>
      </c>
      <c r="AA171">
        <f t="shared" si="78"/>
        <v>1.3328156365395722</v>
      </c>
      <c r="AB171">
        <f t="shared" si="79"/>
        <v>-89.324474766090745</v>
      </c>
      <c r="AC171">
        <f t="shared" si="80"/>
        <v>-169.62129620386025</v>
      </c>
      <c r="AD171">
        <f t="shared" si="81"/>
        <v>-17.298724150434126</v>
      </c>
      <c r="AE171">
        <f t="shared" si="82"/>
        <v>-0.12983503638514549</v>
      </c>
      <c r="AF171">
        <v>8</v>
      </c>
      <c r="AG171">
        <v>3</v>
      </c>
      <c r="AH171">
        <f t="shared" si="83"/>
        <v>1</v>
      </c>
      <c r="AI171">
        <f t="shared" si="84"/>
        <v>0</v>
      </c>
      <c r="AJ171">
        <f t="shared" si="85"/>
        <v>52691.586234712602</v>
      </c>
      <c r="AK171">
        <f t="shared" si="86"/>
        <v>1800</v>
      </c>
      <c r="AL171">
        <f t="shared" si="87"/>
        <v>1499.1120414000002</v>
      </c>
      <c r="AM171">
        <f t="shared" si="88"/>
        <v>0.83284002300000004</v>
      </c>
      <c r="AN171">
        <f t="shared" si="89"/>
        <v>0.15339703337999999</v>
      </c>
      <c r="AO171">
        <v>33</v>
      </c>
      <c r="AP171">
        <v>0.5</v>
      </c>
      <c r="AQ171" t="s">
        <v>331</v>
      </c>
      <c r="AR171">
        <v>2</v>
      </c>
      <c r="AS171">
        <v>1690305459.5999999</v>
      </c>
      <c r="AT171">
        <v>460.37</v>
      </c>
      <c r="AU171">
        <v>800.33699999999999</v>
      </c>
      <c r="AV171">
        <v>22.415800000000001</v>
      </c>
      <c r="AW171">
        <v>0.655281</v>
      </c>
      <c r="AX171">
        <v>460.37200000000001</v>
      </c>
      <c r="AY171">
        <v>22.143999999999998</v>
      </c>
      <c r="AZ171">
        <v>300.28300000000002</v>
      </c>
      <c r="BA171">
        <v>99.245099999999994</v>
      </c>
      <c r="BB171">
        <v>0.10007000000000001</v>
      </c>
      <c r="BC171">
        <v>25.407900000000001</v>
      </c>
      <c r="BD171">
        <v>26.983000000000001</v>
      </c>
      <c r="BE171">
        <v>26.5534</v>
      </c>
      <c r="BF171">
        <v>0</v>
      </c>
      <c r="BG171">
        <v>0</v>
      </c>
      <c r="BH171">
        <v>9986.8799999999992</v>
      </c>
      <c r="BI171">
        <v>1056.18</v>
      </c>
      <c r="BJ171">
        <v>1.55583</v>
      </c>
      <c r="BK171">
        <v>-339.96699999999998</v>
      </c>
      <c r="BL171">
        <v>470.92599999999999</v>
      </c>
      <c r="BM171">
        <v>800.86199999999997</v>
      </c>
      <c r="BN171">
        <v>21.7605</v>
      </c>
      <c r="BO171">
        <v>800.33699999999999</v>
      </c>
      <c r="BP171">
        <v>0.655281</v>
      </c>
      <c r="BQ171">
        <v>2.2246600000000001</v>
      </c>
      <c r="BR171">
        <v>6.5033400000000005E-2</v>
      </c>
      <c r="BS171">
        <v>19.140999999999998</v>
      </c>
      <c r="BT171">
        <v>-27.3903</v>
      </c>
      <c r="BU171">
        <v>1800</v>
      </c>
      <c r="BV171">
        <v>0.91000899999999996</v>
      </c>
      <c r="BW171">
        <v>3.3999300000000003E-2</v>
      </c>
      <c r="BX171">
        <v>2.19969E-2</v>
      </c>
      <c r="BY171">
        <v>3.3994200000000002E-2</v>
      </c>
      <c r="BZ171">
        <v>26</v>
      </c>
      <c r="CA171">
        <v>33528.5</v>
      </c>
      <c r="CB171">
        <v>1690303320.5</v>
      </c>
      <c r="CC171" t="s">
        <v>332</v>
      </c>
      <c r="CD171">
        <v>1690303320.5</v>
      </c>
      <c r="CE171">
        <v>1690303310.0999999</v>
      </c>
      <c r="CF171">
        <v>8</v>
      </c>
      <c r="CG171">
        <v>7.3999999999999996E-2</v>
      </c>
      <c r="CH171">
        <v>-0.01</v>
      </c>
      <c r="CI171">
        <v>-0.24199999999999999</v>
      </c>
      <c r="CJ171">
        <v>0.27200000000000002</v>
      </c>
      <c r="CK171">
        <v>800</v>
      </c>
      <c r="CL171">
        <v>23</v>
      </c>
      <c r="CM171">
        <v>0.06</v>
      </c>
      <c r="CN171">
        <v>0.09</v>
      </c>
      <c r="CO171">
        <v>-337.86122499999999</v>
      </c>
      <c r="CP171">
        <v>-10.04774859287069</v>
      </c>
      <c r="CQ171">
        <v>0.96874680612376673</v>
      </c>
      <c r="CR171">
        <v>-1</v>
      </c>
      <c r="CS171">
        <v>21.535842500000001</v>
      </c>
      <c r="CT171">
        <v>0.9224386491557115</v>
      </c>
      <c r="CU171">
        <v>8.911353120458218E-2</v>
      </c>
      <c r="CV171">
        <v>-1</v>
      </c>
      <c r="CW171">
        <v>0</v>
      </c>
      <c r="CX171">
        <v>0</v>
      </c>
      <c r="CY171" t="s">
        <v>333</v>
      </c>
      <c r="CZ171">
        <v>2.36511</v>
      </c>
      <c r="DA171">
        <v>2.7138499999999999</v>
      </c>
      <c r="DB171">
        <v>9.9624400000000002E-2</v>
      </c>
      <c r="DC171">
        <v>0.14627599999999999</v>
      </c>
      <c r="DD171">
        <v>0.108419</v>
      </c>
      <c r="DE171">
        <v>5.3630500000000003E-3</v>
      </c>
      <c r="DF171">
        <v>32890.199999999997</v>
      </c>
      <c r="DG171">
        <v>27535.4</v>
      </c>
      <c r="DH171">
        <v>31185</v>
      </c>
      <c r="DI171">
        <v>28104.6</v>
      </c>
      <c r="DJ171">
        <v>37748.699999999997</v>
      </c>
      <c r="DK171">
        <v>39762</v>
      </c>
      <c r="DL171">
        <v>44383.3</v>
      </c>
      <c r="DM171">
        <v>42602.3</v>
      </c>
      <c r="DN171">
        <v>1.4476</v>
      </c>
      <c r="DO171">
        <v>2.0310199999999998</v>
      </c>
      <c r="DP171">
        <v>0.156529</v>
      </c>
      <c r="DQ171">
        <v>0.138626</v>
      </c>
      <c r="DR171">
        <v>24.4177</v>
      </c>
      <c r="DS171">
        <v>24.2804</v>
      </c>
      <c r="DT171">
        <v>34.799999999999997</v>
      </c>
      <c r="DU171">
        <v>29.2</v>
      </c>
      <c r="DV171">
        <v>14.265700000000001</v>
      </c>
      <c r="DW171">
        <v>61.713000000000001</v>
      </c>
      <c r="DX171">
        <v>36.209899999999998</v>
      </c>
      <c r="DY171">
        <v>1</v>
      </c>
      <c r="DZ171">
        <v>-9.6585400000000002E-2</v>
      </c>
      <c r="EA171">
        <v>0.51888599999999996</v>
      </c>
      <c r="EB171">
        <v>20.188700000000001</v>
      </c>
      <c r="EC171">
        <v>5.24125</v>
      </c>
      <c r="ED171">
        <v>12.039899999999999</v>
      </c>
      <c r="EE171">
        <v>5.0168999999999997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1.86463</v>
      </c>
      <c r="EM171">
        <v>1.8692</v>
      </c>
      <c r="EN171">
        <v>1.8672200000000001</v>
      </c>
      <c r="EO171">
        <v>1.8633900000000001</v>
      </c>
      <c r="EP171">
        <v>1.8644700000000001</v>
      </c>
      <c r="EQ171">
        <v>1.87016</v>
      </c>
      <c r="ER171">
        <v>1.86938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-2E-3</v>
      </c>
      <c r="FG171">
        <v>0.27179999999999999</v>
      </c>
      <c r="FH171">
        <v>0.30965466913576151</v>
      </c>
      <c r="FI171">
        <v>-6.1462078757559423E-4</v>
      </c>
      <c r="FJ171">
        <v>-1.8861989874597051E-7</v>
      </c>
      <c r="FK171">
        <v>1.1980462299894961E-10</v>
      </c>
      <c r="FL171">
        <v>0.27184999999999349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35.700000000000003</v>
      </c>
      <c r="FU171">
        <v>35.799999999999997</v>
      </c>
      <c r="FV171">
        <v>1.7639199999999999</v>
      </c>
      <c r="FW171">
        <v>2.5952099999999998</v>
      </c>
      <c r="FX171">
        <v>1.5490699999999999</v>
      </c>
      <c r="FY171">
        <v>2.3303199999999999</v>
      </c>
      <c r="FZ171">
        <v>1.50146</v>
      </c>
      <c r="GA171">
        <v>2.323</v>
      </c>
      <c r="GB171">
        <v>33.896099999999997</v>
      </c>
      <c r="GC171">
        <v>23.982399999999998</v>
      </c>
      <c r="GD171">
        <v>19</v>
      </c>
      <c r="GE171">
        <v>270.68599999999998</v>
      </c>
      <c r="GF171">
        <v>578.26</v>
      </c>
      <c r="GG171">
        <v>23.452200000000001</v>
      </c>
      <c r="GH171">
        <v>26.1493</v>
      </c>
      <c r="GI171">
        <v>30.0002</v>
      </c>
      <c r="GJ171">
        <v>26.3062</v>
      </c>
      <c r="GK171">
        <v>26.294</v>
      </c>
      <c r="GL171">
        <v>35.271799999999999</v>
      </c>
      <c r="GM171">
        <v>100</v>
      </c>
      <c r="GN171">
        <v>35.364100000000001</v>
      </c>
      <c r="GO171">
        <v>23.417300000000001</v>
      </c>
      <c r="GP171">
        <v>800</v>
      </c>
      <c r="GQ171">
        <v>0.31581599999999999</v>
      </c>
      <c r="GR171">
        <v>99.784099999999995</v>
      </c>
      <c r="GS171">
        <v>99.656499999999994</v>
      </c>
    </row>
    <row r="172" spans="1:201" x14ac:dyDescent="0.25">
      <c r="A172">
        <v>156</v>
      </c>
      <c r="B172">
        <v>1690305469.5999999</v>
      </c>
      <c r="C172">
        <v>1719.599999904633</v>
      </c>
      <c r="D172" t="s">
        <v>643</v>
      </c>
      <c r="E172" t="s">
        <v>644</v>
      </c>
      <c r="F172" t="s">
        <v>330</v>
      </c>
      <c r="H172">
        <v>1690305469.5999999</v>
      </c>
      <c r="I172">
        <f t="shared" si="60"/>
        <v>2.0533714125777203E-3</v>
      </c>
      <c r="J172">
        <f t="shared" si="61"/>
        <v>2.0533714125777203</v>
      </c>
      <c r="K172">
        <f t="shared" si="62"/>
        <v>30.124977876189138</v>
      </c>
      <c r="L172">
        <f t="shared" si="63"/>
        <v>458.53800000000001</v>
      </c>
      <c r="M172">
        <f t="shared" si="64"/>
        <v>129.65138555802122</v>
      </c>
      <c r="N172">
        <f t="shared" si="65"/>
        <v>12.8803867415767</v>
      </c>
      <c r="O172">
        <f t="shared" si="66"/>
        <v>45.554058294779999</v>
      </c>
      <c r="P172">
        <f t="shared" si="67"/>
        <v>0.1547255914282806</v>
      </c>
      <c r="Q172">
        <f t="shared" si="68"/>
        <v>2.0969567811373473</v>
      </c>
      <c r="R172">
        <f t="shared" si="69"/>
        <v>0.14865140654928691</v>
      </c>
      <c r="S172">
        <f t="shared" si="70"/>
        <v>9.3433001410136385E-2</v>
      </c>
      <c r="T172">
        <f t="shared" si="71"/>
        <v>276.11479560600003</v>
      </c>
      <c r="U172">
        <f t="shared" si="72"/>
        <v>26.903922461085582</v>
      </c>
      <c r="V172">
        <f t="shared" si="73"/>
        <v>26.903922461085582</v>
      </c>
      <c r="W172">
        <f t="shared" si="74"/>
        <v>3.5590126275414136</v>
      </c>
      <c r="X172">
        <f t="shared" si="75"/>
        <v>68.325481112054803</v>
      </c>
      <c r="Y172">
        <f t="shared" si="76"/>
        <v>2.2266687152919999</v>
      </c>
      <c r="Z172">
        <f t="shared" si="77"/>
        <v>3.2589140669792429</v>
      </c>
      <c r="AA172">
        <f t="shared" si="78"/>
        <v>1.3323439122494136</v>
      </c>
      <c r="AB172">
        <f t="shared" si="79"/>
        <v>-90.553679294677465</v>
      </c>
      <c r="AC172">
        <f t="shared" si="80"/>
        <v>-168.49394934195777</v>
      </c>
      <c r="AD172">
        <f t="shared" si="81"/>
        <v>-17.195455864971368</v>
      </c>
      <c r="AE172">
        <f t="shared" si="82"/>
        <v>-0.12828889560660173</v>
      </c>
      <c r="AF172">
        <v>8</v>
      </c>
      <c r="AG172">
        <v>3</v>
      </c>
      <c r="AH172">
        <f t="shared" si="83"/>
        <v>1</v>
      </c>
      <c r="AI172">
        <f t="shared" si="84"/>
        <v>0</v>
      </c>
      <c r="AJ172">
        <f t="shared" si="85"/>
        <v>52627.947135462236</v>
      </c>
      <c r="AK172">
        <f t="shared" si="86"/>
        <v>1800</v>
      </c>
      <c r="AL172">
        <f t="shared" si="87"/>
        <v>1499.1132906</v>
      </c>
      <c r="AM172">
        <f t="shared" si="88"/>
        <v>0.83284071700000006</v>
      </c>
      <c r="AN172">
        <f t="shared" si="89"/>
        <v>0.15339710867</v>
      </c>
      <c r="AO172">
        <v>33</v>
      </c>
      <c r="AP172">
        <v>0.5</v>
      </c>
      <c r="AQ172" t="s">
        <v>331</v>
      </c>
      <c r="AR172">
        <v>2</v>
      </c>
      <c r="AS172">
        <v>1690305469.5999999</v>
      </c>
      <c r="AT172">
        <v>458.53800000000001</v>
      </c>
      <c r="AU172">
        <v>800.00800000000004</v>
      </c>
      <c r="AV172">
        <v>22.4132</v>
      </c>
      <c r="AW172">
        <v>0.34927900000000001</v>
      </c>
      <c r="AX172">
        <v>458.53800000000001</v>
      </c>
      <c r="AY172">
        <v>22.141400000000001</v>
      </c>
      <c r="AZ172">
        <v>300.23</v>
      </c>
      <c r="BA172">
        <v>99.246300000000005</v>
      </c>
      <c r="BB172">
        <v>0.10001</v>
      </c>
      <c r="BC172">
        <v>25.413499999999999</v>
      </c>
      <c r="BD172">
        <v>26.992699999999999</v>
      </c>
      <c r="BE172">
        <v>26.5474</v>
      </c>
      <c r="BF172">
        <v>0</v>
      </c>
      <c r="BG172">
        <v>0</v>
      </c>
      <c r="BH172">
        <v>9974.3799999999992</v>
      </c>
      <c r="BI172">
        <v>1056.31</v>
      </c>
      <c r="BJ172">
        <v>1.56985</v>
      </c>
      <c r="BK172">
        <v>-341.47</v>
      </c>
      <c r="BL172">
        <v>469.05</v>
      </c>
      <c r="BM172">
        <v>800.28800000000001</v>
      </c>
      <c r="BN172">
        <v>22.064</v>
      </c>
      <c r="BO172">
        <v>800.00800000000004</v>
      </c>
      <c r="BP172">
        <v>0.34927900000000001</v>
      </c>
      <c r="BQ172">
        <v>2.2244299999999999</v>
      </c>
      <c r="BR172">
        <v>3.4664599999999997E-2</v>
      </c>
      <c r="BS172">
        <v>19.139399999999998</v>
      </c>
      <c r="BT172">
        <v>-33.985399999999998</v>
      </c>
      <c r="BU172">
        <v>1800</v>
      </c>
      <c r="BV172">
        <v>0.91001100000000001</v>
      </c>
      <c r="BW172">
        <v>3.3998800000000003E-2</v>
      </c>
      <c r="BX172">
        <v>2.1996600000000002E-2</v>
      </c>
      <c r="BY172">
        <v>3.3993700000000002E-2</v>
      </c>
      <c r="BZ172">
        <v>26</v>
      </c>
      <c r="CA172">
        <v>33528.400000000001</v>
      </c>
      <c r="CB172">
        <v>1690303320.5</v>
      </c>
      <c r="CC172" t="s">
        <v>332</v>
      </c>
      <c r="CD172">
        <v>1690303320.5</v>
      </c>
      <c r="CE172">
        <v>1690303310.0999999</v>
      </c>
      <c r="CF172">
        <v>8</v>
      </c>
      <c r="CG172">
        <v>7.3999999999999996E-2</v>
      </c>
      <c r="CH172">
        <v>-0.01</v>
      </c>
      <c r="CI172">
        <v>-0.24199999999999999</v>
      </c>
      <c r="CJ172">
        <v>0.27200000000000002</v>
      </c>
      <c r="CK172">
        <v>800</v>
      </c>
      <c r="CL172">
        <v>23</v>
      </c>
      <c r="CM172">
        <v>0.06</v>
      </c>
      <c r="CN172">
        <v>0.09</v>
      </c>
      <c r="CO172">
        <v>-339.70792499999999</v>
      </c>
      <c r="CP172">
        <v>-9.8589681050650881</v>
      </c>
      <c r="CQ172">
        <v>0.95384486127199597</v>
      </c>
      <c r="CR172">
        <v>-1</v>
      </c>
      <c r="CS172">
        <v>21.801649999999999</v>
      </c>
      <c r="CT172">
        <v>1.8755482176359859</v>
      </c>
      <c r="CU172">
        <v>0.18631552806999191</v>
      </c>
      <c r="CV172">
        <v>-1</v>
      </c>
      <c r="CW172">
        <v>0</v>
      </c>
      <c r="CX172">
        <v>0</v>
      </c>
      <c r="CY172" t="s">
        <v>333</v>
      </c>
      <c r="CZ172">
        <v>2.3649</v>
      </c>
      <c r="DA172">
        <v>2.7137799999999999</v>
      </c>
      <c r="DB172">
        <v>9.9330299999999996E-2</v>
      </c>
      <c r="DC172">
        <v>0.146232</v>
      </c>
      <c r="DD172">
        <v>0.10841099999999999</v>
      </c>
      <c r="DE172">
        <v>2.91158E-3</v>
      </c>
      <c r="DF172">
        <v>32901.300000000003</v>
      </c>
      <c r="DG172">
        <v>27536.799999999999</v>
      </c>
      <c r="DH172">
        <v>31185.4</v>
      </c>
      <c r="DI172">
        <v>28104.6</v>
      </c>
      <c r="DJ172">
        <v>37749.4</v>
      </c>
      <c r="DK172">
        <v>39860.1</v>
      </c>
      <c r="DL172">
        <v>44383.7</v>
      </c>
      <c r="DM172">
        <v>42602</v>
      </c>
      <c r="DN172">
        <v>1.4478</v>
      </c>
      <c r="DO172">
        <v>2.03105</v>
      </c>
      <c r="DP172">
        <v>0.15665599999999999</v>
      </c>
      <c r="DQ172">
        <v>0.13776099999999999</v>
      </c>
      <c r="DR172">
        <v>24.4253</v>
      </c>
      <c r="DS172">
        <v>24.288599999999999</v>
      </c>
      <c r="DT172">
        <v>34.4</v>
      </c>
      <c r="DU172">
        <v>29.2</v>
      </c>
      <c r="DV172">
        <v>14.1012</v>
      </c>
      <c r="DW172">
        <v>61.582999999999998</v>
      </c>
      <c r="DX172">
        <v>36.418300000000002</v>
      </c>
      <c r="DY172">
        <v>1</v>
      </c>
      <c r="DZ172">
        <v>-9.6476099999999995E-2</v>
      </c>
      <c r="EA172">
        <v>0.41924800000000001</v>
      </c>
      <c r="EB172">
        <v>20.189</v>
      </c>
      <c r="EC172">
        <v>5.2415500000000002</v>
      </c>
      <c r="ED172">
        <v>12.039899999999999</v>
      </c>
      <c r="EE172">
        <v>5.0169499999999996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1.8646199999999999</v>
      </c>
      <c r="EM172">
        <v>1.8692</v>
      </c>
      <c r="EN172">
        <v>1.86724</v>
      </c>
      <c r="EO172">
        <v>1.8633900000000001</v>
      </c>
      <c r="EP172">
        <v>1.8644700000000001</v>
      </c>
      <c r="EQ172">
        <v>1.8701700000000001</v>
      </c>
      <c r="ER172">
        <v>1.86941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0</v>
      </c>
      <c r="FG172">
        <v>0.27179999999999999</v>
      </c>
      <c r="FH172">
        <v>0.30965466913576151</v>
      </c>
      <c r="FI172">
        <v>-6.1462078757559423E-4</v>
      </c>
      <c r="FJ172">
        <v>-1.8861989874597051E-7</v>
      </c>
      <c r="FK172">
        <v>1.1980462299894961E-10</v>
      </c>
      <c r="FL172">
        <v>0.27184999999999349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35.799999999999997</v>
      </c>
      <c r="FU172">
        <v>36</v>
      </c>
      <c r="FV172">
        <v>1.7651399999999999</v>
      </c>
      <c r="FW172">
        <v>2.5964399999999999</v>
      </c>
      <c r="FX172">
        <v>1.5490699999999999</v>
      </c>
      <c r="FY172">
        <v>2.3303199999999999</v>
      </c>
      <c r="FZ172">
        <v>1.50146</v>
      </c>
      <c r="GA172">
        <v>2.2912599999999999</v>
      </c>
      <c r="GB172">
        <v>33.896099999999997</v>
      </c>
      <c r="GC172">
        <v>23.982399999999998</v>
      </c>
      <c r="GD172">
        <v>19</v>
      </c>
      <c r="GE172">
        <v>270.76900000000001</v>
      </c>
      <c r="GF172">
        <v>578.24300000000005</v>
      </c>
      <c r="GG172">
        <v>23.43</v>
      </c>
      <c r="GH172">
        <v>26.1493</v>
      </c>
      <c r="GI172">
        <v>30.0002</v>
      </c>
      <c r="GJ172">
        <v>26.3062</v>
      </c>
      <c r="GK172">
        <v>26.290700000000001</v>
      </c>
      <c r="GL172">
        <v>35.280900000000003</v>
      </c>
      <c r="GM172">
        <v>100</v>
      </c>
      <c r="GN172">
        <v>34.5852</v>
      </c>
      <c r="GO172">
        <v>23.434200000000001</v>
      </c>
      <c r="GP172">
        <v>800</v>
      </c>
      <c r="GQ172">
        <v>0.119396</v>
      </c>
      <c r="GR172">
        <v>99.785200000000003</v>
      </c>
      <c r="GS172">
        <v>99.656099999999995</v>
      </c>
    </row>
    <row r="173" spans="1:201" x14ac:dyDescent="0.25">
      <c r="A173">
        <v>157</v>
      </c>
      <c r="B173">
        <v>1690305479.5999999</v>
      </c>
      <c r="C173">
        <v>1729.599999904633</v>
      </c>
      <c r="D173" t="s">
        <v>645</v>
      </c>
      <c r="E173" t="s">
        <v>646</v>
      </c>
      <c r="F173" t="s">
        <v>330</v>
      </c>
      <c r="H173">
        <v>1690305479.5999999</v>
      </c>
      <c r="I173">
        <f t="shared" si="60"/>
        <v>2.0552704624827722E-3</v>
      </c>
      <c r="J173">
        <f t="shared" si="61"/>
        <v>2.0552704624827722</v>
      </c>
      <c r="K173">
        <f t="shared" si="62"/>
        <v>30.270269460143577</v>
      </c>
      <c r="L173">
        <f t="shared" si="63"/>
        <v>456.93900000000002</v>
      </c>
      <c r="M173">
        <f t="shared" si="64"/>
        <v>126.43264900669928</v>
      </c>
      <c r="N173">
        <f t="shared" si="65"/>
        <v>12.560190824091553</v>
      </c>
      <c r="O173">
        <f t="shared" si="66"/>
        <v>45.393662792475901</v>
      </c>
      <c r="P173">
        <f t="shared" si="67"/>
        <v>0.15466609885438123</v>
      </c>
      <c r="Q173">
        <f t="shared" si="68"/>
        <v>2.0990451895357856</v>
      </c>
      <c r="R173">
        <f t="shared" si="69"/>
        <v>0.14860226986219235</v>
      </c>
      <c r="S173">
        <f t="shared" si="70"/>
        <v>9.3401420658920903E-2</v>
      </c>
      <c r="T173">
        <f t="shared" si="71"/>
        <v>276.114696444</v>
      </c>
      <c r="U173">
        <f t="shared" si="72"/>
        <v>26.90370053067803</v>
      </c>
      <c r="V173">
        <f t="shared" si="73"/>
        <v>26.90370053067803</v>
      </c>
      <c r="W173">
        <f t="shared" si="74"/>
        <v>3.5589662044935806</v>
      </c>
      <c r="X173">
        <f t="shared" si="75"/>
        <v>68.266475311339292</v>
      </c>
      <c r="Y173">
        <f t="shared" si="76"/>
        <v>2.2249837846256995</v>
      </c>
      <c r="Z173">
        <f t="shared" si="77"/>
        <v>3.2592627266580467</v>
      </c>
      <c r="AA173">
        <f t="shared" si="78"/>
        <v>1.3339824198678811</v>
      </c>
      <c r="AB173">
        <f t="shared" si="79"/>
        <v>-90.637427395490249</v>
      </c>
      <c r="AC173">
        <f t="shared" si="80"/>
        <v>-168.43294723948662</v>
      </c>
      <c r="AD173">
        <f t="shared" si="81"/>
        <v>-17.172263826743954</v>
      </c>
      <c r="AE173">
        <f t="shared" si="82"/>
        <v>-0.12794201772084079</v>
      </c>
      <c r="AF173">
        <v>8</v>
      </c>
      <c r="AG173">
        <v>3</v>
      </c>
      <c r="AH173">
        <f t="shared" si="83"/>
        <v>1</v>
      </c>
      <c r="AI173">
        <f t="shared" si="84"/>
        <v>0</v>
      </c>
      <c r="AJ173">
        <f t="shared" si="85"/>
        <v>52720.747876878304</v>
      </c>
      <c r="AK173">
        <f t="shared" si="86"/>
        <v>1800</v>
      </c>
      <c r="AL173">
        <f t="shared" si="87"/>
        <v>1499.1138593999999</v>
      </c>
      <c r="AM173">
        <f t="shared" si="88"/>
        <v>0.8328410329999999</v>
      </c>
      <c r="AN173">
        <f t="shared" si="89"/>
        <v>0.15339705358</v>
      </c>
      <c r="AO173">
        <v>33</v>
      </c>
      <c r="AP173">
        <v>0.5</v>
      </c>
      <c r="AQ173" t="s">
        <v>331</v>
      </c>
      <c r="AR173">
        <v>2</v>
      </c>
      <c r="AS173">
        <v>1690305479.5999999</v>
      </c>
      <c r="AT173">
        <v>456.93900000000002</v>
      </c>
      <c r="AU173">
        <v>800.04</v>
      </c>
      <c r="AV173">
        <v>22.396999999999998</v>
      </c>
      <c r="AW173">
        <v>0.30840800000000002</v>
      </c>
      <c r="AX173">
        <v>456.93799999999999</v>
      </c>
      <c r="AY173">
        <v>22.1251</v>
      </c>
      <c r="AZ173">
        <v>300.17700000000002</v>
      </c>
      <c r="BA173">
        <v>99.242999999999995</v>
      </c>
      <c r="BB173">
        <v>9.9938100000000002E-2</v>
      </c>
      <c r="BC173">
        <v>25.415299999999998</v>
      </c>
      <c r="BD173">
        <v>26.9726</v>
      </c>
      <c r="BE173">
        <v>26.544899999999998</v>
      </c>
      <c r="BF173">
        <v>0</v>
      </c>
      <c r="BG173">
        <v>0</v>
      </c>
      <c r="BH173">
        <v>9993.1200000000008</v>
      </c>
      <c r="BI173">
        <v>1056.4000000000001</v>
      </c>
      <c r="BJ173">
        <v>1.5530299999999999</v>
      </c>
      <c r="BK173">
        <v>-343.101</v>
      </c>
      <c r="BL173">
        <v>467.40800000000002</v>
      </c>
      <c r="BM173">
        <v>800.28700000000003</v>
      </c>
      <c r="BN173">
        <v>22.0886</v>
      </c>
      <c r="BO173">
        <v>800.04</v>
      </c>
      <c r="BP173">
        <v>0.30840800000000002</v>
      </c>
      <c r="BQ173">
        <v>2.2227399999999999</v>
      </c>
      <c r="BR173">
        <v>3.06074E-2</v>
      </c>
      <c r="BS173">
        <v>19.127199999999998</v>
      </c>
      <c r="BT173">
        <v>-35.242199999999997</v>
      </c>
      <c r="BU173">
        <v>1800</v>
      </c>
      <c r="BV173">
        <v>0.91001399999999999</v>
      </c>
      <c r="BW173">
        <v>3.3997699999999999E-2</v>
      </c>
      <c r="BX173">
        <v>2.1995899999999999E-2</v>
      </c>
      <c r="BY173">
        <v>3.3992599999999998E-2</v>
      </c>
      <c r="BZ173">
        <v>26</v>
      </c>
      <c r="CA173">
        <v>33528.5</v>
      </c>
      <c r="CB173">
        <v>1690303320.5</v>
      </c>
      <c r="CC173" t="s">
        <v>332</v>
      </c>
      <c r="CD173">
        <v>1690303320.5</v>
      </c>
      <c r="CE173">
        <v>1690303310.0999999</v>
      </c>
      <c r="CF173">
        <v>8</v>
      </c>
      <c r="CG173">
        <v>7.3999999999999996E-2</v>
      </c>
      <c r="CH173">
        <v>-0.01</v>
      </c>
      <c r="CI173">
        <v>-0.24199999999999999</v>
      </c>
      <c r="CJ173">
        <v>0.27200000000000002</v>
      </c>
      <c r="CK173">
        <v>800</v>
      </c>
      <c r="CL173">
        <v>23</v>
      </c>
      <c r="CM173">
        <v>0.06</v>
      </c>
      <c r="CN173">
        <v>0.09</v>
      </c>
      <c r="CO173">
        <v>-341.25787804878053</v>
      </c>
      <c r="CP173">
        <v>-9.9794425087115801</v>
      </c>
      <c r="CQ173">
        <v>0.98945242790096422</v>
      </c>
      <c r="CR173">
        <v>-1</v>
      </c>
      <c r="CS173">
        <v>22.0081512195122</v>
      </c>
      <c r="CT173">
        <v>0.87665226480842595</v>
      </c>
      <c r="CU173">
        <v>0.1051408141075373</v>
      </c>
      <c r="CV173">
        <v>-1</v>
      </c>
      <c r="CW173">
        <v>0</v>
      </c>
      <c r="CX173">
        <v>0</v>
      </c>
      <c r="CY173" t="s">
        <v>333</v>
      </c>
      <c r="CZ173">
        <v>2.3647300000000002</v>
      </c>
      <c r="DA173">
        <v>2.7137199999999999</v>
      </c>
      <c r="DB173">
        <v>9.9069599999999994E-2</v>
      </c>
      <c r="DC173">
        <v>0.146231</v>
      </c>
      <c r="DD173">
        <v>0.108352</v>
      </c>
      <c r="DE173">
        <v>2.57712E-3</v>
      </c>
      <c r="DF173">
        <v>32910.6</v>
      </c>
      <c r="DG173">
        <v>27536.7</v>
      </c>
      <c r="DH173">
        <v>31185.200000000001</v>
      </c>
      <c r="DI173">
        <v>28104.5</v>
      </c>
      <c r="DJ173">
        <v>37751.599999999999</v>
      </c>
      <c r="DK173">
        <v>39873.300000000003</v>
      </c>
      <c r="DL173">
        <v>44383.4</v>
      </c>
      <c r="DM173">
        <v>42601.9</v>
      </c>
      <c r="DN173">
        <v>1.44743</v>
      </c>
      <c r="DO173">
        <v>2.0310000000000001</v>
      </c>
      <c r="DP173">
        <v>0.155024</v>
      </c>
      <c r="DQ173">
        <v>0.13714999999999999</v>
      </c>
      <c r="DR173">
        <v>24.431999999999999</v>
      </c>
      <c r="DS173">
        <v>24.296099999999999</v>
      </c>
      <c r="DT173">
        <v>33.9</v>
      </c>
      <c r="DU173">
        <v>29.2</v>
      </c>
      <c r="DV173">
        <v>13.8962</v>
      </c>
      <c r="DW173">
        <v>61.753</v>
      </c>
      <c r="DX173">
        <v>36.346200000000003</v>
      </c>
      <c r="DY173">
        <v>1</v>
      </c>
      <c r="DZ173">
        <v>-9.6651399999999998E-2</v>
      </c>
      <c r="EA173">
        <v>0.44229600000000002</v>
      </c>
      <c r="EB173">
        <v>20.189</v>
      </c>
      <c r="EC173">
        <v>5.2408000000000001</v>
      </c>
      <c r="ED173">
        <v>12.039899999999999</v>
      </c>
      <c r="EE173">
        <v>5.0168499999999998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1.86463</v>
      </c>
      <c r="EM173">
        <v>1.8692</v>
      </c>
      <c r="EN173">
        <v>1.8672299999999999</v>
      </c>
      <c r="EO173">
        <v>1.8633999999999999</v>
      </c>
      <c r="EP173">
        <v>1.8644700000000001</v>
      </c>
      <c r="EQ173">
        <v>1.87018</v>
      </c>
      <c r="ER173">
        <v>1.8694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1E-3</v>
      </c>
      <c r="FG173">
        <v>0.27189999999999998</v>
      </c>
      <c r="FH173">
        <v>0.30965466913576151</v>
      </c>
      <c r="FI173">
        <v>-6.1462078757559423E-4</v>
      </c>
      <c r="FJ173">
        <v>-1.8861989874597051E-7</v>
      </c>
      <c r="FK173">
        <v>1.1980462299894961E-10</v>
      </c>
      <c r="FL173">
        <v>0.27184999999999349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36</v>
      </c>
      <c r="FU173">
        <v>36.200000000000003</v>
      </c>
      <c r="FV173">
        <v>1.7639199999999999</v>
      </c>
      <c r="FW173">
        <v>2.5854499999999998</v>
      </c>
      <c r="FX173">
        <v>1.5490699999999999</v>
      </c>
      <c r="FY173">
        <v>2.3303199999999999</v>
      </c>
      <c r="FZ173">
        <v>1.50146</v>
      </c>
      <c r="GA173">
        <v>2.34131</v>
      </c>
      <c r="GB173">
        <v>33.896099999999997</v>
      </c>
      <c r="GC173">
        <v>23.991199999999999</v>
      </c>
      <c r="GD173">
        <v>19</v>
      </c>
      <c r="GE173">
        <v>270.60500000000002</v>
      </c>
      <c r="GF173">
        <v>578.202</v>
      </c>
      <c r="GG173">
        <v>23.436399999999999</v>
      </c>
      <c r="GH173">
        <v>26.1493</v>
      </c>
      <c r="GI173">
        <v>30.0001</v>
      </c>
      <c r="GJ173">
        <v>26.303999999999998</v>
      </c>
      <c r="GK173">
        <v>26.290700000000001</v>
      </c>
      <c r="GL173">
        <v>35.277900000000002</v>
      </c>
      <c r="GM173">
        <v>100</v>
      </c>
      <c r="GN173">
        <v>33.808399999999999</v>
      </c>
      <c r="GO173">
        <v>23.432400000000001</v>
      </c>
      <c r="GP173">
        <v>800</v>
      </c>
      <c r="GQ173">
        <v>0</v>
      </c>
      <c r="GR173">
        <v>99.784599999999998</v>
      </c>
      <c r="GS173">
        <v>99.655699999999996</v>
      </c>
    </row>
    <row r="174" spans="1:201" x14ac:dyDescent="0.25">
      <c r="A174">
        <v>158</v>
      </c>
      <c r="B174">
        <v>1690305489.5999999</v>
      </c>
      <c r="C174">
        <v>1739.599999904633</v>
      </c>
      <c r="D174" t="s">
        <v>647</v>
      </c>
      <c r="E174" t="s">
        <v>648</v>
      </c>
      <c r="F174" t="s">
        <v>330</v>
      </c>
      <c r="H174">
        <v>1690305489.5999999</v>
      </c>
      <c r="I174">
        <f t="shared" si="60"/>
        <v>2.0583861285706304E-3</v>
      </c>
      <c r="J174">
        <f t="shared" si="61"/>
        <v>2.0583861285706306</v>
      </c>
      <c r="K174">
        <f t="shared" si="62"/>
        <v>30.417622739885402</v>
      </c>
      <c r="L174">
        <f t="shared" si="63"/>
        <v>455.22</v>
      </c>
      <c r="M174">
        <f t="shared" si="64"/>
        <v>123.98062830163377</v>
      </c>
      <c r="N174">
        <f t="shared" si="65"/>
        <v>12.316858246199629</v>
      </c>
      <c r="O174">
        <f t="shared" si="66"/>
        <v>45.223840914840004</v>
      </c>
      <c r="P174">
        <f t="shared" si="67"/>
        <v>0.1550459399357636</v>
      </c>
      <c r="Q174">
        <f t="shared" si="68"/>
        <v>2.1032410714472496</v>
      </c>
      <c r="R174">
        <f t="shared" si="69"/>
        <v>0.14896456384257398</v>
      </c>
      <c r="S174">
        <f t="shared" si="70"/>
        <v>9.3629364922249977E-2</v>
      </c>
      <c r="T174">
        <f t="shared" si="71"/>
        <v>276.11470557000007</v>
      </c>
      <c r="U174">
        <f t="shared" si="72"/>
        <v>26.906194443034572</v>
      </c>
      <c r="V174">
        <f t="shared" si="73"/>
        <v>26.906194443034572</v>
      </c>
      <c r="W174">
        <f t="shared" si="74"/>
        <v>3.5594879075003054</v>
      </c>
      <c r="X174">
        <f t="shared" si="75"/>
        <v>68.294149166197499</v>
      </c>
      <c r="Y174">
        <f t="shared" si="76"/>
        <v>2.226719323108</v>
      </c>
      <c r="Z174">
        <f t="shared" si="77"/>
        <v>3.2604832921911928</v>
      </c>
      <c r="AA174">
        <f t="shared" si="78"/>
        <v>1.3327685843923054</v>
      </c>
      <c r="AB174">
        <f t="shared" si="79"/>
        <v>-90.7748282699648</v>
      </c>
      <c r="AC174">
        <f t="shared" si="80"/>
        <v>-168.33806389914491</v>
      </c>
      <c r="AD174">
        <f t="shared" si="81"/>
        <v>-17.129106201408884</v>
      </c>
      <c r="AE174">
        <f t="shared" si="82"/>
        <v>-0.1272928005185463</v>
      </c>
      <c r="AF174">
        <v>8</v>
      </c>
      <c r="AG174">
        <v>3</v>
      </c>
      <c r="AH174">
        <f t="shared" si="83"/>
        <v>1</v>
      </c>
      <c r="AI174">
        <f t="shared" si="84"/>
        <v>0</v>
      </c>
      <c r="AJ174">
        <f t="shared" si="85"/>
        <v>52907.244419341303</v>
      </c>
      <c r="AK174">
        <f t="shared" si="86"/>
        <v>1800</v>
      </c>
      <c r="AL174">
        <f t="shared" si="87"/>
        <v>1499.114556</v>
      </c>
      <c r="AM174">
        <f t="shared" si="88"/>
        <v>0.83284141999999994</v>
      </c>
      <c r="AN174">
        <f t="shared" si="89"/>
        <v>0.15339705865000003</v>
      </c>
      <c r="AO174">
        <v>33</v>
      </c>
      <c r="AP174">
        <v>0.5</v>
      </c>
      <c r="AQ174" t="s">
        <v>331</v>
      </c>
      <c r="AR174">
        <v>2</v>
      </c>
      <c r="AS174">
        <v>1690305489.5999999</v>
      </c>
      <c r="AT174">
        <v>455.22</v>
      </c>
      <c r="AU174">
        <v>799.98199999999997</v>
      </c>
      <c r="AV174">
        <v>22.414000000000001</v>
      </c>
      <c r="AW174">
        <v>0.28817999999999999</v>
      </c>
      <c r="AX174">
        <v>455.21800000000002</v>
      </c>
      <c r="AY174">
        <v>22.142099999999999</v>
      </c>
      <c r="AZ174">
        <v>300.12099999999998</v>
      </c>
      <c r="BA174">
        <v>99.245000000000005</v>
      </c>
      <c r="BB174">
        <v>0.100022</v>
      </c>
      <c r="BC174">
        <v>25.421600000000002</v>
      </c>
      <c r="BD174">
        <v>26.977499999999999</v>
      </c>
      <c r="BE174">
        <v>26.5519</v>
      </c>
      <c r="BF174">
        <v>0</v>
      </c>
      <c r="BG174">
        <v>0</v>
      </c>
      <c r="BH174">
        <v>10030</v>
      </c>
      <c r="BI174">
        <v>1056.5999999999999</v>
      </c>
      <c r="BJ174">
        <v>1.53901</v>
      </c>
      <c r="BK174">
        <v>-344.762</v>
      </c>
      <c r="BL174">
        <v>465.65699999999998</v>
      </c>
      <c r="BM174">
        <v>800.21299999999997</v>
      </c>
      <c r="BN174">
        <v>22.125800000000002</v>
      </c>
      <c r="BO174">
        <v>799.98199999999997</v>
      </c>
      <c r="BP174">
        <v>0.28817999999999999</v>
      </c>
      <c r="BQ174">
        <v>2.2244700000000002</v>
      </c>
      <c r="BR174">
        <v>2.8600400000000002E-2</v>
      </c>
      <c r="BS174">
        <v>19.139700000000001</v>
      </c>
      <c r="BT174">
        <v>-35.9206</v>
      </c>
      <c r="BU174">
        <v>1800</v>
      </c>
      <c r="BV174">
        <v>0.91001600000000005</v>
      </c>
      <c r="BW174">
        <v>3.3997100000000002E-2</v>
      </c>
      <c r="BX174">
        <v>2.1995500000000001E-2</v>
      </c>
      <c r="BY174">
        <v>3.3991899999999999E-2</v>
      </c>
      <c r="BZ174">
        <v>26</v>
      </c>
      <c r="CA174">
        <v>33528.400000000001</v>
      </c>
      <c r="CB174">
        <v>1690303320.5</v>
      </c>
      <c r="CC174" t="s">
        <v>332</v>
      </c>
      <c r="CD174">
        <v>1690303320.5</v>
      </c>
      <c r="CE174">
        <v>1690303310.0999999</v>
      </c>
      <c r="CF174">
        <v>8</v>
      </c>
      <c r="CG174">
        <v>7.3999999999999996E-2</v>
      </c>
      <c r="CH174">
        <v>-0.01</v>
      </c>
      <c r="CI174">
        <v>-0.24199999999999999</v>
      </c>
      <c r="CJ174">
        <v>0.27200000000000002</v>
      </c>
      <c r="CK174">
        <v>800</v>
      </c>
      <c r="CL174">
        <v>23</v>
      </c>
      <c r="CM174">
        <v>0.06</v>
      </c>
      <c r="CN174">
        <v>0.09</v>
      </c>
      <c r="CO174">
        <v>-342.94612195121942</v>
      </c>
      <c r="CP174">
        <v>-10.239616724739079</v>
      </c>
      <c r="CQ174">
        <v>1.011120489192302</v>
      </c>
      <c r="CR174">
        <v>-1</v>
      </c>
      <c r="CS174">
        <v>22.087892682926832</v>
      </c>
      <c r="CT174">
        <v>0.17124250871081181</v>
      </c>
      <c r="CU174">
        <v>1.699979038958167E-2</v>
      </c>
      <c r="CV174">
        <v>-1</v>
      </c>
      <c r="CW174">
        <v>0</v>
      </c>
      <c r="CX174">
        <v>0</v>
      </c>
      <c r="CY174" t="s">
        <v>333</v>
      </c>
      <c r="CZ174">
        <v>2.3645499999999999</v>
      </c>
      <c r="DA174">
        <v>2.7138399999999998</v>
      </c>
      <c r="DB174">
        <v>9.8793900000000004E-2</v>
      </c>
      <c r="DC174">
        <v>0.14622599999999999</v>
      </c>
      <c r="DD174">
        <v>0.108413</v>
      </c>
      <c r="DE174">
        <v>2.41107E-3</v>
      </c>
      <c r="DF174">
        <v>32920.800000000003</v>
      </c>
      <c r="DG174">
        <v>27537.1</v>
      </c>
      <c r="DH174">
        <v>31185.3</v>
      </c>
      <c r="DI174">
        <v>28104.7</v>
      </c>
      <c r="DJ174">
        <v>37749.1</v>
      </c>
      <c r="DK174">
        <v>39880</v>
      </c>
      <c r="DL174">
        <v>44383.6</v>
      </c>
      <c r="DM174">
        <v>42601.9</v>
      </c>
      <c r="DN174">
        <v>1.4477800000000001</v>
      </c>
      <c r="DO174">
        <v>2.0308700000000002</v>
      </c>
      <c r="DP174">
        <v>0.15498000000000001</v>
      </c>
      <c r="DQ174">
        <v>0.13720199999999999</v>
      </c>
      <c r="DR174">
        <v>24.4376</v>
      </c>
      <c r="DS174">
        <v>24.302299999999999</v>
      </c>
      <c r="DT174">
        <v>33.5</v>
      </c>
      <c r="DU174">
        <v>29.2</v>
      </c>
      <c r="DV174">
        <v>13.734</v>
      </c>
      <c r="DW174">
        <v>61.503</v>
      </c>
      <c r="DX174">
        <v>36.762799999999999</v>
      </c>
      <c r="DY174">
        <v>1</v>
      </c>
      <c r="DZ174">
        <v>-9.6740300000000001E-2</v>
      </c>
      <c r="EA174">
        <v>0.38858900000000002</v>
      </c>
      <c r="EB174">
        <v>20.189299999999999</v>
      </c>
      <c r="EC174">
        <v>5.2409499999999998</v>
      </c>
      <c r="ED174">
        <v>12.039899999999999</v>
      </c>
      <c r="EE174">
        <v>5.0168999999999997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1.8689100000000001</v>
      </c>
      <c r="EL174">
        <v>1.8646199999999999</v>
      </c>
      <c r="EM174">
        <v>1.86921</v>
      </c>
      <c r="EN174">
        <v>1.8672500000000001</v>
      </c>
      <c r="EO174">
        <v>1.8633999999999999</v>
      </c>
      <c r="EP174">
        <v>1.8644700000000001</v>
      </c>
      <c r="EQ174">
        <v>1.87018</v>
      </c>
      <c r="ER174">
        <v>1.8694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2E-3</v>
      </c>
      <c r="FG174">
        <v>0.27189999999999998</v>
      </c>
      <c r="FH174">
        <v>0.30965466913576151</v>
      </c>
      <c r="FI174">
        <v>-6.1462078757559423E-4</v>
      </c>
      <c r="FJ174">
        <v>-1.8861989874597051E-7</v>
      </c>
      <c r="FK174">
        <v>1.1980462299894961E-10</v>
      </c>
      <c r="FL174">
        <v>0.27184999999999349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36.200000000000003</v>
      </c>
      <c r="FU174">
        <v>36.299999999999997</v>
      </c>
      <c r="FV174">
        <v>1.7639199999999999</v>
      </c>
      <c r="FW174">
        <v>2.5854499999999998</v>
      </c>
      <c r="FX174">
        <v>1.5490699999999999</v>
      </c>
      <c r="FY174">
        <v>2.3303199999999999</v>
      </c>
      <c r="FZ174">
        <v>1.50146</v>
      </c>
      <c r="GA174">
        <v>2.35107</v>
      </c>
      <c r="GB174">
        <v>33.896099999999997</v>
      </c>
      <c r="GC174">
        <v>23.991199999999999</v>
      </c>
      <c r="GD174">
        <v>19</v>
      </c>
      <c r="GE174">
        <v>270.74900000000002</v>
      </c>
      <c r="GF174">
        <v>578.1</v>
      </c>
      <c r="GG174">
        <v>23.4376</v>
      </c>
      <c r="GH174">
        <v>26.151499999999999</v>
      </c>
      <c r="GI174">
        <v>30.0001</v>
      </c>
      <c r="GJ174">
        <v>26.303999999999998</v>
      </c>
      <c r="GK174">
        <v>26.290700000000001</v>
      </c>
      <c r="GL174">
        <v>35.278799999999997</v>
      </c>
      <c r="GM174">
        <v>100</v>
      </c>
      <c r="GN174">
        <v>32.985999999999997</v>
      </c>
      <c r="GO174">
        <v>23.446000000000002</v>
      </c>
      <c r="GP174">
        <v>800</v>
      </c>
      <c r="GQ174">
        <v>0</v>
      </c>
      <c r="GR174">
        <v>99.784899999999993</v>
      </c>
      <c r="GS174">
        <v>99.656099999999995</v>
      </c>
    </row>
    <row r="175" spans="1:201" x14ac:dyDescent="0.25">
      <c r="A175">
        <v>159</v>
      </c>
      <c r="B175">
        <v>1690305499.5999999</v>
      </c>
      <c r="C175">
        <v>1749.599999904633</v>
      </c>
      <c r="D175" t="s">
        <v>649</v>
      </c>
      <c r="E175" t="s">
        <v>650</v>
      </c>
      <c r="F175" t="s">
        <v>330</v>
      </c>
      <c r="H175">
        <v>1690305499.5999999</v>
      </c>
      <c r="I175">
        <f t="shared" si="60"/>
        <v>2.0622478220707042E-3</v>
      </c>
      <c r="J175">
        <f t="shared" si="61"/>
        <v>2.0622478220707041</v>
      </c>
      <c r="K175">
        <f t="shared" si="62"/>
        <v>30.559963201912215</v>
      </c>
      <c r="L175">
        <f t="shared" si="63"/>
        <v>453.779</v>
      </c>
      <c r="M175">
        <f t="shared" si="64"/>
        <v>121.93999420273302</v>
      </c>
      <c r="N175">
        <f t="shared" si="65"/>
        <v>12.11417542708829</v>
      </c>
      <c r="O175">
        <f t="shared" si="66"/>
        <v>45.080848552356997</v>
      </c>
      <c r="P175">
        <f t="shared" si="67"/>
        <v>0.15548658163949988</v>
      </c>
      <c r="Q175">
        <f t="shared" si="68"/>
        <v>2.1000662425507652</v>
      </c>
      <c r="R175">
        <f t="shared" si="69"/>
        <v>0.14936246963554281</v>
      </c>
      <c r="S175">
        <f t="shared" si="70"/>
        <v>9.3881672373092848E-2</v>
      </c>
      <c r="T175">
        <f t="shared" si="71"/>
        <v>276.11449923600003</v>
      </c>
      <c r="U175">
        <f t="shared" si="72"/>
        <v>26.913555804317372</v>
      </c>
      <c r="V175">
        <f t="shared" si="73"/>
        <v>26.913555804317372</v>
      </c>
      <c r="W175">
        <f t="shared" si="74"/>
        <v>3.5610282244220306</v>
      </c>
      <c r="X175">
        <f t="shared" si="75"/>
        <v>68.347312610647734</v>
      </c>
      <c r="Y175">
        <f t="shared" si="76"/>
        <v>2.2293401981349001</v>
      </c>
      <c r="Z175">
        <f t="shared" si="77"/>
        <v>3.2617817921162771</v>
      </c>
      <c r="AA175">
        <f t="shared" si="78"/>
        <v>1.3316880262871305</v>
      </c>
      <c r="AB175">
        <f t="shared" si="79"/>
        <v>-90.945128953318047</v>
      </c>
      <c r="AC175">
        <f t="shared" si="80"/>
        <v>-168.15883718406738</v>
      </c>
      <c r="AD175">
        <f t="shared" si="81"/>
        <v>-17.137945237483112</v>
      </c>
      <c r="AE175">
        <f t="shared" si="82"/>
        <v>-0.12741213886849323</v>
      </c>
      <c r="AF175">
        <v>8</v>
      </c>
      <c r="AG175">
        <v>3</v>
      </c>
      <c r="AH175">
        <f t="shared" si="83"/>
        <v>1</v>
      </c>
      <c r="AI175">
        <f t="shared" si="84"/>
        <v>0</v>
      </c>
      <c r="AJ175">
        <f t="shared" si="85"/>
        <v>52764.101561939642</v>
      </c>
      <c r="AK175">
        <f t="shared" si="86"/>
        <v>1800</v>
      </c>
      <c r="AL175">
        <f t="shared" si="87"/>
        <v>1499.1140105999998</v>
      </c>
      <c r="AM175">
        <f t="shared" si="88"/>
        <v>0.83284111699999985</v>
      </c>
      <c r="AN175">
        <f t="shared" si="89"/>
        <v>0.15339694402000001</v>
      </c>
      <c r="AO175">
        <v>33</v>
      </c>
      <c r="AP175">
        <v>0.5</v>
      </c>
      <c r="AQ175" t="s">
        <v>331</v>
      </c>
      <c r="AR175">
        <v>2</v>
      </c>
      <c r="AS175">
        <v>1690305499.5999999</v>
      </c>
      <c r="AT175">
        <v>453.779</v>
      </c>
      <c r="AU175">
        <v>800.05700000000002</v>
      </c>
      <c r="AV175">
        <v>22.440300000000001</v>
      </c>
      <c r="AW175">
        <v>0.27585599999999999</v>
      </c>
      <c r="AX175">
        <v>453.77600000000001</v>
      </c>
      <c r="AY175">
        <v>22.168500000000002</v>
      </c>
      <c r="AZ175">
        <v>300.15199999999999</v>
      </c>
      <c r="BA175">
        <v>99.2453</v>
      </c>
      <c r="BB175">
        <v>0.10008300000000001</v>
      </c>
      <c r="BC175">
        <v>25.4283</v>
      </c>
      <c r="BD175">
        <v>27.016100000000002</v>
      </c>
      <c r="BE175">
        <v>26.557500000000001</v>
      </c>
      <c r="BF175">
        <v>0</v>
      </c>
      <c r="BG175">
        <v>0</v>
      </c>
      <c r="BH175">
        <v>10001.9</v>
      </c>
      <c r="BI175">
        <v>1056.8</v>
      </c>
      <c r="BJ175">
        <v>1.5278</v>
      </c>
      <c r="BK175">
        <v>-346.27800000000002</v>
      </c>
      <c r="BL175">
        <v>464.19600000000003</v>
      </c>
      <c r="BM175">
        <v>800.27700000000004</v>
      </c>
      <c r="BN175">
        <v>22.1645</v>
      </c>
      <c r="BO175">
        <v>800.05700000000002</v>
      </c>
      <c r="BP175">
        <v>0.27585599999999999</v>
      </c>
      <c r="BQ175">
        <v>2.2271000000000001</v>
      </c>
      <c r="BR175">
        <v>2.73774E-2</v>
      </c>
      <c r="BS175">
        <v>19.1586</v>
      </c>
      <c r="BT175">
        <v>-36.355400000000003</v>
      </c>
      <c r="BU175">
        <v>1800</v>
      </c>
      <c r="BV175">
        <v>0.91001699999999996</v>
      </c>
      <c r="BW175">
        <v>3.3996499999999999E-2</v>
      </c>
      <c r="BX175">
        <v>2.19951E-2</v>
      </c>
      <c r="BY175">
        <v>3.3991399999999998E-2</v>
      </c>
      <c r="BZ175">
        <v>26</v>
      </c>
      <c r="CA175">
        <v>33528.5</v>
      </c>
      <c r="CB175">
        <v>1690303320.5</v>
      </c>
      <c r="CC175" t="s">
        <v>332</v>
      </c>
      <c r="CD175">
        <v>1690303320.5</v>
      </c>
      <c r="CE175">
        <v>1690303310.0999999</v>
      </c>
      <c r="CF175">
        <v>8</v>
      </c>
      <c r="CG175">
        <v>7.3999999999999996E-2</v>
      </c>
      <c r="CH175">
        <v>-0.01</v>
      </c>
      <c r="CI175">
        <v>-0.24199999999999999</v>
      </c>
      <c r="CJ175">
        <v>0.27200000000000002</v>
      </c>
      <c r="CK175">
        <v>800</v>
      </c>
      <c r="CL175">
        <v>23</v>
      </c>
      <c r="CM175">
        <v>0.06</v>
      </c>
      <c r="CN175">
        <v>0.09</v>
      </c>
      <c r="CO175">
        <v>-344.57124390243911</v>
      </c>
      <c r="CP175">
        <v>-9.4214843205580934</v>
      </c>
      <c r="CQ175">
        <v>0.93129219905666427</v>
      </c>
      <c r="CR175">
        <v>-1</v>
      </c>
      <c r="CS175">
        <v>22.121404878048789</v>
      </c>
      <c r="CT175">
        <v>0.23006550522649361</v>
      </c>
      <c r="CU175">
        <v>2.2732655690464391E-2</v>
      </c>
      <c r="CV175">
        <v>-1</v>
      </c>
      <c r="CW175">
        <v>0</v>
      </c>
      <c r="CX175">
        <v>0</v>
      </c>
      <c r="CY175" t="s">
        <v>333</v>
      </c>
      <c r="CZ175">
        <v>2.3646500000000001</v>
      </c>
      <c r="DA175">
        <v>2.7138800000000001</v>
      </c>
      <c r="DB175">
        <v>9.8561099999999999E-2</v>
      </c>
      <c r="DC175">
        <v>0.146236</v>
      </c>
      <c r="DD175">
        <v>0.108505</v>
      </c>
      <c r="DE175">
        <v>2.3096900000000001E-3</v>
      </c>
      <c r="DF175">
        <v>32929.199999999997</v>
      </c>
      <c r="DG175">
        <v>27536.799999999999</v>
      </c>
      <c r="DH175">
        <v>31185.200000000001</v>
      </c>
      <c r="DI175">
        <v>28104.7</v>
      </c>
      <c r="DJ175">
        <v>37745.1</v>
      </c>
      <c r="DK175">
        <v>39884.1</v>
      </c>
      <c r="DL175">
        <v>44383.5</v>
      </c>
      <c r="DM175">
        <v>42602</v>
      </c>
      <c r="DN175">
        <v>1.44845</v>
      </c>
      <c r="DO175">
        <v>2.0305200000000001</v>
      </c>
      <c r="DP175">
        <v>0.15692400000000001</v>
      </c>
      <c r="DQ175">
        <v>0.13720199999999999</v>
      </c>
      <c r="DR175">
        <v>24.444400000000002</v>
      </c>
      <c r="DS175">
        <v>24.3079</v>
      </c>
      <c r="DT175">
        <v>33.1</v>
      </c>
      <c r="DU175">
        <v>29.2</v>
      </c>
      <c r="DV175">
        <v>13.569599999999999</v>
      </c>
      <c r="DW175">
        <v>61.313000000000002</v>
      </c>
      <c r="DX175">
        <v>36.826900000000002</v>
      </c>
      <c r="DY175">
        <v>1</v>
      </c>
      <c r="DZ175">
        <v>-9.65752E-2</v>
      </c>
      <c r="EA175">
        <v>0.36315399999999998</v>
      </c>
      <c r="EB175">
        <v>20.189299999999999</v>
      </c>
      <c r="EC175">
        <v>5.24125</v>
      </c>
      <c r="ED175">
        <v>12.039899999999999</v>
      </c>
      <c r="EE175">
        <v>5.0169499999999996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1.86463</v>
      </c>
      <c r="EM175">
        <v>1.8692</v>
      </c>
      <c r="EN175">
        <v>1.8672500000000001</v>
      </c>
      <c r="EO175">
        <v>1.8633999999999999</v>
      </c>
      <c r="EP175">
        <v>1.8644700000000001</v>
      </c>
      <c r="EQ175">
        <v>1.87019</v>
      </c>
      <c r="ER175">
        <v>1.86941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3.0000000000000001E-3</v>
      </c>
      <c r="FG175">
        <v>0.27179999999999999</v>
      </c>
      <c r="FH175">
        <v>0.30965466913576151</v>
      </c>
      <c r="FI175">
        <v>-6.1462078757559423E-4</v>
      </c>
      <c r="FJ175">
        <v>-1.8861989874597051E-7</v>
      </c>
      <c r="FK175">
        <v>1.1980462299894961E-10</v>
      </c>
      <c r="FL175">
        <v>0.27184999999999349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36.299999999999997</v>
      </c>
      <c r="FU175">
        <v>36.5</v>
      </c>
      <c r="FV175">
        <v>1.7639199999999999</v>
      </c>
      <c r="FW175">
        <v>2.5891099999999998</v>
      </c>
      <c r="FX175">
        <v>1.5490699999999999</v>
      </c>
      <c r="FY175">
        <v>2.3303199999999999</v>
      </c>
      <c r="FZ175">
        <v>1.50146</v>
      </c>
      <c r="GA175">
        <v>2.4072300000000002</v>
      </c>
      <c r="GB175">
        <v>33.896099999999997</v>
      </c>
      <c r="GC175">
        <v>23.982399999999998</v>
      </c>
      <c r="GD175">
        <v>19</v>
      </c>
      <c r="GE175">
        <v>271.02800000000002</v>
      </c>
      <c r="GF175">
        <v>577.81299999999999</v>
      </c>
      <c r="GG175">
        <v>23.4665</v>
      </c>
      <c r="GH175">
        <v>26.151499999999999</v>
      </c>
      <c r="GI175">
        <v>30.0001</v>
      </c>
      <c r="GJ175">
        <v>26.303999999999998</v>
      </c>
      <c r="GK175">
        <v>26.290700000000001</v>
      </c>
      <c r="GL175">
        <v>35.2759</v>
      </c>
      <c r="GM175">
        <v>100</v>
      </c>
      <c r="GN175">
        <v>32.186199999999999</v>
      </c>
      <c r="GO175">
        <v>23.468699999999998</v>
      </c>
      <c r="GP175">
        <v>800</v>
      </c>
      <c r="GQ175">
        <v>0</v>
      </c>
      <c r="GR175">
        <v>99.784599999999998</v>
      </c>
      <c r="GS175">
        <v>99.656300000000002</v>
      </c>
    </row>
    <row r="176" spans="1:201" x14ac:dyDescent="0.25">
      <c r="A176">
        <v>160</v>
      </c>
      <c r="B176">
        <v>1690305509.5999999</v>
      </c>
      <c r="C176">
        <v>1759.599999904633</v>
      </c>
      <c r="D176" t="s">
        <v>651</v>
      </c>
      <c r="E176" t="s">
        <v>652</v>
      </c>
      <c r="F176" t="s">
        <v>330</v>
      </c>
      <c r="H176">
        <v>1690305509.5999999</v>
      </c>
      <c r="I176">
        <f t="shared" si="60"/>
        <v>2.0667820957597956E-3</v>
      </c>
      <c r="J176">
        <f t="shared" si="61"/>
        <v>2.0667820957597955</v>
      </c>
      <c r="K176">
        <f t="shared" si="62"/>
        <v>30.676619678651345</v>
      </c>
      <c r="L176">
        <f t="shared" si="63"/>
        <v>452.36599999999999</v>
      </c>
      <c r="M176">
        <f t="shared" si="64"/>
        <v>120.78697188693043</v>
      </c>
      <c r="N176">
        <f t="shared" si="65"/>
        <v>11.999439314267248</v>
      </c>
      <c r="O176">
        <f t="shared" si="66"/>
        <v>44.939766930485995</v>
      </c>
      <c r="P176">
        <f t="shared" si="67"/>
        <v>0.15621017480687899</v>
      </c>
      <c r="Q176">
        <f t="shared" si="68"/>
        <v>2.0996209373870824</v>
      </c>
      <c r="R176">
        <f t="shared" si="69"/>
        <v>0.1500288935062831</v>
      </c>
      <c r="S176">
        <f t="shared" si="70"/>
        <v>9.430304144025134E-2</v>
      </c>
      <c r="T176">
        <f t="shared" si="71"/>
        <v>276.11300274235168</v>
      </c>
      <c r="U176">
        <f t="shared" si="72"/>
        <v>26.919415778572205</v>
      </c>
      <c r="V176">
        <f t="shared" si="73"/>
        <v>26.919415778572205</v>
      </c>
      <c r="W176">
        <f t="shared" si="74"/>
        <v>3.5622548018134661</v>
      </c>
      <c r="X176">
        <f t="shared" si="75"/>
        <v>68.449432083772592</v>
      </c>
      <c r="Y176">
        <f t="shared" si="76"/>
        <v>2.2336266025997999</v>
      </c>
      <c r="Z176">
        <f t="shared" si="77"/>
        <v>3.2631776986347405</v>
      </c>
      <c r="AA176">
        <f t="shared" si="78"/>
        <v>1.3286281992136662</v>
      </c>
      <c r="AB176">
        <f t="shared" si="79"/>
        <v>-91.145090423006991</v>
      </c>
      <c r="AC176">
        <f t="shared" si="80"/>
        <v>-167.97149631635483</v>
      </c>
      <c r="AD176">
        <f t="shared" si="81"/>
        <v>-17.123604084701267</v>
      </c>
      <c r="AE176">
        <f t="shared" si="82"/>
        <v>-0.12718808171138107</v>
      </c>
      <c r="AF176">
        <v>8</v>
      </c>
      <c r="AG176">
        <v>3</v>
      </c>
      <c r="AH176">
        <f t="shared" si="83"/>
        <v>1</v>
      </c>
      <c r="AI176">
        <f t="shared" si="84"/>
        <v>0</v>
      </c>
      <c r="AJ176">
        <f t="shared" si="85"/>
        <v>52742.905734520318</v>
      </c>
      <c r="AK176">
        <f t="shared" si="86"/>
        <v>1799.99</v>
      </c>
      <c r="AL176">
        <f t="shared" si="87"/>
        <v>1499.1065137842099</v>
      </c>
      <c r="AM176">
        <f t="shared" si="88"/>
        <v>0.832841579</v>
      </c>
      <c r="AN176">
        <f t="shared" si="89"/>
        <v>0.15339696484000004</v>
      </c>
      <c r="AO176">
        <v>33</v>
      </c>
      <c r="AP176">
        <v>0.5</v>
      </c>
      <c r="AQ176" t="s">
        <v>331</v>
      </c>
      <c r="AR176">
        <v>2</v>
      </c>
      <c r="AS176">
        <v>1690305509.5999999</v>
      </c>
      <c r="AT176">
        <v>452.36599999999999</v>
      </c>
      <c r="AU176">
        <v>799.99699999999996</v>
      </c>
      <c r="AV176">
        <v>22.483799999999999</v>
      </c>
      <c r="AW176">
        <v>0.26650400000000002</v>
      </c>
      <c r="AX176">
        <v>452.36200000000002</v>
      </c>
      <c r="AY176">
        <v>22.2119</v>
      </c>
      <c r="AZ176">
        <v>300.08300000000003</v>
      </c>
      <c r="BA176">
        <v>99.243799999999993</v>
      </c>
      <c r="BB176">
        <v>0.100021</v>
      </c>
      <c r="BC176">
        <v>25.435500000000001</v>
      </c>
      <c r="BD176">
        <v>26.992999999999999</v>
      </c>
      <c r="BE176">
        <v>26.5657</v>
      </c>
      <c r="BF176">
        <v>0</v>
      </c>
      <c r="BG176">
        <v>0</v>
      </c>
      <c r="BH176">
        <v>9998.1200000000008</v>
      </c>
      <c r="BI176">
        <v>1057</v>
      </c>
      <c r="BJ176">
        <v>1.5137799999999999</v>
      </c>
      <c r="BK176">
        <v>-347.63099999999997</v>
      </c>
      <c r="BL176">
        <v>462.77100000000002</v>
      </c>
      <c r="BM176">
        <v>800.21</v>
      </c>
      <c r="BN176">
        <v>22.217300000000002</v>
      </c>
      <c r="BO176">
        <v>799.99699999999996</v>
      </c>
      <c r="BP176">
        <v>0.26650400000000002</v>
      </c>
      <c r="BQ176">
        <v>2.2313700000000001</v>
      </c>
      <c r="BR176">
        <v>2.6448900000000001E-2</v>
      </c>
      <c r="BS176">
        <v>19.189399999999999</v>
      </c>
      <c r="BT176">
        <v>-36.697299999999998</v>
      </c>
      <c r="BU176">
        <v>1799.99</v>
      </c>
      <c r="BV176">
        <v>0.91001900000000002</v>
      </c>
      <c r="BW176">
        <v>3.3995900000000003E-2</v>
      </c>
      <c r="BX176">
        <v>2.1994699999999999E-2</v>
      </c>
      <c r="BY176">
        <v>3.3990800000000002E-2</v>
      </c>
      <c r="BZ176">
        <v>26</v>
      </c>
      <c r="CA176">
        <v>33528.400000000001</v>
      </c>
      <c r="CB176">
        <v>1690303320.5</v>
      </c>
      <c r="CC176" t="s">
        <v>332</v>
      </c>
      <c r="CD176">
        <v>1690303320.5</v>
      </c>
      <c r="CE176">
        <v>1690303310.0999999</v>
      </c>
      <c r="CF176">
        <v>8</v>
      </c>
      <c r="CG176">
        <v>7.3999999999999996E-2</v>
      </c>
      <c r="CH176">
        <v>-0.01</v>
      </c>
      <c r="CI176">
        <v>-0.24199999999999999</v>
      </c>
      <c r="CJ176">
        <v>0.27200000000000002</v>
      </c>
      <c r="CK176">
        <v>800</v>
      </c>
      <c r="CL176">
        <v>23</v>
      </c>
      <c r="CM176">
        <v>0.06</v>
      </c>
      <c r="CN176">
        <v>0.09</v>
      </c>
      <c r="CO176">
        <v>-346.10214634146342</v>
      </c>
      <c r="CP176">
        <v>-8.7555261324050555</v>
      </c>
      <c r="CQ176">
        <v>0.86475392131971884</v>
      </c>
      <c r="CR176">
        <v>-1</v>
      </c>
      <c r="CS176">
        <v>22.16412195121951</v>
      </c>
      <c r="CT176">
        <v>0.27222020905925842</v>
      </c>
      <c r="CU176">
        <v>2.6979780253631101E-2</v>
      </c>
      <c r="CV176">
        <v>-1</v>
      </c>
      <c r="CW176">
        <v>0</v>
      </c>
      <c r="CX176">
        <v>0</v>
      </c>
      <c r="CY176" t="s">
        <v>333</v>
      </c>
      <c r="CZ176">
        <v>2.36443</v>
      </c>
      <c r="DA176">
        <v>2.7138100000000001</v>
      </c>
      <c r="DB176">
        <v>9.8331000000000002E-2</v>
      </c>
      <c r="DC176">
        <v>0.14622599999999999</v>
      </c>
      <c r="DD176">
        <v>0.108653</v>
      </c>
      <c r="DE176">
        <v>2.2326199999999998E-3</v>
      </c>
      <c r="DF176">
        <v>32937.699999999997</v>
      </c>
      <c r="DG176">
        <v>27537.1</v>
      </c>
      <c r="DH176">
        <v>31185.3</v>
      </c>
      <c r="DI176">
        <v>28104.7</v>
      </c>
      <c r="DJ176">
        <v>37738.9</v>
      </c>
      <c r="DK176">
        <v>39887</v>
      </c>
      <c r="DL176">
        <v>44383.7</v>
      </c>
      <c r="DM176">
        <v>42601.7</v>
      </c>
      <c r="DN176">
        <v>1.4477500000000001</v>
      </c>
      <c r="DO176">
        <v>2.0304000000000002</v>
      </c>
      <c r="DP176">
        <v>0.155136</v>
      </c>
      <c r="DQ176">
        <v>0.13739599999999999</v>
      </c>
      <c r="DR176">
        <v>24.450600000000001</v>
      </c>
      <c r="DS176">
        <v>24.312999999999999</v>
      </c>
      <c r="DT176">
        <v>32.700000000000003</v>
      </c>
      <c r="DU176">
        <v>29.3</v>
      </c>
      <c r="DV176">
        <v>13.4819</v>
      </c>
      <c r="DW176">
        <v>61.243000000000002</v>
      </c>
      <c r="DX176">
        <v>37.027200000000001</v>
      </c>
      <c r="DY176">
        <v>1</v>
      </c>
      <c r="DZ176">
        <v>-9.6651399999999998E-2</v>
      </c>
      <c r="EA176">
        <v>0.42996699999999999</v>
      </c>
      <c r="EB176">
        <v>20.1889</v>
      </c>
      <c r="EC176">
        <v>5.2411000000000003</v>
      </c>
      <c r="ED176">
        <v>12.039899999999999</v>
      </c>
      <c r="EE176">
        <v>5.0166500000000003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1.8689100000000001</v>
      </c>
      <c r="EL176">
        <v>1.8646400000000001</v>
      </c>
      <c r="EM176">
        <v>1.8692</v>
      </c>
      <c r="EN176">
        <v>1.8672599999999999</v>
      </c>
      <c r="EO176">
        <v>1.8633999999999999</v>
      </c>
      <c r="EP176">
        <v>1.8644700000000001</v>
      </c>
      <c r="EQ176">
        <v>1.87018</v>
      </c>
      <c r="ER176">
        <v>1.86938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4.0000000000000001E-3</v>
      </c>
      <c r="FG176">
        <v>0.27189999999999998</v>
      </c>
      <c r="FH176">
        <v>0.30965466913576151</v>
      </c>
      <c r="FI176">
        <v>-6.1462078757559423E-4</v>
      </c>
      <c r="FJ176">
        <v>-1.8861989874597051E-7</v>
      </c>
      <c r="FK176">
        <v>1.1980462299894961E-10</v>
      </c>
      <c r="FL176">
        <v>0.27184999999999349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36.5</v>
      </c>
      <c r="FU176">
        <v>36.700000000000003</v>
      </c>
      <c r="FV176">
        <v>1.7639199999999999</v>
      </c>
      <c r="FW176">
        <v>2.5842299999999998</v>
      </c>
      <c r="FX176">
        <v>1.5490699999999999</v>
      </c>
      <c r="FY176">
        <v>2.3303199999999999</v>
      </c>
      <c r="FZ176">
        <v>1.50146</v>
      </c>
      <c r="GA176">
        <v>2.3962400000000001</v>
      </c>
      <c r="GB176">
        <v>33.896099999999997</v>
      </c>
      <c r="GC176">
        <v>23.991199999999999</v>
      </c>
      <c r="GD176">
        <v>19</v>
      </c>
      <c r="GE176">
        <v>270.73899999999998</v>
      </c>
      <c r="GF176">
        <v>577.71</v>
      </c>
      <c r="GG176">
        <v>23.456199999999999</v>
      </c>
      <c r="GH176">
        <v>26.151499999999999</v>
      </c>
      <c r="GI176">
        <v>30.0001</v>
      </c>
      <c r="GJ176">
        <v>26.303999999999998</v>
      </c>
      <c r="GK176">
        <v>26.290700000000001</v>
      </c>
      <c r="GL176">
        <v>35.273099999999999</v>
      </c>
      <c r="GM176">
        <v>100</v>
      </c>
      <c r="GN176">
        <v>31.386099999999999</v>
      </c>
      <c r="GO176">
        <v>23.456800000000001</v>
      </c>
      <c r="GP176">
        <v>800</v>
      </c>
      <c r="GQ176">
        <v>0</v>
      </c>
      <c r="GR176">
        <v>99.784999999999997</v>
      </c>
      <c r="GS176">
        <v>99.655799999999999</v>
      </c>
    </row>
    <row r="177" spans="1:201" x14ac:dyDescent="0.25">
      <c r="A177">
        <v>161</v>
      </c>
      <c r="B177">
        <v>1690305519.5999999</v>
      </c>
      <c r="C177">
        <v>1769.599999904633</v>
      </c>
      <c r="D177" t="s">
        <v>653</v>
      </c>
      <c r="E177" t="s">
        <v>654</v>
      </c>
      <c r="F177" t="s">
        <v>330</v>
      </c>
      <c r="H177">
        <v>1690305519.5999999</v>
      </c>
      <c r="I177">
        <f t="shared" si="60"/>
        <v>2.0718918530276144E-3</v>
      </c>
      <c r="J177">
        <f t="shared" si="61"/>
        <v>2.0718918530276142</v>
      </c>
      <c r="K177">
        <f t="shared" si="62"/>
        <v>30.804990234798804</v>
      </c>
      <c r="L177">
        <f t="shared" si="63"/>
        <v>450.95600000000002</v>
      </c>
      <c r="M177">
        <f t="shared" si="64"/>
        <v>119.65324428282187</v>
      </c>
      <c r="N177">
        <f t="shared" si="65"/>
        <v>11.886720562688852</v>
      </c>
      <c r="O177">
        <f t="shared" si="66"/>
        <v>44.799353249441999</v>
      </c>
      <c r="P177">
        <f t="shared" si="67"/>
        <v>0.1570078590951286</v>
      </c>
      <c r="Q177">
        <f t="shared" si="68"/>
        <v>2.097983767917575</v>
      </c>
      <c r="R177">
        <f t="shared" si="69"/>
        <v>0.15075998068956559</v>
      </c>
      <c r="S177">
        <f t="shared" si="70"/>
        <v>9.4765618502269583E-2</v>
      </c>
      <c r="T177">
        <f t="shared" si="71"/>
        <v>276.11425494000002</v>
      </c>
      <c r="U177">
        <f t="shared" si="72"/>
        <v>26.925758509756804</v>
      </c>
      <c r="V177">
        <f t="shared" si="73"/>
        <v>26.925758509756804</v>
      </c>
      <c r="W177">
        <f t="shared" si="74"/>
        <v>3.5635828428425516</v>
      </c>
      <c r="X177">
        <f t="shared" si="75"/>
        <v>68.56002344185984</v>
      </c>
      <c r="Y177">
        <f t="shared" si="76"/>
        <v>2.2381794872211005</v>
      </c>
      <c r="Z177">
        <f t="shared" si="77"/>
        <v>3.2645547286300416</v>
      </c>
      <c r="AA177">
        <f t="shared" si="78"/>
        <v>1.3254033556214511</v>
      </c>
      <c r="AB177">
        <f t="shared" si="79"/>
        <v>-91.370430718517795</v>
      </c>
      <c r="AC177">
        <f t="shared" si="80"/>
        <v>-167.75486931267704</v>
      </c>
      <c r="AD177">
        <f t="shared" si="81"/>
        <v>-17.116019031841709</v>
      </c>
      <c r="AE177">
        <f t="shared" si="82"/>
        <v>-0.12706412303651859</v>
      </c>
      <c r="AF177">
        <v>8</v>
      </c>
      <c r="AG177">
        <v>3</v>
      </c>
      <c r="AH177">
        <f t="shared" si="83"/>
        <v>1</v>
      </c>
      <c r="AI177">
        <f t="shared" si="84"/>
        <v>0</v>
      </c>
      <c r="AJ177">
        <f t="shared" si="85"/>
        <v>52668.555106942324</v>
      </c>
      <c r="AK177">
        <f t="shared" si="86"/>
        <v>1800</v>
      </c>
      <c r="AL177">
        <f t="shared" si="87"/>
        <v>1499.113611</v>
      </c>
      <c r="AM177">
        <f t="shared" si="88"/>
        <v>0.83284089500000003</v>
      </c>
      <c r="AN177">
        <f t="shared" si="89"/>
        <v>0.15339680830000002</v>
      </c>
      <c r="AO177">
        <v>33</v>
      </c>
      <c r="AP177">
        <v>0.5</v>
      </c>
      <c r="AQ177" t="s">
        <v>331</v>
      </c>
      <c r="AR177">
        <v>2</v>
      </c>
      <c r="AS177">
        <v>1690305519.5999999</v>
      </c>
      <c r="AT177">
        <v>450.95600000000002</v>
      </c>
      <c r="AU177">
        <v>799.98500000000001</v>
      </c>
      <c r="AV177">
        <v>22.529800000000002</v>
      </c>
      <c r="AW177">
        <v>0.25906899999999999</v>
      </c>
      <c r="AX177">
        <v>450.95</v>
      </c>
      <c r="AY177">
        <v>22.257999999999999</v>
      </c>
      <c r="AZ177">
        <v>300.089</v>
      </c>
      <c r="BA177">
        <v>99.243099999999998</v>
      </c>
      <c r="BB177">
        <v>9.9969500000000003E-2</v>
      </c>
      <c r="BC177">
        <v>25.442599999999999</v>
      </c>
      <c r="BD177">
        <v>27.010899999999999</v>
      </c>
      <c r="BE177">
        <v>26.5749</v>
      </c>
      <c r="BF177">
        <v>0</v>
      </c>
      <c r="BG177">
        <v>0</v>
      </c>
      <c r="BH177">
        <v>9983.75</v>
      </c>
      <c r="BI177">
        <v>1057.22</v>
      </c>
      <c r="BJ177">
        <v>1.5137799999999999</v>
      </c>
      <c r="BK177">
        <v>-349.029</v>
      </c>
      <c r="BL177">
        <v>461.35</v>
      </c>
      <c r="BM177">
        <v>800.19200000000001</v>
      </c>
      <c r="BN177">
        <v>22.270700000000001</v>
      </c>
      <c r="BO177">
        <v>799.98500000000001</v>
      </c>
      <c r="BP177">
        <v>0.25906899999999999</v>
      </c>
      <c r="BQ177">
        <v>2.2359300000000002</v>
      </c>
      <c r="BR177">
        <v>2.5710799999999999E-2</v>
      </c>
      <c r="BS177">
        <v>19.222100000000001</v>
      </c>
      <c r="BT177">
        <v>-36.976999999999997</v>
      </c>
      <c r="BU177">
        <v>1800</v>
      </c>
      <c r="BV177">
        <v>0.91001900000000002</v>
      </c>
      <c r="BW177">
        <v>3.3995600000000001E-2</v>
      </c>
      <c r="BX177">
        <v>2.19945E-2</v>
      </c>
      <c r="BY177">
        <v>3.3990399999999997E-2</v>
      </c>
      <c r="BZ177">
        <v>26</v>
      </c>
      <c r="CA177">
        <v>33528.5</v>
      </c>
      <c r="CB177">
        <v>1690303320.5</v>
      </c>
      <c r="CC177" t="s">
        <v>332</v>
      </c>
      <c r="CD177">
        <v>1690303320.5</v>
      </c>
      <c r="CE177">
        <v>1690303310.0999999</v>
      </c>
      <c r="CF177">
        <v>8</v>
      </c>
      <c r="CG177">
        <v>7.3999999999999996E-2</v>
      </c>
      <c r="CH177">
        <v>-0.01</v>
      </c>
      <c r="CI177">
        <v>-0.24199999999999999</v>
      </c>
      <c r="CJ177">
        <v>0.27200000000000002</v>
      </c>
      <c r="CK177">
        <v>800</v>
      </c>
      <c r="CL177">
        <v>23</v>
      </c>
      <c r="CM177">
        <v>0.06</v>
      </c>
      <c r="CN177">
        <v>0.09</v>
      </c>
      <c r="CO177">
        <v>-347.55039024390243</v>
      </c>
      <c r="CP177">
        <v>-8.4522857142861589</v>
      </c>
      <c r="CQ177">
        <v>0.83514087837567252</v>
      </c>
      <c r="CR177">
        <v>-1</v>
      </c>
      <c r="CS177">
        <v>22.21299512195122</v>
      </c>
      <c r="CT177">
        <v>0.31572961672474281</v>
      </c>
      <c r="CU177">
        <v>3.1157796277778892E-2</v>
      </c>
      <c r="CV177">
        <v>-1</v>
      </c>
      <c r="CW177">
        <v>0</v>
      </c>
      <c r="CX177">
        <v>0</v>
      </c>
      <c r="CY177" t="s">
        <v>333</v>
      </c>
      <c r="CZ177">
        <v>2.3644500000000002</v>
      </c>
      <c r="DA177">
        <v>2.7137500000000001</v>
      </c>
      <c r="DB177">
        <v>9.81017E-2</v>
      </c>
      <c r="DC177">
        <v>0.14622299999999999</v>
      </c>
      <c r="DD177">
        <v>0.108811</v>
      </c>
      <c r="DE177">
        <v>2.1713000000000001E-3</v>
      </c>
      <c r="DF177">
        <v>32946.199999999997</v>
      </c>
      <c r="DG177">
        <v>27537.3</v>
      </c>
      <c r="DH177">
        <v>31185.4</v>
      </c>
      <c r="DI177">
        <v>28104.799999999999</v>
      </c>
      <c r="DJ177">
        <v>37732.1</v>
      </c>
      <c r="DK177">
        <v>39889.699999999997</v>
      </c>
      <c r="DL177">
        <v>44383.7</v>
      </c>
      <c r="DM177">
        <v>42602</v>
      </c>
      <c r="DN177">
        <v>1.44797</v>
      </c>
      <c r="DO177">
        <v>2.0300500000000001</v>
      </c>
      <c r="DP177">
        <v>0.15579899999999999</v>
      </c>
      <c r="DQ177">
        <v>0.137679</v>
      </c>
      <c r="DR177">
        <v>24.457699999999999</v>
      </c>
      <c r="DS177">
        <v>24.317599999999999</v>
      </c>
      <c r="DT177">
        <v>32.4</v>
      </c>
      <c r="DU177">
        <v>29.2</v>
      </c>
      <c r="DV177">
        <v>13.283899999999999</v>
      </c>
      <c r="DW177">
        <v>61.533000000000001</v>
      </c>
      <c r="DX177">
        <v>37.267600000000002</v>
      </c>
      <c r="DY177">
        <v>1</v>
      </c>
      <c r="DZ177">
        <v>-9.6275399999999997E-2</v>
      </c>
      <c r="EA177">
        <v>0.43038100000000001</v>
      </c>
      <c r="EB177">
        <v>20.188800000000001</v>
      </c>
      <c r="EC177">
        <v>5.2413999999999996</v>
      </c>
      <c r="ED177">
        <v>12.039899999999999</v>
      </c>
      <c r="EE177">
        <v>5.0168499999999998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1.8689100000000001</v>
      </c>
      <c r="EL177">
        <v>1.8646400000000001</v>
      </c>
      <c r="EM177">
        <v>1.8692</v>
      </c>
      <c r="EN177">
        <v>1.8672599999999999</v>
      </c>
      <c r="EO177">
        <v>1.8633999999999999</v>
      </c>
      <c r="EP177">
        <v>1.8644700000000001</v>
      </c>
      <c r="EQ177">
        <v>1.87016</v>
      </c>
      <c r="ER177">
        <v>1.86938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6.0000000000000001E-3</v>
      </c>
      <c r="FG177">
        <v>0.27179999999999999</v>
      </c>
      <c r="FH177">
        <v>0.30965466913576151</v>
      </c>
      <c r="FI177">
        <v>-6.1462078757559423E-4</v>
      </c>
      <c r="FJ177">
        <v>-1.8861989874597051E-7</v>
      </c>
      <c r="FK177">
        <v>1.1980462299894961E-10</v>
      </c>
      <c r="FL177">
        <v>0.27184999999999349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36.700000000000003</v>
      </c>
      <c r="FU177">
        <v>36.799999999999997</v>
      </c>
      <c r="FV177">
        <v>1.7639199999999999</v>
      </c>
      <c r="FW177">
        <v>2.5854499999999998</v>
      </c>
      <c r="FX177">
        <v>1.5490699999999999</v>
      </c>
      <c r="FY177">
        <v>2.3303199999999999</v>
      </c>
      <c r="FZ177">
        <v>1.50146</v>
      </c>
      <c r="GA177">
        <v>2.3974600000000001</v>
      </c>
      <c r="GB177">
        <v>33.896099999999997</v>
      </c>
      <c r="GC177">
        <v>23.982399999999998</v>
      </c>
      <c r="GD177">
        <v>19</v>
      </c>
      <c r="GE177">
        <v>270.83199999999999</v>
      </c>
      <c r="GF177">
        <v>577.42399999999998</v>
      </c>
      <c r="GG177">
        <v>23.458500000000001</v>
      </c>
      <c r="GH177">
        <v>26.151499999999999</v>
      </c>
      <c r="GI177">
        <v>30</v>
      </c>
      <c r="GJ177">
        <v>26.303999999999998</v>
      </c>
      <c r="GK177">
        <v>26.290700000000001</v>
      </c>
      <c r="GL177">
        <v>35.2712</v>
      </c>
      <c r="GM177">
        <v>100</v>
      </c>
      <c r="GN177">
        <v>30.581199999999999</v>
      </c>
      <c r="GO177">
        <v>23.4575</v>
      </c>
      <c r="GP177">
        <v>800</v>
      </c>
      <c r="GQ177">
        <v>0</v>
      </c>
      <c r="GR177">
        <v>99.7851</v>
      </c>
      <c r="GS177">
        <v>99.656300000000002</v>
      </c>
    </row>
    <row r="178" spans="1:201" x14ac:dyDescent="0.25">
      <c r="A178">
        <v>162</v>
      </c>
      <c r="B178">
        <v>1690305529.5999999</v>
      </c>
      <c r="C178">
        <v>1779.599999904633</v>
      </c>
      <c r="D178" t="s">
        <v>655</v>
      </c>
      <c r="E178" t="s">
        <v>656</v>
      </c>
      <c r="F178" t="s">
        <v>330</v>
      </c>
      <c r="H178">
        <v>1690305529.5999999</v>
      </c>
      <c r="I178">
        <f t="shared" si="60"/>
        <v>2.077411081068565E-3</v>
      </c>
      <c r="J178">
        <f t="shared" si="61"/>
        <v>2.0774110810685649</v>
      </c>
      <c r="K178">
        <f t="shared" si="62"/>
        <v>30.932617275744015</v>
      </c>
      <c r="L178">
        <f t="shared" si="63"/>
        <v>449.65100000000001</v>
      </c>
      <c r="M178">
        <f t="shared" si="64"/>
        <v>118.95671750402462</v>
      </c>
      <c r="N178">
        <f t="shared" si="65"/>
        <v>11.817507313594765</v>
      </c>
      <c r="O178">
        <f t="shared" si="66"/>
        <v>44.669641971967003</v>
      </c>
      <c r="P178">
        <f t="shared" si="67"/>
        <v>0.15795999283271012</v>
      </c>
      <c r="Q178">
        <f t="shared" si="68"/>
        <v>2.100457822152066</v>
      </c>
      <c r="R178">
        <f t="shared" si="69"/>
        <v>0.15164487465219545</v>
      </c>
      <c r="S178">
        <f t="shared" si="70"/>
        <v>9.5324397580685838E-2</v>
      </c>
      <c r="T178">
        <f t="shared" si="71"/>
        <v>276.11275844770881</v>
      </c>
      <c r="U178">
        <f t="shared" si="72"/>
        <v>26.928299737509171</v>
      </c>
      <c r="V178">
        <f t="shared" si="73"/>
        <v>26.928299737509171</v>
      </c>
      <c r="W178">
        <f t="shared" si="74"/>
        <v>3.5641150463580145</v>
      </c>
      <c r="X178">
        <f t="shared" si="75"/>
        <v>68.681999776098351</v>
      </c>
      <c r="Y178">
        <f t="shared" si="76"/>
        <v>2.2429743143176997</v>
      </c>
      <c r="Z178">
        <f t="shared" si="77"/>
        <v>3.2657382161697992</v>
      </c>
      <c r="AA178">
        <f t="shared" si="78"/>
        <v>1.3211407320403148</v>
      </c>
      <c r="AB178">
        <f t="shared" si="79"/>
        <v>-91.613828675123713</v>
      </c>
      <c r="AC178">
        <f t="shared" si="80"/>
        <v>-167.54969984236251</v>
      </c>
      <c r="AD178">
        <f t="shared" si="81"/>
        <v>-17.075689171882679</v>
      </c>
      <c r="AE178">
        <f t="shared" si="82"/>
        <v>-0.12645924166011469</v>
      </c>
      <c r="AF178">
        <v>8</v>
      </c>
      <c r="AG178">
        <v>3</v>
      </c>
      <c r="AH178">
        <f t="shared" si="83"/>
        <v>1</v>
      </c>
      <c r="AI178">
        <f t="shared" si="84"/>
        <v>0</v>
      </c>
      <c r="AJ178">
        <f t="shared" si="85"/>
        <v>52777.936650397904</v>
      </c>
      <c r="AK178">
        <f t="shared" si="86"/>
        <v>1799.99</v>
      </c>
      <c r="AL178">
        <f t="shared" si="87"/>
        <v>1499.10611418643</v>
      </c>
      <c r="AM178">
        <f t="shared" si="88"/>
        <v>0.83284135699999995</v>
      </c>
      <c r="AN178">
        <f t="shared" si="89"/>
        <v>0.15339682912000002</v>
      </c>
      <c r="AO178">
        <v>33</v>
      </c>
      <c r="AP178">
        <v>0.5</v>
      </c>
      <c r="AQ178" t="s">
        <v>331</v>
      </c>
      <c r="AR178">
        <v>2</v>
      </c>
      <c r="AS178">
        <v>1690305529.5999999</v>
      </c>
      <c r="AT178">
        <v>449.65100000000001</v>
      </c>
      <c r="AU178">
        <v>800.03200000000004</v>
      </c>
      <c r="AV178">
        <v>22.578099999999999</v>
      </c>
      <c r="AW178">
        <v>0.25227100000000002</v>
      </c>
      <c r="AX178">
        <v>449.64499999999998</v>
      </c>
      <c r="AY178">
        <v>22.3062</v>
      </c>
      <c r="AZ178">
        <v>300.13099999999997</v>
      </c>
      <c r="BA178">
        <v>99.242900000000006</v>
      </c>
      <c r="BB178">
        <v>0.10001699999999999</v>
      </c>
      <c r="BC178">
        <v>25.448699999999999</v>
      </c>
      <c r="BD178">
        <v>26.975300000000001</v>
      </c>
      <c r="BE178">
        <v>26.555099999999999</v>
      </c>
      <c r="BF178">
        <v>0</v>
      </c>
      <c r="BG178">
        <v>0</v>
      </c>
      <c r="BH178">
        <v>10005.6</v>
      </c>
      <c r="BI178">
        <v>1057.25</v>
      </c>
      <c r="BJ178">
        <v>1.5165900000000001</v>
      </c>
      <c r="BK178">
        <v>-350.38099999999997</v>
      </c>
      <c r="BL178">
        <v>460.03800000000001</v>
      </c>
      <c r="BM178">
        <v>800.23400000000004</v>
      </c>
      <c r="BN178">
        <v>22.325800000000001</v>
      </c>
      <c r="BO178">
        <v>800.03200000000004</v>
      </c>
      <c r="BP178">
        <v>0.25227100000000002</v>
      </c>
      <c r="BQ178">
        <v>2.24071</v>
      </c>
      <c r="BR178">
        <v>2.5036099999999999E-2</v>
      </c>
      <c r="BS178">
        <v>19.256399999999999</v>
      </c>
      <c r="BT178">
        <v>-37.238999999999997</v>
      </c>
      <c r="BU178">
        <v>1799.99</v>
      </c>
      <c r="BV178">
        <v>0.91002099999999997</v>
      </c>
      <c r="BW178">
        <v>3.3994999999999997E-2</v>
      </c>
      <c r="BX178">
        <v>2.1994099999999999E-2</v>
      </c>
      <c r="BY178">
        <v>3.3989800000000001E-2</v>
      </c>
      <c r="BZ178">
        <v>26</v>
      </c>
      <c r="CA178">
        <v>33528.400000000001</v>
      </c>
      <c r="CB178">
        <v>1690303320.5</v>
      </c>
      <c r="CC178" t="s">
        <v>332</v>
      </c>
      <c r="CD178">
        <v>1690303320.5</v>
      </c>
      <c r="CE178">
        <v>1690303310.0999999</v>
      </c>
      <c r="CF178">
        <v>8</v>
      </c>
      <c r="CG178">
        <v>7.3999999999999996E-2</v>
      </c>
      <c r="CH178">
        <v>-0.01</v>
      </c>
      <c r="CI178">
        <v>-0.24199999999999999</v>
      </c>
      <c r="CJ178">
        <v>0.27200000000000002</v>
      </c>
      <c r="CK178">
        <v>800</v>
      </c>
      <c r="CL178">
        <v>23</v>
      </c>
      <c r="CM178">
        <v>0.06</v>
      </c>
      <c r="CN178">
        <v>0.09</v>
      </c>
      <c r="CO178">
        <v>-348.86</v>
      </c>
      <c r="CP178">
        <v>-7.8091857410872816</v>
      </c>
      <c r="CQ178">
        <v>0.75369705452522862</v>
      </c>
      <c r="CR178">
        <v>-1</v>
      </c>
      <c r="CS178">
        <v>22.26407</v>
      </c>
      <c r="CT178">
        <v>0.31783789868665369</v>
      </c>
      <c r="CU178">
        <v>3.05914955502339E-2</v>
      </c>
      <c r="CV178">
        <v>-1</v>
      </c>
      <c r="CW178">
        <v>0</v>
      </c>
      <c r="CX178">
        <v>0</v>
      </c>
      <c r="CY178" t="s">
        <v>333</v>
      </c>
      <c r="CZ178">
        <v>2.3646099999999999</v>
      </c>
      <c r="DA178">
        <v>2.7138100000000001</v>
      </c>
      <c r="DB178">
        <v>9.7889799999999999E-2</v>
      </c>
      <c r="DC178">
        <v>0.146229</v>
      </c>
      <c r="DD178">
        <v>0.10897800000000001</v>
      </c>
      <c r="DE178">
        <v>2.1151999999999998E-3</v>
      </c>
      <c r="DF178">
        <v>32954.199999999997</v>
      </c>
      <c r="DG178">
        <v>27536.9</v>
      </c>
      <c r="DH178">
        <v>31185.7</v>
      </c>
      <c r="DI178">
        <v>28104.7</v>
      </c>
      <c r="DJ178">
        <v>37725.4</v>
      </c>
      <c r="DK178">
        <v>39891.699999999997</v>
      </c>
      <c r="DL178">
        <v>44384.2</v>
      </c>
      <c r="DM178">
        <v>42601.8</v>
      </c>
      <c r="DN178">
        <v>1.44815</v>
      </c>
      <c r="DO178">
        <v>2.0299700000000001</v>
      </c>
      <c r="DP178">
        <v>0.15317600000000001</v>
      </c>
      <c r="DQ178">
        <v>0.136152</v>
      </c>
      <c r="DR178">
        <v>24.465</v>
      </c>
      <c r="DS178">
        <v>24.322800000000001</v>
      </c>
      <c r="DT178">
        <v>32</v>
      </c>
      <c r="DU178">
        <v>29.3</v>
      </c>
      <c r="DV178">
        <v>13.194900000000001</v>
      </c>
      <c r="DW178">
        <v>61.613</v>
      </c>
      <c r="DX178">
        <v>37.395800000000001</v>
      </c>
      <c r="DY178">
        <v>1</v>
      </c>
      <c r="DZ178">
        <v>-9.6336400000000003E-2</v>
      </c>
      <c r="EA178">
        <v>0.42143799999999998</v>
      </c>
      <c r="EB178">
        <v>20.188700000000001</v>
      </c>
      <c r="EC178">
        <v>5.2411000000000003</v>
      </c>
      <c r="ED178">
        <v>12.039899999999999</v>
      </c>
      <c r="EE178">
        <v>5.0167999999999999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1.8689</v>
      </c>
      <c r="EL178">
        <v>1.8646199999999999</v>
      </c>
      <c r="EM178">
        <v>1.8692</v>
      </c>
      <c r="EN178">
        <v>1.8672299999999999</v>
      </c>
      <c r="EO178">
        <v>1.8633999999999999</v>
      </c>
      <c r="EP178">
        <v>1.8644799999999999</v>
      </c>
      <c r="EQ178">
        <v>1.87015</v>
      </c>
      <c r="ER178">
        <v>1.86937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6.0000000000000001E-3</v>
      </c>
      <c r="FG178">
        <v>0.27189999999999998</v>
      </c>
      <c r="FH178">
        <v>0.30965466913576151</v>
      </c>
      <c r="FI178">
        <v>-6.1462078757559423E-4</v>
      </c>
      <c r="FJ178">
        <v>-1.8861989874597051E-7</v>
      </c>
      <c r="FK178">
        <v>1.1980462299894961E-10</v>
      </c>
      <c r="FL178">
        <v>0.27184999999999349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36.799999999999997</v>
      </c>
      <c r="FU178">
        <v>37</v>
      </c>
      <c r="FV178">
        <v>1.7639199999999999</v>
      </c>
      <c r="FW178">
        <v>2.5927699999999998</v>
      </c>
      <c r="FX178">
        <v>1.5490699999999999</v>
      </c>
      <c r="FY178">
        <v>2.3303199999999999</v>
      </c>
      <c r="FZ178">
        <v>1.50146</v>
      </c>
      <c r="GA178">
        <v>2.3706100000000001</v>
      </c>
      <c r="GB178">
        <v>33.896099999999997</v>
      </c>
      <c r="GC178">
        <v>23.982399999999998</v>
      </c>
      <c r="GD178">
        <v>19</v>
      </c>
      <c r="GE178">
        <v>270.904</v>
      </c>
      <c r="GF178">
        <v>577.36199999999997</v>
      </c>
      <c r="GG178">
        <v>23.442</v>
      </c>
      <c r="GH178">
        <v>26.151499999999999</v>
      </c>
      <c r="GI178">
        <v>30.0002</v>
      </c>
      <c r="GJ178">
        <v>26.303999999999998</v>
      </c>
      <c r="GK178">
        <v>26.290700000000001</v>
      </c>
      <c r="GL178">
        <v>35.268099999999997</v>
      </c>
      <c r="GM178">
        <v>100</v>
      </c>
      <c r="GN178">
        <v>29.8079</v>
      </c>
      <c r="GO178">
        <v>23.451799999999999</v>
      </c>
      <c r="GP178">
        <v>800</v>
      </c>
      <c r="GQ178">
        <v>0</v>
      </c>
      <c r="GR178">
        <v>99.786199999999994</v>
      </c>
      <c r="GS178">
        <v>99.655799999999999</v>
      </c>
    </row>
    <row r="179" spans="1:201" x14ac:dyDescent="0.25">
      <c r="A179">
        <v>163</v>
      </c>
      <c r="B179">
        <v>1690305539.5999999</v>
      </c>
      <c r="C179">
        <v>1789.599999904633</v>
      </c>
      <c r="D179" t="s">
        <v>657</v>
      </c>
      <c r="E179" t="s">
        <v>658</v>
      </c>
      <c r="F179" t="s">
        <v>330</v>
      </c>
      <c r="H179">
        <v>1690305539.5999999</v>
      </c>
      <c r="I179">
        <f t="shared" si="60"/>
        <v>2.0814346293427425E-3</v>
      </c>
      <c r="J179">
        <f t="shared" si="61"/>
        <v>2.0814346293427426</v>
      </c>
      <c r="K179">
        <f t="shared" si="62"/>
        <v>31.027746398796957</v>
      </c>
      <c r="L179">
        <f t="shared" si="63"/>
        <v>448.512</v>
      </c>
      <c r="M179">
        <f t="shared" si="64"/>
        <v>118.68400252930286</v>
      </c>
      <c r="N179">
        <f t="shared" si="65"/>
        <v>11.790189702785922</v>
      </c>
      <c r="O179">
        <f t="shared" si="66"/>
        <v>44.555638934323198</v>
      </c>
      <c r="P179">
        <f t="shared" si="67"/>
        <v>0.15888118545376914</v>
      </c>
      <c r="Q179">
        <f t="shared" si="68"/>
        <v>2.1011503240169582</v>
      </c>
      <c r="R179">
        <f t="shared" si="69"/>
        <v>0.1524958110380035</v>
      </c>
      <c r="S179">
        <f t="shared" si="70"/>
        <v>9.586219890945015E-2</v>
      </c>
      <c r="T179">
        <f t="shared" si="71"/>
        <v>276.11416427400002</v>
      </c>
      <c r="U179">
        <f t="shared" si="72"/>
        <v>26.925247228486484</v>
      </c>
      <c r="V179">
        <f t="shared" si="73"/>
        <v>26.925247228486484</v>
      </c>
      <c r="W179">
        <f t="shared" si="74"/>
        <v>3.5634757747589529</v>
      </c>
      <c r="X179">
        <f t="shared" si="75"/>
        <v>68.816700503868006</v>
      </c>
      <c r="Y179">
        <f t="shared" si="76"/>
        <v>2.2472130499543201</v>
      </c>
      <c r="Z179">
        <f t="shared" si="77"/>
        <v>3.2655053693369243</v>
      </c>
      <c r="AA179">
        <f t="shared" si="78"/>
        <v>1.3162627248046328</v>
      </c>
      <c r="AB179">
        <f t="shared" si="79"/>
        <v>-91.791267154014946</v>
      </c>
      <c r="AC179">
        <f t="shared" si="80"/>
        <v>-167.39509239129526</v>
      </c>
      <c r="AD179">
        <f t="shared" si="81"/>
        <v>-17.05394597180597</v>
      </c>
      <c r="AE179">
        <f t="shared" si="82"/>
        <v>-0.1261412431161375</v>
      </c>
      <c r="AF179">
        <v>8</v>
      </c>
      <c r="AG179">
        <v>3</v>
      </c>
      <c r="AH179">
        <f t="shared" si="83"/>
        <v>1</v>
      </c>
      <c r="AI179">
        <f t="shared" si="84"/>
        <v>0</v>
      </c>
      <c r="AJ179">
        <f t="shared" si="85"/>
        <v>52809.056976365166</v>
      </c>
      <c r="AK179">
        <f t="shared" si="86"/>
        <v>1800</v>
      </c>
      <c r="AL179">
        <f t="shared" si="87"/>
        <v>1499.1148854</v>
      </c>
      <c r="AM179">
        <f t="shared" si="88"/>
        <v>0.83284160299999999</v>
      </c>
      <c r="AN179">
        <f t="shared" si="89"/>
        <v>0.15339675793000002</v>
      </c>
      <c r="AO179">
        <v>33</v>
      </c>
      <c r="AP179">
        <v>0.5</v>
      </c>
      <c r="AQ179" t="s">
        <v>331</v>
      </c>
      <c r="AR179">
        <v>2</v>
      </c>
      <c r="AS179">
        <v>1690305539.5999999</v>
      </c>
      <c r="AT179">
        <v>448.512</v>
      </c>
      <c r="AU179">
        <v>800.03</v>
      </c>
      <c r="AV179">
        <v>22.621200000000002</v>
      </c>
      <c r="AW179">
        <v>0.24692900000000001</v>
      </c>
      <c r="AX179">
        <v>448.505</v>
      </c>
      <c r="AY179">
        <v>22.349299999999999</v>
      </c>
      <c r="AZ179">
        <v>300.048</v>
      </c>
      <c r="BA179">
        <v>99.241100000000003</v>
      </c>
      <c r="BB179">
        <v>9.9918599999999996E-2</v>
      </c>
      <c r="BC179">
        <v>25.447500000000002</v>
      </c>
      <c r="BD179">
        <v>26.9788</v>
      </c>
      <c r="BE179">
        <v>26.550599999999999</v>
      </c>
      <c r="BF179">
        <v>0</v>
      </c>
      <c r="BG179">
        <v>0</v>
      </c>
      <c r="BH179">
        <v>10011.9</v>
      </c>
      <c r="BI179">
        <v>1057.3</v>
      </c>
      <c r="BJ179">
        <v>1.5306</v>
      </c>
      <c r="BK179">
        <v>-351.51799999999997</v>
      </c>
      <c r="BL179">
        <v>458.89299999999997</v>
      </c>
      <c r="BM179">
        <v>800.22799999999995</v>
      </c>
      <c r="BN179">
        <v>22.374300000000002</v>
      </c>
      <c r="BO179">
        <v>800.03</v>
      </c>
      <c r="BP179">
        <v>0.24692900000000001</v>
      </c>
      <c r="BQ179">
        <v>2.2449499999999998</v>
      </c>
      <c r="BR179">
        <v>2.45055E-2</v>
      </c>
      <c r="BS179">
        <v>19.286799999999999</v>
      </c>
      <c r="BT179">
        <v>-37.449599999999997</v>
      </c>
      <c r="BU179">
        <v>1800</v>
      </c>
      <c r="BV179">
        <v>0.91002400000000006</v>
      </c>
      <c r="BW179">
        <v>3.3993799999999998E-2</v>
      </c>
      <c r="BX179">
        <v>2.19934E-2</v>
      </c>
      <c r="BY179">
        <v>3.3988699999999997E-2</v>
      </c>
      <c r="BZ179">
        <v>26</v>
      </c>
      <c r="CA179">
        <v>33528.5</v>
      </c>
      <c r="CB179">
        <v>1690303320.5</v>
      </c>
      <c r="CC179" t="s">
        <v>332</v>
      </c>
      <c r="CD179">
        <v>1690303320.5</v>
      </c>
      <c r="CE179">
        <v>1690303310.0999999</v>
      </c>
      <c r="CF179">
        <v>8</v>
      </c>
      <c r="CG179">
        <v>7.3999999999999996E-2</v>
      </c>
      <c r="CH179">
        <v>-0.01</v>
      </c>
      <c r="CI179">
        <v>-0.24199999999999999</v>
      </c>
      <c r="CJ179">
        <v>0.27200000000000002</v>
      </c>
      <c r="CK179">
        <v>800</v>
      </c>
      <c r="CL179">
        <v>23</v>
      </c>
      <c r="CM179">
        <v>0.06</v>
      </c>
      <c r="CN179">
        <v>0.09</v>
      </c>
      <c r="CO179">
        <v>-350.18209756097559</v>
      </c>
      <c r="CP179">
        <v>-7.6589477351925304</v>
      </c>
      <c r="CQ179">
        <v>0.75738857523498815</v>
      </c>
      <c r="CR179">
        <v>-1</v>
      </c>
      <c r="CS179">
        <v>22.31839512195122</v>
      </c>
      <c r="CT179">
        <v>0.31378954703837608</v>
      </c>
      <c r="CU179">
        <v>3.099061188465185E-2</v>
      </c>
      <c r="CV179">
        <v>-1</v>
      </c>
      <c r="CW179">
        <v>0</v>
      </c>
      <c r="CX179">
        <v>0</v>
      </c>
      <c r="CY179" t="s">
        <v>333</v>
      </c>
      <c r="CZ179">
        <v>2.3643200000000002</v>
      </c>
      <c r="DA179">
        <v>2.7137199999999999</v>
      </c>
      <c r="DB179">
        <v>9.7703200000000004E-2</v>
      </c>
      <c r="DC179">
        <v>0.14622599999999999</v>
      </c>
      <c r="DD179">
        <v>0.109124</v>
      </c>
      <c r="DE179">
        <v>2.0710500000000001E-3</v>
      </c>
      <c r="DF179">
        <v>32961.1</v>
      </c>
      <c r="DG179">
        <v>27537.5</v>
      </c>
      <c r="DH179">
        <v>31185.7</v>
      </c>
      <c r="DI179">
        <v>28105.200000000001</v>
      </c>
      <c r="DJ179">
        <v>37719.1</v>
      </c>
      <c r="DK179">
        <v>39894.1</v>
      </c>
      <c r="DL179">
        <v>44384.2</v>
      </c>
      <c r="DM179">
        <v>42602.400000000001</v>
      </c>
      <c r="DN179">
        <v>1.4479</v>
      </c>
      <c r="DO179">
        <v>2.0301300000000002</v>
      </c>
      <c r="DP179">
        <v>0.15304999999999999</v>
      </c>
      <c r="DQ179">
        <v>0.135601</v>
      </c>
      <c r="DR179">
        <v>24.470500000000001</v>
      </c>
      <c r="DS179">
        <v>24.327400000000001</v>
      </c>
      <c r="DT179">
        <v>31.6</v>
      </c>
      <c r="DU179">
        <v>29.3</v>
      </c>
      <c r="DV179">
        <v>13.030200000000001</v>
      </c>
      <c r="DW179">
        <v>61.603000000000002</v>
      </c>
      <c r="DX179">
        <v>37.331699999999998</v>
      </c>
      <c r="DY179">
        <v>1</v>
      </c>
      <c r="DZ179">
        <v>-9.6161099999999999E-2</v>
      </c>
      <c r="EA179">
        <v>0.40159299999999998</v>
      </c>
      <c r="EB179">
        <v>20.188700000000001</v>
      </c>
      <c r="EC179">
        <v>5.2408000000000001</v>
      </c>
      <c r="ED179">
        <v>12.039899999999999</v>
      </c>
      <c r="EE179">
        <v>5.0166000000000004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</v>
      </c>
      <c r="EL179">
        <v>1.8646199999999999</v>
      </c>
      <c r="EM179">
        <v>1.8692</v>
      </c>
      <c r="EN179">
        <v>1.8672299999999999</v>
      </c>
      <c r="EO179">
        <v>1.8633999999999999</v>
      </c>
      <c r="EP179">
        <v>1.8644700000000001</v>
      </c>
      <c r="EQ179">
        <v>1.87015</v>
      </c>
      <c r="ER179">
        <v>1.86938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7.0000000000000001E-3</v>
      </c>
      <c r="FG179">
        <v>0.27189999999999998</v>
      </c>
      <c r="FH179">
        <v>0.30965466913576151</v>
      </c>
      <c r="FI179">
        <v>-6.1462078757559423E-4</v>
      </c>
      <c r="FJ179">
        <v>-1.8861989874597051E-7</v>
      </c>
      <c r="FK179">
        <v>1.1980462299894961E-10</v>
      </c>
      <c r="FL179">
        <v>0.27184999999999349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37</v>
      </c>
      <c r="FU179">
        <v>37.200000000000003</v>
      </c>
      <c r="FV179">
        <v>1.7639199999999999</v>
      </c>
      <c r="FW179">
        <v>2.5915499999999998</v>
      </c>
      <c r="FX179">
        <v>1.5490699999999999</v>
      </c>
      <c r="FY179">
        <v>2.3290999999999999</v>
      </c>
      <c r="FZ179">
        <v>1.50146</v>
      </c>
      <c r="GA179">
        <v>2.3754900000000001</v>
      </c>
      <c r="GB179">
        <v>33.896099999999997</v>
      </c>
      <c r="GC179">
        <v>23.982399999999998</v>
      </c>
      <c r="GD179">
        <v>19</v>
      </c>
      <c r="GE179">
        <v>270.79899999999998</v>
      </c>
      <c r="GF179">
        <v>577.46</v>
      </c>
      <c r="GG179">
        <v>23.466899999999999</v>
      </c>
      <c r="GH179">
        <v>26.151499999999999</v>
      </c>
      <c r="GI179">
        <v>30.0001</v>
      </c>
      <c r="GJ179">
        <v>26.3035</v>
      </c>
      <c r="GK179">
        <v>26.288499999999999</v>
      </c>
      <c r="GL179">
        <v>35.263599999999997</v>
      </c>
      <c r="GM179">
        <v>100</v>
      </c>
      <c r="GN179">
        <v>29.044899999999998</v>
      </c>
      <c r="GO179">
        <v>23.4663</v>
      </c>
      <c r="GP179">
        <v>800</v>
      </c>
      <c r="GQ179">
        <v>0</v>
      </c>
      <c r="GR179">
        <v>99.786199999999994</v>
      </c>
      <c r="GS179">
        <v>99.657499999999999</v>
      </c>
    </row>
    <row r="180" spans="1:201" x14ac:dyDescent="0.25">
      <c r="A180">
        <v>164</v>
      </c>
      <c r="B180">
        <v>1690305549.5999999</v>
      </c>
      <c r="C180">
        <v>1799.599999904633</v>
      </c>
      <c r="D180" t="s">
        <v>659</v>
      </c>
      <c r="E180" t="s">
        <v>660</v>
      </c>
      <c r="F180" t="s">
        <v>330</v>
      </c>
      <c r="H180">
        <v>1690305549.5999999</v>
      </c>
      <c r="I180">
        <f t="shared" si="60"/>
        <v>2.0867811256753454E-3</v>
      </c>
      <c r="J180">
        <f t="shared" si="61"/>
        <v>2.0867811256753455</v>
      </c>
      <c r="K180">
        <f t="shared" si="62"/>
        <v>31.147933687791738</v>
      </c>
      <c r="L180">
        <f t="shared" si="63"/>
        <v>447.29599999999999</v>
      </c>
      <c r="M180">
        <f t="shared" si="64"/>
        <v>117.98564111130723</v>
      </c>
      <c r="N180">
        <f t="shared" si="65"/>
        <v>11.720830923283515</v>
      </c>
      <c r="O180">
        <f t="shared" si="66"/>
        <v>44.434905292544002</v>
      </c>
      <c r="P180">
        <f t="shared" si="67"/>
        <v>0.15976909671139411</v>
      </c>
      <c r="Q180">
        <f t="shared" si="68"/>
        <v>2.099306845109381</v>
      </c>
      <c r="R180">
        <f t="shared" si="69"/>
        <v>0.15330829017795433</v>
      </c>
      <c r="S180">
        <f t="shared" si="70"/>
        <v>9.6376388901267623E-2</v>
      </c>
      <c r="T180">
        <f t="shared" si="71"/>
        <v>276.11247169130183</v>
      </c>
      <c r="U180">
        <f t="shared" si="72"/>
        <v>26.93041219281584</v>
      </c>
      <c r="V180">
        <f t="shared" si="73"/>
        <v>26.93041219281584</v>
      </c>
      <c r="W180">
        <f t="shared" si="74"/>
        <v>3.5645575058511447</v>
      </c>
      <c r="X180">
        <f t="shared" si="75"/>
        <v>68.937435739950388</v>
      </c>
      <c r="Y180">
        <f t="shared" si="76"/>
        <v>2.2519449784832006</v>
      </c>
      <c r="Z180">
        <f t="shared" si="77"/>
        <v>3.2666503392701061</v>
      </c>
      <c r="AA180">
        <f t="shared" si="78"/>
        <v>1.3126125273679441</v>
      </c>
      <c r="AB180">
        <f t="shared" si="79"/>
        <v>-92.027047642282724</v>
      </c>
      <c r="AC180">
        <f t="shared" si="80"/>
        <v>-167.16503580218037</v>
      </c>
      <c r="AD180">
        <f t="shared" si="81"/>
        <v>-17.046408802636108</v>
      </c>
      <c r="AE180">
        <f t="shared" si="82"/>
        <v>-0.12602055579736771</v>
      </c>
      <c r="AF180">
        <v>8</v>
      </c>
      <c r="AG180">
        <v>3</v>
      </c>
      <c r="AH180">
        <f t="shared" si="83"/>
        <v>1</v>
      </c>
      <c r="AI180">
        <f t="shared" si="84"/>
        <v>0</v>
      </c>
      <c r="AJ180">
        <f t="shared" si="85"/>
        <v>52725.658486290471</v>
      </c>
      <c r="AK180">
        <f t="shared" si="86"/>
        <v>1799.99</v>
      </c>
      <c r="AL180">
        <f t="shared" si="87"/>
        <v>1499.1065533839901</v>
      </c>
      <c r="AM180">
        <f t="shared" si="88"/>
        <v>0.83284160100000004</v>
      </c>
      <c r="AN180">
        <f t="shared" si="89"/>
        <v>0.15339666980999997</v>
      </c>
      <c r="AO180">
        <v>33</v>
      </c>
      <c r="AP180">
        <v>0.5</v>
      </c>
      <c r="AQ180" t="s">
        <v>331</v>
      </c>
      <c r="AR180">
        <v>2</v>
      </c>
      <c r="AS180">
        <v>1690305549.5999999</v>
      </c>
      <c r="AT180">
        <v>447.29599999999999</v>
      </c>
      <c r="AU180">
        <v>800.072</v>
      </c>
      <c r="AV180">
        <v>22.668800000000001</v>
      </c>
      <c r="AW180">
        <v>0.24211099999999999</v>
      </c>
      <c r="AX180">
        <v>447.28800000000001</v>
      </c>
      <c r="AY180">
        <v>22.396999999999998</v>
      </c>
      <c r="AZ180">
        <v>300.101</v>
      </c>
      <c r="BA180">
        <v>99.241100000000003</v>
      </c>
      <c r="BB180">
        <v>0.100064</v>
      </c>
      <c r="BC180">
        <v>25.453399999999998</v>
      </c>
      <c r="BD180">
        <v>26.9924</v>
      </c>
      <c r="BE180">
        <v>26.568999999999999</v>
      </c>
      <c r="BF180">
        <v>0</v>
      </c>
      <c r="BG180">
        <v>0</v>
      </c>
      <c r="BH180">
        <v>9995.6200000000008</v>
      </c>
      <c r="BI180">
        <v>1057.3399999999999</v>
      </c>
      <c r="BJ180">
        <v>1.5137799999999999</v>
      </c>
      <c r="BK180">
        <v>-352.77499999999998</v>
      </c>
      <c r="BL180">
        <v>457.67099999999999</v>
      </c>
      <c r="BM180">
        <v>800.26499999999999</v>
      </c>
      <c r="BN180">
        <v>22.4267</v>
      </c>
      <c r="BO180">
        <v>800.072</v>
      </c>
      <c r="BP180">
        <v>0.24211099999999999</v>
      </c>
      <c r="BQ180">
        <v>2.2496800000000001</v>
      </c>
      <c r="BR180">
        <v>2.4027400000000001E-2</v>
      </c>
      <c r="BS180">
        <v>19.320599999999999</v>
      </c>
      <c r="BT180">
        <v>-37.642899999999997</v>
      </c>
      <c r="BU180">
        <v>1799.99</v>
      </c>
      <c r="BV180">
        <v>0.910026</v>
      </c>
      <c r="BW180">
        <v>3.3993000000000002E-2</v>
      </c>
      <c r="BX180">
        <v>2.19928E-2</v>
      </c>
      <c r="BY180">
        <v>3.3987900000000001E-2</v>
      </c>
      <c r="BZ180">
        <v>26</v>
      </c>
      <c r="CA180">
        <v>33528.5</v>
      </c>
      <c r="CB180">
        <v>1690303320.5</v>
      </c>
      <c r="CC180" t="s">
        <v>332</v>
      </c>
      <c r="CD180">
        <v>1690303320.5</v>
      </c>
      <c r="CE180">
        <v>1690303310.0999999</v>
      </c>
      <c r="CF180">
        <v>8</v>
      </c>
      <c r="CG180">
        <v>7.3999999999999996E-2</v>
      </c>
      <c r="CH180">
        <v>-0.01</v>
      </c>
      <c r="CI180">
        <v>-0.24199999999999999</v>
      </c>
      <c r="CJ180">
        <v>0.27200000000000002</v>
      </c>
      <c r="CK180">
        <v>800</v>
      </c>
      <c r="CL180">
        <v>23</v>
      </c>
      <c r="CM180">
        <v>0.06</v>
      </c>
      <c r="CN180">
        <v>0.09</v>
      </c>
      <c r="CO180">
        <v>-351.39695</v>
      </c>
      <c r="CP180">
        <v>-7.1085928705431183</v>
      </c>
      <c r="CQ180">
        <v>0.68531182501106969</v>
      </c>
      <c r="CR180">
        <v>-1</v>
      </c>
      <c r="CS180">
        <v>22.369174999999998</v>
      </c>
      <c r="CT180">
        <v>0.30241801125697593</v>
      </c>
      <c r="CU180">
        <v>2.9132325259065939E-2</v>
      </c>
      <c r="CV180">
        <v>-1</v>
      </c>
      <c r="CW180">
        <v>0</v>
      </c>
      <c r="CX180">
        <v>0</v>
      </c>
      <c r="CY180" t="s">
        <v>333</v>
      </c>
      <c r="CZ180">
        <v>2.36449</v>
      </c>
      <c r="DA180">
        <v>2.7138499999999999</v>
      </c>
      <c r="DB180">
        <v>9.7505800000000004E-2</v>
      </c>
      <c r="DC180">
        <v>0.146231</v>
      </c>
      <c r="DD180">
        <v>0.109289</v>
      </c>
      <c r="DE180">
        <v>2.0312400000000001E-3</v>
      </c>
      <c r="DF180">
        <v>32967.9</v>
      </c>
      <c r="DG180">
        <v>27537.1</v>
      </c>
      <c r="DH180">
        <v>31185.3</v>
      </c>
      <c r="DI180">
        <v>28104.9</v>
      </c>
      <c r="DJ180">
        <v>37711.699999999997</v>
      </c>
      <c r="DK180">
        <v>39895.5</v>
      </c>
      <c r="DL180">
        <v>44383.8</v>
      </c>
      <c r="DM180">
        <v>42602.2</v>
      </c>
      <c r="DN180">
        <v>1.4484999999999999</v>
      </c>
      <c r="DO180">
        <v>2.0300799999999999</v>
      </c>
      <c r="DP180">
        <v>0.15354200000000001</v>
      </c>
      <c r="DQ180">
        <v>0.13647200000000001</v>
      </c>
      <c r="DR180">
        <v>24.476199999999999</v>
      </c>
      <c r="DS180">
        <v>24.331399999999999</v>
      </c>
      <c r="DT180">
        <v>31.3</v>
      </c>
      <c r="DU180">
        <v>29.3</v>
      </c>
      <c r="DV180">
        <v>12.907</v>
      </c>
      <c r="DW180">
        <v>62.073</v>
      </c>
      <c r="DX180">
        <v>37.103400000000001</v>
      </c>
      <c r="DY180">
        <v>1</v>
      </c>
      <c r="DZ180">
        <v>-9.6293199999999995E-2</v>
      </c>
      <c r="EA180">
        <v>0.33368199999999998</v>
      </c>
      <c r="EB180">
        <v>20.189299999999999</v>
      </c>
      <c r="EC180">
        <v>5.2409499999999998</v>
      </c>
      <c r="ED180">
        <v>12.039899999999999</v>
      </c>
      <c r="EE180">
        <v>5.0169499999999996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1.86463</v>
      </c>
      <c r="EM180">
        <v>1.8692</v>
      </c>
      <c r="EN180">
        <v>1.86724</v>
      </c>
      <c r="EO180">
        <v>1.8633999999999999</v>
      </c>
      <c r="EP180">
        <v>1.8644700000000001</v>
      </c>
      <c r="EQ180">
        <v>1.8701700000000001</v>
      </c>
      <c r="ER180">
        <v>1.8693900000000001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8.0000000000000002E-3</v>
      </c>
      <c r="FG180">
        <v>0.27179999999999999</v>
      </c>
      <c r="FH180">
        <v>0.30965466913576151</v>
      </c>
      <c r="FI180">
        <v>-6.1462078757559423E-4</v>
      </c>
      <c r="FJ180">
        <v>-1.8861989874597051E-7</v>
      </c>
      <c r="FK180">
        <v>1.1980462299894961E-10</v>
      </c>
      <c r="FL180">
        <v>0.27184999999999349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37.200000000000003</v>
      </c>
      <c r="FU180">
        <v>37.299999999999997</v>
      </c>
      <c r="FV180">
        <v>1.7639199999999999</v>
      </c>
      <c r="FW180">
        <v>2.5964399999999999</v>
      </c>
      <c r="FX180">
        <v>1.5490699999999999</v>
      </c>
      <c r="FY180">
        <v>2.3303199999999999</v>
      </c>
      <c r="FZ180">
        <v>1.50146</v>
      </c>
      <c r="GA180">
        <v>2.34497</v>
      </c>
      <c r="GB180">
        <v>33.918700000000001</v>
      </c>
      <c r="GC180">
        <v>23.982399999999998</v>
      </c>
      <c r="GD180">
        <v>19</v>
      </c>
      <c r="GE180">
        <v>271.041</v>
      </c>
      <c r="GF180">
        <v>577.41899999999998</v>
      </c>
      <c r="GG180">
        <v>23.487300000000001</v>
      </c>
      <c r="GH180">
        <v>26.153700000000001</v>
      </c>
      <c r="GI180">
        <v>30</v>
      </c>
      <c r="GJ180">
        <v>26.302299999999999</v>
      </c>
      <c r="GK180">
        <v>26.288499999999999</v>
      </c>
      <c r="GL180">
        <v>35.261699999999998</v>
      </c>
      <c r="GM180">
        <v>100</v>
      </c>
      <c r="GN180">
        <v>28.285499999999999</v>
      </c>
      <c r="GO180">
        <v>23.4968</v>
      </c>
      <c r="GP180">
        <v>800</v>
      </c>
      <c r="GQ180">
        <v>0</v>
      </c>
      <c r="GR180">
        <v>99.7851</v>
      </c>
      <c r="GS180">
        <v>99.656800000000004</v>
      </c>
    </row>
    <row r="181" spans="1:201" x14ac:dyDescent="0.25">
      <c r="A181">
        <v>165</v>
      </c>
      <c r="B181">
        <v>1690305559.5999999</v>
      </c>
      <c r="C181">
        <v>1809.599999904633</v>
      </c>
      <c r="D181" t="s">
        <v>661</v>
      </c>
      <c r="E181" t="s">
        <v>662</v>
      </c>
      <c r="F181" t="s">
        <v>330</v>
      </c>
      <c r="H181">
        <v>1690305559.5999999</v>
      </c>
      <c r="I181">
        <f t="shared" si="60"/>
        <v>2.0909555114492499E-3</v>
      </c>
      <c r="J181">
        <f t="shared" si="61"/>
        <v>2.0909555114492497</v>
      </c>
      <c r="K181">
        <f t="shared" si="62"/>
        <v>31.23020616692547</v>
      </c>
      <c r="L181">
        <f t="shared" si="63"/>
        <v>446.21800000000002</v>
      </c>
      <c r="M181">
        <f t="shared" si="64"/>
        <v>117.33310599802167</v>
      </c>
      <c r="N181">
        <f t="shared" si="65"/>
        <v>11.656083685964237</v>
      </c>
      <c r="O181">
        <f t="shared" si="66"/>
        <v>44.328105916426402</v>
      </c>
      <c r="P181">
        <f t="shared" si="67"/>
        <v>0.16040572765956382</v>
      </c>
      <c r="Q181">
        <f t="shared" si="68"/>
        <v>2.1007294143797752</v>
      </c>
      <c r="R181">
        <f t="shared" si="69"/>
        <v>0.15389867505210902</v>
      </c>
      <c r="S181">
        <f t="shared" si="70"/>
        <v>9.6749309234826122E-2</v>
      </c>
      <c r="T181">
        <f t="shared" si="71"/>
        <v>276.113859408</v>
      </c>
      <c r="U181">
        <f t="shared" si="72"/>
        <v>26.940521832448454</v>
      </c>
      <c r="V181">
        <f t="shared" si="73"/>
        <v>26.940521832448454</v>
      </c>
      <c r="W181">
        <f t="shared" si="74"/>
        <v>3.5666756611976287</v>
      </c>
      <c r="X181">
        <f t="shared" si="75"/>
        <v>69.026190760505514</v>
      </c>
      <c r="Y181">
        <f t="shared" si="76"/>
        <v>2.2565195206375597</v>
      </c>
      <c r="Z181">
        <f t="shared" si="77"/>
        <v>3.2690772817912257</v>
      </c>
      <c r="AA181">
        <f t="shared" si="78"/>
        <v>1.310156140560069</v>
      </c>
      <c r="AB181">
        <f t="shared" si="79"/>
        <v>-92.211138054911927</v>
      </c>
      <c r="AC181">
        <f t="shared" si="80"/>
        <v>-167.00759399124874</v>
      </c>
      <c r="AD181">
        <f t="shared" si="81"/>
        <v>-17.020750185233499</v>
      </c>
      <c r="AE181">
        <f t="shared" si="82"/>
        <v>-0.12562282339419539</v>
      </c>
      <c r="AF181">
        <v>8</v>
      </c>
      <c r="AG181">
        <v>3</v>
      </c>
      <c r="AH181">
        <f t="shared" si="83"/>
        <v>1</v>
      </c>
      <c r="AI181">
        <f t="shared" si="84"/>
        <v>0</v>
      </c>
      <c r="AJ181">
        <f t="shared" si="85"/>
        <v>52787.00839890894</v>
      </c>
      <c r="AK181">
        <f t="shared" si="86"/>
        <v>1800</v>
      </c>
      <c r="AL181">
        <f t="shared" si="87"/>
        <v>1499.1148997999999</v>
      </c>
      <c r="AM181">
        <f t="shared" si="88"/>
        <v>0.83284161099999998</v>
      </c>
      <c r="AN181">
        <f t="shared" si="89"/>
        <v>0.15339658855999999</v>
      </c>
      <c r="AO181">
        <v>33</v>
      </c>
      <c r="AP181">
        <v>0.5</v>
      </c>
      <c r="AQ181" t="s">
        <v>331</v>
      </c>
      <c r="AR181">
        <v>2</v>
      </c>
      <c r="AS181">
        <v>1690305559.5999999</v>
      </c>
      <c r="AT181">
        <v>446.21800000000002</v>
      </c>
      <c r="AU181">
        <v>799.99699999999996</v>
      </c>
      <c r="AV181">
        <v>22.714700000000001</v>
      </c>
      <c r="AW181">
        <v>0.23768800000000001</v>
      </c>
      <c r="AX181">
        <v>446.21</v>
      </c>
      <c r="AY181">
        <v>22.442799999999998</v>
      </c>
      <c r="AZ181">
        <v>300.01400000000001</v>
      </c>
      <c r="BA181">
        <v>99.241900000000001</v>
      </c>
      <c r="BB181">
        <v>9.9914799999999998E-2</v>
      </c>
      <c r="BC181">
        <v>25.465900000000001</v>
      </c>
      <c r="BD181">
        <v>27.0474</v>
      </c>
      <c r="BE181">
        <v>26.570900000000002</v>
      </c>
      <c r="BF181">
        <v>0</v>
      </c>
      <c r="BG181">
        <v>0</v>
      </c>
      <c r="BH181">
        <v>10008.1</v>
      </c>
      <c r="BI181">
        <v>1057.53</v>
      </c>
      <c r="BJ181">
        <v>1.5137799999999999</v>
      </c>
      <c r="BK181">
        <v>-353.77800000000002</v>
      </c>
      <c r="BL181">
        <v>456.59</v>
      </c>
      <c r="BM181">
        <v>800.18700000000001</v>
      </c>
      <c r="BN181">
        <v>22.477</v>
      </c>
      <c r="BO181">
        <v>799.99699999999996</v>
      </c>
      <c r="BP181">
        <v>0.23768800000000001</v>
      </c>
      <c r="BQ181">
        <v>2.2542499999999999</v>
      </c>
      <c r="BR181">
        <v>2.3588600000000001E-2</v>
      </c>
      <c r="BS181">
        <v>19.353100000000001</v>
      </c>
      <c r="BT181">
        <v>-37.823399999999999</v>
      </c>
      <c r="BU181">
        <v>1800</v>
      </c>
      <c r="BV181">
        <v>0.91002799999999995</v>
      </c>
      <c r="BW181">
        <v>3.39922E-2</v>
      </c>
      <c r="BX181">
        <v>2.1992299999999999E-2</v>
      </c>
      <c r="BY181">
        <v>3.3987000000000003E-2</v>
      </c>
      <c r="BZ181">
        <v>26</v>
      </c>
      <c r="CA181">
        <v>33528.5</v>
      </c>
      <c r="CB181">
        <v>1690303320.5</v>
      </c>
      <c r="CC181" t="s">
        <v>332</v>
      </c>
      <c r="CD181">
        <v>1690303320.5</v>
      </c>
      <c r="CE181">
        <v>1690303310.0999999</v>
      </c>
      <c r="CF181">
        <v>8</v>
      </c>
      <c r="CG181">
        <v>7.3999999999999996E-2</v>
      </c>
      <c r="CH181">
        <v>-0.01</v>
      </c>
      <c r="CI181">
        <v>-0.24199999999999999</v>
      </c>
      <c r="CJ181">
        <v>0.27200000000000002</v>
      </c>
      <c r="CK181">
        <v>800</v>
      </c>
      <c r="CL181">
        <v>23</v>
      </c>
      <c r="CM181">
        <v>0.06</v>
      </c>
      <c r="CN181">
        <v>0.09</v>
      </c>
      <c r="CO181">
        <v>-352.55239999999992</v>
      </c>
      <c r="CP181">
        <v>-6.8005103189488603</v>
      </c>
      <c r="CQ181">
        <v>0.65618186503438602</v>
      </c>
      <c r="CR181">
        <v>-1</v>
      </c>
      <c r="CS181">
        <v>22.41995</v>
      </c>
      <c r="CT181">
        <v>0.30928480300184857</v>
      </c>
      <c r="CU181">
        <v>2.9768901558505419E-2</v>
      </c>
      <c r="CV181">
        <v>-1</v>
      </c>
      <c r="CW181">
        <v>0</v>
      </c>
      <c r="CX181">
        <v>0</v>
      </c>
      <c r="CY181" t="s">
        <v>333</v>
      </c>
      <c r="CZ181">
        <v>2.3642099999999999</v>
      </c>
      <c r="DA181">
        <v>2.7137099999999998</v>
      </c>
      <c r="DB181">
        <v>9.7331299999999996E-2</v>
      </c>
      <c r="DC181">
        <v>0.14622299999999999</v>
      </c>
      <c r="DD181">
        <v>0.109448</v>
      </c>
      <c r="DE181">
        <v>1.99468E-3</v>
      </c>
      <c r="DF181">
        <v>32974.1</v>
      </c>
      <c r="DG181">
        <v>27537.5</v>
      </c>
      <c r="DH181">
        <v>31185.200000000001</v>
      </c>
      <c r="DI181">
        <v>28105.1</v>
      </c>
      <c r="DJ181">
        <v>37704.5</v>
      </c>
      <c r="DK181">
        <v>39897.300000000003</v>
      </c>
      <c r="DL181">
        <v>44383.4</v>
      </c>
      <c r="DM181">
        <v>42602.5</v>
      </c>
      <c r="DN181">
        <v>1.4476</v>
      </c>
      <c r="DO181">
        <v>2.0301300000000002</v>
      </c>
      <c r="DP181">
        <v>0.15645500000000001</v>
      </c>
      <c r="DQ181">
        <v>0.13624900000000001</v>
      </c>
      <c r="DR181">
        <v>24.483499999999999</v>
      </c>
      <c r="DS181">
        <v>24.337</v>
      </c>
      <c r="DT181">
        <v>30.9</v>
      </c>
      <c r="DU181">
        <v>29.3</v>
      </c>
      <c r="DV181">
        <v>12.741</v>
      </c>
      <c r="DW181">
        <v>61.192999999999998</v>
      </c>
      <c r="DX181">
        <v>37.127400000000002</v>
      </c>
      <c r="DY181">
        <v>1</v>
      </c>
      <c r="DZ181">
        <v>-9.6097600000000005E-2</v>
      </c>
      <c r="EA181">
        <v>0.48607600000000001</v>
      </c>
      <c r="EB181">
        <v>20.188700000000001</v>
      </c>
      <c r="EC181">
        <v>5.2408000000000001</v>
      </c>
      <c r="ED181">
        <v>12.039899999999999</v>
      </c>
      <c r="EE181">
        <v>5.0166000000000004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1.86463</v>
      </c>
      <c r="EM181">
        <v>1.8692</v>
      </c>
      <c r="EN181">
        <v>1.86724</v>
      </c>
      <c r="EO181">
        <v>1.8633999999999999</v>
      </c>
      <c r="EP181">
        <v>1.8644700000000001</v>
      </c>
      <c r="EQ181">
        <v>1.8701700000000001</v>
      </c>
      <c r="ER181">
        <v>1.8694299999999999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8.0000000000000002E-3</v>
      </c>
      <c r="FG181">
        <v>0.27189999999999998</v>
      </c>
      <c r="FH181">
        <v>0.30965466913576151</v>
      </c>
      <c r="FI181">
        <v>-6.1462078757559423E-4</v>
      </c>
      <c r="FJ181">
        <v>-1.8861989874597051E-7</v>
      </c>
      <c r="FK181">
        <v>1.1980462299894961E-10</v>
      </c>
      <c r="FL181">
        <v>0.27184999999999349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37.299999999999997</v>
      </c>
      <c r="FU181">
        <v>37.5</v>
      </c>
      <c r="FV181">
        <v>1.7639199999999999</v>
      </c>
      <c r="FW181">
        <v>2.5915499999999998</v>
      </c>
      <c r="FX181">
        <v>1.5490699999999999</v>
      </c>
      <c r="FY181">
        <v>2.3303199999999999</v>
      </c>
      <c r="FZ181">
        <v>1.50146</v>
      </c>
      <c r="GA181">
        <v>2.3596200000000001</v>
      </c>
      <c r="GB181">
        <v>33.896099999999997</v>
      </c>
      <c r="GC181">
        <v>23.982399999999998</v>
      </c>
      <c r="GD181">
        <v>19</v>
      </c>
      <c r="GE181">
        <v>270.66800000000001</v>
      </c>
      <c r="GF181">
        <v>577.46</v>
      </c>
      <c r="GG181">
        <v>23.501000000000001</v>
      </c>
      <c r="GH181">
        <v>26.153700000000001</v>
      </c>
      <c r="GI181">
        <v>30.0002</v>
      </c>
      <c r="GJ181">
        <v>26.3018</v>
      </c>
      <c r="GK181">
        <v>26.288499999999999</v>
      </c>
      <c r="GL181">
        <v>35.263100000000001</v>
      </c>
      <c r="GM181">
        <v>100</v>
      </c>
      <c r="GN181">
        <v>27.5077</v>
      </c>
      <c r="GO181">
        <v>23.4788</v>
      </c>
      <c r="GP181">
        <v>800</v>
      </c>
      <c r="GQ181">
        <v>0</v>
      </c>
      <c r="GR181">
        <v>99.784499999999994</v>
      </c>
      <c r="GS181">
        <v>99.657499999999999</v>
      </c>
    </row>
    <row r="182" spans="1:201" x14ac:dyDescent="0.25">
      <c r="A182">
        <v>166</v>
      </c>
      <c r="B182">
        <v>1690305569.5999999</v>
      </c>
      <c r="C182">
        <v>1819.599999904633</v>
      </c>
      <c r="D182" t="s">
        <v>663</v>
      </c>
      <c r="E182" t="s">
        <v>664</v>
      </c>
      <c r="F182" t="s">
        <v>330</v>
      </c>
      <c r="H182">
        <v>1690305569.5999999</v>
      </c>
      <c r="I182">
        <f t="shared" si="60"/>
        <v>2.0962630747794666E-3</v>
      </c>
      <c r="J182">
        <f t="shared" si="61"/>
        <v>2.0962630747794666</v>
      </c>
      <c r="K182">
        <f t="shared" si="62"/>
        <v>31.351214243053313</v>
      </c>
      <c r="L182">
        <f t="shared" si="63"/>
        <v>444.96199999999999</v>
      </c>
      <c r="M182">
        <f t="shared" si="64"/>
        <v>116.9676571591675</v>
      </c>
      <c r="N182">
        <f t="shared" si="65"/>
        <v>11.619659887724421</v>
      </c>
      <c r="O182">
        <f t="shared" si="66"/>
        <v>44.202878201843198</v>
      </c>
      <c r="P182">
        <f t="shared" si="67"/>
        <v>0.16148759485269079</v>
      </c>
      <c r="Q182">
        <f t="shared" si="68"/>
        <v>2.1015666164531335</v>
      </c>
      <c r="R182">
        <f t="shared" si="69"/>
        <v>0.15489692276508943</v>
      </c>
      <c r="S182">
        <f t="shared" si="70"/>
        <v>9.7380308946414432E-2</v>
      </c>
      <c r="T182">
        <f t="shared" si="71"/>
        <v>276.11235379195688</v>
      </c>
      <c r="U182">
        <f t="shared" si="72"/>
        <v>26.937500925929328</v>
      </c>
      <c r="V182">
        <f t="shared" si="73"/>
        <v>26.937500925929328</v>
      </c>
      <c r="W182">
        <f t="shared" si="74"/>
        <v>3.5660426106718601</v>
      </c>
      <c r="X182">
        <f t="shared" si="75"/>
        <v>69.167731644216232</v>
      </c>
      <c r="Y182">
        <f t="shared" si="76"/>
        <v>2.2610660008915202</v>
      </c>
      <c r="Z182">
        <f t="shared" si="77"/>
        <v>3.2689607525687729</v>
      </c>
      <c r="AA182">
        <f t="shared" si="78"/>
        <v>1.3049766097803399</v>
      </c>
      <c r="AB182">
        <f t="shared" si="79"/>
        <v>-92.445201597774471</v>
      </c>
      <c r="AC182">
        <f t="shared" si="80"/>
        <v>-166.79986351476066</v>
      </c>
      <c r="AD182">
        <f t="shared" si="81"/>
        <v>-16.992498188938811</v>
      </c>
      <c r="AE182">
        <f t="shared" si="82"/>
        <v>-0.1252095095170489</v>
      </c>
      <c r="AF182">
        <v>8</v>
      </c>
      <c r="AG182">
        <v>3</v>
      </c>
      <c r="AH182">
        <f t="shared" si="83"/>
        <v>1</v>
      </c>
      <c r="AI182">
        <f t="shared" si="84"/>
        <v>0</v>
      </c>
      <c r="AJ182">
        <f t="shared" si="85"/>
        <v>52824.511805913338</v>
      </c>
      <c r="AK182">
        <f t="shared" si="86"/>
        <v>1799.99</v>
      </c>
      <c r="AL182">
        <f t="shared" si="87"/>
        <v>1499.1067063831399</v>
      </c>
      <c r="AM182">
        <f t="shared" si="88"/>
        <v>0.83284168599999997</v>
      </c>
      <c r="AN182">
        <f t="shared" si="89"/>
        <v>0.15339660430999999</v>
      </c>
      <c r="AO182">
        <v>33</v>
      </c>
      <c r="AP182">
        <v>0.5</v>
      </c>
      <c r="AQ182" t="s">
        <v>331</v>
      </c>
      <c r="AR182">
        <v>2</v>
      </c>
      <c r="AS182">
        <v>1690305569.5999999</v>
      </c>
      <c r="AT182">
        <v>444.96199999999999</v>
      </c>
      <c r="AU182">
        <v>799.97799999999995</v>
      </c>
      <c r="AV182">
        <v>22.7607</v>
      </c>
      <c r="AW182">
        <v>0.23347599999999999</v>
      </c>
      <c r="AX182">
        <v>444.95299999999997</v>
      </c>
      <c r="AY182">
        <v>22.488900000000001</v>
      </c>
      <c r="AZ182">
        <v>300.09100000000001</v>
      </c>
      <c r="BA182">
        <v>99.240899999999996</v>
      </c>
      <c r="BB182">
        <v>9.9893599999999999E-2</v>
      </c>
      <c r="BC182">
        <v>25.465299999999999</v>
      </c>
      <c r="BD182">
        <v>27.0153</v>
      </c>
      <c r="BE182">
        <v>26.576699999999999</v>
      </c>
      <c r="BF182">
        <v>0</v>
      </c>
      <c r="BG182">
        <v>0</v>
      </c>
      <c r="BH182">
        <v>10015.6</v>
      </c>
      <c r="BI182">
        <v>1057.6600000000001</v>
      </c>
      <c r="BJ182">
        <v>1.5137799999999999</v>
      </c>
      <c r="BK182">
        <v>-355.01600000000002</v>
      </c>
      <c r="BL182">
        <v>455.32600000000002</v>
      </c>
      <c r="BM182">
        <v>800.16499999999996</v>
      </c>
      <c r="BN182">
        <v>22.527200000000001</v>
      </c>
      <c r="BO182">
        <v>799.97799999999995</v>
      </c>
      <c r="BP182">
        <v>0.23347599999999999</v>
      </c>
      <c r="BQ182">
        <v>2.2587899999999999</v>
      </c>
      <c r="BR182">
        <v>2.3170400000000001E-2</v>
      </c>
      <c r="BS182">
        <v>19.3855</v>
      </c>
      <c r="BT182">
        <v>-37.9983</v>
      </c>
      <c r="BU182">
        <v>1799.99</v>
      </c>
      <c r="BV182">
        <v>0.91002799999999995</v>
      </c>
      <c r="BW182">
        <v>3.39922E-2</v>
      </c>
      <c r="BX182">
        <v>2.1992299999999999E-2</v>
      </c>
      <c r="BY182">
        <v>3.3987099999999999E-2</v>
      </c>
      <c r="BZ182">
        <v>26</v>
      </c>
      <c r="CA182">
        <v>33528.5</v>
      </c>
      <c r="CB182">
        <v>1690303320.5</v>
      </c>
      <c r="CC182" t="s">
        <v>332</v>
      </c>
      <c r="CD182">
        <v>1690303320.5</v>
      </c>
      <c r="CE182">
        <v>1690303310.0999999</v>
      </c>
      <c r="CF182">
        <v>8</v>
      </c>
      <c r="CG182">
        <v>7.3999999999999996E-2</v>
      </c>
      <c r="CH182">
        <v>-0.01</v>
      </c>
      <c r="CI182">
        <v>-0.24199999999999999</v>
      </c>
      <c r="CJ182">
        <v>0.27200000000000002</v>
      </c>
      <c r="CK182">
        <v>800</v>
      </c>
      <c r="CL182">
        <v>23</v>
      </c>
      <c r="CM182">
        <v>0.06</v>
      </c>
      <c r="CN182">
        <v>0.09</v>
      </c>
      <c r="CO182">
        <v>-353.71435000000002</v>
      </c>
      <c r="CP182">
        <v>-7.0960750469030884</v>
      </c>
      <c r="CQ182">
        <v>0.68497834089845444</v>
      </c>
      <c r="CR182">
        <v>-1</v>
      </c>
      <c r="CS182">
        <v>22.472257500000001</v>
      </c>
      <c r="CT182">
        <v>0.32255572232640028</v>
      </c>
      <c r="CU182">
        <v>3.10745143767364E-2</v>
      </c>
      <c r="CV182">
        <v>-1</v>
      </c>
      <c r="CW182">
        <v>0</v>
      </c>
      <c r="CX182">
        <v>0</v>
      </c>
      <c r="CY182" t="s">
        <v>333</v>
      </c>
      <c r="CZ182">
        <v>2.3644599999999998</v>
      </c>
      <c r="DA182">
        <v>2.7136999999999998</v>
      </c>
      <c r="DB182">
        <v>9.7125500000000003E-2</v>
      </c>
      <c r="DC182">
        <v>0.14621899999999999</v>
      </c>
      <c r="DD182">
        <v>0.10960499999999999</v>
      </c>
      <c r="DE182">
        <v>1.9598200000000001E-3</v>
      </c>
      <c r="DF182">
        <v>32981.800000000003</v>
      </c>
      <c r="DG182">
        <v>27537.8</v>
      </c>
      <c r="DH182">
        <v>31185.3</v>
      </c>
      <c r="DI182">
        <v>28105.3</v>
      </c>
      <c r="DJ182">
        <v>37698</v>
      </c>
      <c r="DK182">
        <v>39898.800000000003</v>
      </c>
      <c r="DL182">
        <v>44383.6</v>
      </c>
      <c r="DM182">
        <v>42602.7</v>
      </c>
      <c r="DN182">
        <v>1.4479200000000001</v>
      </c>
      <c r="DO182">
        <v>2.0302500000000001</v>
      </c>
      <c r="DP182">
        <v>0.154026</v>
      </c>
      <c r="DQ182">
        <v>0.136189</v>
      </c>
      <c r="DR182">
        <v>24.491199999999999</v>
      </c>
      <c r="DS182">
        <v>24.343800000000002</v>
      </c>
      <c r="DT182">
        <v>30.5</v>
      </c>
      <c r="DU182">
        <v>29.3</v>
      </c>
      <c r="DV182">
        <v>12.5778</v>
      </c>
      <c r="DW182">
        <v>61.273000000000003</v>
      </c>
      <c r="DX182">
        <v>36.674700000000001</v>
      </c>
      <c r="DY182">
        <v>1</v>
      </c>
      <c r="DZ182">
        <v>-9.6435499999999993E-2</v>
      </c>
      <c r="EA182">
        <v>0.58208599999999999</v>
      </c>
      <c r="EB182">
        <v>20.188099999999999</v>
      </c>
      <c r="EC182">
        <v>5.2408000000000001</v>
      </c>
      <c r="ED182">
        <v>12.039899999999999</v>
      </c>
      <c r="EE182">
        <v>5.0166500000000003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1.86463</v>
      </c>
      <c r="EM182">
        <v>1.8692</v>
      </c>
      <c r="EN182">
        <v>1.8672299999999999</v>
      </c>
      <c r="EO182">
        <v>1.8633900000000001</v>
      </c>
      <c r="EP182">
        <v>1.8644700000000001</v>
      </c>
      <c r="EQ182">
        <v>1.8701700000000001</v>
      </c>
      <c r="ER182">
        <v>1.8693900000000001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8.9999999999999993E-3</v>
      </c>
      <c r="FG182">
        <v>0.27179999999999999</v>
      </c>
      <c r="FH182">
        <v>0.30965466913576151</v>
      </c>
      <c r="FI182">
        <v>-6.1462078757559423E-4</v>
      </c>
      <c r="FJ182">
        <v>-1.8861989874597051E-7</v>
      </c>
      <c r="FK182">
        <v>1.1980462299894961E-10</v>
      </c>
      <c r="FL182">
        <v>0.27184999999999349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37.5</v>
      </c>
      <c r="FU182">
        <v>37.700000000000003</v>
      </c>
      <c r="FV182">
        <v>1.7639199999999999</v>
      </c>
      <c r="FW182">
        <v>2.5927699999999998</v>
      </c>
      <c r="FX182">
        <v>1.5490699999999999</v>
      </c>
      <c r="FY182">
        <v>2.3303199999999999</v>
      </c>
      <c r="FZ182">
        <v>1.50146</v>
      </c>
      <c r="GA182">
        <v>2.33521</v>
      </c>
      <c r="GB182">
        <v>33.918700000000001</v>
      </c>
      <c r="GC182">
        <v>23.982399999999998</v>
      </c>
      <c r="GD182">
        <v>19</v>
      </c>
      <c r="GE182">
        <v>270.80200000000002</v>
      </c>
      <c r="GF182">
        <v>577.56299999999999</v>
      </c>
      <c r="GG182">
        <v>23.429099999999998</v>
      </c>
      <c r="GH182">
        <v>26.153700000000001</v>
      </c>
      <c r="GI182">
        <v>30</v>
      </c>
      <c r="GJ182">
        <v>26.3018</v>
      </c>
      <c r="GK182">
        <v>26.288499999999999</v>
      </c>
      <c r="GL182">
        <v>35.263800000000003</v>
      </c>
      <c r="GM182">
        <v>100</v>
      </c>
      <c r="GN182">
        <v>26.704499999999999</v>
      </c>
      <c r="GO182">
        <v>23.4238</v>
      </c>
      <c r="GP182">
        <v>800</v>
      </c>
      <c r="GQ182">
        <v>0</v>
      </c>
      <c r="GR182">
        <v>99.784899999999993</v>
      </c>
      <c r="GS182">
        <v>99.658100000000005</v>
      </c>
    </row>
    <row r="183" spans="1:201" x14ac:dyDescent="0.25">
      <c r="A183">
        <v>167</v>
      </c>
      <c r="B183">
        <v>1690305579.5999999</v>
      </c>
      <c r="C183">
        <v>1829.599999904633</v>
      </c>
      <c r="D183" t="s">
        <v>665</v>
      </c>
      <c r="E183" t="s">
        <v>666</v>
      </c>
      <c r="F183" t="s">
        <v>330</v>
      </c>
      <c r="H183">
        <v>1690305579.5999999</v>
      </c>
      <c r="I183">
        <f t="shared" si="60"/>
        <v>2.1003551362734378E-3</v>
      </c>
      <c r="J183">
        <f t="shared" si="61"/>
        <v>2.1003551362734378</v>
      </c>
      <c r="K183">
        <f t="shared" si="62"/>
        <v>31.443425003444776</v>
      </c>
      <c r="L183">
        <f t="shared" si="63"/>
        <v>444.15100000000001</v>
      </c>
      <c r="M183">
        <f t="shared" si="64"/>
        <v>116.64647590806898</v>
      </c>
      <c r="N183">
        <f t="shared" si="65"/>
        <v>11.587286014934005</v>
      </c>
      <c r="O183">
        <f t="shared" si="66"/>
        <v>44.120532838686003</v>
      </c>
      <c r="P183">
        <f t="shared" si="67"/>
        <v>0.16222720035831883</v>
      </c>
      <c r="Q183">
        <f t="shared" si="68"/>
        <v>2.0996112708297856</v>
      </c>
      <c r="R183">
        <f t="shared" si="69"/>
        <v>0.15557143693299461</v>
      </c>
      <c r="S183">
        <f t="shared" si="70"/>
        <v>9.7807387613123742E-2</v>
      </c>
      <c r="T183">
        <f t="shared" si="71"/>
        <v>276.11400279600002</v>
      </c>
      <c r="U183">
        <f t="shared" si="72"/>
        <v>26.937311465601923</v>
      </c>
      <c r="V183">
        <f t="shared" si="73"/>
        <v>26.937311465601923</v>
      </c>
      <c r="W183">
        <f t="shared" si="74"/>
        <v>3.5660029113021126</v>
      </c>
      <c r="X183">
        <f t="shared" si="75"/>
        <v>69.264309650495406</v>
      </c>
      <c r="Y183">
        <f t="shared" si="76"/>
        <v>2.2642230980123998</v>
      </c>
      <c r="Z183">
        <f t="shared" si="77"/>
        <v>3.2689607525687729</v>
      </c>
      <c r="AA183">
        <f t="shared" si="78"/>
        <v>1.3017798132897127</v>
      </c>
      <c r="AB183">
        <f t="shared" si="79"/>
        <v>-92.625661509658599</v>
      </c>
      <c r="AC183">
        <f t="shared" si="80"/>
        <v>-166.62322329026813</v>
      </c>
      <c r="AD183">
        <f t="shared" si="81"/>
        <v>-16.990295227835762</v>
      </c>
      <c r="AE183">
        <f t="shared" si="82"/>
        <v>-0.12517723176244999</v>
      </c>
      <c r="AF183">
        <v>8</v>
      </c>
      <c r="AG183">
        <v>3</v>
      </c>
      <c r="AH183">
        <f t="shared" si="83"/>
        <v>1</v>
      </c>
      <c r="AI183">
        <f t="shared" si="84"/>
        <v>0</v>
      </c>
      <c r="AJ183">
        <f t="shared" si="85"/>
        <v>52737.053928500136</v>
      </c>
      <c r="AK183">
        <f t="shared" si="86"/>
        <v>1800</v>
      </c>
      <c r="AL183">
        <f t="shared" si="87"/>
        <v>1499.1147036000002</v>
      </c>
      <c r="AM183">
        <f t="shared" si="88"/>
        <v>0.83284150200000007</v>
      </c>
      <c r="AN183">
        <f t="shared" si="89"/>
        <v>0.15339666822</v>
      </c>
      <c r="AO183">
        <v>33</v>
      </c>
      <c r="AP183">
        <v>0.5</v>
      </c>
      <c r="AQ183" t="s">
        <v>331</v>
      </c>
      <c r="AR183">
        <v>2</v>
      </c>
      <c r="AS183">
        <v>1690305579.5999999</v>
      </c>
      <c r="AT183">
        <v>444.15100000000001</v>
      </c>
      <c r="AU183">
        <v>800.072</v>
      </c>
      <c r="AV183">
        <v>22.793399999999998</v>
      </c>
      <c r="AW183">
        <v>0.22994899999999999</v>
      </c>
      <c r="AX183">
        <v>444.14100000000002</v>
      </c>
      <c r="AY183">
        <v>22.5215</v>
      </c>
      <c r="AZ183">
        <v>300.18400000000003</v>
      </c>
      <c r="BA183">
        <v>99.236699999999999</v>
      </c>
      <c r="BB183">
        <v>0.10008599999999999</v>
      </c>
      <c r="BC183">
        <v>25.465299999999999</v>
      </c>
      <c r="BD183">
        <v>27.003299999999999</v>
      </c>
      <c r="BE183">
        <v>26.578700000000001</v>
      </c>
      <c r="BF183">
        <v>0</v>
      </c>
      <c r="BG183">
        <v>0</v>
      </c>
      <c r="BH183">
        <v>9998.75</v>
      </c>
      <c r="BI183">
        <v>1057.75</v>
      </c>
      <c r="BJ183">
        <v>1.5137799999999999</v>
      </c>
      <c r="BK183">
        <v>-355.92</v>
      </c>
      <c r="BL183">
        <v>454.51100000000002</v>
      </c>
      <c r="BM183">
        <v>800.25599999999997</v>
      </c>
      <c r="BN183">
        <v>22.563400000000001</v>
      </c>
      <c r="BO183">
        <v>800.072</v>
      </c>
      <c r="BP183">
        <v>0.22994899999999999</v>
      </c>
      <c r="BQ183">
        <v>2.2619400000000001</v>
      </c>
      <c r="BR183">
        <v>2.28194E-2</v>
      </c>
      <c r="BS183">
        <v>19.407900000000001</v>
      </c>
      <c r="BT183">
        <v>-38.147300000000001</v>
      </c>
      <c r="BU183">
        <v>1800</v>
      </c>
      <c r="BV183">
        <v>0.91002400000000006</v>
      </c>
      <c r="BW183">
        <v>3.3994499999999997E-2</v>
      </c>
      <c r="BX183">
        <v>2.19916E-2</v>
      </c>
      <c r="BY183">
        <v>3.3989999999999999E-2</v>
      </c>
      <c r="BZ183">
        <v>26</v>
      </c>
      <c r="CA183">
        <v>33528.5</v>
      </c>
      <c r="CB183">
        <v>1690303320.5</v>
      </c>
      <c r="CC183" t="s">
        <v>332</v>
      </c>
      <c r="CD183">
        <v>1690303320.5</v>
      </c>
      <c r="CE183">
        <v>1690303310.0999999</v>
      </c>
      <c r="CF183">
        <v>8</v>
      </c>
      <c r="CG183">
        <v>7.3999999999999996E-2</v>
      </c>
      <c r="CH183">
        <v>-0.01</v>
      </c>
      <c r="CI183">
        <v>-0.24199999999999999</v>
      </c>
      <c r="CJ183">
        <v>0.27200000000000002</v>
      </c>
      <c r="CK183">
        <v>800</v>
      </c>
      <c r="CL183">
        <v>23</v>
      </c>
      <c r="CM183">
        <v>0.06</v>
      </c>
      <c r="CN183">
        <v>0.09</v>
      </c>
      <c r="CO183">
        <v>-354.95434999999998</v>
      </c>
      <c r="CP183">
        <v>-6.3488105065651581</v>
      </c>
      <c r="CQ183">
        <v>0.61352227139689419</v>
      </c>
      <c r="CR183">
        <v>-1</v>
      </c>
      <c r="CS183">
        <v>22.524027499999999</v>
      </c>
      <c r="CT183">
        <v>0.248088180112601</v>
      </c>
      <c r="CU183">
        <v>2.408265960707015E-2</v>
      </c>
      <c r="CV183">
        <v>-1</v>
      </c>
      <c r="CW183">
        <v>0</v>
      </c>
      <c r="CX183">
        <v>0</v>
      </c>
      <c r="CY183" t="s">
        <v>333</v>
      </c>
      <c r="CZ183">
        <v>2.3647300000000002</v>
      </c>
      <c r="DA183">
        <v>2.7138800000000001</v>
      </c>
      <c r="DB183">
        <v>9.6989199999999998E-2</v>
      </c>
      <c r="DC183">
        <v>0.14622499999999999</v>
      </c>
      <c r="DD183">
        <v>0.109713</v>
      </c>
      <c r="DE183">
        <v>1.9305500000000001E-3</v>
      </c>
      <c r="DF183">
        <v>32986.800000000003</v>
      </c>
      <c r="DG183">
        <v>27537.9</v>
      </c>
      <c r="DH183">
        <v>31185.4</v>
      </c>
      <c r="DI183">
        <v>28105.5</v>
      </c>
      <c r="DJ183">
        <v>37693.300000000003</v>
      </c>
      <c r="DK183">
        <v>39900.1</v>
      </c>
      <c r="DL183">
        <v>44383.6</v>
      </c>
      <c r="DM183">
        <v>42602.8</v>
      </c>
      <c r="DN183">
        <v>1.44808</v>
      </c>
      <c r="DO183">
        <v>2.0299700000000001</v>
      </c>
      <c r="DP183">
        <v>0.15295300000000001</v>
      </c>
      <c r="DQ183">
        <v>0.13594300000000001</v>
      </c>
      <c r="DR183">
        <v>24.4968</v>
      </c>
      <c r="DS183">
        <v>24.349900000000002</v>
      </c>
      <c r="DT183">
        <v>30.2</v>
      </c>
      <c r="DU183">
        <v>29.3</v>
      </c>
      <c r="DV183">
        <v>12.4526</v>
      </c>
      <c r="DW183">
        <v>61.563000000000002</v>
      </c>
      <c r="DX183">
        <v>36.5946</v>
      </c>
      <c r="DY183">
        <v>1</v>
      </c>
      <c r="DZ183">
        <v>-9.6603099999999997E-2</v>
      </c>
      <c r="EA183">
        <v>0.54963799999999996</v>
      </c>
      <c r="EB183">
        <v>20.188199999999998</v>
      </c>
      <c r="EC183">
        <v>5.2406499999999996</v>
      </c>
      <c r="ED183">
        <v>12.039899999999999</v>
      </c>
      <c r="EE183">
        <v>5.0167999999999999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1.8689100000000001</v>
      </c>
      <c r="EL183">
        <v>1.86463</v>
      </c>
      <c r="EM183">
        <v>1.8692</v>
      </c>
      <c r="EN183">
        <v>1.8672200000000001</v>
      </c>
      <c r="EO183">
        <v>1.8633900000000001</v>
      </c>
      <c r="EP183">
        <v>1.8644799999999999</v>
      </c>
      <c r="EQ183">
        <v>1.87019</v>
      </c>
      <c r="ER183">
        <v>1.86937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0.01</v>
      </c>
      <c r="FG183">
        <v>0.27189999999999998</v>
      </c>
      <c r="FH183">
        <v>0.30965466913576151</v>
      </c>
      <c r="FI183">
        <v>-6.1462078757559423E-4</v>
      </c>
      <c r="FJ183">
        <v>-1.8861989874597051E-7</v>
      </c>
      <c r="FK183">
        <v>1.1980462299894961E-10</v>
      </c>
      <c r="FL183">
        <v>0.27184999999999349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37.700000000000003</v>
      </c>
      <c r="FU183">
        <v>37.799999999999997</v>
      </c>
      <c r="FV183">
        <v>1.7639199999999999</v>
      </c>
      <c r="FW183">
        <v>2.5939899999999998</v>
      </c>
      <c r="FX183">
        <v>1.5490699999999999</v>
      </c>
      <c r="FY183">
        <v>2.3303199999999999</v>
      </c>
      <c r="FZ183">
        <v>1.50146</v>
      </c>
      <c r="GA183">
        <v>2.2570800000000002</v>
      </c>
      <c r="GB183">
        <v>33.918700000000001</v>
      </c>
      <c r="GC183">
        <v>23.973700000000001</v>
      </c>
      <c r="GD183">
        <v>19</v>
      </c>
      <c r="GE183">
        <v>270.86399999999998</v>
      </c>
      <c r="GF183">
        <v>577.33699999999999</v>
      </c>
      <c r="GG183">
        <v>23.404699999999998</v>
      </c>
      <c r="GH183">
        <v>26.153700000000001</v>
      </c>
      <c r="GI183">
        <v>30.0001</v>
      </c>
      <c r="GJ183">
        <v>26.3018</v>
      </c>
      <c r="GK183">
        <v>26.288499999999999</v>
      </c>
      <c r="GL183">
        <v>35.258200000000002</v>
      </c>
      <c r="GM183">
        <v>100</v>
      </c>
      <c r="GN183">
        <v>25.915600000000001</v>
      </c>
      <c r="GO183">
        <v>23.4011</v>
      </c>
      <c r="GP183">
        <v>800</v>
      </c>
      <c r="GQ183">
        <v>0</v>
      </c>
      <c r="GR183">
        <v>99.784999999999997</v>
      </c>
      <c r="GS183">
        <v>99.658500000000004</v>
      </c>
    </row>
    <row r="184" spans="1:201" x14ac:dyDescent="0.25">
      <c r="A184">
        <v>168</v>
      </c>
      <c r="B184">
        <v>1690305589.5999999</v>
      </c>
      <c r="C184">
        <v>1839.599999904633</v>
      </c>
      <c r="D184" t="s">
        <v>667</v>
      </c>
      <c r="E184" t="s">
        <v>668</v>
      </c>
      <c r="F184" t="s">
        <v>330</v>
      </c>
      <c r="H184">
        <v>1690305589.5999999</v>
      </c>
      <c r="I184">
        <f t="shared" si="60"/>
        <v>2.1050967047387668E-3</v>
      </c>
      <c r="J184">
        <f t="shared" si="61"/>
        <v>2.105096704738767</v>
      </c>
      <c r="K184">
        <f t="shared" si="62"/>
        <v>31.551050970602681</v>
      </c>
      <c r="L184">
        <f t="shared" si="63"/>
        <v>442.89299999999997</v>
      </c>
      <c r="M184">
        <f t="shared" si="64"/>
        <v>115.82150017046801</v>
      </c>
      <c r="N184">
        <f t="shared" si="65"/>
        <v>11.505903101983581</v>
      </c>
      <c r="O184">
        <f t="shared" si="66"/>
        <v>43.997737337598004</v>
      </c>
      <c r="P184">
        <f t="shared" si="67"/>
        <v>0.16301605916221232</v>
      </c>
      <c r="Q184">
        <f t="shared" si="68"/>
        <v>2.0978951721323469</v>
      </c>
      <c r="R184">
        <f t="shared" si="69"/>
        <v>0.15629159748043478</v>
      </c>
      <c r="S184">
        <f t="shared" si="70"/>
        <v>9.8263300269062714E-2</v>
      </c>
      <c r="T184">
        <f t="shared" si="71"/>
        <v>276.11394010200002</v>
      </c>
      <c r="U184">
        <f t="shared" si="72"/>
        <v>26.944115508225767</v>
      </c>
      <c r="V184">
        <f t="shared" si="73"/>
        <v>26.944115508225767</v>
      </c>
      <c r="W184">
        <f t="shared" si="74"/>
        <v>3.5674288669956673</v>
      </c>
      <c r="X184">
        <f t="shared" si="75"/>
        <v>69.370631555216463</v>
      </c>
      <c r="Y184">
        <f t="shared" si="76"/>
        <v>2.2686958856878001</v>
      </c>
      <c r="Z184">
        <f t="shared" si="77"/>
        <v>3.2703981999673766</v>
      </c>
      <c r="AA184">
        <f t="shared" si="78"/>
        <v>1.2987329813078672</v>
      </c>
      <c r="AB184">
        <f t="shared" si="79"/>
        <v>-92.83476467897961</v>
      </c>
      <c r="AC184">
        <f t="shared" si="80"/>
        <v>-166.41963146580522</v>
      </c>
      <c r="AD184">
        <f t="shared" si="81"/>
        <v>-16.984625876854448</v>
      </c>
      <c r="AE184">
        <f t="shared" si="82"/>
        <v>-0.12508191963928539</v>
      </c>
      <c r="AF184">
        <v>8</v>
      </c>
      <c r="AG184">
        <v>3</v>
      </c>
      <c r="AH184">
        <f t="shared" si="83"/>
        <v>1</v>
      </c>
      <c r="AI184">
        <f t="shared" si="84"/>
        <v>0</v>
      </c>
      <c r="AJ184">
        <f t="shared" si="85"/>
        <v>52659.259041658253</v>
      </c>
      <c r="AK184">
        <f t="shared" si="86"/>
        <v>1800</v>
      </c>
      <c r="AL184">
        <f t="shared" si="87"/>
        <v>1499.1115662</v>
      </c>
      <c r="AM184">
        <f t="shared" si="88"/>
        <v>0.83283975899999996</v>
      </c>
      <c r="AN184">
        <f t="shared" si="89"/>
        <v>0.15339663339000001</v>
      </c>
      <c r="AO184">
        <v>33</v>
      </c>
      <c r="AP184">
        <v>0.5</v>
      </c>
      <c r="AQ184" t="s">
        <v>331</v>
      </c>
      <c r="AR184">
        <v>2</v>
      </c>
      <c r="AS184">
        <v>1690305589.5999999</v>
      </c>
      <c r="AT184">
        <v>442.89299999999997</v>
      </c>
      <c r="AU184">
        <v>799.94600000000003</v>
      </c>
      <c r="AV184">
        <v>22.837299999999999</v>
      </c>
      <c r="AW184">
        <v>0.22678999999999999</v>
      </c>
      <c r="AX184">
        <v>442.88200000000001</v>
      </c>
      <c r="AY184">
        <v>22.5654</v>
      </c>
      <c r="AZ184">
        <v>300.22199999999998</v>
      </c>
      <c r="BA184">
        <v>99.241600000000005</v>
      </c>
      <c r="BB184">
        <v>0.10008599999999999</v>
      </c>
      <c r="BC184">
        <v>25.4727</v>
      </c>
      <c r="BD184">
        <v>26.9864</v>
      </c>
      <c r="BE184">
        <v>26.577200000000001</v>
      </c>
      <c r="BF184">
        <v>0</v>
      </c>
      <c r="BG184">
        <v>0</v>
      </c>
      <c r="BH184">
        <v>9983.1200000000008</v>
      </c>
      <c r="BI184">
        <v>1057.8699999999999</v>
      </c>
      <c r="BJ184">
        <v>1.5137799999999999</v>
      </c>
      <c r="BK184">
        <v>-357.053</v>
      </c>
      <c r="BL184">
        <v>453.24400000000003</v>
      </c>
      <c r="BM184">
        <v>800.12800000000004</v>
      </c>
      <c r="BN184">
        <v>22.610499999999998</v>
      </c>
      <c r="BO184">
        <v>799.94600000000003</v>
      </c>
      <c r="BP184">
        <v>0.22678999999999999</v>
      </c>
      <c r="BQ184">
        <v>2.26641</v>
      </c>
      <c r="BR184">
        <v>2.2506999999999999E-2</v>
      </c>
      <c r="BS184">
        <v>19.439599999999999</v>
      </c>
      <c r="BT184">
        <v>-38.281700000000001</v>
      </c>
      <c r="BU184">
        <v>1800</v>
      </c>
      <c r="BV184">
        <v>0.91001299999999996</v>
      </c>
      <c r="BW184">
        <v>3.3999599999999998E-2</v>
      </c>
      <c r="BX184">
        <v>2.1991199999999999E-2</v>
      </c>
      <c r="BY184">
        <v>3.3995699999999997E-2</v>
      </c>
      <c r="BZ184">
        <v>26</v>
      </c>
      <c r="CA184">
        <v>33528.5</v>
      </c>
      <c r="CB184">
        <v>1690303320.5</v>
      </c>
      <c r="CC184" t="s">
        <v>332</v>
      </c>
      <c r="CD184">
        <v>1690303320.5</v>
      </c>
      <c r="CE184">
        <v>1690303310.0999999</v>
      </c>
      <c r="CF184">
        <v>8</v>
      </c>
      <c r="CG184">
        <v>7.3999999999999996E-2</v>
      </c>
      <c r="CH184">
        <v>-0.01</v>
      </c>
      <c r="CI184">
        <v>-0.24199999999999999</v>
      </c>
      <c r="CJ184">
        <v>0.27200000000000002</v>
      </c>
      <c r="CK184">
        <v>800</v>
      </c>
      <c r="CL184">
        <v>23</v>
      </c>
      <c r="CM184">
        <v>0.06</v>
      </c>
      <c r="CN184">
        <v>0.09</v>
      </c>
      <c r="CO184">
        <v>-355.88457499999998</v>
      </c>
      <c r="CP184">
        <v>-6.2874934333959542</v>
      </c>
      <c r="CQ184">
        <v>0.60750320523845758</v>
      </c>
      <c r="CR184">
        <v>-1</v>
      </c>
      <c r="CS184">
        <v>22.560147499999999</v>
      </c>
      <c r="CT184">
        <v>0.24365966228892449</v>
      </c>
      <c r="CU184">
        <v>2.351879022717791E-2</v>
      </c>
      <c r="CV184">
        <v>-1</v>
      </c>
      <c r="CW184">
        <v>0</v>
      </c>
      <c r="CX184">
        <v>0</v>
      </c>
      <c r="CY184" t="s">
        <v>333</v>
      </c>
      <c r="CZ184">
        <v>2.3648899999999999</v>
      </c>
      <c r="DA184">
        <v>2.7138599999999999</v>
      </c>
      <c r="DB184">
        <v>9.6788200000000005E-2</v>
      </c>
      <c r="DC184">
        <v>0.14621700000000001</v>
      </c>
      <c r="DD184">
        <v>0.10986899999999999</v>
      </c>
      <c r="DE184">
        <v>1.9044999999999999E-3</v>
      </c>
      <c r="DF184">
        <v>32993.599999999999</v>
      </c>
      <c r="DG184">
        <v>27538.1</v>
      </c>
      <c r="DH184">
        <v>31184.9</v>
      </c>
      <c r="DI184">
        <v>28105.4</v>
      </c>
      <c r="DJ184">
        <v>37686.1</v>
      </c>
      <c r="DK184">
        <v>39901.300000000003</v>
      </c>
      <c r="DL184">
        <v>44383</v>
      </c>
      <c r="DM184">
        <v>42603</v>
      </c>
      <c r="DN184">
        <v>1.44855</v>
      </c>
      <c r="DO184">
        <v>2.0299700000000001</v>
      </c>
      <c r="DP184">
        <v>0.15160399999999999</v>
      </c>
      <c r="DQ184">
        <v>0.135578</v>
      </c>
      <c r="DR184">
        <v>24.501999999999999</v>
      </c>
      <c r="DS184">
        <v>24.354299999999999</v>
      </c>
      <c r="DT184">
        <v>29.8</v>
      </c>
      <c r="DU184">
        <v>29.3</v>
      </c>
      <c r="DV184">
        <v>12.2904</v>
      </c>
      <c r="DW184">
        <v>61.792999999999999</v>
      </c>
      <c r="DX184">
        <v>36.286099999999998</v>
      </c>
      <c r="DY184">
        <v>1</v>
      </c>
      <c r="DZ184">
        <v>-9.6557400000000002E-2</v>
      </c>
      <c r="EA184">
        <v>0.50243499999999996</v>
      </c>
      <c r="EB184">
        <v>20.188199999999998</v>
      </c>
      <c r="EC184">
        <v>5.2406499999999996</v>
      </c>
      <c r="ED184">
        <v>12.039899999999999</v>
      </c>
      <c r="EE184">
        <v>5.0165499999999996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1.86463</v>
      </c>
      <c r="EM184">
        <v>1.8692</v>
      </c>
      <c r="EN184">
        <v>1.8672200000000001</v>
      </c>
      <c r="EO184">
        <v>1.86338</v>
      </c>
      <c r="EP184">
        <v>1.8644700000000001</v>
      </c>
      <c r="EQ184">
        <v>1.87015</v>
      </c>
      <c r="ER184">
        <v>1.86937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1.0999999999999999E-2</v>
      </c>
      <c r="FG184">
        <v>0.27189999999999998</v>
      </c>
      <c r="FH184">
        <v>0.30965466913576151</v>
      </c>
      <c r="FI184">
        <v>-6.1462078757559423E-4</v>
      </c>
      <c r="FJ184">
        <v>-1.8861989874597051E-7</v>
      </c>
      <c r="FK184">
        <v>1.1980462299894961E-10</v>
      </c>
      <c r="FL184">
        <v>0.27184999999999349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37.799999999999997</v>
      </c>
      <c r="FU184">
        <v>38</v>
      </c>
      <c r="FV184">
        <v>1.7639199999999999</v>
      </c>
      <c r="FW184">
        <v>2.5927699999999998</v>
      </c>
      <c r="FX184">
        <v>1.5490699999999999</v>
      </c>
      <c r="FY184">
        <v>2.3303199999999999</v>
      </c>
      <c r="FZ184">
        <v>1.50146</v>
      </c>
      <c r="GA184">
        <v>2.2778299999999998</v>
      </c>
      <c r="GB184">
        <v>33.896099999999997</v>
      </c>
      <c r="GC184">
        <v>23.982399999999998</v>
      </c>
      <c r="GD184">
        <v>19</v>
      </c>
      <c r="GE184">
        <v>271.06</v>
      </c>
      <c r="GF184">
        <v>577.31899999999996</v>
      </c>
      <c r="GG184">
        <v>23.392900000000001</v>
      </c>
      <c r="GH184">
        <v>26.153700000000001</v>
      </c>
      <c r="GI184">
        <v>30</v>
      </c>
      <c r="GJ184">
        <v>26.3018</v>
      </c>
      <c r="GK184">
        <v>26.286799999999999</v>
      </c>
      <c r="GL184">
        <v>35.258699999999997</v>
      </c>
      <c r="GM184">
        <v>100</v>
      </c>
      <c r="GN184">
        <v>25.527000000000001</v>
      </c>
      <c r="GO184">
        <v>23.395600000000002</v>
      </c>
      <c r="GP184">
        <v>800</v>
      </c>
      <c r="GQ184">
        <v>0</v>
      </c>
      <c r="GR184">
        <v>99.783500000000004</v>
      </c>
      <c r="GS184">
        <v>99.658699999999996</v>
      </c>
    </row>
    <row r="185" spans="1:201" x14ac:dyDescent="0.25">
      <c r="A185">
        <v>169</v>
      </c>
      <c r="B185">
        <v>1690305599.5999999</v>
      </c>
      <c r="C185">
        <v>1849.599999904633</v>
      </c>
      <c r="D185" t="s">
        <v>669</v>
      </c>
      <c r="E185" t="s">
        <v>670</v>
      </c>
      <c r="F185" t="s">
        <v>330</v>
      </c>
      <c r="H185">
        <v>1690305599.5999999</v>
      </c>
      <c r="I185">
        <f t="shared" si="60"/>
        <v>2.1083900754951942E-3</v>
      </c>
      <c r="J185">
        <f t="shared" si="61"/>
        <v>2.1083900754951941</v>
      </c>
      <c r="K185">
        <f t="shared" si="62"/>
        <v>31.614735269666298</v>
      </c>
      <c r="L185">
        <f t="shared" si="63"/>
        <v>442.06400000000002</v>
      </c>
      <c r="M185">
        <f t="shared" si="64"/>
        <v>116.55890836684272</v>
      </c>
      <c r="N185">
        <f t="shared" si="65"/>
        <v>11.579204446315121</v>
      </c>
      <c r="O185">
        <f t="shared" si="66"/>
        <v>43.915557429945608</v>
      </c>
      <c r="P185">
        <f t="shared" si="67"/>
        <v>0.16414622969104789</v>
      </c>
      <c r="Q185">
        <f t="shared" si="68"/>
        <v>2.1063112818348069</v>
      </c>
      <c r="R185">
        <f t="shared" si="69"/>
        <v>0.15735632380527875</v>
      </c>
      <c r="S185">
        <f t="shared" si="70"/>
        <v>9.893434417896016E-2</v>
      </c>
      <c r="T185">
        <f t="shared" si="71"/>
        <v>276.11415523800002</v>
      </c>
      <c r="U185">
        <f t="shared" si="72"/>
        <v>26.931223672218046</v>
      </c>
      <c r="V185">
        <f t="shared" si="73"/>
        <v>26.931223672218046</v>
      </c>
      <c r="W185">
        <f t="shared" si="74"/>
        <v>3.5647274851598816</v>
      </c>
      <c r="X185">
        <f t="shared" si="75"/>
        <v>69.521573761249272</v>
      </c>
      <c r="Y185">
        <f t="shared" si="76"/>
        <v>2.2727679838072801</v>
      </c>
      <c r="Z185">
        <f t="shared" si="77"/>
        <v>3.2691549699556735</v>
      </c>
      <c r="AA185">
        <f t="shared" si="78"/>
        <v>1.2919595013526015</v>
      </c>
      <c r="AB185">
        <f t="shared" si="79"/>
        <v>-92.980002329338063</v>
      </c>
      <c r="AC185">
        <f t="shared" si="80"/>
        <v>-166.35007241957803</v>
      </c>
      <c r="AD185">
        <f t="shared" si="81"/>
        <v>-16.908054024678243</v>
      </c>
      <c r="AE185">
        <f t="shared" si="82"/>
        <v>-0.12397353559427415</v>
      </c>
      <c r="AF185">
        <v>8</v>
      </c>
      <c r="AG185">
        <v>3</v>
      </c>
      <c r="AH185">
        <f t="shared" si="83"/>
        <v>1</v>
      </c>
      <c r="AI185">
        <f t="shared" si="84"/>
        <v>0</v>
      </c>
      <c r="AJ185">
        <f t="shared" si="85"/>
        <v>53036.773959469181</v>
      </c>
      <c r="AK185">
        <f t="shared" si="86"/>
        <v>1800</v>
      </c>
      <c r="AL185">
        <f t="shared" si="87"/>
        <v>1499.1098598000001</v>
      </c>
      <c r="AM185">
        <f t="shared" si="88"/>
        <v>0.83283881100000001</v>
      </c>
      <c r="AN185">
        <f t="shared" si="89"/>
        <v>0.15339675291000002</v>
      </c>
      <c r="AO185">
        <v>33</v>
      </c>
      <c r="AP185">
        <v>0.5</v>
      </c>
      <c r="AQ185" t="s">
        <v>331</v>
      </c>
      <c r="AR185">
        <v>2</v>
      </c>
      <c r="AS185">
        <v>1690305599.5999999</v>
      </c>
      <c r="AT185">
        <v>442.06400000000002</v>
      </c>
      <c r="AU185">
        <v>799.97</v>
      </c>
      <c r="AV185">
        <v>22.8782</v>
      </c>
      <c r="AW185">
        <v>0.22337899999999999</v>
      </c>
      <c r="AX185">
        <v>442.05200000000002</v>
      </c>
      <c r="AY185">
        <v>22.606300000000001</v>
      </c>
      <c r="AZ185">
        <v>300.09100000000001</v>
      </c>
      <c r="BA185">
        <v>99.242199999999997</v>
      </c>
      <c r="BB185">
        <v>9.9880399999999994E-2</v>
      </c>
      <c r="BC185">
        <v>25.4663</v>
      </c>
      <c r="BD185">
        <v>27.015699999999999</v>
      </c>
      <c r="BE185">
        <v>26.5808</v>
      </c>
      <c r="BF185">
        <v>0</v>
      </c>
      <c r="BG185">
        <v>0</v>
      </c>
      <c r="BH185">
        <v>10057.5</v>
      </c>
      <c r="BI185">
        <v>1058.03</v>
      </c>
      <c r="BJ185">
        <v>1.5278</v>
      </c>
      <c r="BK185">
        <v>-357.90699999999998</v>
      </c>
      <c r="BL185">
        <v>452.41399999999999</v>
      </c>
      <c r="BM185">
        <v>800.149</v>
      </c>
      <c r="BN185">
        <v>22.654800000000002</v>
      </c>
      <c r="BO185">
        <v>799.97</v>
      </c>
      <c r="BP185">
        <v>0.22337899999999999</v>
      </c>
      <c r="BQ185">
        <v>2.2704800000000001</v>
      </c>
      <c r="BR185">
        <v>2.21687E-2</v>
      </c>
      <c r="BS185">
        <v>19.468499999999999</v>
      </c>
      <c r="BT185">
        <v>-38.429099999999998</v>
      </c>
      <c r="BU185">
        <v>1800</v>
      </c>
      <c r="BV185">
        <v>0.91000400000000004</v>
      </c>
      <c r="BW185">
        <v>3.40074E-2</v>
      </c>
      <c r="BX185">
        <v>2.1990800000000001E-2</v>
      </c>
      <c r="BY185">
        <v>3.3997699999999999E-2</v>
      </c>
      <c r="BZ185">
        <v>26</v>
      </c>
      <c r="CA185">
        <v>33528.5</v>
      </c>
      <c r="CB185">
        <v>1690303320.5</v>
      </c>
      <c r="CC185" t="s">
        <v>332</v>
      </c>
      <c r="CD185">
        <v>1690303320.5</v>
      </c>
      <c r="CE185">
        <v>1690303310.0999999</v>
      </c>
      <c r="CF185">
        <v>8</v>
      </c>
      <c r="CG185">
        <v>7.3999999999999996E-2</v>
      </c>
      <c r="CH185">
        <v>-0.01</v>
      </c>
      <c r="CI185">
        <v>-0.24199999999999999</v>
      </c>
      <c r="CJ185">
        <v>0.27200000000000002</v>
      </c>
      <c r="CK185">
        <v>800</v>
      </c>
      <c r="CL185">
        <v>23</v>
      </c>
      <c r="CM185">
        <v>0.06</v>
      </c>
      <c r="CN185">
        <v>0.09</v>
      </c>
      <c r="CO185">
        <v>-356.901725</v>
      </c>
      <c r="CP185">
        <v>-6.103823639773629</v>
      </c>
      <c r="CQ185">
        <v>0.59179016498670922</v>
      </c>
      <c r="CR185">
        <v>-1</v>
      </c>
      <c r="CS185">
        <v>22.604487500000001</v>
      </c>
      <c r="CT185">
        <v>0.2875913696059757</v>
      </c>
      <c r="CU185">
        <v>2.7714312074269571E-2</v>
      </c>
      <c r="CV185">
        <v>-1</v>
      </c>
      <c r="CW185">
        <v>0</v>
      </c>
      <c r="CX185">
        <v>0</v>
      </c>
      <c r="CY185" t="s">
        <v>333</v>
      </c>
      <c r="CZ185">
        <v>2.3644599999999998</v>
      </c>
      <c r="DA185">
        <v>2.7137199999999999</v>
      </c>
      <c r="DB185">
        <v>9.6653299999999998E-2</v>
      </c>
      <c r="DC185">
        <v>0.14622099999999999</v>
      </c>
      <c r="DD185">
        <v>0.11001</v>
      </c>
      <c r="DE185">
        <v>1.87626E-3</v>
      </c>
      <c r="DF185">
        <v>32998.6</v>
      </c>
      <c r="DG185">
        <v>27537.9</v>
      </c>
      <c r="DH185">
        <v>31184.9</v>
      </c>
      <c r="DI185">
        <v>28105.4</v>
      </c>
      <c r="DJ185">
        <v>37680.1</v>
      </c>
      <c r="DK185">
        <v>39902.400000000001</v>
      </c>
      <c r="DL185">
        <v>44383</v>
      </c>
      <c r="DM185">
        <v>42602.9</v>
      </c>
      <c r="DN185">
        <v>1.4484300000000001</v>
      </c>
      <c r="DO185">
        <v>2.0304000000000002</v>
      </c>
      <c r="DP185">
        <v>0.153109</v>
      </c>
      <c r="DQ185">
        <v>0.135571</v>
      </c>
      <c r="DR185">
        <v>24.506599999999999</v>
      </c>
      <c r="DS185">
        <v>24.3581</v>
      </c>
      <c r="DT185">
        <v>29.4</v>
      </c>
      <c r="DU185">
        <v>29.3</v>
      </c>
      <c r="DV185">
        <v>12.1236</v>
      </c>
      <c r="DW185">
        <v>61.302999999999997</v>
      </c>
      <c r="DX185">
        <v>36.246000000000002</v>
      </c>
      <c r="DY185">
        <v>1</v>
      </c>
      <c r="DZ185">
        <v>-9.6293199999999995E-2</v>
      </c>
      <c r="EA185">
        <v>0.37497000000000003</v>
      </c>
      <c r="EB185">
        <v>20.189</v>
      </c>
      <c r="EC185">
        <v>5.2401999999999997</v>
      </c>
      <c r="ED185">
        <v>12.039899999999999</v>
      </c>
      <c r="EE185">
        <v>5.0162500000000003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1.8646199999999999</v>
      </c>
      <c r="EM185">
        <v>1.8692</v>
      </c>
      <c r="EN185">
        <v>1.8672200000000001</v>
      </c>
      <c r="EO185">
        <v>1.8633900000000001</v>
      </c>
      <c r="EP185">
        <v>1.8644700000000001</v>
      </c>
      <c r="EQ185">
        <v>1.87018</v>
      </c>
      <c r="ER185">
        <v>1.86938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1.2E-2</v>
      </c>
      <c r="FG185">
        <v>0.27189999999999998</v>
      </c>
      <c r="FH185">
        <v>0.30965466913576151</v>
      </c>
      <c r="FI185">
        <v>-6.1462078757559423E-4</v>
      </c>
      <c r="FJ185">
        <v>-1.8861989874597051E-7</v>
      </c>
      <c r="FK185">
        <v>1.1980462299894961E-10</v>
      </c>
      <c r="FL185">
        <v>0.27184999999999349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38</v>
      </c>
      <c r="FU185">
        <v>38.200000000000003</v>
      </c>
      <c r="FV185">
        <v>1.7639199999999999</v>
      </c>
      <c r="FW185">
        <v>2.5927699999999998</v>
      </c>
      <c r="FX185">
        <v>1.5490699999999999</v>
      </c>
      <c r="FY185">
        <v>2.3303199999999999</v>
      </c>
      <c r="FZ185">
        <v>1.50146</v>
      </c>
      <c r="GA185">
        <v>2.2961399999999998</v>
      </c>
      <c r="GB185">
        <v>33.896099999999997</v>
      </c>
      <c r="GC185">
        <v>23.982399999999998</v>
      </c>
      <c r="GD185">
        <v>19</v>
      </c>
      <c r="GE185">
        <v>271.00900000000001</v>
      </c>
      <c r="GF185">
        <v>577.66099999999994</v>
      </c>
      <c r="GG185">
        <v>23.4375</v>
      </c>
      <c r="GH185">
        <v>26.153700000000001</v>
      </c>
      <c r="GI185">
        <v>30.0001</v>
      </c>
      <c r="GJ185">
        <v>26.3018</v>
      </c>
      <c r="GK185">
        <v>26.286300000000001</v>
      </c>
      <c r="GL185">
        <v>35.257599999999996</v>
      </c>
      <c r="GM185">
        <v>100</v>
      </c>
      <c r="GN185">
        <v>24.761600000000001</v>
      </c>
      <c r="GO185">
        <v>23.441800000000001</v>
      </c>
      <c r="GP185">
        <v>800</v>
      </c>
      <c r="GQ185">
        <v>0</v>
      </c>
      <c r="GR185">
        <v>99.783600000000007</v>
      </c>
      <c r="GS185">
        <v>99.658500000000004</v>
      </c>
    </row>
    <row r="186" spans="1:201" x14ac:dyDescent="0.25">
      <c r="A186">
        <v>170</v>
      </c>
      <c r="B186">
        <v>1690305609.5999999</v>
      </c>
      <c r="C186">
        <v>1859.599999904633</v>
      </c>
      <c r="D186" t="s">
        <v>671</v>
      </c>
      <c r="E186" t="s">
        <v>672</v>
      </c>
      <c r="F186" t="s">
        <v>330</v>
      </c>
      <c r="H186">
        <v>1690305609.5999999</v>
      </c>
      <c r="I186">
        <f t="shared" si="60"/>
        <v>2.1129344905212988E-3</v>
      </c>
      <c r="J186">
        <f t="shared" si="61"/>
        <v>2.1129344905212988</v>
      </c>
      <c r="K186">
        <f t="shared" si="62"/>
        <v>31.693927027318633</v>
      </c>
      <c r="L186">
        <f t="shared" si="63"/>
        <v>441.26</v>
      </c>
      <c r="M186">
        <f t="shared" si="64"/>
        <v>115.9793789089732</v>
      </c>
      <c r="N186">
        <f t="shared" si="65"/>
        <v>11.521827977611981</v>
      </c>
      <c r="O186">
        <f t="shared" si="66"/>
        <v>43.836429037883995</v>
      </c>
      <c r="P186">
        <f t="shared" si="67"/>
        <v>0.16469499644210511</v>
      </c>
      <c r="Q186">
        <f t="shared" si="68"/>
        <v>2.101667583293287</v>
      </c>
      <c r="R186">
        <f t="shared" si="69"/>
        <v>0.1578462058905416</v>
      </c>
      <c r="S186">
        <f t="shared" si="70"/>
        <v>9.9245482471798874E-2</v>
      </c>
      <c r="T186">
        <f t="shared" si="71"/>
        <v>276.11421413400001</v>
      </c>
      <c r="U186">
        <f t="shared" si="72"/>
        <v>26.944141670290939</v>
      </c>
      <c r="V186">
        <f t="shared" si="73"/>
        <v>26.944141670290939</v>
      </c>
      <c r="W186">
        <f t="shared" si="74"/>
        <v>3.567434350865057</v>
      </c>
      <c r="X186">
        <f t="shared" si="75"/>
        <v>69.594808384876984</v>
      </c>
      <c r="Y186">
        <f t="shared" si="76"/>
        <v>2.27673056647218</v>
      </c>
      <c r="Z186">
        <f t="shared" si="77"/>
        <v>3.271408628473091</v>
      </c>
      <c r="AA186">
        <f t="shared" si="78"/>
        <v>1.290703784392877</v>
      </c>
      <c r="AB186">
        <f t="shared" si="79"/>
        <v>-93.18041103198928</v>
      </c>
      <c r="AC186">
        <f t="shared" si="80"/>
        <v>-166.13266310939071</v>
      </c>
      <c r="AD186">
        <f t="shared" si="81"/>
        <v>-16.925346711251148</v>
      </c>
      <c r="AE186">
        <f t="shared" si="82"/>
        <v>-0.12420671863114308</v>
      </c>
      <c r="AF186">
        <v>8</v>
      </c>
      <c r="AG186">
        <v>3</v>
      </c>
      <c r="AH186">
        <f t="shared" si="83"/>
        <v>1</v>
      </c>
      <c r="AI186">
        <f t="shared" si="84"/>
        <v>0</v>
      </c>
      <c r="AJ186">
        <f t="shared" si="85"/>
        <v>52826.85936321177</v>
      </c>
      <c r="AK186">
        <f t="shared" si="86"/>
        <v>1800</v>
      </c>
      <c r="AL186">
        <f t="shared" si="87"/>
        <v>1499.1087654</v>
      </c>
      <c r="AM186">
        <f t="shared" si="88"/>
        <v>0.832838203</v>
      </c>
      <c r="AN186">
        <f t="shared" si="89"/>
        <v>0.15339678563</v>
      </c>
      <c r="AO186">
        <v>33</v>
      </c>
      <c r="AP186">
        <v>0.5</v>
      </c>
      <c r="AQ186" t="s">
        <v>331</v>
      </c>
      <c r="AR186">
        <v>2</v>
      </c>
      <c r="AS186">
        <v>1690305609.5999999</v>
      </c>
      <c r="AT186">
        <v>441.26</v>
      </c>
      <c r="AU186">
        <v>799.95299999999997</v>
      </c>
      <c r="AV186">
        <v>22.9177</v>
      </c>
      <c r="AW186">
        <v>0.22048799999999999</v>
      </c>
      <c r="AX186">
        <v>441.24799999999999</v>
      </c>
      <c r="AY186">
        <v>22.645900000000001</v>
      </c>
      <c r="AZ186">
        <v>300.16399999999999</v>
      </c>
      <c r="BA186">
        <v>99.243799999999993</v>
      </c>
      <c r="BB186">
        <v>9.9963399999999994E-2</v>
      </c>
      <c r="BC186">
        <v>25.477900000000002</v>
      </c>
      <c r="BD186">
        <v>27.028199999999998</v>
      </c>
      <c r="BE186">
        <v>26.565200000000001</v>
      </c>
      <c r="BF186">
        <v>0</v>
      </c>
      <c r="BG186">
        <v>0</v>
      </c>
      <c r="BH186">
        <v>10016.200000000001</v>
      </c>
      <c r="BI186">
        <v>1058.2</v>
      </c>
      <c r="BJ186">
        <v>1.5137799999999999</v>
      </c>
      <c r="BK186">
        <v>-358.69200000000001</v>
      </c>
      <c r="BL186">
        <v>451.61</v>
      </c>
      <c r="BM186">
        <v>800.12900000000002</v>
      </c>
      <c r="BN186">
        <v>22.697299999999998</v>
      </c>
      <c r="BO186">
        <v>799.95299999999997</v>
      </c>
      <c r="BP186">
        <v>0.22048799999999999</v>
      </c>
      <c r="BQ186">
        <v>2.2744399999999998</v>
      </c>
      <c r="BR186">
        <v>2.1882100000000002E-2</v>
      </c>
      <c r="BS186">
        <v>19.496500000000001</v>
      </c>
      <c r="BT186">
        <v>-38.555599999999998</v>
      </c>
      <c r="BU186">
        <v>1800</v>
      </c>
      <c r="BV186">
        <v>0.90999799999999997</v>
      </c>
      <c r="BW186">
        <v>3.4009299999999999E-2</v>
      </c>
      <c r="BX186">
        <v>2.19904E-2</v>
      </c>
      <c r="BY186">
        <v>3.4002299999999999E-2</v>
      </c>
      <c r="BZ186">
        <v>26</v>
      </c>
      <c r="CA186">
        <v>33528.5</v>
      </c>
      <c r="CB186">
        <v>1690303320.5</v>
      </c>
      <c r="CC186" t="s">
        <v>332</v>
      </c>
      <c r="CD186">
        <v>1690303320.5</v>
      </c>
      <c r="CE186">
        <v>1690303310.0999999</v>
      </c>
      <c r="CF186">
        <v>8</v>
      </c>
      <c r="CG186">
        <v>7.3999999999999996E-2</v>
      </c>
      <c r="CH186">
        <v>-0.01</v>
      </c>
      <c r="CI186">
        <v>-0.24199999999999999</v>
      </c>
      <c r="CJ186">
        <v>0.27200000000000002</v>
      </c>
      <c r="CK186">
        <v>800</v>
      </c>
      <c r="CL186">
        <v>23</v>
      </c>
      <c r="CM186">
        <v>0.06</v>
      </c>
      <c r="CN186">
        <v>0.09</v>
      </c>
      <c r="CO186">
        <v>-357.89473170731708</v>
      </c>
      <c r="CP186">
        <v>-5.3430522648091117</v>
      </c>
      <c r="CQ186">
        <v>0.53668567465965811</v>
      </c>
      <c r="CR186">
        <v>-1</v>
      </c>
      <c r="CS186">
        <v>22.653507317073171</v>
      </c>
      <c r="CT186">
        <v>0.2823763066202295</v>
      </c>
      <c r="CU186">
        <v>2.7960463290798061E-2</v>
      </c>
      <c r="CV186">
        <v>-1</v>
      </c>
      <c r="CW186">
        <v>0</v>
      </c>
      <c r="CX186">
        <v>0</v>
      </c>
      <c r="CY186" t="s">
        <v>333</v>
      </c>
      <c r="CZ186">
        <v>2.3647</v>
      </c>
      <c r="DA186">
        <v>2.7137699999999998</v>
      </c>
      <c r="DB186">
        <v>9.6523300000000006E-2</v>
      </c>
      <c r="DC186">
        <v>0.14622099999999999</v>
      </c>
      <c r="DD186">
        <v>0.11014699999999999</v>
      </c>
      <c r="DE186">
        <v>1.8523400000000001E-3</v>
      </c>
      <c r="DF186">
        <v>33003.800000000003</v>
      </c>
      <c r="DG186">
        <v>27538</v>
      </c>
      <c r="DH186">
        <v>31185.3</v>
      </c>
      <c r="DI186">
        <v>28105.5</v>
      </c>
      <c r="DJ186">
        <v>37674.6</v>
      </c>
      <c r="DK186">
        <v>39903.5</v>
      </c>
      <c r="DL186">
        <v>44383.4</v>
      </c>
      <c r="DM186">
        <v>42603.1</v>
      </c>
      <c r="DN186">
        <v>1.4483999999999999</v>
      </c>
      <c r="DO186">
        <v>2.0301999999999998</v>
      </c>
      <c r="DP186">
        <v>0.15375</v>
      </c>
      <c r="DQ186">
        <v>0.134468</v>
      </c>
      <c r="DR186">
        <v>24.508700000000001</v>
      </c>
      <c r="DS186">
        <v>24.360499999999998</v>
      </c>
      <c r="DT186">
        <v>29.1</v>
      </c>
      <c r="DU186">
        <v>29.3</v>
      </c>
      <c r="DV186">
        <v>11.999000000000001</v>
      </c>
      <c r="DW186">
        <v>61.503</v>
      </c>
      <c r="DX186">
        <v>36.25</v>
      </c>
      <c r="DY186">
        <v>1</v>
      </c>
      <c r="DZ186">
        <v>-9.6481200000000003E-2</v>
      </c>
      <c r="EA186">
        <v>0.64864699999999997</v>
      </c>
      <c r="EB186">
        <v>20.187799999999999</v>
      </c>
      <c r="EC186">
        <v>5.2411000000000003</v>
      </c>
      <c r="ED186">
        <v>12.039899999999999</v>
      </c>
      <c r="EE186">
        <v>5.0170500000000002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1.86463</v>
      </c>
      <c r="EM186">
        <v>1.8691899999999999</v>
      </c>
      <c r="EN186">
        <v>1.86724</v>
      </c>
      <c r="EO186">
        <v>1.8633999999999999</v>
      </c>
      <c r="EP186">
        <v>1.8644700000000001</v>
      </c>
      <c r="EQ186">
        <v>1.87018</v>
      </c>
      <c r="ER186">
        <v>1.8693900000000001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1.2E-2</v>
      </c>
      <c r="FG186">
        <v>0.27179999999999999</v>
      </c>
      <c r="FH186">
        <v>0.30965466913576151</v>
      </c>
      <c r="FI186">
        <v>-6.1462078757559423E-4</v>
      </c>
      <c r="FJ186">
        <v>-1.8861989874597051E-7</v>
      </c>
      <c r="FK186">
        <v>1.1980462299894961E-10</v>
      </c>
      <c r="FL186">
        <v>0.27184999999999349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38.200000000000003</v>
      </c>
      <c r="FU186">
        <v>38.299999999999997</v>
      </c>
      <c r="FV186">
        <v>1.7639199999999999</v>
      </c>
      <c r="FW186">
        <v>2.5854499999999998</v>
      </c>
      <c r="FX186">
        <v>1.5490699999999999</v>
      </c>
      <c r="FY186">
        <v>2.3303199999999999</v>
      </c>
      <c r="FZ186">
        <v>1.50146</v>
      </c>
      <c r="GA186">
        <v>2.3327599999999999</v>
      </c>
      <c r="GB186">
        <v>33.918700000000001</v>
      </c>
      <c r="GC186">
        <v>23.982399999999998</v>
      </c>
      <c r="GD186">
        <v>19</v>
      </c>
      <c r="GE186">
        <v>270.99799999999999</v>
      </c>
      <c r="GF186">
        <v>577.49699999999996</v>
      </c>
      <c r="GG186">
        <v>23.429600000000001</v>
      </c>
      <c r="GH186">
        <v>26.155899999999999</v>
      </c>
      <c r="GI186">
        <v>30</v>
      </c>
      <c r="GJ186">
        <v>26.3018</v>
      </c>
      <c r="GK186">
        <v>26.286300000000001</v>
      </c>
      <c r="GL186">
        <v>35.258699999999997</v>
      </c>
      <c r="GM186">
        <v>100</v>
      </c>
      <c r="GN186">
        <v>24.009599999999999</v>
      </c>
      <c r="GO186">
        <v>23.389500000000002</v>
      </c>
      <c r="GP186">
        <v>800</v>
      </c>
      <c r="GQ186">
        <v>0</v>
      </c>
      <c r="GR186">
        <v>99.784700000000001</v>
      </c>
      <c r="GS186">
        <v>99.658900000000003</v>
      </c>
    </row>
    <row r="187" spans="1:201" x14ac:dyDescent="0.25">
      <c r="A187">
        <v>171</v>
      </c>
      <c r="B187">
        <v>1690305619.5999999</v>
      </c>
      <c r="C187">
        <v>1869.599999904633</v>
      </c>
      <c r="D187" t="s">
        <v>673</v>
      </c>
      <c r="E187" t="s">
        <v>674</v>
      </c>
      <c r="F187" t="s">
        <v>330</v>
      </c>
      <c r="H187">
        <v>1690305619.5999999</v>
      </c>
      <c r="I187">
        <f t="shared" si="60"/>
        <v>2.1165815494035524E-3</v>
      </c>
      <c r="J187">
        <f t="shared" si="61"/>
        <v>2.1165815494035525</v>
      </c>
      <c r="K187">
        <f t="shared" si="62"/>
        <v>31.788130202639891</v>
      </c>
      <c r="L187">
        <f t="shared" si="63"/>
        <v>440.322</v>
      </c>
      <c r="M187">
        <f t="shared" si="64"/>
        <v>115.42279547653052</v>
      </c>
      <c r="N187">
        <f t="shared" si="65"/>
        <v>11.466273625289478</v>
      </c>
      <c r="O187">
        <f t="shared" si="66"/>
        <v>43.742247918967799</v>
      </c>
      <c r="P187">
        <f t="shared" si="67"/>
        <v>0.16539975745795291</v>
      </c>
      <c r="Q187">
        <f t="shared" si="68"/>
        <v>2.0988875065827464</v>
      </c>
      <c r="R187">
        <f t="shared" si="69"/>
        <v>0.15848481191612998</v>
      </c>
      <c r="S187">
        <f t="shared" si="70"/>
        <v>9.9650197175051844E-2</v>
      </c>
      <c r="T187">
        <f t="shared" si="71"/>
        <v>276.11424822599997</v>
      </c>
      <c r="U187">
        <f t="shared" si="72"/>
        <v>26.944914392004641</v>
      </c>
      <c r="V187">
        <f t="shared" si="73"/>
        <v>26.944914392004641</v>
      </c>
      <c r="W187">
        <f t="shared" si="74"/>
        <v>3.56759632553117</v>
      </c>
      <c r="X187">
        <f t="shared" si="75"/>
        <v>69.691279403678152</v>
      </c>
      <c r="Y187">
        <f t="shared" si="76"/>
        <v>2.2799271593049597</v>
      </c>
      <c r="Z187">
        <f t="shared" si="77"/>
        <v>3.2714669307457571</v>
      </c>
      <c r="AA187">
        <f t="shared" si="78"/>
        <v>1.2876691662262103</v>
      </c>
      <c r="AB187">
        <f t="shared" si="79"/>
        <v>-93.341246328696656</v>
      </c>
      <c r="AC187">
        <f t="shared" si="80"/>
        <v>-165.96639447844387</v>
      </c>
      <c r="AD187">
        <f t="shared" si="81"/>
        <v>-16.930894620361276</v>
      </c>
      <c r="AE187">
        <f t="shared" si="82"/>
        <v>-0.12428720150185768</v>
      </c>
      <c r="AF187">
        <v>8</v>
      </c>
      <c r="AG187">
        <v>3</v>
      </c>
      <c r="AH187">
        <f t="shared" si="83"/>
        <v>1</v>
      </c>
      <c r="AI187">
        <f t="shared" si="84"/>
        <v>0</v>
      </c>
      <c r="AJ187">
        <f t="shared" si="85"/>
        <v>52702.566790172757</v>
      </c>
      <c r="AK187">
        <f t="shared" si="86"/>
        <v>1800</v>
      </c>
      <c r="AL187">
        <f t="shared" si="87"/>
        <v>1499.1082236</v>
      </c>
      <c r="AM187">
        <f t="shared" si="88"/>
        <v>0.83283790199999996</v>
      </c>
      <c r="AN187">
        <f t="shared" si="89"/>
        <v>0.15339680456999999</v>
      </c>
      <c r="AO187">
        <v>33</v>
      </c>
      <c r="AP187">
        <v>0.5</v>
      </c>
      <c r="AQ187" t="s">
        <v>331</v>
      </c>
      <c r="AR187">
        <v>2</v>
      </c>
      <c r="AS187">
        <v>1690305619.5999999</v>
      </c>
      <c r="AT187">
        <v>440.322</v>
      </c>
      <c r="AU187">
        <v>800.00099999999998</v>
      </c>
      <c r="AV187">
        <v>22.950399999999998</v>
      </c>
      <c r="AW187">
        <v>0.21765000000000001</v>
      </c>
      <c r="AX187">
        <v>440.31</v>
      </c>
      <c r="AY187">
        <v>22.6785</v>
      </c>
      <c r="AZ187">
        <v>300.202</v>
      </c>
      <c r="BA187">
        <v>99.241500000000002</v>
      </c>
      <c r="BB187">
        <v>9.9999900000000003E-2</v>
      </c>
      <c r="BC187">
        <v>25.478200000000001</v>
      </c>
      <c r="BD187">
        <v>27.049399999999999</v>
      </c>
      <c r="BE187">
        <v>26.5778</v>
      </c>
      <c r="BF187">
        <v>0</v>
      </c>
      <c r="BG187">
        <v>0</v>
      </c>
      <c r="BH187">
        <v>9991.8799999999992</v>
      </c>
      <c r="BI187">
        <v>1058.25</v>
      </c>
      <c r="BJ187">
        <v>1.5137799999999999</v>
      </c>
      <c r="BK187">
        <v>-359.67899999999997</v>
      </c>
      <c r="BL187">
        <v>450.66500000000002</v>
      </c>
      <c r="BM187">
        <v>800.17499999999995</v>
      </c>
      <c r="BN187">
        <v>22.732700000000001</v>
      </c>
      <c r="BO187">
        <v>800.00099999999998</v>
      </c>
      <c r="BP187">
        <v>0.21765000000000001</v>
      </c>
      <c r="BQ187">
        <v>2.2776299999999998</v>
      </c>
      <c r="BR187">
        <v>2.1599899999999998E-2</v>
      </c>
      <c r="BS187">
        <v>19.518999999999998</v>
      </c>
      <c r="BT187">
        <v>-38.681600000000003</v>
      </c>
      <c r="BU187">
        <v>1800</v>
      </c>
      <c r="BV187">
        <v>0.90999399999999997</v>
      </c>
      <c r="BW187">
        <v>3.4008900000000002E-2</v>
      </c>
      <c r="BX187">
        <v>2.1990099999999999E-2</v>
      </c>
      <c r="BY187">
        <v>3.4007099999999998E-2</v>
      </c>
      <c r="BZ187">
        <v>26</v>
      </c>
      <c r="CA187">
        <v>33528.400000000001</v>
      </c>
      <c r="CB187">
        <v>1690303320.5</v>
      </c>
      <c r="CC187" t="s">
        <v>332</v>
      </c>
      <c r="CD187">
        <v>1690303320.5</v>
      </c>
      <c r="CE187">
        <v>1690303310.0999999</v>
      </c>
      <c r="CF187">
        <v>8</v>
      </c>
      <c r="CG187">
        <v>7.3999999999999996E-2</v>
      </c>
      <c r="CH187">
        <v>-0.01</v>
      </c>
      <c r="CI187">
        <v>-0.24199999999999999</v>
      </c>
      <c r="CJ187">
        <v>0.27200000000000002</v>
      </c>
      <c r="CK187">
        <v>800</v>
      </c>
      <c r="CL187">
        <v>23</v>
      </c>
      <c r="CM187">
        <v>0.06</v>
      </c>
      <c r="CN187">
        <v>0.09</v>
      </c>
      <c r="CO187">
        <v>-358.75914999999998</v>
      </c>
      <c r="CP187">
        <v>-5.1412908067533696</v>
      </c>
      <c r="CQ187">
        <v>0.50634472200270753</v>
      </c>
      <c r="CR187">
        <v>-1</v>
      </c>
      <c r="CS187">
        <v>22.695352499999998</v>
      </c>
      <c r="CT187">
        <v>0.2398435272045441</v>
      </c>
      <c r="CU187">
        <v>2.3335562854793081E-2</v>
      </c>
      <c r="CV187">
        <v>-1</v>
      </c>
      <c r="CW187">
        <v>0</v>
      </c>
      <c r="CX187">
        <v>0</v>
      </c>
      <c r="CY187" t="s">
        <v>333</v>
      </c>
      <c r="CZ187">
        <v>2.3648199999999999</v>
      </c>
      <c r="DA187">
        <v>2.7137799999999999</v>
      </c>
      <c r="DB187">
        <v>9.6367400000000006E-2</v>
      </c>
      <c r="DC187">
        <v>0.14622399999999999</v>
      </c>
      <c r="DD187">
        <v>0.11025600000000001</v>
      </c>
      <c r="DE187">
        <v>1.82877E-3</v>
      </c>
      <c r="DF187">
        <v>33009.800000000003</v>
      </c>
      <c r="DG187">
        <v>27538.2</v>
      </c>
      <c r="DH187">
        <v>31185.599999999999</v>
      </c>
      <c r="DI187">
        <v>28105.8</v>
      </c>
      <c r="DJ187">
        <v>37670.199999999997</v>
      </c>
      <c r="DK187">
        <v>39904.800000000003</v>
      </c>
      <c r="DL187">
        <v>44383.8</v>
      </c>
      <c r="DM187">
        <v>42603.5</v>
      </c>
      <c r="DN187">
        <v>1.4484999999999999</v>
      </c>
      <c r="DO187">
        <v>2.0298500000000002</v>
      </c>
      <c r="DP187">
        <v>0.15492700000000001</v>
      </c>
      <c r="DQ187">
        <v>0.135079</v>
      </c>
      <c r="DR187">
        <v>24.5107</v>
      </c>
      <c r="DS187">
        <v>24.363199999999999</v>
      </c>
      <c r="DT187">
        <v>28.8</v>
      </c>
      <c r="DU187">
        <v>29.3</v>
      </c>
      <c r="DV187">
        <v>11.876899999999999</v>
      </c>
      <c r="DW187">
        <v>61.792999999999999</v>
      </c>
      <c r="DX187">
        <v>36.350200000000001</v>
      </c>
      <c r="DY187">
        <v>1</v>
      </c>
      <c r="DZ187">
        <v>-9.6585400000000002E-2</v>
      </c>
      <c r="EA187">
        <v>0.66898100000000005</v>
      </c>
      <c r="EB187">
        <v>20.1874</v>
      </c>
      <c r="EC187">
        <v>5.24125</v>
      </c>
      <c r="ED187">
        <v>12.039899999999999</v>
      </c>
      <c r="EE187">
        <v>5.01715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1.8689100000000001</v>
      </c>
      <c r="EL187">
        <v>1.8646400000000001</v>
      </c>
      <c r="EM187">
        <v>1.8692</v>
      </c>
      <c r="EN187">
        <v>1.86724</v>
      </c>
      <c r="EO187">
        <v>1.8633999999999999</v>
      </c>
      <c r="EP187">
        <v>1.8644700000000001</v>
      </c>
      <c r="EQ187">
        <v>1.87019</v>
      </c>
      <c r="ER187">
        <v>1.86941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1.2E-2</v>
      </c>
      <c r="FG187">
        <v>0.27189999999999998</v>
      </c>
      <c r="FH187">
        <v>0.30965466913576151</v>
      </c>
      <c r="FI187">
        <v>-6.1462078757559423E-4</v>
      </c>
      <c r="FJ187">
        <v>-1.8861989874597051E-7</v>
      </c>
      <c r="FK187">
        <v>1.1980462299894961E-10</v>
      </c>
      <c r="FL187">
        <v>0.27184999999999349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38.299999999999997</v>
      </c>
      <c r="FU187">
        <v>38.5</v>
      </c>
      <c r="FV187">
        <v>1.7626999999999999</v>
      </c>
      <c r="FW187">
        <v>2.5866699999999998</v>
      </c>
      <c r="FX187">
        <v>1.5490699999999999</v>
      </c>
      <c r="FY187">
        <v>2.3303199999999999</v>
      </c>
      <c r="FZ187">
        <v>1.50146</v>
      </c>
      <c r="GA187">
        <v>2.3327599999999999</v>
      </c>
      <c r="GB187">
        <v>33.918700000000001</v>
      </c>
      <c r="GC187">
        <v>23.991199999999999</v>
      </c>
      <c r="GD187">
        <v>19</v>
      </c>
      <c r="GE187">
        <v>271.03899999999999</v>
      </c>
      <c r="GF187">
        <v>577.21100000000001</v>
      </c>
      <c r="GG187">
        <v>23.343</v>
      </c>
      <c r="GH187">
        <v>26.155899999999999</v>
      </c>
      <c r="GI187">
        <v>29.9999</v>
      </c>
      <c r="GJ187">
        <v>26.3018</v>
      </c>
      <c r="GK187">
        <v>26.286300000000001</v>
      </c>
      <c r="GL187">
        <v>35.256399999999999</v>
      </c>
      <c r="GM187">
        <v>100</v>
      </c>
      <c r="GN187">
        <v>23.265699999999999</v>
      </c>
      <c r="GO187">
        <v>23.337399999999999</v>
      </c>
      <c r="GP187">
        <v>800</v>
      </c>
      <c r="GQ187">
        <v>0</v>
      </c>
      <c r="GR187">
        <v>99.785499999999999</v>
      </c>
      <c r="GS187">
        <v>99.659800000000004</v>
      </c>
    </row>
    <row r="188" spans="1:201" x14ac:dyDescent="0.25">
      <c r="A188">
        <v>172</v>
      </c>
      <c r="B188">
        <v>1690305629.5999999</v>
      </c>
      <c r="C188">
        <v>1879.599999904633</v>
      </c>
      <c r="D188" t="s">
        <v>675</v>
      </c>
      <c r="E188" t="s">
        <v>676</v>
      </c>
      <c r="F188" t="s">
        <v>330</v>
      </c>
      <c r="H188">
        <v>1690305629.5999999</v>
      </c>
      <c r="I188">
        <f t="shared" si="60"/>
        <v>2.1193545500535513E-3</v>
      </c>
      <c r="J188">
        <f t="shared" si="61"/>
        <v>2.1193545500535511</v>
      </c>
      <c r="K188">
        <f t="shared" si="62"/>
        <v>31.869841698070051</v>
      </c>
      <c r="L188">
        <f t="shared" si="63"/>
        <v>439.41</v>
      </c>
      <c r="M188">
        <f t="shared" si="64"/>
        <v>115.3063166648776</v>
      </c>
      <c r="N188">
        <f t="shared" si="65"/>
        <v>11.454530996471057</v>
      </c>
      <c r="O188">
        <f t="shared" si="66"/>
        <v>43.650995112330008</v>
      </c>
      <c r="P188">
        <f t="shared" si="67"/>
        <v>0.16625133696729008</v>
      </c>
      <c r="Q188">
        <f t="shared" si="68"/>
        <v>2.0995775640237313</v>
      </c>
      <c r="R188">
        <f t="shared" si="69"/>
        <v>0.15926881180465738</v>
      </c>
      <c r="S188">
        <f t="shared" si="70"/>
        <v>0.10014592132655657</v>
      </c>
      <c r="T188">
        <f t="shared" si="71"/>
        <v>276.11429074199998</v>
      </c>
      <c r="U188">
        <f t="shared" si="72"/>
        <v>26.935107308411158</v>
      </c>
      <c r="V188">
        <f t="shared" si="73"/>
        <v>26.935107308411158</v>
      </c>
      <c r="W188">
        <f t="shared" si="74"/>
        <v>3.5655410822699722</v>
      </c>
      <c r="X188">
        <f t="shared" si="75"/>
        <v>69.806442196506183</v>
      </c>
      <c r="Y188">
        <f t="shared" si="76"/>
        <v>2.2825553467035999</v>
      </c>
      <c r="Z188">
        <f t="shared" si="77"/>
        <v>3.2698348102001424</v>
      </c>
      <c r="AA188">
        <f t="shared" si="78"/>
        <v>1.2829857355663723</v>
      </c>
      <c r="AB188">
        <f t="shared" si="79"/>
        <v>-93.463535657361604</v>
      </c>
      <c r="AC188">
        <f t="shared" si="80"/>
        <v>-165.86168853483954</v>
      </c>
      <c r="AD188">
        <f t="shared" si="81"/>
        <v>-16.913108037177409</v>
      </c>
      <c r="AE188">
        <f t="shared" si="82"/>
        <v>-0.12404148737854825</v>
      </c>
      <c r="AF188">
        <v>8</v>
      </c>
      <c r="AG188">
        <v>3</v>
      </c>
      <c r="AH188">
        <f t="shared" si="83"/>
        <v>1</v>
      </c>
      <c r="AI188">
        <f t="shared" si="84"/>
        <v>0</v>
      </c>
      <c r="AJ188">
        <f t="shared" si="85"/>
        <v>52734.825276385702</v>
      </c>
      <c r="AK188">
        <f t="shared" si="86"/>
        <v>1800</v>
      </c>
      <c r="AL188">
        <f t="shared" si="87"/>
        <v>1499.1073631999998</v>
      </c>
      <c r="AM188">
        <f t="shared" si="88"/>
        <v>0.83283742399999994</v>
      </c>
      <c r="AN188">
        <f t="shared" si="89"/>
        <v>0.15339682819</v>
      </c>
      <c r="AO188">
        <v>33</v>
      </c>
      <c r="AP188">
        <v>0.5</v>
      </c>
      <c r="AQ188" t="s">
        <v>331</v>
      </c>
      <c r="AR188">
        <v>2</v>
      </c>
      <c r="AS188">
        <v>1690305629.5999999</v>
      </c>
      <c r="AT188">
        <v>439.41</v>
      </c>
      <c r="AU188">
        <v>799.98299999999995</v>
      </c>
      <c r="AV188">
        <v>22.9772</v>
      </c>
      <c r="AW188">
        <v>0.21506400000000001</v>
      </c>
      <c r="AX188">
        <v>439.39699999999999</v>
      </c>
      <c r="AY188">
        <v>22.705300000000001</v>
      </c>
      <c r="AZ188">
        <v>300.19900000000001</v>
      </c>
      <c r="BA188">
        <v>99.24</v>
      </c>
      <c r="BB188">
        <v>0.100013</v>
      </c>
      <c r="BC188">
        <v>25.469799999999999</v>
      </c>
      <c r="BD188">
        <v>27.005700000000001</v>
      </c>
      <c r="BE188">
        <v>26.5639</v>
      </c>
      <c r="BF188">
        <v>0</v>
      </c>
      <c r="BG188">
        <v>0</v>
      </c>
      <c r="BH188">
        <v>9998.1200000000008</v>
      </c>
      <c r="BI188">
        <v>1058.26</v>
      </c>
      <c r="BJ188">
        <v>1.5137799999999999</v>
      </c>
      <c r="BK188">
        <v>-360.57299999999998</v>
      </c>
      <c r="BL188">
        <v>449.74400000000003</v>
      </c>
      <c r="BM188">
        <v>800.15499999999997</v>
      </c>
      <c r="BN188">
        <v>22.7621</v>
      </c>
      <c r="BO188">
        <v>799.98299999999995</v>
      </c>
      <c r="BP188">
        <v>0.21506400000000001</v>
      </c>
      <c r="BQ188">
        <v>2.2802500000000001</v>
      </c>
      <c r="BR188">
        <v>2.1343000000000001E-2</v>
      </c>
      <c r="BS188">
        <v>19.537600000000001</v>
      </c>
      <c r="BT188">
        <v>-38.797600000000003</v>
      </c>
      <c r="BU188">
        <v>1800</v>
      </c>
      <c r="BV188">
        <v>0.90998800000000002</v>
      </c>
      <c r="BW188">
        <v>3.4008200000000002E-2</v>
      </c>
      <c r="BX188">
        <v>2.1989700000000001E-2</v>
      </c>
      <c r="BY188">
        <v>3.4014299999999997E-2</v>
      </c>
      <c r="BZ188">
        <v>26</v>
      </c>
      <c r="CA188">
        <v>33528.400000000001</v>
      </c>
      <c r="CB188">
        <v>1690303320.5</v>
      </c>
      <c r="CC188" t="s">
        <v>332</v>
      </c>
      <c r="CD188">
        <v>1690303320.5</v>
      </c>
      <c r="CE188">
        <v>1690303310.0999999</v>
      </c>
      <c r="CF188">
        <v>8</v>
      </c>
      <c r="CG188">
        <v>7.3999999999999996E-2</v>
      </c>
      <c r="CH188">
        <v>-0.01</v>
      </c>
      <c r="CI188">
        <v>-0.24199999999999999</v>
      </c>
      <c r="CJ188">
        <v>0.27200000000000002</v>
      </c>
      <c r="CK188">
        <v>800</v>
      </c>
      <c r="CL188">
        <v>23</v>
      </c>
      <c r="CM188">
        <v>0.06</v>
      </c>
      <c r="CN188">
        <v>0.09</v>
      </c>
      <c r="CO188">
        <v>-359.65047499999997</v>
      </c>
      <c r="CP188">
        <v>-5.813369606003441</v>
      </c>
      <c r="CQ188">
        <v>0.56513617772622049</v>
      </c>
      <c r="CR188">
        <v>-1</v>
      </c>
      <c r="CS188">
        <v>22.730767499999999</v>
      </c>
      <c r="CT188">
        <v>0.20128592870538631</v>
      </c>
      <c r="CU188">
        <v>1.9488873588537781E-2</v>
      </c>
      <c r="CV188">
        <v>-1</v>
      </c>
      <c r="CW188">
        <v>0</v>
      </c>
      <c r="CX188">
        <v>0</v>
      </c>
      <c r="CY188" t="s">
        <v>333</v>
      </c>
      <c r="CZ188">
        <v>2.3647999999999998</v>
      </c>
      <c r="DA188">
        <v>2.7138</v>
      </c>
      <c r="DB188">
        <v>9.6216399999999994E-2</v>
      </c>
      <c r="DC188">
        <v>0.14621899999999999</v>
      </c>
      <c r="DD188">
        <v>0.110346</v>
      </c>
      <c r="DE188">
        <v>1.8073E-3</v>
      </c>
      <c r="DF188">
        <v>33014.9</v>
      </c>
      <c r="DG188">
        <v>27537.9</v>
      </c>
      <c r="DH188">
        <v>31185.200000000001</v>
      </c>
      <c r="DI188">
        <v>28105.4</v>
      </c>
      <c r="DJ188">
        <v>37666</v>
      </c>
      <c r="DK188">
        <v>39905.199999999997</v>
      </c>
      <c r="DL188">
        <v>44383.4</v>
      </c>
      <c r="DM188">
        <v>42603</v>
      </c>
      <c r="DN188">
        <v>1.4482999999999999</v>
      </c>
      <c r="DO188">
        <v>2.0297000000000001</v>
      </c>
      <c r="DP188">
        <v>0.15212600000000001</v>
      </c>
      <c r="DQ188">
        <v>0.134043</v>
      </c>
      <c r="DR188">
        <v>24.512799999999999</v>
      </c>
      <c r="DS188">
        <v>24.366299999999999</v>
      </c>
      <c r="DT188">
        <v>28.5</v>
      </c>
      <c r="DU188">
        <v>29.3</v>
      </c>
      <c r="DV188">
        <v>11.7524</v>
      </c>
      <c r="DW188">
        <v>61.902999999999999</v>
      </c>
      <c r="DX188">
        <v>36.638599999999997</v>
      </c>
      <c r="DY188">
        <v>1</v>
      </c>
      <c r="DZ188">
        <v>-9.6115300000000001E-2</v>
      </c>
      <c r="EA188">
        <v>0.72514699999999999</v>
      </c>
      <c r="EB188">
        <v>20.187200000000001</v>
      </c>
      <c r="EC188">
        <v>5.2406499999999996</v>
      </c>
      <c r="ED188">
        <v>12.039899999999999</v>
      </c>
      <c r="EE188">
        <v>5.0160499999999999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1.8692</v>
      </c>
      <c r="EN188">
        <v>1.8672299999999999</v>
      </c>
      <c r="EO188">
        <v>1.8633900000000001</v>
      </c>
      <c r="EP188">
        <v>1.8644700000000001</v>
      </c>
      <c r="EQ188">
        <v>1.87022</v>
      </c>
      <c r="ER188">
        <v>1.8694299999999999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1.2999999999999999E-2</v>
      </c>
      <c r="FG188">
        <v>0.27189999999999998</v>
      </c>
      <c r="FH188">
        <v>0.30965466913576151</v>
      </c>
      <c r="FI188">
        <v>-6.1462078757559423E-4</v>
      </c>
      <c r="FJ188">
        <v>-1.8861989874597051E-7</v>
      </c>
      <c r="FK188">
        <v>1.1980462299894961E-10</v>
      </c>
      <c r="FL188">
        <v>0.27184999999999349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38.5</v>
      </c>
      <c r="FU188">
        <v>38.700000000000003</v>
      </c>
      <c r="FV188">
        <v>1.7626999999999999</v>
      </c>
      <c r="FW188">
        <v>2.5866699999999998</v>
      </c>
      <c r="FX188">
        <v>1.5490699999999999</v>
      </c>
      <c r="FY188">
        <v>2.3290999999999999</v>
      </c>
      <c r="FZ188">
        <v>1.50146</v>
      </c>
      <c r="GA188">
        <v>2.3718300000000001</v>
      </c>
      <c r="GB188">
        <v>33.918700000000001</v>
      </c>
      <c r="GC188">
        <v>23.991199999999999</v>
      </c>
      <c r="GD188">
        <v>19</v>
      </c>
      <c r="GE188">
        <v>270.95699999999999</v>
      </c>
      <c r="GF188">
        <v>577.08799999999997</v>
      </c>
      <c r="GG188">
        <v>23.273299999999999</v>
      </c>
      <c r="GH188">
        <v>26.155899999999999</v>
      </c>
      <c r="GI188">
        <v>30.0001</v>
      </c>
      <c r="GJ188">
        <v>26.3018</v>
      </c>
      <c r="GK188">
        <v>26.286300000000001</v>
      </c>
      <c r="GL188">
        <v>35.250599999999999</v>
      </c>
      <c r="GM188">
        <v>100</v>
      </c>
      <c r="GN188">
        <v>22.492799999999999</v>
      </c>
      <c r="GO188">
        <v>23.2684</v>
      </c>
      <c r="GP188">
        <v>800</v>
      </c>
      <c r="GQ188">
        <v>0</v>
      </c>
      <c r="GR188">
        <v>99.784599999999998</v>
      </c>
      <c r="GS188">
        <v>99.658600000000007</v>
      </c>
    </row>
    <row r="189" spans="1:201" x14ac:dyDescent="0.25">
      <c r="A189">
        <v>173</v>
      </c>
      <c r="B189">
        <v>1690305639.5999999</v>
      </c>
      <c r="C189">
        <v>1889.599999904633</v>
      </c>
      <c r="D189" t="s">
        <v>677</v>
      </c>
      <c r="E189" t="s">
        <v>678</v>
      </c>
      <c r="F189" t="s">
        <v>330</v>
      </c>
      <c r="H189">
        <v>1690305639.5999999</v>
      </c>
      <c r="I189">
        <f t="shared" si="60"/>
        <v>2.1214294351492085E-3</v>
      </c>
      <c r="J189">
        <f t="shared" si="61"/>
        <v>2.1214294351492087</v>
      </c>
      <c r="K189">
        <f t="shared" si="62"/>
        <v>31.944261962243903</v>
      </c>
      <c r="L189">
        <f t="shared" si="63"/>
        <v>438.56200000000001</v>
      </c>
      <c r="M189">
        <f t="shared" si="64"/>
        <v>114.88073554653489</v>
      </c>
      <c r="N189">
        <f t="shared" si="65"/>
        <v>11.412113366895426</v>
      </c>
      <c r="O189">
        <f t="shared" si="66"/>
        <v>43.566218814685797</v>
      </c>
      <c r="P189">
        <f t="shared" si="67"/>
        <v>0.16685637162468828</v>
      </c>
      <c r="Q189">
        <f t="shared" si="68"/>
        <v>2.1035994403637632</v>
      </c>
      <c r="R189">
        <f t="shared" si="69"/>
        <v>0.15983692387407539</v>
      </c>
      <c r="S189">
        <f t="shared" si="70"/>
        <v>0.10050413907058191</v>
      </c>
      <c r="T189">
        <f t="shared" si="71"/>
        <v>276.11523250200003</v>
      </c>
      <c r="U189">
        <f t="shared" si="72"/>
        <v>26.930439480733675</v>
      </c>
      <c r="V189">
        <f t="shared" si="73"/>
        <v>26.930439480733675</v>
      </c>
      <c r="W189">
        <f t="shared" si="74"/>
        <v>3.5645632216932288</v>
      </c>
      <c r="X189">
        <f t="shared" si="75"/>
        <v>69.884308563216905</v>
      </c>
      <c r="Y189">
        <f t="shared" si="76"/>
        <v>2.28491139724908</v>
      </c>
      <c r="Z189">
        <f t="shared" si="77"/>
        <v>3.2695628592821571</v>
      </c>
      <c r="AA189">
        <f t="shared" si="78"/>
        <v>1.2796518244441488</v>
      </c>
      <c r="AB189">
        <f t="shared" si="79"/>
        <v>-93.555038090080103</v>
      </c>
      <c r="AC189">
        <f t="shared" si="80"/>
        <v>-165.80880540875415</v>
      </c>
      <c r="AD189">
        <f t="shared" si="81"/>
        <v>-16.874875792676789</v>
      </c>
      <c r="AE189">
        <f t="shared" si="82"/>
        <v>-0.12348678951101988</v>
      </c>
      <c r="AF189">
        <v>8</v>
      </c>
      <c r="AG189">
        <v>3</v>
      </c>
      <c r="AH189">
        <f t="shared" si="83"/>
        <v>1</v>
      </c>
      <c r="AI189">
        <f t="shared" si="84"/>
        <v>0</v>
      </c>
      <c r="AJ189">
        <f t="shared" si="85"/>
        <v>52914.849462159495</v>
      </c>
      <c r="AK189">
        <f t="shared" si="86"/>
        <v>1800</v>
      </c>
      <c r="AL189">
        <f t="shared" si="87"/>
        <v>1499.1084162</v>
      </c>
      <c r="AM189">
        <f t="shared" si="88"/>
        <v>0.83283800899999993</v>
      </c>
      <c r="AN189">
        <f t="shared" si="89"/>
        <v>0.15339735139000002</v>
      </c>
      <c r="AO189">
        <v>33</v>
      </c>
      <c r="AP189">
        <v>0.5</v>
      </c>
      <c r="AQ189" t="s">
        <v>331</v>
      </c>
      <c r="AR189">
        <v>2</v>
      </c>
      <c r="AS189">
        <v>1690305639.5999999</v>
      </c>
      <c r="AT189">
        <v>438.56200000000001</v>
      </c>
      <c r="AU189">
        <v>800.024</v>
      </c>
      <c r="AV189">
        <v>23.001200000000001</v>
      </c>
      <c r="AW189">
        <v>0.212253</v>
      </c>
      <c r="AX189">
        <v>438.548</v>
      </c>
      <c r="AY189">
        <v>22.729299999999999</v>
      </c>
      <c r="AZ189">
        <v>300.13200000000001</v>
      </c>
      <c r="BA189">
        <v>99.238799999999998</v>
      </c>
      <c r="BB189">
        <v>9.9990899999999994E-2</v>
      </c>
      <c r="BC189">
        <v>25.468399999999999</v>
      </c>
      <c r="BD189">
        <v>26.985399999999998</v>
      </c>
      <c r="BE189">
        <v>26.563500000000001</v>
      </c>
      <c r="BF189">
        <v>0</v>
      </c>
      <c r="BG189">
        <v>0</v>
      </c>
      <c r="BH189">
        <v>10033.799999999999</v>
      </c>
      <c r="BI189">
        <v>1058.25</v>
      </c>
      <c r="BJ189">
        <v>1.5137799999999999</v>
      </c>
      <c r="BK189">
        <v>-361.46199999999999</v>
      </c>
      <c r="BL189">
        <v>448.887</v>
      </c>
      <c r="BM189">
        <v>800.19399999999996</v>
      </c>
      <c r="BN189">
        <v>22.788900000000002</v>
      </c>
      <c r="BO189">
        <v>800.024</v>
      </c>
      <c r="BP189">
        <v>0.212253</v>
      </c>
      <c r="BQ189">
        <v>2.28261</v>
      </c>
      <c r="BR189">
        <v>2.1063700000000001E-2</v>
      </c>
      <c r="BS189">
        <v>19.554200000000002</v>
      </c>
      <c r="BT189">
        <v>-38.925199999999997</v>
      </c>
      <c r="BU189">
        <v>1800</v>
      </c>
      <c r="BV189">
        <v>0.90998299999999999</v>
      </c>
      <c r="BW189">
        <v>3.4007599999999999E-2</v>
      </c>
      <c r="BX189">
        <v>2.19962E-2</v>
      </c>
      <c r="BY189">
        <v>3.4013700000000001E-2</v>
      </c>
      <c r="BZ189">
        <v>26</v>
      </c>
      <c r="CA189">
        <v>33528.300000000003</v>
      </c>
      <c r="CB189">
        <v>1690303320.5</v>
      </c>
      <c r="CC189" t="s">
        <v>332</v>
      </c>
      <c r="CD189">
        <v>1690303320.5</v>
      </c>
      <c r="CE189">
        <v>1690303310.0999999</v>
      </c>
      <c r="CF189">
        <v>8</v>
      </c>
      <c r="CG189">
        <v>7.3999999999999996E-2</v>
      </c>
      <c r="CH189">
        <v>-0.01</v>
      </c>
      <c r="CI189">
        <v>-0.24199999999999999</v>
      </c>
      <c r="CJ189">
        <v>0.27200000000000002</v>
      </c>
      <c r="CK189">
        <v>800</v>
      </c>
      <c r="CL189">
        <v>23</v>
      </c>
      <c r="CM189">
        <v>0.06</v>
      </c>
      <c r="CN189">
        <v>0.09</v>
      </c>
      <c r="CO189">
        <v>-360.54784999999998</v>
      </c>
      <c r="CP189">
        <v>-5.297290806753078</v>
      </c>
      <c r="CQ189">
        <v>0.51475433703855245</v>
      </c>
      <c r="CR189">
        <v>-1</v>
      </c>
      <c r="CS189">
        <v>22.7589775</v>
      </c>
      <c r="CT189">
        <v>0.15297748592862731</v>
      </c>
      <c r="CU189">
        <v>1.490472219633761E-2</v>
      </c>
      <c r="CV189">
        <v>-1</v>
      </c>
      <c r="CW189">
        <v>0</v>
      </c>
      <c r="CX189">
        <v>0</v>
      </c>
      <c r="CY189" t="s">
        <v>333</v>
      </c>
      <c r="CZ189">
        <v>2.3645999999999998</v>
      </c>
      <c r="DA189">
        <v>2.7138100000000001</v>
      </c>
      <c r="DB189">
        <v>9.6075999999999995E-2</v>
      </c>
      <c r="DC189">
        <v>0.14622199999999999</v>
      </c>
      <c r="DD189">
        <v>0.110427</v>
      </c>
      <c r="DE189">
        <v>1.78396E-3</v>
      </c>
      <c r="DF189">
        <v>33020</v>
      </c>
      <c r="DG189">
        <v>27537.8</v>
      </c>
      <c r="DH189">
        <v>31185.200000000001</v>
      </c>
      <c r="DI189">
        <v>28105.3</v>
      </c>
      <c r="DJ189">
        <v>37662.400000000001</v>
      </c>
      <c r="DK189">
        <v>39905.800000000003</v>
      </c>
      <c r="DL189">
        <v>44383.199999999997</v>
      </c>
      <c r="DM189">
        <v>42602.6</v>
      </c>
      <c r="DN189">
        <v>1.44858</v>
      </c>
      <c r="DO189">
        <v>2.0295999999999998</v>
      </c>
      <c r="DP189">
        <v>0.15076200000000001</v>
      </c>
      <c r="DQ189">
        <v>0.13389400000000001</v>
      </c>
      <c r="DR189">
        <v>24.514700000000001</v>
      </c>
      <c r="DS189">
        <v>24.368300000000001</v>
      </c>
      <c r="DT189">
        <v>28.2</v>
      </c>
      <c r="DU189">
        <v>29.3</v>
      </c>
      <c r="DV189">
        <v>11.6287</v>
      </c>
      <c r="DW189">
        <v>61.533000000000001</v>
      </c>
      <c r="DX189">
        <v>36.686700000000002</v>
      </c>
      <c r="DY189">
        <v>1</v>
      </c>
      <c r="DZ189">
        <v>-9.6369399999999994E-2</v>
      </c>
      <c r="EA189">
        <v>0.265185</v>
      </c>
      <c r="EB189">
        <v>20.1889</v>
      </c>
      <c r="EC189">
        <v>5.2408000000000001</v>
      </c>
      <c r="ED189">
        <v>12.039899999999999</v>
      </c>
      <c r="EE189">
        <v>5.0170000000000003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1.8646400000000001</v>
      </c>
      <c r="EM189">
        <v>1.8692</v>
      </c>
      <c r="EN189">
        <v>1.86724</v>
      </c>
      <c r="EO189">
        <v>1.8633999999999999</v>
      </c>
      <c r="EP189">
        <v>1.8644700000000001</v>
      </c>
      <c r="EQ189">
        <v>1.87018</v>
      </c>
      <c r="ER189">
        <v>1.86938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1.4E-2</v>
      </c>
      <c r="FG189">
        <v>0.27189999999999998</v>
      </c>
      <c r="FH189">
        <v>0.30965466913576151</v>
      </c>
      <c r="FI189">
        <v>-6.1462078757559423E-4</v>
      </c>
      <c r="FJ189">
        <v>-1.8861989874597051E-7</v>
      </c>
      <c r="FK189">
        <v>1.1980462299894961E-10</v>
      </c>
      <c r="FL189">
        <v>0.27184999999999349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38.700000000000003</v>
      </c>
      <c r="FU189">
        <v>38.799999999999997</v>
      </c>
      <c r="FV189">
        <v>1.7626999999999999</v>
      </c>
      <c r="FW189">
        <v>2.5878899999999998</v>
      </c>
      <c r="FX189">
        <v>1.5490699999999999</v>
      </c>
      <c r="FY189">
        <v>2.3290999999999999</v>
      </c>
      <c r="FZ189">
        <v>1.50146</v>
      </c>
      <c r="GA189">
        <v>2.3547400000000001</v>
      </c>
      <c r="GB189">
        <v>33.918700000000001</v>
      </c>
      <c r="GC189">
        <v>23.991199999999999</v>
      </c>
      <c r="GD189">
        <v>19</v>
      </c>
      <c r="GE189">
        <v>271.06799999999998</v>
      </c>
      <c r="GF189">
        <v>577.00599999999997</v>
      </c>
      <c r="GG189">
        <v>23.2683</v>
      </c>
      <c r="GH189">
        <v>26.155899999999999</v>
      </c>
      <c r="GI189">
        <v>29.9999</v>
      </c>
      <c r="GJ189">
        <v>26.301200000000001</v>
      </c>
      <c r="GK189">
        <v>26.286300000000001</v>
      </c>
      <c r="GL189">
        <v>35.248899999999999</v>
      </c>
      <c r="GM189">
        <v>100</v>
      </c>
      <c r="GN189">
        <v>22.099399999999999</v>
      </c>
      <c r="GO189">
        <v>23.342199999999998</v>
      </c>
      <c r="GP189">
        <v>800</v>
      </c>
      <c r="GQ189">
        <v>0</v>
      </c>
      <c r="GR189">
        <v>99.784199999999998</v>
      </c>
      <c r="GS189">
        <v>99.657899999999998</v>
      </c>
    </row>
    <row r="190" spans="1:201" x14ac:dyDescent="0.25">
      <c r="A190">
        <v>174</v>
      </c>
      <c r="B190">
        <v>1690305649.5999999</v>
      </c>
      <c r="C190">
        <v>1899.599999904633</v>
      </c>
      <c r="D190" t="s">
        <v>679</v>
      </c>
      <c r="E190" t="s">
        <v>680</v>
      </c>
      <c r="F190" t="s">
        <v>330</v>
      </c>
      <c r="H190">
        <v>1690305649.5999999</v>
      </c>
      <c r="I190">
        <f t="shared" si="60"/>
        <v>2.1254419603738625E-3</v>
      </c>
      <c r="J190">
        <f t="shared" si="61"/>
        <v>2.1254419603738626</v>
      </c>
      <c r="K190">
        <f t="shared" si="62"/>
        <v>32.009861377404533</v>
      </c>
      <c r="L190">
        <f t="shared" si="63"/>
        <v>437.68599999999998</v>
      </c>
      <c r="M190">
        <f t="shared" si="64"/>
        <v>115.12048080717351</v>
      </c>
      <c r="N190">
        <f t="shared" si="65"/>
        <v>11.436742156341918</v>
      </c>
      <c r="O190">
        <f t="shared" si="66"/>
        <v>43.482288228323206</v>
      </c>
      <c r="P190">
        <f t="shared" si="67"/>
        <v>0.16781348855918499</v>
      </c>
      <c r="Q190">
        <f t="shared" si="68"/>
        <v>2.1017707233786886</v>
      </c>
      <c r="R190">
        <f t="shared" si="69"/>
        <v>0.16070922689624248</v>
      </c>
      <c r="S190">
        <f t="shared" si="70"/>
        <v>0.10105649389963239</v>
      </c>
      <c r="T190">
        <f t="shared" si="71"/>
        <v>276.11526569399996</v>
      </c>
      <c r="U190">
        <f t="shared" si="72"/>
        <v>26.932074213980886</v>
      </c>
      <c r="V190">
        <f t="shared" si="73"/>
        <v>26.932074213980886</v>
      </c>
      <c r="W190">
        <f t="shared" si="74"/>
        <v>3.5649056543945346</v>
      </c>
      <c r="X190">
        <f t="shared" si="75"/>
        <v>70.023876791168504</v>
      </c>
      <c r="Y190">
        <f t="shared" si="76"/>
        <v>2.2897331130427205</v>
      </c>
      <c r="Z190">
        <f t="shared" si="77"/>
        <v>3.2699319403171128</v>
      </c>
      <c r="AA190">
        <f t="shared" si="78"/>
        <v>1.275172541351814</v>
      </c>
      <c r="AB190">
        <f t="shared" si="79"/>
        <v>-93.731990452487338</v>
      </c>
      <c r="AC190">
        <f t="shared" si="80"/>
        <v>-165.63460569153773</v>
      </c>
      <c r="AD190">
        <f t="shared" si="81"/>
        <v>-16.872113029607647</v>
      </c>
      <c r="AE190">
        <f t="shared" si="82"/>
        <v>-0.12344347963275482</v>
      </c>
      <c r="AF190">
        <v>8</v>
      </c>
      <c r="AG190">
        <v>3</v>
      </c>
      <c r="AH190">
        <f t="shared" si="83"/>
        <v>1</v>
      </c>
      <c r="AI190">
        <f t="shared" si="84"/>
        <v>0</v>
      </c>
      <c r="AJ190">
        <f t="shared" si="85"/>
        <v>52832.862039494707</v>
      </c>
      <c r="AK190">
        <f t="shared" si="86"/>
        <v>1800</v>
      </c>
      <c r="AL190">
        <f t="shared" si="87"/>
        <v>1499.1075324000001</v>
      </c>
      <c r="AM190">
        <f t="shared" si="88"/>
        <v>0.83283751800000005</v>
      </c>
      <c r="AN190">
        <f t="shared" si="89"/>
        <v>0.15339736982999999</v>
      </c>
      <c r="AO190">
        <v>33</v>
      </c>
      <c r="AP190">
        <v>0.5</v>
      </c>
      <c r="AQ190" t="s">
        <v>331</v>
      </c>
      <c r="AR190">
        <v>2</v>
      </c>
      <c r="AS190">
        <v>1690305649.5999999</v>
      </c>
      <c r="AT190">
        <v>437.68599999999998</v>
      </c>
      <c r="AU190">
        <v>799.97799999999995</v>
      </c>
      <c r="AV190">
        <v>23.048100000000002</v>
      </c>
      <c r="AW190">
        <v>0.21022099999999999</v>
      </c>
      <c r="AX190">
        <v>437.67200000000003</v>
      </c>
      <c r="AY190">
        <v>22.776199999999999</v>
      </c>
      <c r="AZ190">
        <v>300.041</v>
      </c>
      <c r="BA190">
        <v>99.245900000000006</v>
      </c>
      <c r="BB190">
        <v>9.9951200000000004E-2</v>
      </c>
      <c r="BC190">
        <v>25.470300000000002</v>
      </c>
      <c r="BD190">
        <v>26.969100000000001</v>
      </c>
      <c r="BE190">
        <v>26.563800000000001</v>
      </c>
      <c r="BF190">
        <v>0</v>
      </c>
      <c r="BG190">
        <v>0</v>
      </c>
      <c r="BH190">
        <v>10016.9</v>
      </c>
      <c r="BI190">
        <v>1058.32</v>
      </c>
      <c r="BJ190">
        <v>1.5137799999999999</v>
      </c>
      <c r="BK190">
        <v>-362.29199999999997</v>
      </c>
      <c r="BL190">
        <v>448.012</v>
      </c>
      <c r="BM190">
        <v>800.14599999999996</v>
      </c>
      <c r="BN190">
        <v>22.837900000000001</v>
      </c>
      <c r="BO190">
        <v>799.97799999999995</v>
      </c>
      <c r="BP190">
        <v>0.21022099999999999</v>
      </c>
      <c r="BQ190">
        <v>2.2874300000000001</v>
      </c>
      <c r="BR190">
        <v>2.08636E-2</v>
      </c>
      <c r="BS190">
        <v>19.588100000000001</v>
      </c>
      <c r="BT190">
        <v>-39.017600000000002</v>
      </c>
      <c r="BU190">
        <v>1800</v>
      </c>
      <c r="BV190">
        <v>0.90998100000000004</v>
      </c>
      <c r="BW190">
        <v>3.40074E-2</v>
      </c>
      <c r="BX190">
        <v>2.1997900000000001E-2</v>
      </c>
      <c r="BY190">
        <v>3.4013500000000002E-2</v>
      </c>
      <c r="BZ190">
        <v>26</v>
      </c>
      <c r="CA190">
        <v>33528.300000000003</v>
      </c>
      <c r="CB190">
        <v>1690303320.5</v>
      </c>
      <c r="CC190" t="s">
        <v>332</v>
      </c>
      <c r="CD190">
        <v>1690303320.5</v>
      </c>
      <c r="CE190">
        <v>1690303310.0999999</v>
      </c>
      <c r="CF190">
        <v>8</v>
      </c>
      <c r="CG190">
        <v>7.3999999999999996E-2</v>
      </c>
      <c r="CH190">
        <v>-0.01</v>
      </c>
      <c r="CI190">
        <v>-0.24199999999999999</v>
      </c>
      <c r="CJ190">
        <v>0.27200000000000002</v>
      </c>
      <c r="CK190">
        <v>800</v>
      </c>
      <c r="CL190">
        <v>23</v>
      </c>
      <c r="CM190">
        <v>0.06</v>
      </c>
      <c r="CN190">
        <v>0.09</v>
      </c>
      <c r="CO190">
        <v>-361.37982926829272</v>
      </c>
      <c r="CP190">
        <v>-4.8374006968645062</v>
      </c>
      <c r="CQ190">
        <v>0.47926620244067553</v>
      </c>
      <c r="CR190">
        <v>-1</v>
      </c>
      <c r="CS190">
        <v>22.788097560975611</v>
      </c>
      <c r="CT190">
        <v>0.2009770034843702</v>
      </c>
      <c r="CU190">
        <v>2.016668936401847E-2</v>
      </c>
      <c r="CV190">
        <v>-1</v>
      </c>
      <c r="CW190">
        <v>0</v>
      </c>
      <c r="CX190">
        <v>0</v>
      </c>
      <c r="CY190" t="s">
        <v>333</v>
      </c>
      <c r="CZ190">
        <v>2.36429</v>
      </c>
      <c r="DA190">
        <v>2.7137600000000002</v>
      </c>
      <c r="DB190">
        <v>9.5938899999999994E-2</v>
      </c>
      <c r="DC190">
        <v>0.146227</v>
      </c>
      <c r="DD190">
        <v>0.110596</v>
      </c>
      <c r="DE190">
        <v>1.7672300000000001E-3</v>
      </c>
      <c r="DF190">
        <v>33024.5</v>
      </c>
      <c r="DG190">
        <v>27537.7</v>
      </c>
      <c r="DH190">
        <v>31184.7</v>
      </c>
      <c r="DI190">
        <v>28105.4</v>
      </c>
      <c r="DJ190">
        <v>37654.800000000003</v>
      </c>
      <c r="DK190">
        <v>39906.400000000001</v>
      </c>
      <c r="DL190">
        <v>44382.8</v>
      </c>
      <c r="DM190">
        <v>42602.6</v>
      </c>
      <c r="DN190">
        <v>1.4480200000000001</v>
      </c>
      <c r="DO190">
        <v>2.0294699999999999</v>
      </c>
      <c r="DP190">
        <v>0.14957000000000001</v>
      </c>
      <c r="DQ190">
        <v>0.13375999999999999</v>
      </c>
      <c r="DR190">
        <v>24.517900000000001</v>
      </c>
      <c r="DS190">
        <v>24.370799999999999</v>
      </c>
      <c r="DT190">
        <v>27.9</v>
      </c>
      <c r="DU190">
        <v>29.3</v>
      </c>
      <c r="DV190">
        <v>11.504099999999999</v>
      </c>
      <c r="DW190">
        <v>61.463000000000001</v>
      </c>
      <c r="DX190">
        <v>36.943100000000001</v>
      </c>
      <c r="DY190">
        <v>1</v>
      </c>
      <c r="DZ190">
        <v>-9.6163600000000002E-2</v>
      </c>
      <c r="EA190">
        <v>0.43006800000000001</v>
      </c>
      <c r="EB190">
        <v>20.1889</v>
      </c>
      <c r="EC190">
        <v>5.24125</v>
      </c>
      <c r="ED190">
        <v>12.039899999999999</v>
      </c>
      <c r="EE190">
        <v>5.01715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</v>
      </c>
      <c r="EL190">
        <v>1.86463</v>
      </c>
      <c r="EM190">
        <v>1.8692</v>
      </c>
      <c r="EN190">
        <v>1.8672299999999999</v>
      </c>
      <c r="EO190">
        <v>1.8633999999999999</v>
      </c>
      <c r="EP190">
        <v>1.8644700000000001</v>
      </c>
      <c r="EQ190">
        <v>1.8701700000000001</v>
      </c>
      <c r="ER190">
        <v>1.8693900000000001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1.4E-2</v>
      </c>
      <c r="FG190">
        <v>0.27189999999999998</v>
      </c>
      <c r="FH190">
        <v>0.30965466913576151</v>
      </c>
      <c r="FI190">
        <v>-6.1462078757559423E-4</v>
      </c>
      <c r="FJ190">
        <v>-1.8861989874597051E-7</v>
      </c>
      <c r="FK190">
        <v>1.1980462299894961E-10</v>
      </c>
      <c r="FL190">
        <v>0.27184999999999349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38.799999999999997</v>
      </c>
      <c r="FU190">
        <v>39</v>
      </c>
      <c r="FV190">
        <v>1.7626999999999999</v>
      </c>
      <c r="FW190">
        <v>2.5891099999999998</v>
      </c>
      <c r="FX190">
        <v>1.5490699999999999</v>
      </c>
      <c r="FY190">
        <v>2.3303199999999999</v>
      </c>
      <c r="FZ190">
        <v>1.50146</v>
      </c>
      <c r="GA190">
        <v>2.3754900000000001</v>
      </c>
      <c r="GB190">
        <v>33.918700000000001</v>
      </c>
      <c r="GC190">
        <v>23.991199999999999</v>
      </c>
      <c r="GD190">
        <v>19</v>
      </c>
      <c r="GE190">
        <v>270.84300000000002</v>
      </c>
      <c r="GF190">
        <v>576.904</v>
      </c>
      <c r="GG190">
        <v>23.360099999999999</v>
      </c>
      <c r="GH190">
        <v>26.155899999999999</v>
      </c>
      <c r="GI190">
        <v>30.0001</v>
      </c>
      <c r="GJ190">
        <v>26.3018</v>
      </c>
      <c r="GK190">
        <v>26.286300000000001</v>
      </c>
      <c r="GL190">
        <v>35.246299999999998</v>
      </c>
      <c r="GM190">
        <v>100</v>
      </c>
      <c r="GN190">
        <v>21.324300000000001</v>
      </c>
      <c r="GO190">
        <v>23.354700000000001</v>
      </c>
      <c r="GP190">
        <v>800</v>
      </c>
      <c r="GQ190">
        <v>0</v>
      </c>
      <c r="GR190">
        <v>99.783100000000005</v>
      </c>
      <c r="GS190">
        <v>99.658100000000005</v>
      </c>
    </row>
    <row r="191" spans="1:201" x14ac:dyDescent="0.25">
      <c r="A191">
        <v>175</v>
      </c>
      <c r="B191">
        <v>1690305659.5999999</v>
      </c>
      <c r="C191">
        <v>1909.599999904633</v>
      </c>
      <c r="D191" t="s">
        <v>681</v>
      </c>
      <c r="E191" t="s">
        <v>682</v>
      </c>
      <c r="F191" t="s">
        <v>330</v>
      </c>
      <c r="H191">
        <v>1690305659.5999999</v>
      </c>
      <c r="I191">
        <f t="shared" si="60"/>
        <v>2.1304143158947094E-3</v>
      </c>
      <c r="J191">
        <f t="shared" si="61"/>
        <v>2.1304143158947095</v>
      </c>
      <c r="K191">
        <f t="shared" si="62"/>
        <v>32.091266466672948</v>
      </c>
      <c r="L191">
        <f t="shared" si="63"/>
        <v>436.93200000000002</v>
      </c>
      <c r="M191">
        <f t="shared" si="64"/>
        <v>114.66053324911033</v>
      </c>
      <c r="N191">
        <f t="shared" si="65"/>
        <v>11.389998809750045</v>
      </c>
      <c r="O191">
        <f t="shared" si="66"/>
        <v>43.403382305308803</v>
      </c>
      <c r="P191">
        <f t="shared" si="67"/>
        <v>0.16842275360747958</v>
      </c>
      <c r="Q191">
        <f t="shared" si="68"/>
        <v>2.0969880151474727</v>
      </c>
      <c r="R191">
        <f t="shared" si="69"/>
        <v>0.16125242367481882</v>
      </c>
      <c r="S191">
        <f t="shared" si="70"/>
        <v>0.1014015516509266</v>
      </c>
      <c r="T191">
        <f t="shared" si="71"/>
        <v>276.116566374</v>
      </c>
      <c r="U191">
        <f t="shared" si="72"/>
        <v>26.944635371779743</v>
      </c>
      <c r="V191">
        <f t="shared" si="73"/>
        <v>26.944635371779743</v>
      </c>
      <c r="W191">
        <f t="shared" si="74"/>
        <v>3.5675378377480671</v>
      </c>
      <c r="X191">
        <f t="shared" si="75"/>
        <v>70.102801950295728</v>
      </c>
      <c r="Y191">
        <f t="shared" si="76"/>
        <v>2.2938532384432802</v>
      </c>
      <c r="Z191">
        <f t="shared" si="77"/>
        <v>3.2721277532810564</v>
      </c>
      <c r="AA191">
        <f t="shared" si="78"/>
        <v>1.2736845993047869</v>
      </c>
      <c r="AB191">
        <f t="shared" si="79"/>
        <v>-93.951271330956686</v>
      </c>
      <c r="AC191">
        <f t="shared" si="80"/>
        <v>-165.40027142703158</v>
      </c>
      <c r="AD191">
        <f t="shared" si="81"/>
        <v>-16.888689887466402</v>
      </c>
      <c r="AE191">
        <f t="shared" si="82"/>
        <v>-0.12366627145465259</v>
      </c>
      <c r="AF191">
        <v>8</v>
      </c>
      <c r="AG191">
        <v>3</v>
      </c>
      <c r="AH191">
        <f t="shared" si="83"/>
        <v>1</v>
      </c>
      <c r="AI191">
        <f t="shared" si="84"/>
        <v>0</v>
      </c>
      <c r="AJ191">
        <f t="shared" si="85"/>
        <v>52617.127430155153</v>
      </c>
      <c r="AK191">
        <f t="shared" si="86"/>
        <v>1800</v>
      </c>
      <c r="AL191">
        <f t="shared" si="87"/>
        <v>1499.1089543999999</v>
      </c>
      <c r="AM191">
        <f t="shared" si="88"/>
        <v>0.83283830799999992</v>
      </c>
      <c r="AN191">
        <f t="shared" si="89"/>
        <v>0.15339809242999999</v>
      </c>
      <c r="AO191">
        <v>33</v>
      </c>
      <c r="AP191">
        <v>0.5</v>
      </c>
      <c r="AQ191" t="s">
        <v>331</v>
      </c>
      <c r="AR191">
        <v>2</v>
      </c>
      <c r="AS191">
        <v>1690305659.5999999</v>
      </c>
      <c r="AT191">
        <v>436.93200000000002</v>
      </c>
      <c r="AU191">
        <v>800.03</v>
      </c>
      <c r="AV191">
        <v>23.091699999999999</v>
      </c>
      <c r="AW191">
        <v>0.20744000000000001</v>
      </c>
      <c r="AX191">
        <v>436.91699999999997</v>
      </c>
      <c r="AY191">
        <v>22.819800000000001</v>
      </c>
      <c r="AZ191">
        <v>300.12</v>
      </c>
      <c r="BA191">
        <v>99.236699999999999</v>
      </c>
      <c r="BB191">
        <v>9.9998400000000001E-2</v>
      </c>
      <c r="BC191">
        <v>25.4816</v>
      </c>
      <c r="BD191">
        <v>27.029199999999999</v>
      </c>
      <c r="BE191">
        <v>26.571000000000002</v>
      </c>
      <c r="BF191">
        <v>0</v>
      </c>
      <c r="BG191">
        <v>0</v>
      </c>
      <c r="BH191">
        <v>9975.6200000000008</v>
      </c>
      <c r="BI191">
        <v>1058.33</v>
      </c>
      <c r="BJ191">
        <v>1.5137799999999999</v>
      </c>
      <c r="BK191">
        <v>-363.09800000000001</v>
      </c>
      <c r="BL191">
        <v>447.26</v>
      </c>
      <c r="BM191">
        <v>800.19600000000003</v>
      </c>
      <c r="BN191">
        <v>22.8842</v>
      </c>
      <c r="BO191">
        <v>800.03</v>
      </c>
      <c r="BP191">
        <v>0.20744000000000001</v>
      </c>
      <c r="BQ191">
        <v>2.2915399999999999</v>
      </c>
      <c r="BR191">
        <v>2.0585599999999999E-2</v>
      </c>
      <c r="BS191">
        <v>19.617100000000001</v>
      </c>
      <c r="BT191">
        <v>-39.147199999999998</v>
      </c>
      <c r="BU191">
        <v>1800</v>
      </c>
      <c r="BV191">
        <v>0.90997399999999995</v>
      </c>
      <c r="BW191">
        <v>3.4006599999999998E-2</v>
      </c>
      <c r="BX191">
        <v>2.2006899999999999E-2</v>
      </c>
      <c r="BY191">
        <v>3.40127E-2</v>
      </c>
      <c r="BZ191">
        <v>26</v>
      </c>
      <c r="CA191">
        <v>33528.199999999997</v>
      </c>
      <c r="CB191">
        <v>1690303320.5</v>
      </c>
      <c r="CC191" t="s">
        <v>332</v>
      </c>
      <c r="CD191">
        <v>1690303320.5</v>
      </c>
      <c r="CE191">
        <v>1690303310.0999999</v>
      </c>
      <c r="CF191">
        <v>8</v>
      </c>
      <c r="CG191">
        <v>7.3999999999999996E-2</v>
      </c>
      <c r="CH191">
        <v>-0.01</v>
      </c>
      <c r="CI191">
        <v>-0.24199999999999999</v>
      </c>
      <c r="CJ191">
        <v>0.27200000000000002</v>
      </c>
      <c r="CK191">
        <v>800</v>
      </c>
      <c r="CL191">
        <v>23</v>
      </c>
      <c r="CM191">
        <v>0.06</v>
      </c>
      <c r="CN191">
        <v>0.09</v>
      </c>
      <c r="CO191">
        <v>-362.16402499999998</v>
      </c>
      <c r="CP191">
        <v>-4.9392157598498123</v>
      </c>
      <c r="CQ191">
        <v>0.47618250112220589</v>
      </c>
      <c r="CR191">
        <v>-1</v>
      </c>
      <c r="CS191">
        <v>22.8298475</v>
      </c>
      <c r="CT191">
        <v>0.31018874296430299</v>
      </c>
      <c r="CU191">
        <v>2.9963068830645419E-2</v>
      </c>
      <c r="CV191">
        <v>-1</v>
      </c>
      <c r="CW191">
        <v>0</v>
      </c>
      <c r="CX191">
        <v>0</v>
      </c>
      <c r="CY191" t="s">
        <v>333</v>
      </c>
      <c r="CZ191">
        <v>2.36456</v>
      </c>
      <c r="DA191">
        <v>2.7137699999999998</v>
      </c>
      <c r="DB191">
        <v>9.58064E-2</v>
      </c>
      <c r="DC191">
        <v>0.14621999999999999</v>
      </c>
      <c r="DD191">
        <v>0.110734</v>
      </c>
      <c r="DE191">
        <v>1.74398E-3</v>
      </c>
      <c r="DF191">
        <v>33029.800000000003</v>
      </c>
      <c r="DG191">
        <v>27538</v>
      </c>
      <c r="DH191">
        <v>31185.200000000001</v>
      </c>
      <c r="DI191">
        <v>28105.5</v>
      </c>
      <c r="DJ191">
        <v>37649.300000000003</v>
      </c>
      <c r="DK191">
        <v>39907.5</v>
      </c>
      <c r="DL191">
        <v>44383.3</v>
      </c>
      <c r="DM191">
        <v>42602.7</v>
      </c>
      <c r="DN191">
        <v>1.44848</v>
      </c>
      <c r="DO191">
        <v>2.0295700000000001</v>
      </c>
      <c r="DP191">
        <v>0.153057</v>
      </c>
      <c r="DQ191">
        <v>0.13397600000000001</v>
      </c>
      <c r="DR191">
        <v>24.521000000000001</v>
      </c>
      <c r="DS191">
        <v>24.374500000000001</v>
      </c>
      <c r="DT191">
        <v>27.6</v>
      </c>
      <c r="DU191">
        <v>29.3</v>
      </c>
      <c r="DV191">
        <v>11.381</v>
      </c>
      <c r="DW191">
        <v>61.542999999999999</v>
      </c>
      <c r="DX191">
        <v>37.043300000000002</v>
      </c>
      <c r="DY191">
        <v>1</v>
      </c>
      <c r="DZ191">
        <v>-9.6199199999999999E-2</v>
      </c>
      <c r="EA191">
        <v>0.42843399999999998</v>
      </c>
      <c r="EB191">
        <v>20.188800000000001</v>
      </c>
      <c r="EC191">
        <v>5.2409499999999998</v>
      </c>
      <c r="ED191">
        <v>12.039899999999999</v>
      </c>
      <c r="EE191">
        <v>5.0170000000000003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1.8646400000000001</v>
      </c>
      <c r="EM191">
        <v>1.8692</v>
      </c>
      <c r="EN191">
        <v>1.8672299999999999</v>
      </c>
      <c r="EO191">
        <v>1.8633999999999999</v>
      </c>
      <c r="EP191">
        <v>1.8644700000000001</v>
      </c>
      <c r="EQ191">
        <v>1.87018</v>
      </c>
      <c r="ER191">
        <v>1.8693900000000001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1.4999999999999999E-2</v>
      </c>
      <c r="FG191">
        <v>0.27189999999999998</v>
      </c>
      <c r="FH191">
        <v>0.30965466913576151</v>
      </c>
      <c r="FI191">
        <v>-6.1462078757559423E-4</v>
      </c>
      <c r="FJ191">
        <v>-1.8861989874597051E-7</v>
      </c>
      <c r="FK191">
        <v>1.1980462299894961E-10</v>
      </c>
      <c r="FL191">
        <v>0.27184999999999349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39</v>
      </c>
      <c r="FU191">
        <v>39.200000000000003</v>
      </c>
      <c r="FV191">
        <v>1.7626999999999999</v>
      </c>
      <c r="FW191">
        <v>2.5866699999999998</v>
      </c>
      <c r="FX191">
        <v>1.5490699999999999</v>
      </c>
      <c r="FY191">
        <v>2.3290999999999999</v>
      </c>
      <c r="FZ191">
        <v>1.50146</v>
      </c>
      <c r="GA191">
        <v>2.4023400000000001</v>
      </c>
      <c r="GB191">
        <v>33.918700000000001</v>
      </c>
      <c r="GC191">
        <v>23.991199999999999</v>
      </c>
      <c r="GD191">
        <v>19</v>
      </c>
      <c r="GE191">
        <v>271.029</v>
      </c>
      <c r="GF191">
        <v>576.98599999999999</v>
      </c>
      <c r="GG191">
        <v>23.381699999999999</v>
      </c>
      <c r="GH191">
        <v>26.158100000000001</v>
      </c>
      <c r="GI191">
        <v>30.0001</v>
      </c>
      <c r="GJ191">
        <v>26.3018</v>
      </c>
      <c r="GK191">
        <v>26.286300000000001</v>
      </c>
      <c r="GL191">
        <v>35.242400000000004</v>
      </c>
      <c r="GM191">
        <v>100</v>
      </c>
      <c r="GN191">
        <v>20.553999999999998</v>
      </c>
      <c r="GO191">
        <v>23.384899999999998</v>
      </c>
      <c r="GP191">
        <v>800</v>
      </c>
      <c r="GQ191">
        <v>0</v>
      </c>
      <c r="GR191">
        <v>99.784400000000005</v>
      </c>
      <c r="GS191">
        <v>99.658299999999997</v>
      </c>
    </row>
    <row r="192" spans="1:201" x14ac:dyDescent="0.25">
      <c r="A192">
        <v>176</v>
      </c>
      <c r="B192">
        <v>1690305669.5999999</v>
      </c>
      <c r="C192">
        <v>1919.599999904633</v>
      </c>
      <c r="D192" t="s">
        <v>683</v>
      </c>
      <c r="E192" t="s">
        <v>684</v>
      </c>
      <c r="F192" t="s">
        <v>330</v>
      </c>
      <c r="H192">
        <v>1690305669.5999999</v>
      </c>
      <c r="I192">
        <f t="shared" si="60"/>
        <v>2.1334826047484982E-3</v>
      </c>
      <c r="J192">
        <f t="shared" si="61"/>
        <v>2.1334826047484983</v>
      </c>
      <c r="K192">
        <f t="shared" si="62"/>
        <v>32.154630895442814</v>
      </c>
      <c r="L192">
        <f t="shared" si="63"/>
        <v>436.226</v>
      </c>
      <c r="M192">
        <f t="shared" si="64"/>
        <v>114.27168111910171</v>
      </c>
      <c r="N192">
        <f t="shared" si="65"/>
        <v>11.351385532697286</v>
      </c>
      <c r="O192">
        <f t="shared" si="66"/>
        <v>43.333304077546003</v>
      </c>
      <c r="P192">
        <f t="shared" si="67"/>
        <v>0.1689262974380086</v>
      </c>
      <c r="Q192">
        <f t="shared" si="68"/>
        <v>2.0990458312400944</v>
      </c>
      <c r="R192">
        <f t="shared" si="69"/>
        <v>0.16172076158182541</v>
      </c>
      <c r="S192">
        <f t="shared" si="70"/>
        <v>0.10169725202806217</v>
      </c>
      <c r="T192">
        <f t="shared" si="71"/>
        <v>276.11531200352232</v>
      </c>
      <c r="U192">
        <f t="shared" si="72"/>
        <v>26.949826864117156</v>
      </c>
      <c r="V192">
        <f t="shared" si="73"/>
        <v>26.949826864117156</v>
      </c>
      <c r="W192">
        <f t="shared" si="74"/>
        <v>3.5686262073616222</v>
      </c>
      <c r="X192">
        <f t="shared" si="75"/>
        <v>70.161978141707422</v>
      </c>
      <c r="Y192">
        <f t="shared" si="76"/>
        <v>2.2968262404336</v>
      </c>
      <c r="Z192">
        <f t="shared" si="77"/>
        <v>3.2736053076990763</v>
      </c>
      <c r="AA192">
        <f t="shared" si="78"/>
        <v>1.2717999669280222</v>
      </c>
      <c r="AB192">
        <f t="shared" si="79"/>
        <v>-94.086582869408772</v>
      </c>
      <c r="AC192">
        <f t="shared" si="80"/>
        <v>-165.29002622635929</v>
      </c>
      <c r="AD192">
        <f t="shared" si="81"/>
        <v>-16.861967949783921</v>
      </c>
      <c r="AE192">
        <f t="shared" si="82"/>
        <v>-0.12326504202968636</v>
      </c>
      <c r="AF192">
        <v>8</v>
      </c>
      <c r="AG192">
        <v>3</v>
      </c>
      <c r="AH192">
        <f t="shared" si="83"/>
        <v>1</v>
      </c>
      <c r="AI192">
        <f t="shared" si="84"/>
        <v>0</v>
      </c>
      <c r="AJ192">
        <f t="shared" si="85"/>
        <v>52707.589841142573</v>
      </c>
      <c r="AK192">
        <f t="shared" si="86"/>
        <v>1799.99</v>
      </c>
      <c r="AL192">
        <f t="shared" si="87"/>
        <v>1499.10099321488</v>
      </c>
      <c r="AM192">
        <f t="shared" si="88"/>
        <v>0.83283851200000003</v>
      </c>
      <c r="AN192">
        <f t="shared" si="89"/>
        <v>0.15339824777</v>
      </c>
      <c r="AO192">
        <v>33</v>
      </c>
      <c r="AP192">
        <v>0.5</v>
      </c>
      <c r="AQ192" t="s">
        <v>331</v>
      </c>
      <c r="AR192">
        <v>2</v>
      </c>
      <c r="AS192">
        <v>1690305669.5999999</v>
      </c>
      <c r="AT192">
        <v>436.226</v>
      </c>
      <c r="AU192">
        <v>800.00800000000004</v>
      </c>
      <c r="AV192">
        <v>23.121600000000001</v>
      </c>
      <c r="AW192">
        <v>0.20577000000000001</v>
      </c>
      <c r="AX192">
        <v>436.21100000000001</v>
      </c>
      <c r="AY192">
        <v>22.849799999999998</v>
      </c>
      <c r="AZ192">
        <v>300.12900000000002</v>
      </c>
      <c r="BA192">
        <v>99.236800000000002</v>
      </c>
      <c r="BB192">
        <v>0.100021</v>
      </c>
      <c r="BC192">
        <v>25.4892</v>
      </c>
      <c r="BD192">
        <v>27.061299999999999</v>
      </c>
      <c r="BE192">
        <v>26.581399999999999</v>
      </c>
      <c r="BF192">
        <v>0</v>
      </c>
      <c r="BG192">
        <v>0</v>
      </c>
      <c r="BH192">
        <v>9993.75</v>
      </c>
      <c r="BI192">
        <v>1058.3399999999999</v>
      </c>
      <c r="BJ192">
        <v>1.5137799999999999</v>
      </c>
      <c r="BK192">
        <v>-363.78199999999998</v>
      </c>
      <c r="BL192">
        <v>446.55099999999999</v>
      </c>
      <c r="BM192">
        <v>800.173</v>
      </c>
      <c r="BN192">
        <v>22.915800000000001</v>
      </c>
      <c r="BO192">
        <v>800.00800000000004</v>
      </c>
      <c r="BP192">
        <v>0.20577000000000001</v>
      </c>
      <c r="BQ192">
        <v>2.2945199999999999</v>
      </c>
      <c r="BR192">
        <v>2.0420000000000001E-2</v>
      </c>
      <c r="BS192">
        <v>19.637899999999998</v>
      </c>
      <c r="BT192">
        <v>-39.225200000000001</v>
      </c>
      <c r="BU192">
        <v>1799.99</v>
      </c>
      <c r="BV192">
        <v>0.90997300000000003</v>
      </c>
      <c r="BW192">
        <v>3.4006000000000002E-2</v>
      </c>
      <c r="BX192">
        <v>2.20091E-2</v>
      </c>
      <c r="BY192">
        <v>3.4012100000000003E-2</v>
      </c>
      <c r="BZ192">
        <v>26</v>
      </c>
      <c r="CA192">
        <v>33528.1</v>
      </c>
      <c r="CB192">
        <v>1690303320.5</v>
      </c>
      <c r="CC192" t="s">
        <v>332</v>
      </c>
      <c r="CD192">
        <v>1690303320.5</v>
      </c>
      <c r="CE192">
        <v>1690303310.0999999</v>
      </c>
      <c r="CF192">
        <v>8</v>
      </c>
      <c r="CG192">
        <v>7.3999999999999996E-2</v>
      </c>
      <c r="CH192">
        <v>-0.01</v>
      </c>
      <c r="CI192">
        <v>-0.24199999999999999</v>
      </c>
      <c r="CJ192">
        <v>0.27200000000000002</v>
      </c>
      <c r="CK192">
        <v>800</v>
      </c>
      <c r="CL192">
        <v>23</v>
      </c>
      <c r="CM192">
        <v>0.06</v>
      </c>
      <c r="CN192">
        <v>0.09</v>
      </c>
      <c r="CO192">
        <v>-362.96368292682928</v>
      </c>
      <c r="CP192">
        <v>-4.2894355400693103</v>
      </c>
      <c r="CQ192">
        <v>0.42534378858635319</v>
      </c>
      <c r="CR192">
        <v>-1</v>
      </c>
      <c r="CS192">
        <v>22.878102439024389</v>
      </c>
      <c r="CT192">
        <v>0.24482508710802031</v>
      </c>
      <c r="CU192">
        <v>2.4253061036927211E-2</v>
      </c>
      <c r="CV192">
        <v>-1</v>
      </c>
      <c r="CW192">
        <v>0</v>
      </c>
      <c r="CX192">
        <v>0</v>
      </c>
      <c r="CY192" t="s">
        <v>333</v>
      </c>
      <c r="CZ192">
        <v>2.3645700000000001</v>
      </c>
      <c r="DA192">
        <v>2.7138100000000001</v>
      </c>
      <c r="DB192">
        <v>9.5690200000000003E-2</v>
      </c>
      <c r="DC192">
        <v>0.14621700000000001</v>
      </c>
      <c r="DD192">
        <v>0.110837</v>
      </c>
      <c r="DE192">
        <v>1.7301300000000001E-3</v>
      </c>
      <c r="DF192">
        <v>33033.599999999999</v>
      </c>
      <c r="DG192">
        <v>27537.8</v>
      </c>
      <c r="DH192">
        <v>31184.799999999999</v>
      </c>
      <c r="DI192">
        <v>28105.200000000001</v>
      </c>
      <c r="DJ192">
        <v>37644.699999999997</v>
      </c>
      <c r="DK192">
        <v>39907.9</v>
      </c>
      <c r="DL192">
        <v>44383.1</v>
      </c>
      <c r="DM192">
        <v>42602.5</v>
      </c>
      <c r="DN192">
        <v>1.4486000000000001</v>
      </c>
      <c r="DO192">
        <v>2.0295000000000001</v>
      </c>
      <c r="DP192">
        <v>0.154778</v>
      </c>
      <c r="DQ192">
        <v>0.13439400000000001</v>
      </c>
      <c r="DR192">
        <v>24.525099999999998</v>
      </c>
      <c r="DS192">
        <v>24.378</v>
      </c>
      <c r="DT192">
        <v>27.4</v>
      </c>
      <c r="DU192">
        <v>29.4</v>
      </c>
      <c r="DV192">
        <v>11.365399999999999</v>
      </c>
      <c r="DW192">
        <v>61.503</v>
      </c>
      <c r="DX192">
        <v>36.983199999999997</v>
      </c>
      <c r="DY192">
        <v>1</v>
      </c>
      <c r="DZ192">
        <v>-9.6061999999999995E-2</v>
      </c>
      <c r="EA192">
        <v>0.70583899999999999</v>
      </c>
      <c r="EB192">
        <v>20.1875</v>
      </c>
      <c r="EC192">
        <v>5.2406499999999996</v>
      </c>
      <c r="ED192">
        <v>12.039899999999999</v>
      </c>
      <c r="EE192">
        <v>5.0170500000000002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1.8689100000000001</v>
      </c>
      <c r="EL192">
        <v>1.86463</v>
      </c>
      <c r="EM192">
        <v>1.8692</v>
      </c>
      <c r="EN192">
        <v>1.8672200000000001</v>
      </c>
      <c r="EO192">
        <v>1.8633999999999999</v>
      </c>
      <c r="EP192">
        <v>1.8644700000000001</v>
      </c>
      <c r="EQ192">
        <v>1.87018</v>
      </c>
      <c r="ER192">
        <v>1.8694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1.4999999999999999E-2</v>
      </c>
      <c r="FG192">
        <v>0.27179999999999999</v>
      </c>
      <c r="FH192">
        <v>0.30965466913576151</v>
      </c>
      <c r="FI192">
        <v>-6.1462078757559423E-4</v>
      </c>
      <c r="FJ192">
        <v>-1.8861989874597051E-7</v>
      </c>
      <c r="FK192">
        <v>1.1980462299894961E-10</v>
      </c>
      <c r="FL192">
        <v>0.27184999999999349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39.200000000000003</v>
      </c>
      <c r="FU192">
        <v>39.299999999999997</v>
      </c>
      <c r="FV192">
        <v>1.7626999999999999</v>
      </c>
      <c r="FW192">
        <v>2.5903299999999998</v>
      </c>
      <c r="FX192">
        <v>1.5490699999999999</v>
      </c>
      <c r="FY192">
        <v>2.3290999999999999</v>
      </c>
      <c r="FZ192">
        <v>1.50146</v>
      </c>
      <c r="GA192">
        <v>2.3815900000000001</v>
      </c>
      <c r="GB192">
        <v>33.918700000000001</v>
      </c>
      <c r="GC192">
        <v>23.982399999999998</v>
      </c>
      <c r="GD192">
        <v>19</v>
      </c>
      <c r="GE192">
        <v>271.08100000000002</v>
      </c>
      <c r="GF192">
        <v>576.92399999999998</v>
      </c>
      <c r="GG192">
        <v>23.356300000000001</v>
      </c>
      <c r="GH192">
        <v>26.158100000000001</v>
      </c>
      <c r="GI192">
        <v>30.0002</v>
      </c>
      <c r="GJ192">
        <v>26.3018</v>
      </c>
      <c r="GK192">
        <v>26.286300000000001</v>
      </c>
      <c r="GL192">
        <v>35.244300000000003</v>
      </c>
      <c r="GM192">
        <v>100</v>
      </c>
      <c r="GN192">
        <v>20.177399999999999</v>
      </c>
      <c r="GO192">
        <v>23.322399999999998</v>
      </c>
      <c r="GP192">
        <v>800</v>
      </c>
      <c r="GQ192">
        <v>0</v>
      </c>
      <c r="GR192">
        <v>99.783500000000004</v>
      </c>
      <c r="GS192">
        <v>99.657600000000002</v>
      </c>
    </row>
    <row r="193" spans="1:201" x14ac:dyDescent="0.25">
      <c r="A193">
        <v>177</v>
      </c>
      <c r="B193">
        <v>1690305679.5999999</v>
      </c>
      <c r="C193">
        <v>1929.599999904633</v>
      </c>
      <c r="D193" t="s">
        <v>685</v>
      </c>
      <c r="E193" t="s">
        <v>686</v>
      </c>
      <c r="F193" t="s">
        <v>330</v>
      </c>
      <c r="H193">
        <v>1690305679.5999999</v>
      </c>
      <c r="I193">
        <f t="shared" si="60"/>
        <v>2.1351136165438365E-3</v>
      </c>
      <c r="J193">
        <f t="shared" si="61"/>
        <v>2.1351136165438365</v>
      </c>
      <c r="K193">
        <f t="shared" si="62"/>
        <v>32.21226933878178</v>
      </c>
      <c r="L193">
        <f t="shared" si="63"/>
        <v>435.43599999999998</v>
      </c>
      <c r="M193">
        <f t="shared" si="64"/>
        <v>113.95449229483752</v>
      </c>
      <c r="N193">
        <f t="shared" si="65"/>
        <v>11.320089220689155</v>
      </c>
      <c r="O193">
        <f t="shared" si="66"/>
        <v>43.255638901418799</v>
      </c>
      <c r="P193">
        <f t="shared" si="67"/>
        <v>0.16948635800744602</v>
      </c>
      <c r="Q193">
        <f t="shared" si="68"/>
        <v>2.1000588599164076</v>
      </c>
      <c r="R193">
        <f t="shared" si="69"/>
        <v>0.1622374044046565</v>
      </c>
      <c r="S193">
        <f t="shared" si="70"/>
        <v>0.10202383065003992</v>
      </c>
      <c r="T193">
        <f t="shared" si="71"/>
        <v>276.11661130200002</v>
      </c>
      <c r="U193">
        <f t="shared" si="72"/>
        <v>26.946723124706764</v>
      </c>
      <c r="V193">
        <f t="shared" si="73"/>
        <v>26.946723124706764</v>
      </c>
      <c r="W193">
        <f t="shared" si="74"/>
        <v>3.5679754895517211</v>
      </c>
      <c r="X193">
        <f t="shared" si="75"/>
        <v>70.243746235505583</v>
      </c>
      <c r="Y193">
        <f t="shared" si="76"/>
        <v>2.2992434943201498</v>
      </c>
      <c r="Z193">
        <f t="shared" si="77"/>
        <v>3.2732358644590174</v>
      </c>
      <c r="AA193">
        <f t="shared" si="78"/>
        <v>1.2687319952315712</v>
      </c>
      <c r="AB193">
        <f t="shared" si="79"/>
        <v>-94.158510489583193</v>
      </c>
      <c r="AC193">
        <f t="shared" si="80"/>
        <v>-165.23351207121578</v>
      </c>
      <c r="AD193">
        <f t="shared" si="81"/>
        <v>-16.847648800596698</v>
      </c>
      <c r="AE193">
        <f t="shared" si="82"/>
        <v>-0.12306005939564102</v>
      </c>
      <c r="AF193">
        <v>8</v>
      </c>
      <c r="AG193">
        <v>3</v>
      </c>
      <c r="AH193">
        <f t="shared" si="83"/>
        <v>1</v>
      </c>
      <c r="AI193">
        <f t="shared" si="84"/>
        <v>0</v>
      </c>
      <c r="AJ193">
        <f t="shared" si="85"/>
        <v>52753.198713205151</v>
      </c>
      <c r="AK193">
        <f t="shared" si="86"/>
        <v>1800</v>
      </c>
      <c r="AL193">
        <f t="shared" si="87"/>
        <v>1499.1086411999997</v>
      </c>
      <c r="AM193">
        <f t="shared" si="88"/>
        <v>0.83283813399999984</v>
      </c>
      <c r="AN193">
        <f t="shared" si="89"/>
        <v>0.15339811739000001</v>
      </c>
      <c r="AO193">
        <v>33</v>
      </c>
      <c r="AP193">
        <v>0.5</v>
      </c>
      <c r="AQ193" t="s">
        <v>331</v>
      </c>
      <c r="AR193">
        <v>2</v>
      </c>
      <c r="AS193">
        <v>1690305679.5999999</v>
      </c>
      <c r="AT193">
        <v>435.43599999999998</v>
      </c>
      <c r="AU193">
        <v>799.98800000000006</v>
      </c>
      <c r="AV193">
        <v>23.145499999999998</v>
      </c>
      <c r="AW193">
        <v>0.203463</v>
      </c>
      <c r="AX193">
        <v>435.42</v>
      </c>
      <c r="AY193">
        <v>22.873699999999999</v>
      </c>
      <c r="AZ193">
        <v>300.00799999999998</v>
      </c>
      <c r="BA193">
        <v>99.238699999999994</v>
      </c>
      <c r="BB193">
        <v>9.9983299999999997E-2</v>
      </c>
      <c r="BC193">
        <v>25.487300000000001</v>
      </c>
      <c r="BD193">
        <v>27.008900000000001</v>
      </c>
      <c r="BE193">
        <v>26.585899999999999</v>
      </c>
      <c r="BF193">
        <v>0</v>
      </c>
      <c r="BG193">
        <v>0</v>
      </c>
      <c r="BH193">
        <v>10002.5</v>
      </c>
      <c r="BI193">
        <v>1058.32</v>
      </c>
      <c r="BJ193">
        <v>1.5137799999999999</v>
      </c>
      <c r="BK193">
        <v>-364.553</v>
      </c>
      <c r="BL193">
        <v>445.75299999999999</v>
      </c>
      <c r="BM193">
        <v>800.15099999999995</v>
      </c>
      <c r="BN193">
        <v>22.942</v>
      </c>
      <c r="BO193">
        <v>799.98800000000006</v>
      </c>
      <c r="BP193">
        <v>0.203463</v>
      </c>
      <c r="BQ193">
        <v>2.2969300000000001</v>
      </c>
      <c r="BR193">
        <v>2.0191400000000002E-2</v>
      </c>
      <c r="BS193">
        <v>19.654900000000001</v>
      </c>
      <c r="BT193">
        <v>-39.333799999999997</v>
      </c>
      <c r="BU193">
        <v>1800</v>
      </c>
      <c r="BV193">
        <v>0.90997399999999995</v>
      </c>
      <c r="BW193">
        <v>3.4005399999999998E-2</v>
      </c>
      <c r="BX193">
        <v>2.2008699999999999E-2</v>
      </c>
      <c r="BY193">
        <v>3.40115E-2</v>
      </c>
      <c r="BZ193">
        <v>26</v>
      </c>
      <c r="CA193">
        <v>33528.199999999997</v>
      </c>
      <c r="CB193">
        <v>1690303320.5</v>
      </c>
      <c r="CC193" t="s">
        <v>332</v>
      </c>
      <c r="CD193">
        <v>1690303320.5</v>
      </c>
      <c r="CE193">
        <v>1690303310.0999999</v>
      </c>
      <c r="CF193">
        <v>8</v>
      </c>
      <c r="CG193">
        <v>7.3999999999999996E-2</v>
      </c>
      <c r="CH193">
        <v>-0.01</v>
      </c>
      <c r="CI193">
        <v>-0.24199999999999999</v>
      </c>
      <c r="CJ193">
        <v>0.27200000000000002</v>
      </c>
      <c r="CK193">
        <v>800</v>
      </c>
      <c r="CL193">
        <v>23</v>
      </c>
      <c r="CM193">
        <v>0.06</v>
      </c>
      <c r="CN193">
        <v>0.09</v>
      </c>
      <c r="CO193">
        <v>-363.7130975609756</v>
      </c>
      <c r="CP193">
        <v>-4.5329268292684786</v>
      </c>
      <c r="CQ193">
        <v>0.45062567911402851</v>
      </c>
      <c r="CR193">
        <v>-1</v>
      </c>
      <c r="CS193">
        <v>22.91294146341464</v>
      </c>
      <c r="CT193">
        <v>0.1751226480836367</v>
      </c>
      <c r="CU193">
        <v>1.7346497159717169E-2</v>
      </c>
      <c r="CV193">
        <v>-1</v>
      </c>
      <c r="CW193">
        <v>0</v>
      </c>
      <c r="CX193">
        <v>0</v>
      </c>
      <c r="CY193" t="s">
        <v>333</v>
      </c>
      <c r="CZ193">
        <v>2.3642099999999999</v>
      </c>
      <c r="DA193">
        <v>2.7137699999999998</v>
      </c>
      <c r="DB193">
        <v>9.5561800000000002E-2</v>
      </c>
      <c r="DC193">
        <v>0.14621799999999999</v>
      </c>
      <c r="DD193">
        <v>0.11092</v>
      </c>
      <c r="DE193">
        <v>1.7110000000000001E-3</v>
      </c>
      <c r="DF193">
        <v>33038.1</v>
      </c>
      <c r="DG193">
        <v>27537.599999999999</v>
      </c>
      <c r="DH193">
        <v>31184.6</v>
      </c>
      <c r="DI193">
        <v>28105</v>
      </c>
      <c r="DJ193">
        <v>37640.800000000003</v>
      </c>
      <c r="DK193">
        <v>39908.400000000001</v>
      </c>
      <c r="DL193">
        <v>44382.7</v>
      </c>
      <c r="DM193">
        <v>42602.3</v>
      </c>
      <c r="DN193">
        <v>1.44825</v>
      </c>
      <c r="DO193">
        <v>2.0297299999999998</v>
      </c>
      <c r="DP193">
        <v>0.15141099999999999</v>
      </c>
      <c r="DQ193">
        <v>0.13441600000000001</v>
      </c>
      <c r="DR193">
        <v>24.527799999999999</v>
      </c>
      <c r="DS193">
        <v>24.382200000000001</v>
      </c>
      <c r="DT193">
        <v>27.1</v>
      </c>
      <c r="DU193">
        <v>29.3</v>
      </c>
      <c r="DV193">
        <v>11.1747</v>
      </c>
      <c r="DW193">
        <v>61.523000000000003</v>
      </c>
      <c r="DX193">
        <v>37.267600000000002</v>
      </c>
      <c r="DY193">
        <v>1</v>
      </c>
      <c r="DZ193">
        <v>-9.5607200000000003E-2</v>
      </c>
      <c r="EA193">
        <v>0.86414800000000003</v>
      </c>
      <c r="EB193">
        <v>20.186499999999999</v>
      </c>
      <c r="EC193">
        <v>5.2411000000000003</v>
      </c>
      <c r="ED193">
        <v>12.039899999999999</v>
      </c>
      <c r="EE193">
        <v>5.01715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1.8646199999999999</v>
      </c>
      <c r="EM193">
        <v>1.8692</v>
      </c>
      <c r="EN193">
        <v>1.8672200000000001</v>
      </c>
      <c r="EO193">
        <v>1.8633900000000001</v>
      </c>
      <c r="EP193">
        <v>1.8644700000000001</v>
      </c>
      <c r="EQ193">
        <v>1.87019</v>
      </c>
      <c r="ER193">
        <v>1.86941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1.6E-2</v>
      </c>
      <c r="FG193">
        <v>0.27179999999999999</v>
      </c>
      <c r="FH193">
        <v>0.30965466913576151</v>
      </c>
      <c r="FI193">
        <v>-6.1462078757559423E-4</v>
      </c>
      <c r="FJ193">
        <v>-1.8861989874597051E-7</v>
      </c>
      <c r="FK193">
        <v>1.1980462299894961E-10</v>
      </c>
      <c r="FL193">
        <v>0.27184999999999349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39.299999999999997</v>
      </c>
      <c r="FU193">
        <v>39.5</v>
      </c>
      <c r="FV193">
        <v>1.7626999999999999</v>
      </c>
      <c r="FW193">
        <v>2.5866699999999998</v>
      </c>
      <c r="FX193">
        <v>1.5490699999999999</v>
      </c>
      <c r="FY193">
        <v>2.3290999999999999</v>
      </c>
      <c r="FZ193">
        <v>1.50146</v>
      </c>
      <c r="GA193">
        <v>2.3913600000000002</v>
      </c>
      <c r="GB193">
        <v>33.918700000000001</v>
      </c>
      <c r="GC193">
        <v>23.982399999999998</v>
      </c>
      <c r="GD193">
        <v>19</v>
      </c>
      <c r="GE193">
        <v>270.93599999999998</v>
      </c>
      <c r="GF193">
        <v>577.10799999999995</v>
      </c>
      <c r="GG193">
        <v>23.244499999999999</v>
      </c>
      <c r="GH193">
        <v>26.158100000000001</v>
      </c>
      <c r="GI193">
        <v>30.0001</v>
      </c>
      <c r="GJ193">
        <v>26.3018</v>
      </c>
      <c r="GK193">
        <v>26.286300000000001</v>
      </c>
      <c r="GL193">
        <v>35.242400000000004</v>
      </c>
      <c r="GM193">
        <v>100</v>
      </c>
      <c r="GN193">
        <v>19.408799999999999</v>
      </c>
      <c r="GO193">
        <v>23.223600000000001</v>
      </c>
      <c r="GP193">
        <v>800</v>
      </c>
      <c r="GQ193">
        <v>0</v>
      </c>
      <c r="GR193">
        <v>99.782700000000006</v>
      </c>
      <c r="GS193">
        <v>99.6571</v>
      </c>
    </row>
    <row r="194" spans="1:201" x14ac:dyDescent="0.25">
      <c r="A194">
        <v>178</v>
      </c>
      <c r="B194">
        <v>1690305689.5999999</v>
      </c>
      <c r="C194">
        <v>1939.599999904633</v>
      </c>
      <c r="D194" t="s">
        <v>687</v>
      </c>
      <c r="E194" t="s">
        <v>688</v>
      </c>
      <c r="F194" t="s">
        <v>330</v>
      </c>
      <c r="H194">
        <v>1690305689.5999999</v>
      </c>
      <c r="I194">
        <f t="shared" si="60"/>
        <v>2.1373151436828194E-3</v>
      </c>
      <c r="J194">
        <f t="shared" si="61"/>
        <v>2.1373151436828195</v>
      </c>
      <c r="K194">
        <f t="shared" si="62"/>
        <v>32.293863737197334</v>
      </c>
      <c r="L194">
        <f t="shared" si="63"/>
        <v>434.53199999999998</v>
      </c>
      <c r="M194">
        <f t="shared" si="64"/>
        <v>113.68786608044455</v>
      </c>
      <c r="N194">
        <f t="shared" si="65"/>
        <v>11.293717020760493</v>
      </c>
      <c r="O194">
        <f t="shared" si="66"/>
        <v>43.166272828030799</v>
      </c>
      <c r="P194">
        <f t="shared" si="67"/>
        <v>0.17025950435817308</v>
      </c>
      <c r="Q194">
        <f t="shared" si="68"/>
        <v>2.103814082828491</v>
      </c>
      <c r="R194">
        <f t="shared" si="69"/>
        <v>0.16295825164465796</v>
      </c>
      <c r="S194">
        <f t="shared" si="70"/>
        <v>0.10247880379312763</v>
      </c>
      <c r="T194">
        <f t="shared" si="71"/>
        <v>276.11662042800003</v>
      </c>
      <c r="U194">
        <f t="shared" si="72"/>
        <v>26.934791614411115</v>
      </c>
      <c r="V194">
        <f t="shared" si="73"/>
        <v>26.934791614411115</v>
      </c>
      <c r="W194">
        <f t="shared" si="74"/>
        <v>3.5654749403302142</v>
      </c>
      <c r="X194">
        <f t="shared" si="75"/>
        <v>70.335235250784933</v>
      </c>
      <c r="Y194">
        <f t="shared" si="76"/>
        <v>2.3010349695707699</v>
      </c>
      <c r="Z194">
        <f t="shared" si="77"/>
        <v>3.2715252339261789</v>
      </c>
      <c r="AA194">
        <f t="shared" si="78"/>
        <v>1.2644399707594443</v>
      </c>
      <c r="AB194">
        <f t="shared" si="79"/>
        <v>-94.255597836412335</v>
      </c>
      <c r="AC194">
        <f t="shared" si="80"/>
        <v>-165.17379610454452</v>
      </c>
      <c r="AD194">
        <f t="shared" si="81"/>
        <v>-16.809750939259473</v>
      </c>
      <c r="AE194">
        <f t="shared" si="82"/>
        <v>-0.1225244522162825</v>
      </c>
      <c r="AF194">
        <v>8</v>
      </c>
      <c r="AG194">
        <v>3</v>
      </c>
      <c r="AH194">
        <f t="shared" si="83"/>
        <v>1</v>
      </c>
      <c r="AI194">
        <f t="shared" si="84"/>
        <v>0</v>
      </c>
      <c r="AJ194">
        <f t="shared" si="85"/>
        <v>52922.688539242656</v>
      </c>
      <c r="AK194">
        <f t="shared" si="86"/>
        <v>1800</v>
      </c>
      <c r="AL194">
        <f t="shared" si="87"/>
        <v>1499.1093378000003</v>
      </c>
      <c r="AM194">
        <f t="shared" si="88"/>
        <v>0.83283852100000011</v>
      </c>
      <c r="AN194">
        <f t="shared" si="89"/>
        <v>0.15339812246000001</v>
      </c>
      <c r="AO194">
        <v>33</v>
      </c>
      <c r="AP194">
        <v>0.5</v>
      </c>
      <c r="AQ194" t="s">
        <v>331</v>
      </c>
      <c r="AR194">
        <v>2</v>
      </c>
      <c r="AS194">
        <v>1690305689.5999999</v>
      </c>
      <c r="AT194">
        <v>434.53199999999998</v>
      </c>
      <c r="AU194">
        <v>799.91600000000005</v>
      </c>
      <c r="AV194">
        <v>23.1633</v>
      </c>
      <c r="AW194">
        <v>0.20147000000000001</v>
      </c>
      <c r="AX194">
        <v>434.51499999999999</v>
      </c>
      <c r="AY194">
        <v>22.891500000000001</v>
      </c>
      <c r="AZ194">
        <v>300.053</v>
      </c>
      <c r="BA194">
        <v>99.239800000000002</v>
      </c>
      <c r="BB194">
        <v>9.9886900000000001E-2</v>
      </c>
      <c r="BC194">
        <v>25.4785</v>
      </c>
      <c r="BD194">
        <v>27.045500000000001</v>
      </c>
      <c r="BE194">
        <v>26.584</v>
      </c>
      <c r="BF194">
        <v>0</v>
      </c>
      <c r="BG194">
        <v>0</v>
      </c>
      <c r="BH194">
        <v>10035.6</v>
      </c>
      <c r="BI194">
        <v>1058.4100000000001</v>
      </c>
      <c r="BJ194">
        <v>1.5137799999999999</v>
      </c>
      <c r="BK194">
        <v>-365.38299999999998</v>
      </c>
      <c r="BL194">
        <v>444.83600000000001</v>
      </c>
      <c r="BM194">
        <v>800.077</v>
      </c>
      <c r="BN194">
        <v>22.9619</v>
      </c>
      <c r="BO194">
        <v>799.91600000000005</v>
      </c>
      <c r="BP194">
        <v>0.20147000000000001</v>
      </c>
      <c r="BQ194">
        <v>2.2987299999999999</v>
      </c>
      <c r="BR194">
        <v>1.9993799999999999E-2</v>
      </c>
      <c r="BS194">
        <v>19.6675</v>
      </c>
      <c r="BT194">
        <v>-39.4285</v>
      </c>
      <c r="BU194">
        <v>1800</v>
      </c>
      <c r="BV194">
        <v>0.90997600000000001</v>
      </c>
      <c r="BW194">
        <v>3.4004800000000002E-2</v>
      </c>
      <c r="BX194">
        <v>2.2008300000000001E-2</v>
      </c>
      <c r="BY194">
        <v>3.4010800000000001E-2</v>
      </c>
      <c r="BZ194">
        <v>26</v>
      </c>
      <c r="CA194">
        <v>33528.199999999997</v>
      </c>
      <c r="CB194">
        <v>1690303320.5</v>
      </c>
      <c r="CC194" t="s">
        <v>332</v>
      </c>
      <c r="CD194">
        <v>1690303320.5</v>
      </c>
      <c r="CE194">
        <v>1690303310.0999999</v>
      </c>
      <c r="CF194">
        <v>8</v>
      </c>
      <c r="CG194">
        <v>7.3999999999999996E-2</v>
      </c>
      <c r="CH194">
        <v>-0.01</v>
      </c>
      <c r="CI194">
        <v>-0.24199999999999999</v>
      </c>
      <c r="CJ194">
        <v>0.27200000000000002</v>
      </c>
      <c r="CK194">
        <v>800</v>
      </c>
      <c r="CL194">
        <v>23</v>
      </c>
      <c r="CM194">
        <v>0.06</v>
      </c>
      <c r="CN194">
        <v>0.09</v>
      </c>
      <c r="CO194">
        <v>-364.45907499999998</v>
      </c>
      <c r="CP194">
        <v>-4.6853245778616719</v>
      </c>
      <c r="CQ194">
        <v>0.45241824606773251</v>
      </c>
      <c r="CR194">
        <v>-1</v>
      </c>
      <c r="CS194">
        <v>22.936705</v>
      </c>
      <c r="CT194">
        <v>0.1201418386490947</v>
      </c>
      <c r="CU194">
        <v>1.175533814911332E-2</v>
      </c>
      <c r="CV194">
        <v>-1</v>
      </c>
      <c r="CW194">
        <v>0</v>
      </c>
      <c r="CX194">
        <v>0</v>
      </c>
      <c r="CY194" t="s">
        <v>333</v>
      </c>
      <c r="CZ194">
        <v>2.3643000000000001</v>
      </c>
      <c r="DA194">
        <v>2.7137099999999998</v>
      </c>
      <c r="DB194">
        <v>9.5413700000000004E-2</v>
      </c>
      <c r="DC194">
        <v>0.14621000000000001</v>
      </c>
      <c r="DD194">
        <v>0.110983</v>
      </c>
      <c r="DE194">
        <v>1.69447E-3</v>
      </c>
      <c r="DF194">
        <v>33043</v>
      </c>
      <c r="DG194">
        <v>27538.1</v>
      </c>
      <c r="DH194">
        <v>31184.1</v>
      </c>
      <c r="DI194">
        <v>28105.3</v>
      </c>
      <c r="DJ194">
        <v>37637.5</v>
      </c>
      <c r="DK194">
        <v>39909.199999999997</v>
      </c>
      <c r="DL194">
        <v>44382</v>
      </c>
      <c r="DM194">
        <v>42602.5</v>
      </c>
      <c r="DN194">
        <v>1.4484300000000001</v>
      </c>
      <c r="DO194">
        <v>2.0298500000000002</v>
      </c>
      <c r="DP194">
        <v>0.153333</v>
      </c>
      <c r="DQ194">
        <v>0.134021</v>
      </c>
      <c r="DR194">
        <v>24.532900000000001</v>
      </c>
      <c r="DS194">
        <v>24.386800000000001</v>
      </c>
      <c r="DT194">
        <v>26.8</v>
      </c>
      <c r="DU194">
        <v>29.4</v>
      </c>
      <c r="DV194">
        <v>11.1151</v>
      </c>
      <c r="DW194">
        <v>61.393000000000001</v>
      </c>
      <c r="DX194">
        <v>37.303699999999999</v>
      </c>
      <c r="DY194">
        <v>1</v>
      </c>
      <c r="DZ194">
        <v>-9.5846000000000001E-2</v>
      </c>
      <c r="EA194">
        <v>0.77986900000000003</v>
      </c>
      <c r="EB194">
        <v>20.187200000000001</v>
      </c>
      <c r="EC194">
        <v>5.24125</v>
      </c>
      <c r="ED194">
        <v>12.039899999999999</v>
      </c>
      <c r="EE194">
        <v>5.0170500000000002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1.86463</v>
      </c>
      <c r="EM194">
        <v>1.8692</v>
      </c>
      <c r="EN194">
        <v>1.86724</v>
      </c>
      <c r="EO194">
        <v>1.8633999999999999</v>
      </c>
      <c r="EP194">
        <v>1.8644700000000001</v>
      </c>
      <c r="EQ194">
        <v>1.87018</v>
      </c>
      <c r="ER194">
        <v>1.86938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1.7000000000000001E-2</v>
      </c>
      <c r="FG194">
        <v>0.27179999999999999</v>
      </c>
      <c r="FH194">
        <v>0.30965466913576151</v>
      </c>
      <c r="FI194">
        <v>-6.1462078757559423E-4</v>
      </c>
      <c r="FJ194">
        <v>-1.8861989874597051E-7</v>
      </c>
      <c r="FK194">
        <v>1.1980462299894961E-10</v>
      </c>
      <c r="FL194">
        <v>0.27184999999999349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39.5</v>
      </c>
      <c r="FU194">
        <v>39.700000000000003</v>
      </c>
      <c r="FV194">
        <v>1.7626999999999999</v>
      </c>
      <c r="FW194">
        <v>2.5915499999999998</v>
      </c>
      <c r="FX194">
        <v>1.5490699999999999</v>
      </c>
      <c r="FY194">
        <v>2.3290999999999999</v>
      </c>
      <c r="FZ194">
        <v>1.50146</v>
      </c>
      <c r="GA194">
        <v>2.34375</v>
      </c>
      <c r="GB194">
        <v>33.918700000000001</v>
      </c>
      <c r="GC194">
        <v>23.982399999999998</v>
      </c>
      <c r="GD194">
        <v>19</v>
      </c>
      <c r="GE194">
        <v>271.00799999999998</v>
      </c>
      <c r="GF194">
        <v>577.21100000000001</v>
      </c>
      <c r="GG194">
        <v>23.185600000000001</v>
      </c>
      <c r="GH194">
        <v>26.160299999999999</v>
      </c>
      <c r="GI194">
        <v>30.0001</v>
      </c>
      <c r="GJ194">
        <v>26.3018</v>
      </c>
      <c r="GK194">
        <v>26.286300000000001</v>
      </c>
      <c r="GL194">
        <v>35.243600000000001</v>
      </c>
      <c r="GM194">
        <v>100</v>
      </c>
      <c r="GN194">
        <v>19.008299999999998</v>
      </c>
      <c r="GO194">
        <v>23.179300000000001</v>
      </c>
      <c r="GP194">
        <v>800</v>
      </c>
      <c r="GQ194">
        <v>0</v>
      </c>
      <c r="GR194">
        <v>99.781199999999998</v>
      </c>
      <c r="GS194">
        <v>99.657799999999995</v>
      </c>
    </row>
    <row r="195" spans="1:201" x14ac:dyDescent="0.25">
      <c r="A195">
        <v>179</v>
      </c>
      <c r="B195">
        <v>1690305699.5999999</v>
      </c>
      <c r="C195">
        <v>1949.599999904633</v>
      </c>
      <c r="D195" t="s">
        <v>689</v>
      </c>
      <c r="E195" t="s">
        <v>690</v>
      </c>
      <c r="F195" t="s">
        <v>330</v>
      </c>
      <c r="H195">
        <v>1690305699.5999999</v>
      </c>
      <c r="I195">
        <f t="shared" si="60"/>
        <v>2.1392895487706708E-3</v>
      </c>
      <c r="J195">
        <f t="shared" si="61"/>
        <v>2.1392895487706709</v>
      </c>
      <c r="K195">
        <f t="shared" si="62"/>
        <v>32.339624743845377</v>
      </c>
      <c r="L195">
        <f t="shared" si="63"/>
        <v>434.12900000000002</v>
      </c>
      <c r="M195">
        <f t="shared" si="64"/>
        <v>113.56860359151131</v>
      </c>
      <c r="N195">
        <f t="shared" si="65"/>
        <v>11.281314864747868</v>
      </c>
      <c r="O195">
        <f t="shared" si="66"/>
        <v>43.124118691587007</v>
      </c>
      <c r="P195">
        <f t="shared" si="67"/>
        <v>0.17068509542798718</v>
      </c>
      <c r="Q195">
        <f t="shared" si="68"/>
        <v>2.0964700677891193</v>
      </c>
      <c r="R195">
        <f t="shared" si="69"/>
        <v>0.16332363131333413</v>
      </c>
      <c r="S195">
        <f t="shared" si="70"/>
        <v>0.10271220959408109</v>
      </c>
      <c r="T195">
        <f t="shared" si="71"/>
        <v>276.11652238199997</v>
      </c>
      <c r="U195">
        <f t="shared" si="72"/>
        <v>26.933929709241298</v>
      </c>
      <c r="V195">
        <f t="shared" si="73"/>
        <v>26.933929709241298</v>
      </c>
      <c r="W195">
        <f t="shared" si="74"/>
        <v>3.565294365602695</v>
      </c>
      <c r="X195">
        <f t="shared" si="75"/>
        <v>70.402860419880341</v>
      </c>
      <c r="Y195">
        <f t="shared" si="76"/>
        <v>2.3025906670203002</v>
      </c>
      <c r="Z195">
        <f t="shared" si="77"/>
        <v>3.2705924919637148</v>
      </c>
      <c r="AA195">
        <f t="shared" si="78"/>
        <v>1.2627036985823947</v>
      </c>
      <c r="AB195">
        <f t="shared" si="79"/>
        <v>-94.34266910078658</v>
      </c>
      <c r="AC195">
        <f t="shared" si="80"/>
        <v>-165.04230853290071</v>
      </c>
      <c r="AD195">
        <f t="shared" si="81"/>
        <v>-16.85472988326643</v>
      </c>
      <c r="AE195">
        <f t="shared" si="82"/>
        <v>-0.1231851349537294</v>
      </c>
      <c r="AF195">
        <v>8</v>
      </c>
      <c r="AG195">
        <v>3</v>
      </c>
      <c r="AH195">
        <f t="shared" si="83"/>
        <v>1</v>
      </c>
      <c r="AI195">
        <f t="shared" si="84"/>
        <v>0</v>
      </c>
      <c r="AJ195">
        <f t="shared" si="85"/>
        <v>52595.389764886255</v>
      </c>
      <c r="AK195">
        <f t="shared" si="86"/>
        <v>1800</v>
      </c>
      <c r="AL195">
        <f t="shared" si="87"/>
        <v>1499.1089202000003</v>
      </c>
      <c r="AM195">
        <f t="shared" si="88"/>
        <v>0.83283828900000012</v>
      </c>
      <c r="AN195">
        <f t="shared" si="89"/>
        <v>0.15339806799</v>
      </c>
      <c r="AO195">
        <v>33</v>
      </c>
      <c r="AP195">
        <v>0.5</v>
      </c>
      <c r="AQ195" t="s">
        <v>331</v>
      </c>
      <c r="AR195">
        <v>2</v>
      </c>
      <c r="AS195">
        <v>1690305699.5999999</v>
      </c>
      <c r="AT195">
        <v>434.12900000000002</v>
      </c>
      <c r="AU195">
        <v>799.976</v>
      </c>
      <c r="AV195">
        <v>23.180099999999999</v>
      </c>
      <c r="AW195">
        <v>0.19998099999999999</v>
      </c>
      <c r="AX195">
        <v>434.11200000000002</v>
      </c>
      <c r="AY195">
        <v>22.908200000000001</v>
      </c>
      <c r="AZ195">
        <v>300.08600000000001</v>
      </c>
      <c r="BA195">
        <v>99.234800000000007</v>
      </c>
      <c r="BB195">
        <v>0.10000299999999999</v>
      </c>
      <c r="BC195">
        <v>25.473700000000001</v>
      </c>
      <c r="BD195">
        <v>26.996600000000001</v>
      </c>
      <c r="BE195">
        <v>26.562100000000001</v>
      </c>
      <c r="BF195">
        <v>0</v>
      </c>
      <c r="BG195">
        <v>0</v>
      </c>
      <c r="BH195">
        <v>9971.25</v>
      </c>
      <c r="BI195">
        <v>1058.4000000000001</v>
      </c>
      <c r="BJ195">
        <v>1.5137799999999999</v>
      </c>
      <c r="BK195">
        <v>-365.84699999999998</v>
      </c>
      <c r="BL195">
        <v>444.43099999999998</v>
      </c>
      <c r="BM195">
        <v>800.13599999999997</v>
      </c>
      <c r="BN195">
        <v>22.9801</v>
      </c>
      <c r="BO195">
        <v>799.976</v>
      </c>
      <c r="BP195">
        <v>0.19998099999999999</v>
      </c>
      <c r="BQ195">
        <v>2.3002699999999998</v>
      </c>
      <c r="BR195">
        <v>1.9845100000000001E-2</v>
      </c>
      <c r="BS195">
        <v>19.6783</v>
      </c>
      <c r="BT195">
        <v>-39.500399999999999</v>
      </c>
      <c r="BU195">
        <v>1800</v>
      </c>
      <c r="BV195">
        <v>0.90997600000000001</v>
      </c>
      <c r="BW195">
        <v>3.4004699999999999E-2</v>
      </c>
      <c r="BX195">
        <v>2.2008199999999999E-2</v>
      </c>
      <c r="BY195">
        <v>3.4010699999999998E-2</v>
      </c>
      <c r="BZ195">
        <v>26</v>
      </c>
      <c r="CA195">
        <v>33528.199999999997</v>
      </c>
      <c r="CB195">
        <v>1690303320.5</v>
      </c>
      <c r="CC195" t="s">
        <v>332</v>
      </c>
      <c r="CD195">
        <v>1690303320.5</v>
      </c>
      <c r="CE195">
        <v>1690303310.0999999</v>
      </c>
      <c r="CF195">
        <v>8</v>
      </c>
      <c r="CG195">
        <v>7.3999999999999996E-2</v>
      </c>
      <c r="CH195">
        <v>-0.01</v>
      </c>
      <c r="CI195">
        <v>-0.24199999999999999</v>
      </c>
      <c r="CJ195">
        <v>0.27200000000000002</v>
      </c>
      <c r="CK195">
        <v>800</v>
      </c>
      <c r="CL195">
        <v>23</v>
      </c>
      <c r="CM195">
        <v>0.06</v>
      </c>
      <c r="CN195">
        <v>0.09</v>
      </c>
      <c r="CO195">
        <v>-365.25458536585359</v>
      </c>
      <c r="CP195">
        <v>-4.5186480836239769</v>
      </c>
      <c r="CQ195">
        <v>0.44797800335859661</v>
      </c>
      <c r="CR195">
        <v>-1</v>
      </c>
      <c r="CS195">
        <v>22.959068292682929</v>
      </c>
      <c r="CT195">
        <v>0.13045087108018069</v>
      </c>
      <c r="CU195">
        <v>1.3064165081634089E-2</v>
      </c>
      <c r="CV195">
        <v>-1</v>
      </c>
      <c r="CW195">
        <v>0</v>
      </c>
      <c r="CX195">
        <v>0</v>
      </c>
      <c r="CY195" t="s">
        <v>333</v>
      </c>
      <c r="CZ195">
        <v>2.3644500000000002</v>
      </c>
      <c r="DA195">
        <v>2.7137699999999998</v>
      </c>
      <c r="DB195">
        <v>9.5342399999999994E-2</v>
      </c>
      <c r="DC195">
        <v>0.14621000000000001</v>
      </c>
      <c r="DD195">
        <v>0.11103399999999999</v>
      </c>
      <c r="DE195">
        <v>1.68202E-3</v>
      </c>
      <c r="DF195">
        <v>33045.800000000003</v>
      </c>
      <c r="DG195">
        <v>27537.7</v>
      </c>
      <c r="DH195">
        <v>31184.2</v>
      </c>
      <c r="DI195">
        <v>28104.9</v>
      </c>
      <c r="DJ195">
        <v>37635.300000000003</v>
      </c>
      <c r="DK195">
        <v>39909.4</v>
      </c>
      <c r="DL195">
        <v>44382</v>
      </c>
      <c r="DM195">
        <v>42602.1</v>
      </c>
      <c r="DN195">
        <v>1.4483699999999999</v>
      </c>
      <c r="DO195">
        <v>2.0297000000000001</v>
      </c>
      <c r="DP195">
        <v>0.150062</v>
      </c>
      <c r="DQ195">
        <v>0.13253100000000001</v>
      </c>
      <c r="DR195">
        <v>24.537500000000001</v>
      </c>
      <c r="DS195">
        <v>24.389299999999999</v>
      </c>
      <c r="DT195">
        <v>26.6</v>
      </c>
      <c r="DU195">
        <v>29.4</v>
      </c>
      <c r="DV195">
        <v>11.032500000000001</v>
      </c>
      <c r="DW195">
        <v>61.563000000000002</v>
      </c>
      <c r="DX195">
        <v>37.267600000000002</v>
      </c>
      <c r="DY195">
        <v>1</v>
      </c>
      <c r="DZ195">
        <v>-9.5274399999999995E-2</v>
      </c>
      <c r="EA195">
        <v>0.78444400000000003</v>
      </c>
      <c r="EB195">
        <v>20.186900000000001</v>
      </c>
      <c r="EC195">
        <v>5.2409499999999998</v>
      </c>
      <c r="ED195">
        <v>12.039899999999999</v>
      </c>
      <c r="EE195">
        <v>5.0164999999999997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1.8689100000000001</v>
      </c>
      <c r="EL195">
        <v>1.86463</v>
      </c>
      <c r="EM195">
        <v>1.8692</v>
      </c>
      <c r="EN195">
        <v>1.8672299999999999</v>
      </c>
      <c r="EO195">
        <v>1.8633999999999999</v>
      </c>
      <c r="EP195">
        <v>1.86449</v>
      </c>
      <c r="EQ195">
        <v>1.87016</v>
      </c>
      <c r="ER195">
        <v>1.8693900000000001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1.7000000000000001E-2</v>
      </c>
      <c r="FG195">
        <v>0.27189999999999998</v>
      </c>
      <c r="FH195">
        <v>0.30965466913576151</v>
      </c>
      <c r="FI195">
        <v>-6.1462078757559423E-4</v>
      </c>
      <c r="FJ195">
        <v>-1.8861989874597051E-7</v>
      </c>
      <c r="FK195">
        <v>1.1980462299894961E-10</v>
      </c>
      <c r="FL195">
        <v>0.27184999999999349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39.700000000000003</v>
      </c>
      <c r="FU195">
        <v>39.799999999999997</v>
      </c>
      <c r="FV195">
        <v>1.7626999999999999</v>
      </c>
      <c r="FW195">
        <v>2.5952099999999998</v>
      </c>
      <c r="FX195">
        <v>1.5490699999999999</v>
      </c>
      <c r="FY195">
        <v>2.3303199999999999</v>
      </c>
      <c r="FZ195">
        <v>1.50146</v>
      </c>
      <c r="GA195">
        <v>2.34619</v>
      </c>
      <c r="GB195">
        <v>33.918700000000001</v>
      </c>
      <c r="GC195">
        <v>23.982399999999998</v>
      </c>
      <c r="GD195">
        <v>19</v>
      </c>
      <c r="GE195">
        <v>270.988</v>
      </c>
      <c r="GF195">
        <v>577.08799999999997</v>
      </c>
      <c r="GG195">
        <v>23.1233</v>
      </c>
      <c r="GH195">
        <v>26.160299999999999</v>
      </c>
      <c r="GI195">
        <v>30.000399999999999</v>
      </c>
      <c r="GJ195">
        <v>26.3018</v>
      </c>
      <c r="GK195">
        <v>26.286300000000001</v>
      </c>
      <c r="GL195">
        <v>35.243699999999997</v>
      </c>
      <c r="GM195">
        <v>100</v>
      </c>
      <c r="GN195">
        <v>18.248899999999999</v>
      </c>
      <c r="GO195">
        <v>23.125399999999999</v>
      </c>
      <c r="GP195">
        <v>800</v>
      </c>
      <c r="GQ195">
        <v>0</v>
      </c>
      <c r="GR195">
        <v>99.781400000000005</v>
      </c>
      <c r="GS195">
        <v>99.656700000000001</v>
      </c>
    </row>
    <row r="196" spans="1:201" x14ac:dyDescent="0.25">
      <c r="A196">
        <v>180</v>
      </c>
      <c r="B196">
        <v>1690305709.5999999</v>
      </c>
      <c r="C196">
        <v>1959.599999904633</v>
      </c>
      <c r="D196" t="s">
        <v>691</v>
      </c>
      <c r="E196" t="s">
        <v>692</v>
      </c>
      <c r="F196" t="s">
        <v>330</v>
      </c>
      <c r="H196">
        <v>1690305709.5999999</v>
      </c>
      <c r="I196">
        <f t="shared" si="60"/>
        <v>2.1411455923557531E-3</v>
      </c>
      <c r="J196">
        <f t="shared" si="61"/>
        <v>2.1411455923557532</v>
      </c>
      <c r="K196">
        <f t="shared" si="62"/>
        <v>32.407989563184863</v>
      </c>
      <c r="L196">
        <f t="shared" si="63"/>
        <v>433.38</v>
      </c>
      <c r="M196">
        <f t="shared" si="64"/>
        <v>113.78767118939719</v>
      </c>
      <c r="N196">
        <f t="shared" si="65"/>
        <v>11.303213368313109</v>
      </c>
      <c r="O196">
        <f t="shared" si="66"/>
        <v>43.050240490517993</v>
      </c>
      <c r="P196">
        <f t="shared" si="67"/>
        <v>0.17157574618767851</v>
      </c>
      <c r="Q196">
        <f t="shared" si="68"/>
        <v>2.1013082099894524</v>
      </c>
      <c r="R196">
        <f t="shared" si="69"/>
        <v>0.16415538169293448</v>
      </c>
      <c r="S196">
        <f t="shared" si="70"/>
        <v>0.10323705988093676</v>
      </c>
      <c r="T196">
        <f t="shared" si="71"/>
        <v>276.116704992</v>
      </c>
      <c r="U196">
        <f t="shared" si="72"/>
        <v>26.919536129145232</v>
      </c>
      <c r="V196">
        <f t="shared" si="73"/>
        <v>26.919536129145232</v>
      </c>
      <c r="W196">
        <f t="shared" si="74"/>
        <v>3.562279996794202</v>
      </c>
      <c r="X196">
        <f t="shared" si="75"/>
        <v>70.51717082125505</v>
      </c>
      <c r="Y196">
        <f t="shared" si="76"/>
        <v>2.3048636647499698</v>
      </c>
      <c r="Z196">
        <f t="shared" si="77"/>
        <v>3.2685140908336692</v>
      </c>
      <c r="AA196">
        <f t="shared" si="78"/>
        <v>1.2574163320442322</v>
      </c>
      <c r="AB196">
        <f t="shared" si="79"/>
        <v>-94.424520622888707</v>
      </c>
      <c r="AC196">
        <f t="shared" si="80"/>
        <v>-165.00475606451704</v>
      </c>
      <c r="AD196">
        <f t="shared" si="81"/>
        <v>-16.809981262765238</v>
      </c>
      <c r="AE196">
        <f t="shared" si="82"/>
        <v>-0.12255295817098499</v>
      </c>
      <c r="AF196">
        <v>8</v>
      </c>
      <c r="AG196">
        <v>3</v>
      </c>
      <c r="AH196">
        <f t="shared" si="83"/>
        <v>1</v>
      </c>
      <c r="AI196">
        <f t="shared" si="84"/>
        <v>0</v>
      </c>
      <c r="AJ196">
        <f t="shared" si="85"/>
        <v>52813.262009176782</v>
      </c>
      <c r="AK196">
        <f t="shared" si="86"/>
        <v>1800</v>
      </c>
      <c r="AL196">
        <f t="shared" si="87"/>
        <v>1499.1107201999998</v>
      </c>
      <c r="AM196">
        <f t="shared" si="88"/>
        <v>0.83283928899999993</v>
      </c>
      <c r="AN196">
        <f t="shared" si="89"/>
        <v>0.15339816944000001</v>
      </c>
      <c r="AO196">
        <v>33</v>
      </c>
      <c r="AP196">
        <v>0.5</v>
      </c>
      <c r="AQ196" t="s">
        <v>331</v>
      </c>
      <c r="AR196">
        <v>2</v>
      </c>
      <c r="AS196">
        <v>1690305709.5999999</v>
      </c>
      <c r="AT196">
        <v>433.38</v>
      </c>
      <c r="AU196">
        <v>800.05799999999999</v>
      </c>
      <c r="AV196">
        <v>23.2027</v>
      </c>
      <c r="AW196">
        <v>0.197656</v>
      </c>
      <c r="AX196">
        <v>433.36200000000002</v>
      </c>
      <c r="AY196">
        <v>22.930800000000001</v>
      </c>
      <c r="AZ196">
        <v>300.01400000000001</v>
      </c>
      <c r="BA196">
        <v>99.236099999999993</v>
      </c>
      <c r="BB196">
        <v>9.9911100000000003E-2</v>
      </c>
      <c r="BC196">
        <v>25.463000000000001</v>
      </c>
      <c r="BD196">
        <v>26.990400000000001</v>
      </c>
      <c r="BE196">
        <v>26.554200000000002</v>
      </c>
      <c r="BF196">
        <v>0</v>
      </c>
      <c r="BG196">
        <v>0</v>
      </c>
      <c r="BH196">
        <v>10013.799999999999</v>
      </c>
      <c r="BI196">
        <v>1058.53</v>
      </c>
      <c r="BJ196">
        <v>1.5137799999999999</v>
      </c>
      <c r="BK196">
        <v>-366.678</v>
      </c>
      <c r="BL196">
        <v>443.67399999999998</v>
      </c>
      <c r="BM196">
        <v>800.21600000000001</v>
      </c>
      <c r="BN196">
        <v>23.004999999999999</v>
      </c>
      <c r="BO196">
        <v>800.05799999999999</v>
      </c>
      <c r="BP196">
        <v>0.197656</v>
      </c>
      <c r="BQ196">
        <v>2.30254</v>
      </c>
      <c r="BR196">
        <v>1.9614699999999999E-2</v>
      </c>
      <c r="BS196">
        <v>19.694199999999999</v>
      </c>
      <c r="BT196">
        <v>-39.6128</v>
      </c>
      <c r="BU196">
        <v>1800</v>
      </c>
      <c r="BV196">
        <v>0.90997899999999998</v>
      </c>
      <c r="BW196">
        <v>3.4003899999999997E-2</v>
      </c>
      <c r="BX196">
        <v>2.2007700000000002E-2</v>
      </c>
      <c r="BY196">
        <v>3.4009999999999999E-2</v>
      </c>
      <c r="BZ196">
        <v>26</v>
      </c>
      <c r="CA196">
        <v>33528.199999999997</v>
      </c>
      <c r="CB196">
        <v>1690303320.5</v>
      </c>
      <c r="CC196" t="s">
        <v>332</v>
      </c>
      <c r="CD196">
        <v>1690303320.5</v>
      </c>
      <c r="CE196">
        <v>1690303310.0999999</v>
      </c>
      <c r="CF196">
        <v>8</v>
      </c>
      <c r="CG196">
        <v>7.3999999999999996E-2</v>
      </c>
      <c r="CH196">
        <v>-0.01</v>
      </c>
      <c r="CI196">
        <v>-0.24199999999999999</v>
      </c>
      <c r="CJ196">
        <v>0.27200000000000002</v>
      </c>
      <c r="CK196">
        <v>800</v>
      </c>
      <c r="CL196">
        <v>23</v>
      </c>
      <c r="CM196">
        <v>0.06</v>
      </c>
      <c r="CN196">
        <v>0.09</v>
      </c>
      <c r="CO196">
        <v>-365.90414634146339</v>
      </c>
      <c r="CP196">
        <v>-3.457588850174611</v>
      </c>
      <c r="CQ196">
        <v>0.35139607012083868</v>
      </c>
      <c r="CR196">
        <v>-1</v>
      </c>
      <c r="CS196">
        <v>22.978446341463421</v>
      </c>
      <c r="CT196">
        <v>0.1019811846690285</v>
      </c>
      <c r="CU196">
        <v>1.042361525133184E-2</v>
      </c>
      <c r="CV196">
        <v>-1</v>
      </c>
      <c r="CW196">
        <v>0</v>
      </c>
      <c r="CX196">
        <v>0</v>
      </c>
      <c r="CY196" t="s">
        <v>333</v>
      </c>
      <c r="CZ196">
        <v>2.3642300000000001</v>
      </c>
      <c r="DA196">
        <v>2.7137099999999998</v>
      </c>
      <c r="DB196">
        <v>9.5219899999999996E-2</v>
      </c>
      <c r="DC196">
        <v>0.14622199999999999</v>
      </c>
      <c r="DD196">
        <v>0.111113</v>
      </c>
      <c r="DE196">
        <v>1.6627199999999999E-3</v>
      </c>
      <c r="DF196">
        <v>33049.9</v>
      </c>
      <c r="DG196">
        <v>27536.799999999999</v>
      </c>
      <c r="DH196">
        <v>31183.9</v>
      </c>
      <c r="DI196">
        <v>28104.400000000001</v>
      </c>
      <c r="DJ196">
        <v>37631.800000000003</v>
      </c>
      <c r="DK196">
        <v>39909.4</v>
      </c>
      <c r="DL196">
        <v>44381.8</v>
      </c>
      <c r="DM196">
        <v>42601.3</v>
      </c>
      <c r="DN196">
        <v>1.44835</v>
      </c>
      <c r="DO196">
        <v>2.0296799999999999</v>
      </c>
      <c r="DP196">
        <v>0.14942900000000001</v>
      </c>
      <c r="DQ196">
        <v>0.13192699999999999</v>
      </c>
      <c r="DR196">
        <v>24.541699999999999</v>
      </c>
      <c r="DS196">
        <v>24.391300000000001</v>
      </c>
      <c r="DT196">
        <v>26.3</v>
      </c>
      <c r="DU196">
        <v>29.4</v>
      </c>
      <c r="DV196">
        <v>10.9078</v>
      </c>
      <c r="DW196">
        <v>61.613</v>
      </c>
      <c r="DX196">
        <v>37.147399999999998</v>
      </c>
      <c r="DY196">
        <v>1</v>
      </c>
      <c r="DZ196">
        <v>-9.6008599999999999E-2</v>
      </c>
      <c r="EA196">
        <v>0.224548</v>
      </c>
      <c r="EB196">
        <v>20.1891</v>
      </c>
      <c r="EC196">
        <v>5.24125</v>
      </c>
      <c r="ED196">
        <v>12.039899999999999</v>
      </c>
      <c r="EE196">
        <v>5.01715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1.8646199999999999</v>
      </c>
      <c r="EM196">
        <v>1.8692</v>
      </c>
      <c r="EN196">
        <v>1.8672299999999999</v>
      </c>
      <c r="EO196">
        <v>1.8633999999999999</v>
      </c>
      <c r="EP196">
        <v>1.8644700000000001</v>
      </c>
      <c r="EQ196">
        <v>1.8701300000000001</v>
      </c>
      <c r="ER196">
        <v>1.8693599999999999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1.7999999999999999E-2</v>
      </c>
      <c r="FG196">
        <v>0.27189999999999998</v>
      </c>
      <c r="FH196">
        <v>0.30965466913576151</v>
      </c>
      <c r="FI196">
        <v>-6.1462078757559423E-4</v>
      </c>
      <c r="FJ196">
        <v>-1.8861989874597051E-7</v>
      </c>
      <c r="FK196">
        <v>1.1980462299894961E-10</v>
      </c>
      <c r="FL196">
        <v>0.27184999999999349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39.799999999999997</v>
      </c>
      <c r="FU196">
        <v>40</v>
      </c>
      <c r="FV196">
        <v>1.7626999999999999</v>
      </c>
      <c r="FW196">
        <v>2.5939899999999998</v>
      </c>
      <c r="FX196">
        <v>1.5490699999999999</v>
      </c>
      <c r="FY196">
        <v>2.3303199999999999</v>
      </c>
      <c r="FZ196">
        <v>1.50146</v>
      </c>
      <c r="GA196">
        <v>2.35107</v>
      </c>
      <c r="GB196">
        <v>33.918700000000001</v>
      </c>
      <c r="GC196">
        <v>23.982399999999998</v>
      </c>
      <c r="GD196">
        <v>19</v>
      </c>
      <c r="GE196">
        <v>270.97800000000001</v>
      </c>
      <c r="GF196">
        <v>577.06700000000001</v>
      </c>
      <c r="GG196">
        <v>23.148700000000002</v>
      </c>
      <c r="GH196">
        <v>26.1616</v>
      </c>
      <c r="GI196">
        <v>29.999700000000001</v>
      </c>
      <c r="GJ196">
        <v>26.3018</v>
      </c>
      <c r="GK196">
        <v>26.286300000000001</v>
      </c>
      <c r="GL196">
        <v>35.2423</v>
      </c>
      <c r="GM196">
        <v>100</v>
      </c>
      <c r="GN196">
        <v>17.464500000000001</v>
      </c>
      <c r="GO196">
        <v>23.238499999999998</v>
      </c>
      <c r="GP196">
        <v>800</v>
      </c>
      <c r="GQ196">
        <v>0</v>
      </c>
      <c r="GR196">
        <v>99.780699999999996</v>
      </c>
      <c r="GS196">
        <v>99.654799999999994</v>
      </c>
    </row>
    <row r="197" spans="1:201" x14ac:dyDescent="0.25">
      <c r="A197">
        <v>181</v>
      </c>
      <c r="B197">
        <v>1690305719.5999999</v>
      </c>
      <c r="C197">
        <v>1969.599999904633</v>
      </c>
      <c r="D197" t="s">
        <v>693</v>
      </c>
      <c r="E197" t="s">
        <v>694</v>
      </c>
      <c r="F197" t="s">
        <v>330</v>
      </c>
      <c r="H197">
        <v>1690305719.5999999</v>
      </c>
      <c r="I197">
        <f t="shared" si="60"/>
        <v>2.1466316800332536E-3</v>
      </c>
      <c r="J197">
        <f t="shared" si="61"/>
        <v>2.1466316800332534</v>
      </c>
      <c r="K197">
        <f t="shared" si="62"/>
        <v>32.470186914103657</v>
      </c>
      <c r="L197">
        <f t="shared" si="63"/>
        <v>432.82799999999997</v>
      </c>
      <c r="M197">
        <f t="shared" si="64"/>
        <v>114.20975604381654</v>
      </c>
      <c r="N197">
        <f t="shared" si="65"/>
        <v>11.345458423381093</v>
      </c>
      <c r="O197">
        <f t="shared" si="66"/>
        <v>42.996607720545605</v>
      </c>
      <c r="P197">
        <f t="shared" si="67"/>
        <v>0.17247308854654375</v>
      </c>
      <c r="Q197">
        <f t="shared" si="68"/>
        <v>2.098785268177342</v>
      </c>
      <c r="R197">
        <f t="shared" si="69"/>
        <v>0.164968136917852</v>
      </c>
      <c r="S197">
        <f t="shared" si="70"/>
        <v>0.10375216055518371</v>
      </c>
      <c r="T197">
        <f t="shared" si="71"/>
        <v>276.11500602322218</v>
      </c>
      <c r="U197">
        <f t="shared" si="72"/>
        <v>26.926760575521524</v>
      </c>
      <c r="V197">
        <f t="shared" si="73"/>
        <v>26.926760575521524</v>
      </c>
      <c r="W197">
        <f t="shared" si="74"/>
        <v>3.563792694898591</v>
      </c>
      <c r="X197">
        <f t="shared" si="75"/>
        <v>70.623100375601041</v>
      </c>
      <c r="Y197">
        <f t="shared" si="76"/>
        <v>2.3093684750584798</v>
      </c>
      <c r="Z197">
        <f t="shared" si="77"/>
        <v>3.2699902195972173</v>
      </c>
      <c r="AA197">
        <f t="shared" si="78"/>
        <v>1.2544242198401112</v>
      </c>
      <c r="AB197">
        <f t="shared" si="79"/>
        <v>-94.666457089466491</v>
      </c>
      <c r="AC197">
        <f t="shared" si="80"/>
        <v>-164.76414884024896</v>
      </c>
      <c r="AD197">
        <f t="shared" si="81"/>
        <v>-16.806895987035155</v>
      </c>
      <c r="AE197">
        <f t="shared" si="82"/>
        <v>-0.12249589352842349</v>
      </c>
      <c r="AF197">
        <v>8</v>
      </c>
      <c r="AG197">
        <v>3</v>
      </c>
      <c r="AH197">
        <f t="shared" si="83"/>
        <v>1</v>
      </c>
      <c r="AI197">
        <f t="shared" si="84"/>
        <v>0</v>
      </c>
      <c r="AJ197">
        <f t="shared" si="85"/>
        <v>52699.287066413039</v>
      </c>
      <c r="AK197">
        <f t="shared" si="86"/>
        <v>1799.99</v>
      </c>
      <c r="AL197">
        <f t="shared" si="87"/>
        <v>1499.1019940093199</v>
      </c>
      <c r="AM197">
        <f t="shared" si="88"/>
        <v>0.83283906799999996</v>
      </c>
      <c r="AN197">
        <f t="shared" si="89"/>
        <v>0.15339807778</v>
      </c>
      <c r="AO197">
        <v>33</v>
      </c>
      <c r="AP197">
        <v>0.5</v>
      </c>
      <c r="AQ197" t="s">
        <v>331</v>
      </c>
      <c r="AR197">
        <v>2</v>
      </c>
      <c r="AS197">
        <v>1690305719.5999999</v>
      </c>
      <c r="AT197">
        <v>432.82799999999997</v>
      </c>
      <c r="AU197">
        <v>800.01599999999996</v>
      </c>
      <c r="AV197">
        <v>23.247399999999999</v>
      </c>
      <c r="AW197">
        <v>0.19622300000000001</v>
      </c>
      <c r="AX197">
        <v>432.81</v>
      </c>
      <c r="AY197">
        <v>22.9756</v>
      </c>
      <c r="AZ197">
        <v>300.16699999999997</v>
      </c>
      <c r="BA197">
        <v>99.238799999999998</v>
      </c>
      <c r="BB197">
        <v>9.9985199999999996E-2</v>
      </c>
      <c r="BC197">
        <v>25.470600000000001</v>
      </c>
      <c r="BD197">
        <v>27.014500000000002</v>
      </c>
      <c r="BE197">
        <v>26.572099999999999</v>
      </c>
      <c r="BF197">
        <v>0</v>
      </c>
      <c r="BG197">
        <v>0</v>
      </c>
      <c r="BH197">
        <v>9991.25</v>
      </c>
      <c r="BI197">
        <v>1058.43</v>
      </c>
      <c r="BJ197">
        <v>1.5137799999999999</v>
      </c>
      <c r="BK197">
        <v>-367.18700000000001</v>
      </c>
      <c r="BL197">
        <v>443.13</v>
      </c>
      <c r="BM197">
        <v>800.173</v>
      </c>
      <c r="BN197">
        <v>23.051200000000001</v>
      </c>
      <c r="BO197">
        <v>800.01599999999996</v>
      </c>
      <c r="BP197">
        <v>0.19622300000000001</v>
      </c>
      <c r="BQ197">
        <v>2.3070499999999998</v>
      </c>
      <c r="BR197">
        <v>1.9472900000000001E-2</v>
      </c>
      <c r="BS197">
        <v>19.7257</v>
      </c>
      <c r="BT197">
        <v>-39.682499999999997</v>
      </c>
      <c r="BU197">
        <v>1799.99</v>
      </c>
      <c r="BV197">
        <v>0.90998000000000001</v>
      </c>
      <c r="BW197">
        <v>3.4003400000000003E-2</v>
      </c>
      <c r="BX197">
        <v>2.20074E-2</v>
      </c>
      <c r="BY197">
        <v>3.4009400000000002E-2</v>
      </c>
      <c r="BZ197">
        <v>26</v>
      </c>
      <c r="CA197">
        <v>33528.1</v>
      </c>
      <c r="CB197">
        <v>1690303320.5</v>
      </c>
      <c r="CC197" t="s">
        <v>332</v>
      </c>
      <c r="CD197">
        <v>1690303320.5</v>
      </c>
      <c r="CE197">
        <v>1690303310.0999999</v>
      </c>
      <c r="CF197">
        <v>8</v>
      </c>
      <c r="CG197">
        <v>7.3999999999999996E-2</v>
      </c>
      <c r="CH197">
        <v>-0.01</v>
      </c>
      <c r="CI197">
        <v>-0.24199999999999999</v>
      </c>
      <c r="CJ197">
        <v>0.27200000000000002</v>
      </c>
      <c r="CK197">
        <v>800</v>
      </c>
      <c r="CL197">
        <v>23</v>
      </c>
      <c r="CM197">
        <v>0.06</v>
      </c>
      <c r="CN197">
        <v>0.09</v>
      </c>
      <c r="CO197">
        <v>-366.50405000000001</v>
      </c>
      <c r="CP197">
        <v>-4.3582964352718756</v>
      </c>
      <c r="CQ197">
        <v>0.42440116340556661</v>
      </c>
      <c r="CR197">
        <v>-1</v>
      </c>
      <c r="CS197">
        <v>23.003084999999999</v>
      </c>
      <c r="CT197">
        <v>0.20934709193239889</v>
      </c>
      <c r="CU197">
        <v>2.0529960423731699E-2</v>
      </c>
      <c r="CV197">
        <v>-1</v>
      </c>
      <c r="CW197">
        <v>0</v>
      </c>
      <c r="CX197">
        <v>0</v>
      </c>
      <c r="CY197" t="s">
        <v>333</v>
      </c>
      <c r="CZ197">
        <v>2.3647100000000001</v>
      </c>
      <c r="DA197">
        <v>2.7137699999999998</v>
      </c>
      <c r="DB197">
        <v>9.5131499999999994E-2</v>
      </c>
      <c r="DC197">
        <v>0.14622099999999999</v>
      </c>
      <c r="DD197">
        <v>0.11126800000000001</v>
      </c>
      <c r="DE197">
        <v>1.6508499999999999E-3</v>
      </c>
      <c r="DF197">
        <v>33053.4</v>
      </c>
      <c r="DG197">
        <v>27537.3</v>
      </c>
      <c r="DH197">
        <v>31184.2</v>
      </c>
      <c r="DI197">
        <v>28104.799999999999</v>
      </c>
      <c r="DJ197">
        <v>37625.1</v>
      </c>
      <c r="DK197">
        <v>39910.699999999997</v>
      </c>
      <c r="DL197">
        <v>44381.8</v>
      </c>
      <c r="DM197">
        <v>42602.2</v>
      </c>
      <c r="DN197">
        <v>1.44895</v>
      </c>
      <c r="DO197">
        <v>2.0296799999999999</v>
      </c>
      <c r="DP197">
        <v>0.150785</v>
      </c>
      <c r="DQ197">
        <v>0.13289599999999999</v>
      </c>
      <c r="DR197">
        <v>24.543600000000001</v>
      </c>
      <c r="DS197">
        <v>24.3934</v>
      </c>
      <c r="DT197">
        <v>26</v>
      </c>
      <c r="DU197">
        <v>29.4</v>
      </c>
      <c r="DV197">
        <v>10.7829</v>
      </c>
      <c r="DW197">
        <v>61.722999999999999</v>
      </c>
      <c r="DX197">
        <v>36.750799999999998</v>
      </c>
      <c r="DY197">
        <v>1</v>
      </c>
      <c r="DZ197">
        <v>-9.5787600000000001E-2</v>
      </c>
      <c r="EA197">
        <v>0.49141600000000002</v>
      </c>
      <c r="EB197">
        <v>20.188700000000001</v>
      </c>
      <c r="EC197">
        <v>5.2409499999999998</v>
      </c>
      <c r="ED197">
        <v>12.039899999999999</v>
      </c>
      <c r="EE197">
        <v>5.0166000000000004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</v>
      </c>
      <c r="EL197">
        <v>1.8646199999999999</v>
      </c>
      <c r="EM197">
        <v>1.8692</v>
      </c>
      <c r="EN197">
        <v>1.8672299999999999</v>
      </c>
      <c r="EO197">
        <v>1.8633999999999999</v>
      </c>
      <c r="EP197">
        <v>1.8644799999999999</v>
      </c>
      <c r="EQ197">
        <v>1.87015</v>
      </c>
      <c r="ER197">
        <v>1.86937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1.7999999999999999E-2</v>
      </c>
      <c r="FG197">
        <v>0.27179999999999999</v>
      </c>
      <c r="FH197">
        <v>0.30965466913576151</v>
      </c>
      <c r="FI197">
        <v>-6.1462078757559423E-4</v>
      </c>
      <c r="FJ197">
        <v>-1.8861989874597051E-7</v>
      </c>
      <c r="FK197">
        <v>1.1980462299894961E-10</v>
      </c>
      <c r="FL197">
        <v>0.27184999999999349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40</v>
      </c>
      <c r="FU197">
        <v>40.200000000000003</v>
      </c>
      <c r="FV197">
        <v>1.7626999999999999</v>
      </c>
      <c r="FW197">
        <v>2.5915499999999998</v>
      </c>
      <c r="FX197">
        <v>1.5490699999999999</v>
      </c>
      <c r="FY197">
        <v>2.3303199999999999</v>
      </c>
      <c r="FZ197">
        <v>1.50146</v>
      </c>
      <c r="GA197">
        <v>2.35107</v>
      </c>
      <c r="GB197">
        <v>33.918700000000001</v>
      </c>
      <c r="GC197">
        <v>23.973700000000001</v>
      </c>
      <c r="GD197">
        <v>19</v>
      </c>
      <c r="GE197">
        <v>271.22800000000001</v>
      </c>
      <c r="GF197">
        <v>577.06799999999998</v>
      </c>
      <c r="GG197">
        <v>23.2623</v>
      </c>
      <c r="GH197">
        <v>26.162500000000001</v>
      </c>
      <c r="GI197">
        <v>30.0002</v>
      </c>
      <c r="GJ197">
        <v>26.302499999999998</v>
      </c>
      <c r="GK197">
        <v>26.286300000000001</v>
      </c>
      <c r="GL197">
        <v>35.239600000000003</v>
      </c>
      <c r="GM197">
        <v>100</v>
      </c>
      <c r="GN197">
        <v>17.081800000000001</v>
      </c>
      <c r="GO197">
        <v>23.251899999999999</v>
      </c>
      <c r="GP197">
        <v>800</v>
      </c>
      <c r="GQ197">
        <v>0</v>
      </c>
      <c r="GR197">
        <v>99.781099999999995</v>
      </c>
      <c r="GS197">
        <v>99.656700000000001</v>
      </c>
    </row>
    <row r="198" spans="1:201" x14ac:dyDescent="0.25">
      <c r="A198">
        <v>182</v>
      </c>
      <c r="B198">
        <v>1690305729.5999999</v>
      </c>
      <c r="C198">
        <v>1979.599999904633</v>
      </c>
      <c r="D198" t="s">
        <v>695</v>
      </c>
      <c r="E198" t="s">
        <v>696</v>
      </c>
      <c r="F198" t="s">
        <v>330</v>
      </c>
      <c r="H198">
        <v>1690305729.5999999</v>
      </c>
      <c r="I198">
        <f t="shared" si="60"/>
        <v>2.1500028669766474E-3</v>
      </c>
      <c r="J198">
        <f t="shared" si="61"/>
        <v>2.1500028669766476</v>
      </c>
      <c r="K198">
        <f t="shared" si="62"/>
        <v>32.532461835317733</v>
      </c>
      <c r="L198">
        <f t="shared" si="63"/>
        <v>432.24200000000002</v>
      </c>
      <c r="M198">
        <f t="shared" si="64"/>
        <v>114.05961071203373</v>
      </c>
      <c r="N198">
        <f t="shared" si="65"/>
        <v>11.330280204085842</v>
      </c>
      <c r="O198">
        <f t="shared" si="66"/>
        <v>42.93739865848741</v>
      </c>
      <c r="P198">
        <f t="shared" si="67"/>
        <v>0.17305035523414847</v>
      </c>
      <c r="Q198">
        <f t="shared" si="68"/>
        <v>2.1009507125582383</v>
      </c>
      <c r="R198">
        <f t="shared" si="69"/>
        <v>0.16550368510367727</v>
      </c>
      <c r="S198">
        <f t="shared" si="70"/>
        <v>0.10409041469600512</v>
      </c>
      <c r="T198">
        <f t="shared" si="71"/>
        <v>276.11632405799998</v>
      </c>
      <c r="U198">
        <f t="shared" si="72"/>
        <v>26.931406510648586</v>
      </c>
      <c r="V198">
        <f t="shared" si="73"/>
        <v>26.931406510648586</v>
      </c>
      <c r="W198">
        <f t="shared" si="74"/>
        <v>3.5647657850138961</v>
      </c>
      <c r="X198">
        <f t="shared" si="75"/>
        <v>70.688429531916256</v>
      </c>
      <c r="Y198">
        <f t="shared" si="76"/>
        <v>2.3124936455281802</v>
      </c>
      <c r="Z198">
        <f t="shared" si="77"/>
        <v>3.2713891945839246</v>
      </c>
      <c r="AA198">
        <f t="shared" si="78"/>
        <v>1.2522721394857159</v>
      </c>
      <c r="AB198">
        <f t="shared" si="79"/>
        <v>-94.815126433670144</v>
      </c>
      <c r="AC198">
        <f t="shared" si="80"/>
        <v>-164.64485615780725</v>
      </c>
      <c r="AD198">
        <f t="shared" si="81"/>
        <v>-16.778413212072948</v>
      </c>
      <c r="AE198">
        <f t="shared" si="82"/>
        <v>-0.12207174555038591</v>
      </c>
      <c r="AF198">
        <v>8</v>
      </c>
      <c r="AG198">
        <v>3</v>
      </c>
      <c r="AH198">
        <f t="shared" si="83"/>
        <v>1</v>
      </c>
      <c r="AI198">
        <f t="shared" si="84"/>
        <v>0</v>
      </c>
      <c r="AJ198">
        <f t="shared" si="85"/>
        <v>52794.674574028286</v>
      </c>
      <c r="AK198">
        <f t="shared" si="86"/>
        <v>1800</v>
      </c>
      <c r="AL198">
        <f t="shared" si="87"/>
        <v>1499.1100577999998</v>
      </c>
      <c r="AM198">
        <f t="shared" si="88"/>
        <v>0.8328389209999999</v>
      </c>
      <c r="AN198">
        <f t="shared" si="89"/>
        <v>0.15339795780999999</v>
      </c>
      <c r="AO198">
        <v>33</v>
      </c>
      <c r="AP198">
        <v>0.5</v>
      </c>
      <c r="AQ198" t="s">
        <v>331</v>
      </c>
      <c r="AR198">
        <v>2</v>
      </c>
      <c r="AS198">
        <v>1690305729.5999999</v>
      </c>
      <c r="AT198">
        <v>432.24200000000002</v>
      </c>
      <c r="AU198">
        <v>800.096</v>
      </c>
      <c r="AV198">
        <v>23.279399999999999</v>
      </c>
      <c r="AW198">
        <v>0.19408600000000001</v>
      </c>
      <c r="AX198">
        <v>432.22399999999999</v>
      </c>
      <c r="AY198">
        <v>23.0076</v>
      </c>
      <c r="AZ198">
        <v>300.18400000000003</v>
      </c>
      <c r="BA198">
        <v>99.236500000000007</v>
      </c>
      <c r="BB198">
        <v>9.9979700000000005E-2</v>
      </c>
      <c r="BC198">
        <v>25.477799999999998</v>
      </c>
      <c r="BD198">
        <v>27.008400000000002</v>
      </c>
      <c r="BE198">
        <v>26.5717</v>
      </c>
      <c r="BF198">
        <v>0</v>
      </c>
      <c r="BG198">
        <v>0</v>
      </c>
      <c r="BH198">
        <v>10010.6</v>
      </c>
      <c r="BI198">
        <v>1058.54</v>
      </c>
      <c r="BJ198">
        <v>1.5137799999999999</v>
      </c>
      <c r="BK198">
        <v>-367.85399999999998</v>
      </c>
      <c r="BL198">
        <v>442.54399999999998</v>
      </c>
      <c r="BM198">
        <v>800.25199999999995</v>
      </c>
      <c r="BN198">
        <v>23.0854</v>
      </c>
      <c r="BO198">
        <v>800.096</v>
      </c>
      <c r="BP198">
        <v>0.19408600000000001</v>
      </c>
      <c r="BQ198">
        <v>2.3101699999999998</v>
      </c>
      <c r="BR198">
        <v>1.92604E-2</v>
      </c>
      <c r="BS198">
        <v>19.747499999999999</v>
      </c>
      <c r="BT198">
        <v>-39.787799999999997</v>
      </c>
      <c r="BU198">
        <v>1800</v>
      </c>
      <c r="BV198">
        <v>0.90998199999999996</v>
      </c>
      <c r="BW198">
        <v>3.4002499999999998E-2</v>
      </c>
      <c r="BX198">
        <v>2.20068E-2</v>
      </c>
      <c r="BY198">
        <v>3.4008499999999997E-2</v>
      </c>
      <c r="BZ198">
        <v>26</v>
      </c>
      <c r="CA198">
        <v>33528.199999999997</v>
      </c>
      <c r="CB198">
        <v>1690303320.5</v>
      </c>
      <c r="CC198" t="s">
        <v>332</v>
      </c>
      <c r="CD198">
        <v>1690303320.5</v>
      </c>
      <c r="CE198">
        <v>1690303310.0999999</v>
      </c>
      <c r="CF198">
        <v>8</v>
      </c>
      <c r="CG198">
        <v>7.3999999999999996E-2</v>
      </c>
      <c r="CH198">
        <v>-0.01</v>
      </c>
      <c r="CI198">
        <v>-0.24199999999999999</v>
      </c>
      <c r="CJ198">
        <v>0.27200000000000002</v>
      </c>
      <c r="CK198">
        <v>800</v>
      </c>
      <c r="CL198">
        <v>23</v>
      </c>
      <c r="CM198">
        <v>0.06</v>
      </c>
      <c r="CN198">
        <v>0.09</v>
      </c>
      <c r="CO198">
        <v>-367.14207317073169</v>
      </c>
      <c r="CP198">
        <v>-3.2851358885030431</v>
      </c>
      <c r="CQ198">
        <v>0.32842346179254861</v>
      </c>
      <c r="CR198">
        <v>-1</v>
      </c>
      <c r="CS198">
        <v>23.043558536585369</v>
      </c>
      <c r="CT198">
        <v>0.25612891986067737</v>
      </c>
      <c r="CU198">
        <v>2.5309932260461489E-2</v>
      </c>
      <c r="CV198">
        <v>-1</v>
      </c>
      <c r="CW198">
        <v>0</v>
      </c>
      <c r="CX198">
        <v>0</v>
      </c>
      <c r="CY198" t="s">
        <v>333</v>
      </c>
      <c r="CZ198">
        <v>2.3647499999999999</v>
      </c>
      <c r="DA198">
        <v>2.7137799999999999</v>
      </c>
      <c r="DB198">
        <v>9.5032199999999997E-2</v>
      </c>
      <c r="DC198">
        <v>0.146227</v>
      </c>
      <c r="DD198">
        <v>0.111374</v>
      </c>
      <c r="DE198">
        <v>1.63305E-3</v>
      </c>
      <c r="DF198">
        <v>33057.5</v>
      </c>
      <c r="DG198">
        <v>27537.1</v>
      </c>
      <c r="DH198">
        <v>31184.7</v>
      </c>
      <c r="DI198">
        <v>28104.799999999999</v>
      </c>
      <c r="DJ198">
        <v>37621.300000000003</v>
      </c>
      <c r="DK198">
        <v>39911.1</v>
      </c>
      <c r="DL198">
        <v>44382.7</v>
      </c>
      <c r="DM198">
        <v>42601.8</v>
      </c>
      <c r="DN198">
        <v>1.44885</v>
      </c>
      <c r="DO198">
        <v>2.0296500000000002</v>
      </c>
      <c r="DP198">
        <v>0.150286</v>
      </c>
      <c r="DQ198">
        <v>0.13274</v>
      </c>
      <c r="DR198">
        <v>24.5457</v>
      </c>
      <c r="DS198">
        <v>24.395499999999998</v>
      </c>
      <c r="DT198">
        <v>25.8</v>
      </c>
      <c r="DU198">
        <v>29.4</v>
      </c>
      <c r="DV198">
        <v>10.6996</v>
      </c>
      <c r="DW198">
        <v>61.802999999999997</v>
      </c>
      <c r="DX198">
        <v>36.698700000000002</v>
      </c>
      <c r="DY198">
        <v>1</v>
      </c>
      <c r="DZ198">
        <v>-9.5975599999999994E-2</v>
      </c>
      <c r="EA198">
        <v>0.56972800000000001</v>
      </c>
      <c r="EB198">
        <v>20.188300000000002</v>
      </c>
      <c r="EC198">
        <v>5.2411000000000003</v>
      </c>
      <c r="ED198">
        <v>12.039899999999999</v>
      </c>
      <c r="EE198">
        <v>5.016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1.8689100000000001</v>
      </c>
      <c r="EL198">
        <v>1.8646199999999999</v>
      </c>
      <c r="EM198">
        <v>1.8692</v>
      </c>
      <c r="EN198">
        <v>1.8672299999999999</v>
      </c>
      <c r="EO198">
        <v>1.8633999999999999</v>
      </c>
      <c r="EP198">
        <v>1.8644700000000001</v>
      </c>
      <c r="EQ198">
        <v>1.87018</v>
      </c>
      <c r="ER198">
        <v>1.86937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1.7999999999999999E-2</v>
      </c>
      <c r="FG198">
        <v>0.27179999999999999</v>
      </c>
      <c r="FH198">
        <v>0.30965466913576151</v>
      </c>
      <c r="FI198">
        <v>-6.1462078757559423E-4</v>
      </c>
      <c r="FJ198">
        <v>-1.8861989874597051E-7</v>
      </c>
      <c r="FK198">
        <v>1.1980462299894961E-10</v>
      </c>
      <c r="FL198">
        <v>0.27184999999999349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40.200000000000003</v>
      </c>
      <c r="FU198">
        <v>40.299999999999997</v>
      </c>
      <c r="FV198">
        <v>1.7626999999999999</v>
      </c>
      <c r="FW198">
        <v>2.5988799999999999</v>
      </c>
      <c r="FX198">
        <v>1.5490699999999999</v>
      </c>
      <c r="FY198">
        <v>2.3303199999999999</v>
      </c>
      <c r="FZ198">
        <v>1.50146</v>
      </c>
      <c r="GA198">
        <v>2.2936999999999999</v>
      </c>
      <c r="GB198">
        <v>33.918700000000001</v>
      </c>
      <c r="GC198">
        <v>23.982399999999998</v>
      </c>
      <c r="GD198">
        <v>19</v>
      </c>
      <c r="GE198">
        <v>271.19299999999998</v>
      </c>
      <c r="GF198">
        <v>577.04700000000003</v>
      </c>
      <c r="GG198">
        <v>23.261800000000001</v>
      </c>
      <c r="GH198">
        <v>26.162800000000001</v>
      </c>
      <c r="GI198">
        <v>30.0001</v>
      </c>
      <c r="GJ198">
        <v>26.303999999999998</v>
      </c>
      <c r="GK198">
        <v>26.286300000000001</v>
      </c>
      <c r="GL198">
        <v>35.237699999999997</v>
      </c>
      <c r="GM198">
        <v>100</v>
      </c>
      <c r="GN198">
        <v>16.319400000000002</v>
      </c>
      <c r="GO198">
        <v>23.2577</v>
      </c>
      <c r="GP198">
        <v>800</v>
      </c>
      <c r="GQ198">
        <v>0</v>
      </c>
      <c r="GR198">
        <v>99.782799999999995</v>
      </c>
      <c r="GS198">
        <v>99.656199999999998</v>
      </c>
    </row>
    <row r="199" spans="1:201" x14ac:dyDescent="0.25">
      <c r="A199">
        <v>183</v>
      </c>
      <c r="B199">
        <v>1690305739.5999999</v>
      </c>
      <c r="C199">
        <v>1989.599999904633</v>
      </c>
      <c r="D199" t="s">
        <v>697</v>
      </c>
      <c r="E199" t="s">
        <v>698</v>
      </c>
      <c r="F199" t="s">
        <v>330</v>
      </c>
      <c r="H199">
        <v>1690305739.5999999</v>
      </c>
      <c r="I199">
        <f t="shared" si="60"/>
        <v>2.152008068377724E-3</v>
      </c>
      <c r="J199">
        <f t="shared" si="61"/>
        <v>2.1520080683777238</v>
      </c>
      <c r="K199">
        <f t="shared" si="62"/>
        <v>32.56799615794786</v>
      </c>
      <c r="L199">
        <f t="shared" si="63"/>
        <v>431.68799999999999</v>
      </c>
      <c r="M199">
        <f t="shared" si="64"/>
        <v>113.80107782124601</v>
      </c>
      <c r="N199">
        <f t="shared" si="65"/>
        <v>11.304302278143188</v>
      </c>
      <c r="O199">
        <f t="shared" si="66"/>
        <v>42.881242737544802</v>
      </c>
      <c r="P199">
        <f t="shared" si="67"/>
        <v>0.1734127575315102</v>
      </c>
      <c r="Q199">
        <f t="shared" si="68"/>
        <v>2.099720912485159</v>
      </c>
      <c r="R199">
        <f t="shared" si="69"/>
        <v>0.16583096016323925</v>
      </c>
      <c r="S199">
        <f t="shared" si="70"/>
        <v>0.10429791945843501</v>
      </c>
      <c r="T199">
        <f t="shared" si="71"/>
        <v>276.11471077086253</v>
      </c>
      <c r="U199">
        <f t="shared" si="72"/>
        <v>26.93525220877158</v>
      </c>
      <c r="V199">
        <f t="shared" si="73"/>
        <v>26.93525220877158</v>
      </c>
      <c r="W199">
        <f t="shared" si="74"/>
        <v>3.5655714411115307</v>
      </c>
      <c r="X199">
        <f t="shared" si="75"/>
        <v>70.738623670417695</v>
      </c>
      <c r="Y199">
        <f t="shared" si="76"/>
        <v>2.31465813740878</v>
      </c>
      <c r="Z199">
        <f t="shared" si="77"/>
        <v>3.2721277532810564</v>
      </c>
      <c r="AA199">
        <f t="shared" si="78"/>
        <v>1.2509133037027507</v>
      </c>
      <c r="AB199">
        <f t="shared" si="79"/>
        <v>-94.903555815457622</v>
      </c>
      <c r="AC199">
        <f t="shared" si="80"/>
        <v>-164.55365365393118</v>
      </c>
      <c r="AD199">
        <f t="shared" si="81"/>
        <v>-16.779583838347275</v>
      </c>
      <c r="AE199">
        <f t="shared" si="82"/>
        <v>-0.12208253687353476</v>
      </c>
      <c r="AF199">
        <v>8</v>
      </c>
      <c r="AG199">
        <v>3</v>
      </c>
      <c r="AH199">
        <f t="shared" si="83"/>
        <v>1</v>
      </c>
      <c r="AI199">
        <f t="shared" si="84"/>
        <v>0</v>
      </c>
      <c r="AJ199">
        <f t="shared" si="85"/>
        <v>52739.009101195115</v>
      </c>
      <c r="AK199">
        <f t="shared" si="86"/>
        <v>1799.99</v>
      </c>
      <c r="AL199">
        <f t="shared" si="87"/>
        <v>1499.1017276107998</v>
      </c>
      <c r="AM199">
        <f t="shared" si="88"/>
        <v>0.83283891999999993</v>
      </c>
      <c r="AN199">
        <f t="shared" si="89"/>
        <v>0.15339791375</v>
      </c>
      <c r="AO199">
        <v>33</v>
      </c>
      <c r="AP199">
        <v>0.5</v>
      </c>
      <c r="AQ199" t="s">
        <v>331</v>
      </c>
      <c r="AR199">
        <v>2</v>
      </c>
      <c r="AS199">
        <v>1690305739.5999999</v>
      </c>
      <c r="AT199">
        <v>431.68799999999999</v>
      </c>
      <c r="AU199">
        <v>799.97199999999998</v>
      </c>
      <c r="AV199">
        <v>23.3018</v>
      </c>
      <c r="AW199">
        <v>0.19279099999999999</v>
      </c>
      <c r="AX199">
        <v>431.66899999999998</v>
      </c>
      <c r="AY199">
        <v>23.03</v>
      </c>
      <c r="AZ199">
        <v>300.149</v>
      </c>
      <c r="BA199">
        <v>99.233900000000006</v>
      </c>
      <c r="BB199">
        <v>9.9977099999999999E-2</v>
      </c>
      <c r="BC199">
        <v>25.4816</v>
      </c>
      <c r="BD199">
        <v>27.0318</v>
      </c>
      <c r="BE199">
        <v>26.5867</v>
      </c>
      <c r="BF199">
        <v>0</v>
      </c>
      <c r="BG199">
        <v>0</v>
      </c>
      <c r="BH199">
        <v>10000</v>
      </c>
      <c r="BI199">
        <v>1058.52</v>
      </c>
      <c r="BJ199">
        <v>1.5137799999999999</v>
      </c>
      <c r="BK199">
        <v>-368.28399999999999</v>
      </c>
      <c r="BL199">
        <v>441.98700000000002</v>
      </c>
      <c r="BM199">
        <v>800.12599999999998</v>
      </c>
      <c r="BN199">
        <v>23.109000000000002</v>
      </c>
      <c r="BO199">
        <v>799.97199999999998</v>
      </c>
      <c r="BP199">
        <v>0.19279099999999999</v>
      </c>
      <c r="BQ199">
        <v>2.3123300000000002</v>
      </c>
      <c r="BR199">
        <v>1.91314E-2</v>
      </c>
      <c r="BS199">
        <v>19.762499999999999</v>
      </c>
      <c r="BT199">
        <v>-39.8523</v>
      </c>
      <c r="BU199">
        <v>1799.99</v>
      </c>
      <c r="BV199">
        <v>0.90998299999999999</v>
      </c>
      <c r="BW199">
        <v>3.40021E-2</v>
      </c>
      <c r="BX199">
        <v>2.2006499999999998E-2</v>
      </c>
      <c r="BY199">
        <v>3.4008099999999999E-2</v>
      </c>
      <c r="BZ199">
        <v>26</v>
      </c>
      <c r="CA199">
        <v>33528.1</v>
      </c>
      <c r="CB199">
        <v>1690303320.5</v>
      </c>
      <c r="CC199" t="s">
        <v>332</v>
      </c>
      <c r="CD199">
        <v>1690303320.5</v>
      </c>
      <c r="CE199">
        <v>1690303310.0999999</v>
      </c>
      <c r="CF199">
        <v>8</v>
      </c>
      <c r="CG199">
        <v>7.3999999999999996E-2</v>
      </c>
      <c r="CH199">
        <v>-0.01</v>
      </c>
      <c r="CI199">
        <v>-0.24199999999999999</v>
      </c>
      <c r="CJ199">
        <v>0.27200000000000002</v>
      </c>
      <c r="CK199">
        <v>800</v>
      </c>
      <c r="CL199">
        <v>23</v>
      </c>
      <c r="CM199">
        <v>0.06</v>
      </c>
      <c r="CN199">
        <v>0.09</v>
      </c>
      <c r="CO199">
        <v>-367.70495</v>
      </c>
      <c r="CP199">
        <v>-3.81246529080649</v>
      </c>
      <c r="CQ199">
        <v>0.37061920821781591</v>
      </c>
      <c r="CR199">
        <v>-1</v>
      </c>
      <c r="CS199">
        <v>23.079609999999999</v>
      </c>
      <c r="CT199">
        <v>0.18552045028141001</v>
      </c>
      <c r="CU199">
        <v>1.7931770687804129E-2</v>
      </c>
      <c r="CV199">
        <v>-1</v>
      </c>
      <c r="CW199">
        <v>0</v>
      </c>
      <c r="CX199">
        <v>0</v>
      </c>
      <c r="CY199" t="s">
        <v>333</v>
      </c>
      <c r="CZ199">
        <v>2.3646500000000001</v>
      </c>
      <c r="DA199">
        <v>2.7137699999999998</v>
      </c>
      <c r="DB199">
        <v>9.4937999999999995E-2</v>
      </c>
      <c r="DC199">
        <v>0.146208</v>
      </c>
      <c r="DD199">
        <v>0.111447</v>
      </c>
      <c r="DE199">
        <v>1.6222299999999999E-3</v>
      </c>
      <c r="DF199">
        <v>33061.199999999997</v>
      </c>
      <c r="DG199">
        <v>27537.5</v>
      </c>
      <c r="DH199">
        <v>31184.9</v>
      </c>
      <c r="DI199">
        <v>28104.6</v>
      </c>
      <c r="DJ199">
        <v>37618.5</v>
      </c>
      <c r="DK199">
        <v>39911.300000000003</v>
      </c>
      <c r="DL199">
        <v>44383.1</v>
      </c>
      <c r="DM199">
        <v>42601.599999999999</v>
      </c>
      <c r="DN199">
        <v>1.4485300000000001</v>
      </c>
      <c r="DO199">
        <v>2.0294699999999999</v>
      </c>
      <c r="DP199">
        <v>0.15159</v>
      </c>
      <c r="DQ199">
        <v>0.13347000000000001</v>
      </c>
      <c r="DR199">
        <v>24.547799999999999</v>
      </c>
      <c r="DS199">
        <v>24.398599999999998</v>
      </c>
      <c r="DT199">
        <v>25.5</v>
      </c>
      <c r="DU199">
        <v>29.4</v>
      </c>
      <c r="DV199">
        <v>10.575200000000001</v>
      </c>
      <c r="DW199">
        <v>61.283000000000001</v>
      </c>
      <c r="DX199">
        <v>36.534500000000001</v>
      </c>
      <c r="DY199">
        <v>1</v>
      </c>
      <c r="DZ199">
        <v>-9.5708799999999997E-2</v>
      </c>
      <c r="EA199">
        <v>0.68337700000000001</v>
      </c>
      <c r="EB199">
        <v>20.1877</v>
      </c>
      <c r="EC199">
        <v>5.2404999999999999</v>
      </c>
      <c r="ED199">
        <v>12.039899999999999</v>
      </c>
      <c r="EE199">
        <v>5.0159500000000001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1.8689100000000001</v>
      </c>
      <c r="EL199">
        <v>1.8646199999999999</v>
      </c>
      <c r="EM199">
        <v>1.8692</v>
      </c>
      <c r="EN199">
        <v>1.8672500000000001</v>
      </c>
      <c r="EO199">
        <v>1.8633999999999999</v>
      </c>
      <c r="EP199">
        <v>1.8644799999999999</v>
      </c>
      <c r="EQ199">
        <v>1.8701700000000001</v>
      </c>
      <c r="ER199">
        <v>1.8694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1.9E-2</v>
      </c>
      <c r="FG199">
        <v>0.27179999999999999</v>
      </c>
      <c r="FH199">
        <v>0.30965466913576151</v>
      </c>
      <c r="FI199">
        <v>-6.1462078757559423E-4</v>
      </c>
      <c r="FJ199">
        <v>-1.8861989874597051E-7</v>
      </c>
      <c r="FK199">
        <v>1.1980462299894961E-10</v>
      </c>
      <c r="FL199">
        <v>0.27184999999999349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40.299999999999997</v>
      </c>
      <c r="FU199">
        <v>40.5</v>
      </c>
      <c r="FV199">
        <v>1.7626999999999999</v>
      </c>
      <c r="FW199">
        <v>2.5939899999999998</v>
      </c>
      <c r="FX199">
        <v>1.5490699999999999</v>
      </c>
      <c r="FY199">
        <v>2.3303199999999999</v>
      </c>
      <c r="FZ199">
        <v>1.50146</v>
      </c>
      <c r="GA199">
        <v>2.3046899999999999</v>
      </c>
      <c r="GB199">
        <v>33.918700000000001</v>
      </c>
      <c r="GC199">
        <v>23.982399999999998</v>
      </c>
      <c r="GD199">
        <v>19</v>
      </c>
      <c r="GE199">
        <v>271.05900000000003</v>
      </c>
      <c r="GF199">
        <v>576.928</v>
      </c>
      <c r="GG199">
        <v>23.253699999999998</v>
      </c>
      <c r="GH199">
        <v>26.1647</v>
      </c>
      <c r="GI199">
        <v>30.0002</v>
      </c>
      <c r="GJ199">
        <v>26.303999999999998</v>
      </c>
      <c r="GK199">
        <v>26.288499999999999</v>
      </c>
      <c r="GL199">
        <v>35.238900000000001</v>
      </c>
      <c r="GM199">
        <v>100</v>
      </c>
      <c r="GN199">
        <v>15.948499999999999</v>
      </c>
      <c r="GO199">
        <v>23.233899999999998</v>
      </c>
      <c r="GP199">
        <v>800</v>
      </c>
      <c r="GQ199">
        <v>0</v>
      </c>
      <c r="GR199">
        <v>99.783600000000007</v>
      </c>
      <c r="GS199">
        <v>99.655500000000004</v>
      </c>
    </row>
    <row r="200" spans="1:201" x14ac:dyDescent="0.25">
      <c r="A200">
        <v>184</v>
      </c>
      <c r="B200">
        <v>1690305749.5999999</v>
      </c>
      <c r="C200">
        <v>1999.599999904633</v>
      </c>
      <c r="D200" t="s">
        <v>699</v>
      </c>
      <c r="E200" t="s">
        <v>700</v>
      </c>
      <c r="F200" t="s">
        <v>330</v>
      </c>
      <c r="H200">
        <v>1690305749.5999999</v>
      </c>
      <c r="I200">
        <f t="shared" si="60"/>
        <v>2.1550430095947939E-3</v>
      </c>
      <c r="J200">
        <f t="shared" si="61"/>
        <v>2.1550430095947939</v>
      </c>
      <c r="K200">
        <f t="shared" si="62"/>
        <v>32.64036868900449</v>
      </c>
      <c r="L200">
        <f t="shared" si="63"/>
        <v>431.05099999999999</v>
      </c>
      <c r="M200">
        <f t="shared" si="64"/>
        <v>113.53966158663317</v>
      </c>
      <c r="N200">
        <f t="shared" si="65"/>
        <v>11.278802369056557</v>
      </c>
      <c r="O200">
        <f t="shared" si="66"/>
        <v>42.819742212060298</v>
      </c>
      <c r="P200">
        <f t="shared" si="67"/>
        <v>0.17401976188909793</v>
      </c>
      <c r="Q200">
        <f t="shared" si="68"/>
        <v>2.0994844895980012</v>
      </c>
      <c r="R200">
        <f t="shared" si="69"/>
        <v>0.16638523055474982</v>
      </c>
      <c r="S200">
        <f t="shared" si="70"/>
        <v>0.10464878830537255</v>
      </c>
      <c r="T200">
        <f t="shared" si="71"/>
        <v>276.11487464195216</v>
      </c>
      <c r="U200">
        <f t="shared" si="72"/>
        <v>26.934128674625505</v>
      </c>
      <c r="V200">
        <f t="shared" si="73"/>
        <v>26.934128674625505</v>
      </c>
      <c r="W200">
        <f t="shared" si="74"/>
        <v>3.5653360494333666</v>
      </c>
      <c r="X200">
        <f t="shared" si="75"/>
        <v>70.804633189017693</v>
      </c>
      <c r="Y200">
        <f t="shared" si="76"/>
        <v>2.3167905277851899</v>
      </c>
      <c r="Z200">
        <f t="shared" si="77"/>
        <v>3.27208887813932</v>
      </c>
      <c r="AA200">
        <f t="shared" si="78"/>
        <v>1.2485455216481767</v>
      </c>
      <c r="AB200">
        <f t="shared" si="79"/>
        <v>-95.037396723130414</v>
      </c>
      <c r="AC200">
        <f t="shared" si="80"/>
        <v>-164.43059292225004</v>
      </c>
      <c r="AD200">
        <f t="shared" si="81"/>
        <v>-16.76881204536452</v>
      </c>
      <c r="AE200">
        <f t="shared" si="82"/>
        <v>-0.12192704879285543</v>
      </c>
      <c r="AF200">
        <v>8</v>
      </c>
      <c r="AG200">
        <v>3</v>
      </c>
      <c r="AH200">
        <f t="shared" si="83"/>
        <v>1</v>
      </c>
      <c r="AI200">
        <f t="shared" si="84"/>
        <v>0</v>
      </c>
      <c r="AJ200">
        <f t="shared" si="85"/>
        <v>52728.576585478557</v>
      </c>
      <c r="AK200">
        <f t="shared" si="86"/>
        <v>1799.99</v>
      </c>
      <c r="AL200">
        <f t="shared" si="87"/>
        <v>1499.1031118031101</v>
      </c>
      <c r="AM200">
        <f t="shared" si="88"/>
        <v>0.83283968900000005</v>
      </c>
      <c r="AN200">
        <f t="shared" si="89"/>
        <v>0.15339800479000004</v>
      </c>
      <c r="AO200">
        <v>33</v>
      </c>
      <c r="AP200">
        <v>0.5</v>
      </c>
      <c r="AQ200" t="s">
        <v>331</v>
      </c>
      <c r="AR200">
        <v>2</v>
      </c>
      <c r="AS200">
        <v>1690305749.5999999</v>
      </c>
      <c r="AT200">
        <v>431.05099999999999</v>
      </c>
      <c r="AU200">
        <v>799.96900000000005</v>
      </c>
      <c r="AV200">
        <v>23.322299999999998</v>
      </c>
      <c r="AW200">
        <v>0.19128200000000001</v>
      </c>
      <c r="AX200">
        <v>431.03199999999998</v>
      </c>
      <c r="AY200">
        <v>23.0505</v>
      </c>
      <c r="AZ200">
        <v>300.27999999999997</v>
      </c>
      <c r="BA200">
        <v>99.238</v>
      </c>
      <c r="BB200">
        <v>9.9995299999999995E-2</v>
      </c>
      <c r="BC200">
        <v>25.481400000000001</v>
      </c>
      <c r="BD200">
        <v>27.028500000000001</v>
      </c>
      <c r="BE200">
        <v>26.5945</v>
      </c>
      <c r="BF200">
        <v>0</v>
      </c>
      <c r="BG200">
        <v>0</v>
      </c>
      <c r="BH200">
        <v>9997.5</v>
      </c>
      <c r="BI200">
        <v>1058.53</v>
      </c>
      <c r="BJ200">
        <v>1.5137799999999999</v>
      </c>
      <c r="BK200">
        <v>-368.91800000000001</v>
      </c>
      <c r="BL200">
        <v>441.34399999999999</v>
      </c>
      <c r="BM200">
        <v>800.12199999999996</v>
      </c>
      <c r="BN200">
        <v>23.131</v>
      </c>
      <c r="BO200">
        <v>799.96900000000005</v>
      </c>
      <c r="BP200">
        <v>0.19128200000000001</v>
      </c>
      <c r="BQ200">
        <v>2.31446</v>
      </c>
      <c r="BR200">
        <v>1.89824E-2</v>
      </c>
      <c r="BS200">
        <v>19.7774</v>
      </c>
      <c r="BT200">
        <v>-39.927199999999999</v>
      </c>
      <c r="BU200">
        <v>1799.99</v>
      </c>
      <c r="BV200">
        <v>0.90998500000000004</v>
      </c>
      <c r="BW200">
        <v>3.40016E-2</v>
      </c>
      <c r="BX200">
        <v>2.20062E-2</v>
      </c>
      <c r="BY200">
        <v>3.4007700000000002E-2</v>
      </c>
      <c r="BZ200">
        <v>26</v>
      </c>
      <c r="CA200">
        <v>33528.199999999997</v>
      </c>
      <c r="CB200">
        <v>1690303320.5</v>
      </c>
      <c r="CC200" t="s">
        <v>332</v>
      </c>
      <c r="CD200">
        <v>1690303320.5</v>
      </c>
      <c r="CE200">
        <v>1690303310.0999999</v>
      </c>
      <c r="CF200">
        <v>8</v>
      </c>
      <c r="CG200">
        <v>7.3999999999999996E-2</v>
      </c>
      <c r="CH200">
        <v>-0.01</v>
      </c>
      <c r="CI200">
        <v>-0.24199999999999999</v>
      </c>
      <c r="CJ200">
        <v>0.27200000000000002</v>
      </c>
      <c r="CK200">
        <v>800</v>
      </c>
      <c r="CL200">
        <v>23</v>
      </c>
      <c r="CM200">
        <v>0.06</v>
      </c>
      <c r="CN200">
        <v>0.09</v>
      </c>
      <c r="CO200">
        <v>-368.326075</v>
      </c>
      <c r="CP200">
        <v>-3.6833358348963561</v>
      </c>
      <c r="CQ200">
        <v>0.36063821119648859</v>
      </c>
      <c r="CR200">
        <v>-1</v>
      </c>
      <c r="CS200">
        <v>23.106285</v>
      </c>
      <c r="CT200">
        <v>0.14337861163225249</v>
      </c>
      <c r="CU200">
        <v>1.390067534330594E-2</v>
      </c>
      <c r="CV200">
        <v>-1</v>
      </c>
      <c r="CW200">
        <v>0</v>
      </c>
      <c r="CX200">
        <v>0</v>
      </c>
      <c r="CY200" t="s">
        <v>333</v>
      </c>
      <c r="CZ200">
        <v>2.3650799999999998</v>
      </c>
      <c r="DA200">
        <v>2.7137899999999999</v>
      </c>
      <c r="DB200">
        <v>9.4836500000000004E-2</v>
      </c>
      <c r="DC200">
        <v>0.14621300000000001</v>
      </c>
      <c r="DD200">
        <v>0.111522</v>
      </c>
      <c r="DE200">
        <v>1.6097500000000001E-3</v>
      </c>
      <c r="DF200">
        <v>33064.5</v>
      </c>
      <c r="DG200">
        <v>27537.7</v>
      </c>
      <c r="DH200">
        <v>31184.5</v>
      </c>
      <c r="DI200">
        <v>28104.9</v>
      </c>
      <c r="DJ200">
        <v>37614.6</v>
      </c>
      <c r="DK200">
        <v>39912.400000000001</v>
      </c>
      <c r="DL200">
        <v>44382.3</v>
      </c>
      <c r="DM200">
        <v>42602.2</v>
      </c>
      <c r="DN200">
        <v>1.44875</v>
      </c>
      <c r="DO200">
        <v>2.02922</v>
      </c>
      <c r="DP200">
        <v>0.15116499999999999</v>
      </c>
      <c r="DQ200">
        <v>0.13375999999999999</v>
      </c>
      <c r="DR200">
        <v>24.551500000000001</v>
      </c>
      <c r="DS200">
        <v>24.401599999999998</v>
      </c>
      <c r="DT200">
        <v>25.3</v>
      </c>
      <c r="DU200">
        <v>29.4</v>
      </c>
      <c r="DV200">
        <v>10.4939</v>
      </c>
      <c r="DW200">
        <v>61.393099999999997</v>
      </c>
      <c r="DX200">
        <v>36.229999999999997</v>
      </c>
      <c r="DY200">
        <v>1</v>
      </c>
      <c r="DZ200">
        <v>-9.5635200000000004E-2</v>
      </c>
      <c r="EA200">
        <v>0.551176</v>
      </c>
      <c r="EB200">
        <v>20.188099999999999</v>
      </c>
      <c r="EC200">
        <v>5.2413999999999996</v>
      </c>
      <c r="ED200">
        <v>12.039899999999999</v>
      </c>
      <c r="EE200">
        <v>5.0163500000000001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1.86463</v>
      </c>
      <c r="EM200">
        <v>1.8692</v>
      </c>
      <c r="EN200">
        <v>1.8672299999999999</v>
      </c>
      <c r="EO200">
        <v>1.8633999999999999</v>
      </c>
      <c r="EP200">
        <v>1.8644700000000001</v>
      </c>
      <c r="EQ200">
        <v>1.87018</v>
      </c>
      <c r="ER200">
        <v>1.86938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1.9E-2</v>
      </c>
      <c r="FG200">
        <v>0.27179999999999999</v>
      </c>
      <c r="FH200">
        <v>0.30965466913576151</v>
      </c>
      <c r="FI200">
        <v>-6.1462078757559423E-4</v>
      </c>
      <c r="FJ200">
        <v>-1.8861989874597051E-7</v>
      </c>
      <c r="FK200">
        <v>1.1980462299894961E-10</v>
      </c>
      <c r="FL200">
        <v>0.27184999999999349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40.5</v>
      </c>
      <c r="FU200">
        <v>40.700000000000003</v>
      </c>
      <c r="FV200">
        <v>1.7626999999999999</v>
      </c>
      <c r="FW200">
        <v>2.5915499999999998</v>
      </c>
      <c r="FX200">
        <v>1.5490699999999999</v>
      </c>
      <c r="FY200">
        <v>2.3303199999999999</v>
      </c>
      <c r="FZ200">
        <v>1.50146</v>
      </c>
      <c r="GA200">
        <v>2.2936999999999999</v>
      </c>
      <c r="GB200">
        <v>33.918700000000001</v>
      </c>
      <c r="GC200">
        <v>23.982399999999998</v>
      </c>
      <c r="GD200">
        <v>19</v>
      </c>
      <c r="GE200">
        <v>271.15100000000001</v>
      </c>
      <c r="GF200">
        <v>576.72299999999996</v>
      </c>
      <c r="GG200">
        <v>23.209199999999999</v>
      </c>
      <c r="GH200">
        <v>26.164999999999999</v>
      </c>
      <c r="GI200">
        <v>30.0001</v>
      </c>
      <c r="GJ200">
        <v>26.303999999999998</v>
      </c>
      <c r="GK200">
        <v>26.288499999999999</v>
      </c>
      <c r="GL200">
        <v>35.238199999999999</v>
      </c>
      <c r="GM200">
        <v>100</v>
      </c>
      <c r="GN200">
        <v>15.1793</v>
      </c>
      <c r="GO200">
        <v>23.2364</v>
      </c>
      <c r="GP200">
        <v>800</v>
      </c>
      <c r="GQ200">
        <v>0</v>
      </c>
      <c r="GR200">
        <v>99.7821</v>
      </c>
      <c r="GS200">
        <v>99.656800000000004</v>
      </c>
    </row>
    <row r="201" spans="1:201" x14ac:dyDescent="0.25">
      <c r="A201">
        <v>185</v>
      </c>
      <c r="B201">
        <v>1690305759.5999999</v>
      </c>
      <c r="C201">
        <v>2009.599999904633</v>
      </c>
      <c r="D201" t="s">
        <v>701</v>
      </c>
      <c r="E201" t="s">
        <v>702</v>
      </c>
      <c r="F201" t="s">
        <v>330</v>
      </c>
      <c r="H201">
        <v>1690305759.5999999</v>
      </c>
      <c r="I201">
        <f t="shared" si="60"/>
        <v>2.1563614496753094E-3</v>
      </c>
      <c r="J201">
        <f t="shared" si="61"/>
        <v>2.1563614496753094</v>
      </c>
      <c r="K201">
        <f t="shared" si="62"/>
        <v>32.684618972537706</v>
      </c>
      <c r="L201">
        <f t="shared" si="63"/>
        <v>430.48</v>
      </c>
      <c r="M201">
        <f t="shared" si="64"/>
        <v>113.32640944020461</v>
      </c>
      <c r="N201">
        <f t="shared" si="65"/>
        <v>11.25762791575116</v>
      </c>
      <c r="O201">
        <f t="shared" si="66"/>
        <v>42.763056635351994</v>
      </c>
      <c r="P201">
        <f t="shared" si="67"/>
        <v>0.17445507761940257</v>
      </c>
      <c r="Q201">
        <f t="shared" si="68"/>
        <v>2.1016816855080829</v>
      </c>
      <c r="R201">
        <f t="shared" si="69"/>
        <v>0.16679084930644361</v>
      </c>
      <c r="S201">
        <f t="shared" si="70"/>
        <v>0.10490482072901673</v>
      </c>
      <c r="T201">
        <f t="shared" si="71"/>
        <v>276.11618306399998</v>
      </c>
      <c r="U201">
        <f t="shared" si="72"/>
        <v>26.933092807681049</v>
      </c>
      <c r="V201">
        <f t="shared" si="73"/>
        <v>26.933092807681049</v>
      </c>
      <c r="W201">
        <f t="shared" si="74"/>
        <v>3.5651190369330985</v>
      </c>
      <c r="X201">
        <f t="shared" si="75"/>
        <v>70.864472906965787</v>
      </c>
      <c r="Y201">
        <f t="shared" si="76"/>
        <v>2.3188587329136898</v>
      </c>
      <c r="Z201">
        <f t="shared" si="77"/>
        <v>3.2722443811273338</v>
      </c>
      <c r="AA201">
        <f t="shared" si="78"/>
        <v>1.2462603040194087</v>
      </c>
      <c r="AB201">
        <f t="shared" si="79"/>
        <v>-95.095539930681142</v>
      </c>
      <c r="AC201">
        <f t="shared" si="80"/>
        <v>-164.39466173703252</v>
      </c>
      <c r="AD201">
        <f t="shared" si="81"/>
        <v>-16.747600624950731</v>
      </c>
      <c r="AE201">
        <f t="shared" si="82"/>
        <v>-0.12161922866440023</v>
      </c>
      <c r="AF201">
        <v>8</v>
      </c>
      <c r="AG201">
        <v>3</v>
      </c>
      <c r="AH201">
        <f t="shared" si="83"/>
        <v>1</v>
      </c>
      <c r="AI201">
        <f t="shared" si="84"/>
        <v>0</v>
      </c>
      <c r="AJ201">
        <f t="shared" si="85"/>
        <v>52826.60356918371</v>
      </c>
      <c r="AK201">
        <f t="shared" si="86"/>
        <v>1800</v>
      </c>
      <c r="AL201">
        <f t="shared" si="87"/>
        <v>1499.1114563999997</v>
      </c>
      <c r="AM201">
        <f t="shared" si="88"/>
        <v>0.83283969799999991</v>
      </c>
      <c r="AN201">
        <f t="shared" si="89"/>
        <v>0.15339787948</v>
      </c>
      <c r="AO201">
        <v>33</v>
      </c>
      <c r="AP201">
        <v>0.5</v>
      </c>
      <c r="AQ201" t="s">
        <v>331</v>
      </c>
      <c r="AR201">
        <v>2</v>
      </c>
      <c r="AS201">
        <v>1690305759.5999999</v>
      </c>
      <c r="AT201">
        <v>430.48</v>
      </c>
      <c r="AU201">
        <v>800.02099999999996</v>
      </c>
      <c r="AV201">
        <v>23.3431</v>
      </c>
      <c r="AW201">
        <v>0.18940199999999999</v>
      </c>
      <c r="AX201">
        <v>430.46</v>
      </c>
      <c r="AY201">
        <v>23.071300000000001</v>
      </c>
      <c r="AZ201">
        <v>300.16300000000001</v>
      </c>
      <c r="BA201">
        <v>99.238100000000003</v>
      </c>
      <c r="BB201">
        <v>9.9979899999999997E-2</v>
      </c>
      <c r="BC201">
        <v>25.482199999999999</v>
      </c>
      <c r="BD201">
        <v>27.046099999999999</v>
      </c>
      <c r="BE201">
        <v>26.5487</v>
      </c>
      <c r="BF201">
        <v>0</v>
      </c>
      <c r="BG201">
        <v>0</v>
      </c>
      <c r="BH201">
        <v>10016.9</v>
      </c>
      <c r="BI201">
        <v>1058.45</v>
      </c>
      <c r="BJ201">
        <v>1.5137799999999999</v>
      </c>
      <c r="BK201">
        <v>-369.541</v>
      </c>
      <c r="BL201">
        <v>440.76900000000001</v>
      </c>
      <c r="BM201">
        <v>800.173</v>
      </c>
      <c r="BN201">
        <v>23.153700000000001</v>
      </c>
      <c r="BO201">
        <v>800.02099999999996</v>
      </c>
      <c r="BP201">
        <v>0.18940199999999999</v>
      </c>
      <c r="BQ201">
        <v>2.3165300000000002</v>
      </c>
      <c r="BR201">
        <v>1.8795900000000001E-2</v>
      </c>
      <c r="BS201">
        <v>19.791799999999999</v>
      </c>
      <c r="BT201">
        <v>-40.021799999999999</v>
      </c>
      <c r="BU201">
        <v>1800</v>
      </c>
      <c r="BV201">
        <v>0.90998800000000002</v>
      </c>
      <c r="BW201">
        <v>3.40004E-2</v>
      </c>
      <c r="BX201">
        <v>2.2005400000000001E-2</v>
      </c>
      <c r="BY201">
        <v>3.4006399999999999E-2</v>
      </c>
      <c r="BZ201">
        <v>26</v>
      </c>
      <c r="CA201">
        <v>33528.199999999997</v>
      </c>
      <c r="CB201">
        <v>1690303320.5</v>
      </c>
      <c r="CC201" t="s">
        <v>332</v>
      </c>
      <c r="CD201">
        <v>1690303320.5</v>
      </c>
      <c r="CE201">
        <v>1690303310.0999999</v>
      </c>
      <c r="CF201">
        <v>8</v>
      </c>
      <c r="CG201">
        <v>7.3999999999999996E-2</v>
      </c>
      <c r="CH201">
        <v>-0.01</v>
      </c>
      <c r="CI201">
        <v>-0.24199999999999999</v>
      </c>
      <c r="CJ201">
        <v>0.27200000000000002</v>
      </c>
      <c r="CK201">
        <v>800</v>
      </c>
      <c r="CL201">
        <v>23</v>
      </c>
      <c r="CM201">
        <v>0.06</v>
      </c>
      <c r="CN201">
        <v>0.09</v>
      </c>
      <c r="CO201">
        <v>-368.87740000000002</v>
      </c>
      <c r="CP201">
        <v>-3.2375459662285939</v>
      </c>
      <c r="CQ201">
        <v>0.31920516913107599</v>
      </c>
      <c r="CR201">
        <v>-1</v>
      </c>
      <c r="CS201">
        <v>23.127332500000001</v>
      </c>
      <c r="CT201">
        <v>0.120248780487724</v>
      </c>
      <c r="CU201">
        <v>1.177610690126395E-2</v>
      </c>
      <c r="CV201">
        <v>-1</v>
      </c>
      <c r="CW201">
        <v>0</v>
      </c>
      <c r="CX201">
        <v>0</v>
      </c>
      <c r="CY201" t="s">
        <v>333</v>
      </c>
      <c r="CZ201">
        <v>2.3647100000000001</v>
      </c>
      <c r="DA201">
        <v>2.7137899999999999</v>
      </c>
      <c r="DB201">
        <v>9.4742000000000007E-2</v>
      </c>
      <c r="DC201">
        <v>0.14621999999999999</v>
      </c>
      <c r="DD201">
        <v>0.111593</v>
      </c>
      <c r="DE201">
        <v>1.5941099999999999E-3</v>
      </c>
      <c r="DF201">
        <v>33068</v>
      </c>
      <c r="DG201">
        <v>27537.8</v>
      </c>
      <c r="DH201">
        <v>31184.6</v>
      </c>
      <c r="DI201">
        <v>28105.3</v>
      </c>
      <c r="DJ201">
        <v>37611.800000000003</v>
      </c>
      <c r="DK201">
        <v>39913.5</v>
      </c>
      <c r="DL201">
        <v>44382.6</v>
      </c>
      <c r="DM201">
        <v>42602.7</v>
      </c>
      <c r="DN201">
        <v>1.44855</v>
      </c>
      <c r="DO201">
        <v>2.0293800000000002</v>
      </c>
      <c r="DP201">
        <v>0.15208099999999999</v>
      </c>
      <c r="DQ201">
        <v>0.13084000000000001</v>
      </c>
      <c r="DR201">
        <v>24.554099999999998</v>
      </c>
      <c r="DS201">
        <v>24.403600000000001</v>
      </c>
      <c r="DT201">
        <v>25</v>
      </c>
      <c r="DU201">
        <v>29.4</v>
      </c>
      <c r="DV201">
        <v>10.366400000000001</v>
      </c>
      <c r="DW201">
        <v>61.563000000000002</v>
      </c>
      <c r="DX201">
        <v>36.322099999999999</v>
      </c>
      <c r="DY201">
        <v>1</v>
      </c>
      <c r="DZ201">
        <v>-9.5741900000000005E-2</v>
      </c>
      <c r="EA201">
        <v>0.72411499999999995</v>
      </c>
      <c r="EB201">
        <v>20.1874</v>
      </c>
      <c r="EC201">
        <v>5.2409499999999998</v>
      </c>
      <c r="ED201">
        <v>12.039899999999999</v>
      </c>
      <c r="EE201">
        <v>5.0163000000000002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1.8689100000000001</v>
      </c>
      <c r="EL201">
        <v>1.86463</v>
      </c>
      <c r="EM201">
        <v>1.8692</v>
      </c>
      <c r="EN201">
        <v>1.8672500000000001</v>
      </c>
      <c r="EO201">
        <v>1.8633999999999999</v>
      </c>
      <c r="EP201">
        <v>1.8644700000000001</v>
      </c>
      <c r="EQ201">
        <v>1.87016</v>
      </c>
      <c r="ER201">
        <v>1.86937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0.02</v>
      </c>
      <c r="FG201">
        <v>0.27179999999999999</v>
      </c>
      <c r="FH201">
        <v>0.30965466913576151</v>
      </c>
      <c r="FI201">
        <v>-6.1462078757559423E-4</v>
      </c>
      <c r="FJ201">
        <v>-1.8861989874597051E-7</v>
      </c>
      <c r="FK201">
        <v>1.1980462299894961E-10</v>
      </c>
      <c r="FL201">
        <v>0.27184999999999349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40.700000000000003</v>
      </c>
      <c r="FU201">
        <v>40.799999999999997</v>
      </c>
      <c r="FV201">
        <v>1.7626999999999999</v>
      </c>
      <c r="FW201">
        <v>2.5891099999999998</v>
      </c>
      <c r="FX201">
        <v>1.5490699999999999</v>
      </c>
      <c r="FY201">
        <v>2.3303199999999999</v>
      </c>
      <c r="FZ201">
        <v>1.50146</v>
      </c>
      <c r="GA201">
        <v>2.323</v>
      </c>
      <c r="GB201">
        <v>33.918700000000001</v>
      </c>
      <c r="GC201">
        <v>23.982399999999998</v>
      </c>
      <c r="GD201">
        <v>19</v>
      </c>
      <c r="GE201">
        <v>271.06900000000002</v>
      </c>
      <c r="GF201">
        <v>576.846</v>
      </c>
      <c r="GG201">
        <v>23.217300000000002</v>
      </c>
      <c r="GH201">
        <v>26.166899999999998</v>
      </c>
      <c r="GI201">
        <v>30.0002</v>
      </c>
      <c r="GJ201">
        <v>26.303999999999998</v>
      </c>
      <c r="GK201">
        <v>26.288499999999999</v>
      </c>
      <c r="GL201">
        <v>35.236499999999999</v>
      </c>
      <c r="GM201">
        <v>100</v>
      </c>
      <c r="GN201">
        <v>14.7895</v>
      </c>
      <c r="GO201">
        <v>23.195699999999999</v>
      </c>
      <c r="GP201">
        <v>800</v>
      </c>
      <c r="GQ201">
        <v>0</v>
      </c>
      <c r="GR201">
        <v>99.782499999999999</v>
      </c>
      <c r="GS201">
        <v>99.658100000000005</v>
      </c>
    </row>
    <row r="202" spans="1:201" x14ac:dyDescent="0.25">
      <c r="A202">
        <v>186</v>
      </c>
      <c r="B202">
        <v>1690305769.5999999</v>
      </c>
      <c r="C202">
        <v>2019.599999904633</v>
      </c>
      <c r="D202" t="s">
        <v>703</v>
      </c>
      <c r="E202" t="s">
        <v>704</v>
      </c>
      <c r="F202" t="s">
        <v>330</v>
      </c>
      <c r="H202">
        <v>1690305769.5999999</v>
      </c>
      <c r="I202">
        <f t="shared" si="60"/>
        <v>2.1579174484941651E-3</v>
      </c>
      <c r="J202">
        <f t="shared" si="61"/>
        <v>2.1579174484941652</v>
      </c>
      <c r="K202">
        <f t="shared" si="62"/>
        <v>32.735395487107716</v>
      </c>
      <c r="L202">
        <f t="shared" si="63"/>
        <v>429.95400000000001</v>
      </c>
      <c r="M202">
        <f t="shared" si="64"/>
        <v>113.10921326056199</v>
      </c>
      <c r="N202">
        <f t="shared" si="65"/>
        <v>11.236326139238498</v>
      </c>
      <c r="O202">
        <f t="shared" si="66"/>
        <v>42.711846626862005</v>
      </c>
      <c r="P202">
        <f t="shared" si="67"/>
        <v>0.17492198027741829</v>
      </c>
      <c r="Q202">
        <f t="shared" si="68"/>
        <v>2.0970313845747657</v>
      </c>
      <c r="R202">
        <f t="shared" si="69"/>
        <v>0.16720137223961395</v>
      </c>
      <c r="S202">
        <f t="shared" si="70"/>
        <v>0.10516612446672555</v>
      </c>
      <c r="T202">
        <f t="shared" si="71"/>
        <v>276.11593813799999</v>
      </c>
      <c r="U202">
        <f t="shared" si="72"/>
        <v>26.929569017269436</v>
      </c>
      <c r="V202">
        <f t="shared" si="73"/>
        <v>26.929569017269436</v>
      </c>
      <c r="W202">
        <f t="shared" si="74"/>
        <v>3.5643808946966553</v>
      </c>
      <c r="X202">
        <f t="shared" si="75"/>
        <v>70.932041972962026</v>
      </c>
      <c r="Y202">
        <f t="shared" si="76"/>
        <v>2.3202563923697999</v>
      </c>
      <c r="Z202">
        <f t="shared" si="77"/>
        <v>3.2710976983494122</v>
      </c>
      <c r="AA202">
        <f t="shared" si="78"/>
        <v>1.2441245023268555</v>
      </c>
      <c r="AB202">
        <f t="shared" si="79"/>
        <v>-95.16415947859268</v>
      </c>
      <c r="AC202">
        <f t="shared" si="80"/>
        <v>-164.2995554649124</v>
      </c>
      <c r="AD202">
        <f t="shared" si="81"/>
        <v>-16.774236945945123</v>
      </c>
      <c r="AE202">
        <f t="shared" si="82"/>
        <v>-0.12201375145022553</v>
      </c>
      <c r="AF202">
        <v>8</v>
      </c>
      <c r="AG202">
        <v>3</v>
      </c>
      <c r="AH202">
        <f t="shared" si="83"/>
        <v>1</v>
      </c>
      <c r="AI202">
        <f t="shared" si="84"/>
        <v>0</v>
      </c>
      <c r="AJ202">
        <f t="shared" si="85"/>
        <v>52620.076610607561</v>
      </c>
      <c r="AK202">
        <f t="shared" si="86"/>
        <v>1800</v>
      </c>
      <c r="AL202">
        <f t="shared" si="87"/>
        <v>1499.1110657999998</v>
      </c>
      <c r="AM202">
        <f t="shared" si="88"/>
        <v>0.83283948099999994</v>
      </c>
      <c r="AN202">
        <f t="shared" si="89"/>
        <v>0.15339774341000001</v>
      </c>
      <c r="AO202">
        <v>33</v>
      </c>
      <c r="AP202">
        <v>0.5</v>
      </c>
      <c r="AQ202" t="s">
        <v>331</v>
      </c>
      <c r="AR202">
        <v>2</v>
      </c>
      <c r="AS202">
        <v>1690305769.5999999</v>
      </c>
      <c r="AT202">
        <v>429.95400000000001</v>
      </c>
      <c r="AU202">
        <v>800.02099999999996</v>
      </c>
      <c r="AV202">
        <v>23.3566</v>
      </c>
      <c r="AW202">
        <v>0.18821299999999999</v>
      </c>
      <c r="AX202">
        <v>429.93400000000003</v>
      </c>
      <c r="AY202">
        <v>23.084800000000001</v>
      </c>
      <c r="AZ202">
        <v>300.185</v>
      </c>
      <c r="BA202">
        <v>99.240499999999997</v>
      </c>
      <c r="BB202">
        <v>0.10000299999999999</v>
      </c>
      <c r="BC202">
        <v>25.476299999999998</v>
      </c>
      <c r="BD202">
        <v>27.025200000000002</v>
      </c>
      <c r="BE202">
        <v>26.559799999999999</v>
      </c>
      <c r="BF202">
        <v>0</v>
      </c>
      <c r="BG202">
        <v>0</v>
      </c>
      <c r="BH202">
        <v>9975.6200000000008</v>
      </c>
      <c r="BI202">
        <v>1058.42</v>
      </c>
      <c r="BJ202">
        <v>1.5137799999999999</v>
      </c>
      <c r="BK202">
        <v>-370.06700000000001</v>
      </c>
      <c r="BL202">
        <v>440.23599999999999</v>
      </c>
      <c r="BM202">
        <v>800.17100000000005</v>
      </c>
      <c r="BN202">
        <v>23.168399999999998</v>
      </c>
      <c r="BO202">
        <v>800.02099999999996</v>
      </c>
      <c r="BP202">
        <v>0.18821299999999999</v>
      </c>
      <c r="BQ202">
        <v>2.31792</v>
      </c>
      <c r="BR202">
        <v>1.8678400000000001E-2</v>
      </c>
      <c r="BS202">
        <v>19.801500000000001</v>
      </c>
      <c r="BT202">
        <v>-40.081899999999997</v>
      </c>
      <c r="BU202">
        <v>1800</v>
      </c>
      <c r="BV202">
        <v>0.90998999999999997</v>
      </c>
      <c r="BW202">
        <v>3.3999399999999999E-2</v>
      </c>
      <c r="BX202">
        <v>2.2004800000000001E-2</v>
      </c>
      <c r="BY202">
        <v>3.4005500000000001E-2</v>
      </c>
      <c r="BZ202">
        <v>26</v>
      </c>
      <c r="CA202">
        <v>33528.199999999997</v>
      </c>
      <c r="CB202">
        <v>1690303320.5</v>
      </c>
      <c r="CC202" t="s">
        <v>332</v>
      </c>
      <c r="CD202">
        <v>1690303320.5</v>
      </c>
      <c r="CE202">
        <v>1690303310.0999999</v>
      </c>
      <c r="CF202">
        <v>8</v>
      </c>
      <c r="CG202">
        <v>7.3999999999999996E-2</v>
      </c>
      <c r="CH202">
        <v>-0.01</v>
      </c>
      <c r="CI202">
        <v>-0.24199999999999999</v>
      </c>
      <c r="CJ202">
        <v>0.27200000000000002</v>
      </c>
      <c r="CK202">
        <v>800</v>
      </c>
      <c r="CL202">
        <v>23</v>
      </c>
      <c r="CM202">
        <v>0.06</v>
      </c>
      <c r="CN202">
        <v>0.09</v>
      </c>
      <c r="CO202">
        <v>-369.43419512195118</v>
      </c>
      <c r="CP202">
        <v>-3.4016445993031179</v>
      </c>
      <c r="CQ202">
        <v>0.33768987211982182</v>
      </c>
      <c r="CR202">
        <v>-1</v>
      </c>
      <c r="CS202">
        <v>23.148868292682931</v>
      </c>
      <c r="CT202">
        <v>0.1259038327525917</v>
      </c>
      <c r="CU202">
        <v>1.2583854134959971E-2</v>
      </c>
      <c r="CV202">
        <v>-1</v>
      </c>
      <c r="CW202">
        <v>0</v>
      </c>
      <c r="CX202">
        <v>0</v>
      </c>
      <c r="CY202" t="s">
        <v>333</v>
      </c>
      <c r="CZ202">
        <v>2.36477</v>
      </c>
      <c r="DA202">
        <v>2.7137699999999998</v>
      </c>
      <c r="DB202">
        <v>9.4657000000000005E-2</v>
      </c>
      <c r="DC202">
        <v>0.14622299999999999</v>
      </c>
      <c r="DD202">
        <v>0.111641</v>
      </c>
      <c r="DE202">
        <v>1.5842600000000001E-3</v>
      </c>
      <c r="DF202">
        <v>33070.9</v>
      </c>
      <c r="DG202">
        <v>27537.4</v>
      </c>
      <c r="DH202">
        <v>31184.3</v>
      </c>
      <c r="DI202">
        <v>28105</v>
      </c>
      <c r="DJ202">
        <v>37609.300000000003</v>
      </c>
      <c r="DK202">
        <v>39913.5</v>
      </c>
      <c r="DL202">
        <v>44382</v>
      </c>
      <c r="DM202">
        <v>42602.3</v>
      </c>
      <c r="DN202">
        <v>1.44858</v>
      </c>
      <c r="DO202">
        <v>2.0293299999999999</v>
      </c>
      <c r="DP202">
        <v>0.15068100000000001</v>
      </c>
      <c r="DQ202">
        <v>0.131518</v>
      </c>
      <c r="DR202">
        <v>24.556100000000001</v>
      </c>
      <c r="DS202">
        <v>24.403600000000001</v>
      </c>
      <c r="DT202">
        <v>24.8</v>
      </c>
      <c r="DU202">
        <v>29.4</v>
      </c>
      <c r="DV202">
        <v>10.285600000000001</v>
      </c>
      <c r="DW202">
        <v>61.943100000000001</v>
      </c>
      <c r="DX202">
        <v>36.225999999999999</v>
      </c>
      <c r="DY202">
        <v>1</v>
      </c>
      <c r="DZ202">
        <v>-9.4908500000000007E-2</v>
      </c>
      <c r="EA202">
        <v>0.854047</v>
      </c>
      <c r="EB202">
        <v>20.186199999999999</v>
      </c>
      <c r="EC202">
        <v>5.2411000000000003</v>
      </c>
      <c r="ED202">
        <v>12.039899999999999</v>
      </c>
      <c r="EE202">
        <v>5.0168999999999997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1.8689</v>
      </c>
      <c r="EL202">
        <v>1.8646199999999999</v>
      </c>
      <c r="EM202">
        <v>1.8692</v>
      </c>
      <c r="EN202">
        <v>1.8672299999999999</v>
      </c>
      <c r="EO202">
        <v>1.8633999999999999</v>
      </c>
      <c r="EP202">
        <v>1.8644700000000001</v>
      </c>
      <c r="EQ202">
        <v>1.87019</v>
      </c>
      <c r="ER202">
        <v>1.86938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0.02</v>
      </c>
      <c r="FG202">
        <v>0.27179999999999999</v>
      </c>
      <c r="FH202">
        <v>0.30965466913576151</v>
      </c>
      <c r="FI202">
        <v>-6.1462078757559423E-4</v>
      </c>
      <c r="FJ202">
        <v>-1.8861989874597051E-7</v>
      </c>
      <c r="FK202">
        <v>1.1980462299894961E-10</v>
      </c>
      <c r="FL202">
        <v>0.27184999999999349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40.799999999999997</v>
      </c>
      <c r="FU202">
        <v>41</v>
      </c>
      <c r="FV202">
        <v>1.7614700000000001</v>
      </c>
      <c r="FW202">
        <v>2.5903299999999998</v>
      </c>
      <c r="FX202">
        <v>1.5490699999999999</v>
      </c>
      <c r="FY202">
        <v>2.3303199999999999</v>
      </c>
      <c r="FZ202">
        <v>1.50024</v>
      </c>
      <c r="GA202">
        <v>2.3303199999999999</v>
      </c>
      <c r="GB202">
        <v>33.918700000000001</v>
      </c>
      <c r="GC202">
        <v>23.982399999999998</v>
      </c>
      <c r="GD202">
        <v>19</v>
      </c>
      <c r="GE202">
        <v>271.08</v>
      </c>
      <c r="GF202">
        <v>576.80499999999995</v>
      </c>
      <c r="GG202">
        <v>23.139199999999999</v>
      </c>
      <c r="GH202">
        <v>26.166899999999998</v>
      </c>
      <c r="GI202">
        <v>30.000499999999999</v>
      </c>
      <c r="GJ202">
        <v>26.303999999999998</v>
      </c>
      <c r="GK202">
        <v>26.288499999999999</v>
      </c>
      <c r="GL202">
        <v>35.233400000000003</v>
      </c>
      <c r="GM202">
        <v>100</v>
      </c>
      <c r="GN202">
        <v>14.3956</v>
      </c>
      <c r="GO202">
        <v>23.123899999999999</v>
      </c>
      <c r="GP202">
        <v>800</v>
      </c>
      <c r="GQ202">
        <v>0</v>
      </c>
      <c r="GR202">
        <v>99.781599999999997</v>
      </c>
      <c r="GS202">
        <v>99.6571</v>
      </c>
    </row>
    <row r="203" spans="1:201" x14ac:dyDescent="0.25">
      <c r="A203">
        <v>187</v>
      </c>
      <c r="B203">
        <v>1690305779.5999999</v>
      </c>
      <c r="C203">
        <v>2029.599999904633</v>
      </c>
      <c r="D203" t="s">
        <v>705</v>
      </c>
      <c r="E203" t="s">
        <v>706</v>
      </c>
      <c r="F203" t="s">
        <v>330</v>
      </c>
      <c r="H203">
        <v>1690305779.5999999</v>
      </c>
      <c r="I203">
        <f t="shared" si="60"/>
        <v>2.158681490514252E-3</v>
      </c>
      <c r="J203">
        <f t="shared" si="61"/>
        <v>2.158681490514252</v>
      </c>
      <c r="K203">
        <f t="shared" si="62"/>
        <v>32.78133978984026</v>
      </c>
      <c r="L203">
        <f t="shared" si="63"/>
        <v>429.50299999999999</v>
      </c>
      <c r="M203">
        <f t="shared" si="64"/>
        <v>113.07162818003958</v>
      </c>
      <c r="N203">
        <f t="shared" si="65"/>
        <v>11.232694861329238</v>
      </c>
      <c r="O203">
        <f t="shared" si="66"/>
        <v>42.667433189726992</v>
      </c>
      <c r="P203">
        <f t="shared" si="67"/>
        <v>0.17539897896606599</v>
      </c>
      <c r="Q203">
        <f t="shared" si="68"/>
        <v>2.1000217275286888</v>
      </c>
      <c r="R203">
        <f t="shared" si="69"/>
        <v>0.16764773811631928</v>
      </c>
      <c r="S203">
        <f t="shared" si="70"/>
        <v>0.1054477073542584</v>
      </c>
      <c r="T203">
        <f t="shared" si="71"/>
        <v>276.11602657200007</v>
      </c>
      <c r="U203">
        <f t="shared" si="72"/>
        <v>26.918432330744498</v>
      </c>
      <c r="V203">
        <f t="shared" si="73"/>
        <v>26.918432330744498</v>
      </c>
      <c r="W203">
        <f t="shared" si="74"/>
        <v>3.5620489262043216</v>
      </c>
      <c r="X203">
        <f t="shared" si="75"/>
        <v>70.985817676598685</v>
      </c>
      <c r="Y203">
        <f t="shared" si="76"/>
        <v>2.3207742604943999</v>
      </c>
      <c r="Z203">
        <f t="shared" si="77"/>
        <v>3.2693491974235167</v>
      </c>
      <c r="AA203">
        <f t="shared" si="78"/>
        <v>1.2412746657099216</v>
      </c>
      <c r="AB203">
        <f t="shared" si="79"/>
        <v>-95.197853731678521</v>
      </c>
      <c r="AC203">
        <f t="shared" si="80"/>
        <v>-164.29193687115134</v>
      </c>
      <c r="AD203">
        <f t="shared" si="81"/>
        <v>-16.747883295287014</v>
      </c>
      <c r="AE203">
        <f t="shared" si="82"/>
        <v>-0.12164732611680051</v>
      </c>
      <c r="AF203">
        <v>8</v>
      </c>
      <c r="AG203">
        <v>3</v>
      </c>
      <c r="AH203">
        <f t="shared" si="83"/>
        <v>1</v>
      </c>
      <c r="AI203">
        <f t="shared" si="84"/>
        <v>0</v>
      </c>
      <c r="AJ203">
        <f t="shared" si="85"/>
        <v>52755.133827099744</v>
      </c>
      <c r="AK203">
        <f t="shared" si="86"/>
        <v>1800</v>
      </c>
      <c r="AL203">
        <f t="shared" si="87"/>
        <v>1499.1117641999999</v>
      </c>
      <c r="AM203">
        <f t="shared" si="88"/>
        <v>0.83283986899999995</v>
      </c>
      <c r="AN203">
        <f t="shared" si="89"/>
        <v>0.15339779254000002</v>
      </c>
      <c r="AO203">
        <v>33</v>
      </c>
      <c r="AP203">
        <v>0.5</v>
      </c>
      <c r="AQ203" t="s">
        <v>331</v>
      </c>
      <c r="AR203">
        <v>2</v>
      </c>
      <c r="AS203">
        <v>1690305779.5999999</v>
      </c>
      <c r="AT203">
        <v>429.50299999999999</v>
      </c>
      <c r="AU203">
        <v>800.04700000000003</v>
      </c>
      <c r="AV203">
        <v>23.361599999999999</v>
      </c>
      <c r="AW203">
        <v>0.186441</v>
      </c>
      <c r="AX203">
        <v>429.483</v>
      </c>
      <c r="AY203">
        <v>23.0898</v>
      </c>
      <c r="AZ203">
        <v>300.202</v>
      </c>
      <c r="BA203">
        <v>99.241399999999999</v>
      </c>
      <c r="BB203">
        <v>0.100009</v>
      </c>
      <c r="BC203">
        <v>25.467300000000002</v>
      </c>
      <c r="BD203">
        <v>26.985399999999998</v>
      </c>
      <c r="BE203">
        <v>26.5657</v>
      </c>
      <c r="BF203">
        <v>0</v>
      </c>
      <c r="BG203">
        <v>0</v>
      </c>
      <c r="BH203">
        <v>10001.9</v>
      </c>
      <c r="BI203">
        <v>1058.33</v>
      </c>
      <c r="BJ203">
        <v>1.5137799999999999</v>
      </c>
      <c r="BK203">
        <v>-370.54300000000001</v>
      </c>
      <c r="BL203">
        <v>439.77699999999999</v>
      </c>
      <c r="BM203">
        <v>800.19600000000003</v>
      </c>
      <c r="BN203">
        <v>23.1752</v>
      </c>
      <c r="BO203">
        <v>800.04700000000003</v>
      </c>
      <c r="BP203">
        <v>0.186441</v>
      </c>
      <c r="BQ203">
        <v>2.3184399999999998</v>
      </c>
      <c r="BR203">
        <v>1.85027E-2</v>
      </c>
      <c r="BS203">
        <v>19.805099999999999</v>
      </c>
      <c r="BT203">
        <v>-40.1723</v>
      </c>
      <c r="BU203">
        <v>1800</v>
      </c>
      <c r="BV203">
        <v>0.90999099999999999</v>
      </c>
      <c r="BW203">
        <v>3.39992E-2</v>
      </c>
      <c r="BX203">
        <v>2.2004699999999999E-2</v>
      </c>
      <c r="BY203">
        <v>3.4005199999999999E-2</v>
      </c>
      <c r="BZ203">
        <v>26</v>
      </c>
      <c r="CA203">
        <v>33528.300000000003</v>
      </c>
      <c r="CB203">
        <v>1690303320.5</v>
      </c>
      <c r="CC203" t="s">
        <v>332</v>
      </c>
      <c r="CD203">
        <v>1690303320.5</v>
      </c>
      <c r="CE203">
        <v>1690303310.0999999</v>
      </c>
      <c r="CF203">
        <v>8</v>
      </c>
      <c r="CG203">
        <v>7.3999999999999996E-2</v>
      </c>
      <c r="CH203">
        <v>-0.01</v>
      </c>
      <c r="CI203">
        <v>-0.24199999999999999</v>
      </c>
      <c r="CJ203">
        <v>0.27200000000000002</v>
      </c>
      <c r="CK203">
        <v>800</v>
      </c>
      <c r="CL203">
        <v>23</v>
      </c>
      <c r="CM203">
        <v>0.06</v>
      </c>
      <c r="CN203">
        <v>0.09</v>
      </c>
      <c r="CO203">
        <v>-369.96767499999999</v>
      </c>
      <c r="CP203">
        <v>-2.9641238273916071</v>
      </c>
      <c r="CQ203">
        <v>0.28735617163200072</v>
      </c>
      <c r="CR203">
        <v>-1</v>
      </c>
      <c r="CS203">
        <v>23.166192500000001</v>
      </c>
      <c r="CT203">
        <v>7.5452532832916461E-2</v>
      </c>
      <c r="CU203">
        <v>7.3429690010240137E-3</v>
      </c>
      <c r="CV203">
        <v>-1</v>
      </c>
      <c r="CW203">
        <v>0</v>
      </c>
      <c r="CX203">
        <v>0</v>
      </c>
      <c r="CY203" t="s">
        <v>333</v>
      </c>
      <c r="CZ203">
        <v>2.3647900000000002</v>
      </c>
      <c r="DA203">
        <v>2.7138</v>
      </c>
      <c r="DB203">
        <v>9.45825E-2</v>
      </c>
      <c r="DC203">
        <v>0.146228</v>
      </c>
      <c r="DD203">
        <v>0.11165899999999999</v>
      </c>
      <c r="DE203">
        <v>1.56953E-3</v>
      </c>
      <c r="DF203">
        <v>33073.5</v>
      </c>
      <c r="DG203">
        <v>27537.4</v>
      </c>
      <c r="DH203">
        <v>31184.2</v>
      </c>
      <c r="DI203">
        <v>28105.1</v>
      </c>
      <c r="DJ203">
        <v>37608.400000000001</v>
      </c>
      <c r="DK203">
        <v>39914.1</v>
      </c>
      <c r="DL203">
        <v>44381.9</v>
      </c>
      <c r="DM203">
        <v>42602.3</v>
      </c>
      <c r="DN203">
        <v>1.4483200000000001</v>
      </c>
      <c r="DO203">
        <v>2.02935</v>
      </c>
      <c r="DP203">
        <v>0.14812500000000001</v>
      </c>
      <c r="DQ203">
        <v>0.13180800000000001</v>
      </c>
      <c r="DR203">
        <v>24.5581</v>
      </c>
      <c r="DS203">
        <v>24.404800000000002</v>
      </c>
      <c r="DT203">
        <v>24.6</v>
      </c>
      <c r="DU203">
        <v>29.4</v>
      </c>
      <c r="DV203">
        <v>10.2035</v>
      </c>
      <c r="DW203">
        <v>61.6631</v>
      </c>
      <c r="DX203">
        <v>36.394199999999998</v>
      </c>
      <c r="DY203">
        <v>1</v>
      </c>
      <c r="DZ203">
        <v>-9.4938999999999996E-2</v>
      </c>
      <c r="EA203">
        <v>0.90119300000000002</v>
      </c>
      <c r="EB203">
        <v>20.185700000000001</v>
      </c>
      <c r="EC203">
        <v>5.24125</v>
      </c>
      <c r="ED203">
        <v>12.039899999999999</v>
      </c>
      <c r="EE203">
        <v>5.0163500000000001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1.86463</v>
      </c>
      <c r="EM203">
        <v>1.8692</v>
      </c>
      <c r="EN203">
        <v>1.8672500000000001</v>
      </c>
      <c r="EO203">
        <v>1.8633999999999999</v>
      </c>
      <c r="EP203">
        <v>1.8644700000000001</v>
      </c>
      <c r="EQ203">
        <v>1.87018</v>
      </c>
      <c r="ER203">
        <v>1.8694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0.02</v>
      </c>
      <c r="FG203">
        <v>0.27179999999999999</v>
      </c>
      <c r="FH203">
        <v>0.30965466913576151</v>
      </c>
      <c r="FI203">
        <v>-6.1462078757559423E-4</v>
      </c>
      <c r="FJ203">
        <v>-1.8861989874597051E-7</v>
      </c>
      <c r="FK203">
        <v>1.1980462299894961E-10</v>
      </c>
      <c r="FL203">
        <v>0.27184999999999349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41</v>
      </c>
      <c r="FU203">
        <v>41.2</v>
      </c>
      <c r="FV203">
        <v>1.7626999999999999</v>
      </c>
      <c r="FW203">
        <v>2.5866699999999998</v>
      </c>
      <c r="FX203">
        <v>1.5490699999999999</v>
      </c>
      <c r="FY203">
        <v>2.3303199999999999</v>
      </c>
      <c r="FZ203">
        <v>1.50146</v>
      </c>
      <c r="GA203">
        <v>2.33887</v>
      </c>
      <c r="GB203">
        <v>33.918700000000001</v>
      </c>
      <c r="GC203">
        <v>23.982399999999998</v>
      </c>
      <c r="GD203">
        <v>19</v>
      </c>
      <c r="GE203">
        <v>270.98399999999998</v>
      </c>
      <c r="GF203">
        <v>576.82600000000002</v>
      </c>
      <c r="GG203">
        <v>23.0763</v>
      </c>
      <c r="GH203">
        <v>26.1692</v>
      </c>
      <c r="GI203">
        <v>30.0001</v>
      </c>
      <c r="GJ203">
        <v>26.305800000000001</v>
      </c>
      <c r="GK203">
        <v>26.288499999999999</v>
      </c>
      <c r="GL203">
        <v>35.235199999999999</v>
      </c>
      <c r="GM203">
        <v>100</v>
      </c>
      <c r="GN203">
        <v>13.626300000000001</v>
      </c>
      <c r="GO203">
        <v>23.060500000000001</v>
      </c>
      <c r="GP203">
        <v>800</v>
      </c>
      <c r="GQ203">
        <v>0</v>
      </c>
      <c r="GR203">
        <v>99.781199999999998</v>
      </c>
      <c r="GS203">
        <v>99.657200000000003</v>
      </c>
    </row>
    <row r="204" spans="1:201" x14ac:dyDescent="0.25">
      <c r="A204">
        <v>188</v>
      </c>
      <c r="B204">
        <v>1690305789.5999999</v>
      </c>
      <c r="C204">
        <v>2039.599999904633</v>
      </c>
      <c r="D204" t="s">
        <v>707</v>
      </c>
      <c r="E204" t="s">
        <v>708</v>
      </c>
      <c r="F204" t="s">
        <v>330</v>
      </c>
      <c r="H204">
        <v>1690305789.5999999</v>
      </c>
      <c r="I204">
        <f t="shared" si="60"/>
        <v>2.1598340619332344E-3</v>
      </c>
      <c r="J204">
        <f t="shared" si="61"/>
        <v>2.1598340619332346</v>
      </c>
      <c r="K204">
        <f t="shared" si="62"/>
        <v>32.817453399609853</v>
      </c>
      <c r="L204">
        <f t="shared" si="63"/>
        <v>428.96199999999999</v>
      </c>
      <c r="M204">
        <f t="shared" si="64"/>
        <v>112.95427556613706</v>
      </c>
      <c r="N204">
        <f t="shared" si="65"/>
        <v>11.220895491152174</v>
      </c>
      <c r="O204">
        <f t="shared" si="66"/>
        <v>42.613152512826403</v>
      </c>
      <c r="P204">
        <f t="shared" si="67"/>
        <v>0.17584338576103123</v>
      </c>
      <c r="Q204">
        <f t="shared" si="68"/>
        <v>2.0986595265852177</v>
      </c>
      <c r="R204">
        <f t="shared" si="69"/>
        <v>0.16804893898169646</v>
      </c>
      <c r="S204">
        <f t="shared" si="70"/>
        <v>0.10570209343709429</v>
      </c>
      <c r="T204">
        <f t="shared" si="71"/>
        <v>276.11427664927436</v>
      </c>
      <c r="U204">
        <f t="shared" si="72"/>
        <v>26.9157698059262</v>
      </c>
      <c r="V204">
        <f t="shared" si="73"/>
        <v>26.9157698059262</v>
      </c>
      <c r="W204">
        <f t="shared" si="74"/>
        <v>3.5614916036488924</v>
      </c>
      <c r="X204">
        <f t="shared" si="75"/>
        <v>71.053005460850187</v>
      </c>
      <c r="Y204">
        <f t="shared" si="76"/>
        <v>2.3225430732888404</v>
      </c>
      <c r="Z204">
        <f t="shared" si="77"/>
        <v>3.2687471250861426</v>
      </c>
      <c r="AA204">
        <f t="shared" si="78"/>
        <v>1.238948530360052</v>
      </c>
      <c r="AB204">
        <f t="shared" si="79"/>
        <v>-95.248682131255634</v>
      </c>
      <c r="AC204">
        <f t="shared" si="80"/>
        <v>-164.23486442181493</v>
      </c>
      <c r="AD204">
        <f t="shared" si="81"/>
        <v>-16.752448374275019</v>
      </c>
      <c r="AE204">
        <f t="shared" si="82"/>
        <v>-0.12171827807125624</v>
      </c>
      <c r="AF204">
        <v>8</v>
      </c>
      <c r="AG204">
        <v>3</v>
      </c>
      <c r="AH204">
        <f t="shared" si="83"/>
        <v>1</v>
      </c>
      <c r="AI204">
        <f t="shared" si="84"/>
        <v>0</v>
      </c>
      <c r="AJ204">
        <f t="shared" si="85"/>
        <v>52694.835139189068</v>
      </c>
      <c r="AK204">
        <f t="shared" si="86"/>
        <v>1799.99</v>
      </c>
      <c r="AL204">
        <f t="shared" si="87"/>
        <v>1499.10317120278</v>
      </c>
      <c r="AM204">
        <f t="shared" si="88"/>
        <v>0.832839722</v>
      </c>
      <c r="AN204">
        <f t="shared" si="89"/>
        <v>0.15339767257000003</v>
      </c>
      <c r="AO204">
        <v>33</v>
      </c>
      <c r="AP204">
        <v>0.5</v>
      </c>
      <c r="AQ204" t="s">
        <v>331</v>
      </c>
      <c r="AR204">
        <v>2</v>
      </c>
      <c r="AS204">
        <v>1690305789.5999999</v>
      </c>
      <c r="AT204">
        <v>428.96199999999999</v>
      </c>
      <c r="AU204">
        <v>800.01300000000003</v>
      </c>
      <c r="AV204">
        <v>23.3797</v>
      </c>
      <c r="AW204">
        <v>0.18525700000000001</v>
      </c>
      <c r="AX204">
        <v>428.94099999999997</v>
      </c>
      <c r="AY204">
        <v>23.107800000000001</v>
      </c>
      <c r="AZ204">
        <v>300.10700000000003</v>
      </c>
      <c r="BA204">
        <v>99.240200000000002</v>
      </c>
      <c r="BB204">
        <v>9.9957199999999996E-2</v>
      </c>
      <c r="BC204">
        <v>25.464200000000002</v>
      </c>
      <c r="BD204">
        <v>26.9818</v>
      </c>
      <c r="BE204">
        <v>26.5868</v>
      </c>
      <c r="BF204">
        <v>0</v>
      </c>
      <c r="BG204">
        <v>0</v>
      </c>
      <c r="BH204">
        <v>9990</v>
      </c>
      <c r="BI204">
        <v>1058.3699999999999</v>
      </c>
      <c r="BJ204">
        <v>1.5137799999999999</v>
      </c>
      <c r="BK204">
        <v>-371.05099999999999</v>
      </c>
      <c r="BL204">
        <v>439.23099999999999</v>
      </c>
      <c r="BM204">
        <v>800.16099999999994</v>
      </c>
      <c r="BN204">
        <v>23.194400000000002</v>
      </c>
      <c r="BO204">
        <v>800.01300000000003</v>
      </c>
      <c r="BP204">
        <v>0.18525700000000001</v>
      </c>
      <c r="BQ204">
        <v>2.3201999999999998</v>
      </c>
      <c r="BR204">
        <v>1.8384899999999999E-2</v>
      </c>
      <c r="BS204">
        <v>19.817399999999999</v>
      </c>
      <c r="BT204">
        <v>-40.2333</v>
      </c>
      <c r="BU204">
        <v>1799.99</v>
      </c>
      <c r="BV204">
        <v>0.90999300000000005</v>
      </c>
      <c r="BW204">
        <v>3.3998300000000002E-2</v>
      </c>
      <c r="BX204">
        <v>2.2004099999999999E-2</v>
      </c>
      <c r="BY204">
        <v>3.4004300000000001E-2</v>
      </c>
      <c r="BZ204">
        <v>26</v>
      </c>
      <c r="CA204">
        <v>33528.199999999997</v>
      </c>
      <c r="CB204">
        <v>1690303320.5</v>
      </c>
      <c r="CC204" t="s">
        <v>332</v>
      </c>
      <c r="CD204">
        <v>1690303320.5</v>
      </c>
      <c r="CE204">
        <v>1690303310.0999999</v>
      </c>
      <c r="CF204">
        <v>8</v>
      </c>
      <c r="CG204">
        <v>7.3999999999999996E-2</v>
      </c>
      <c r="CH204">
        <v>-0.01</v>
      </c>
      <c r="CI204">
        <v>-0.24199999999999999</v>
      </c>
      <c r="CJ204">
        <v>0.27200000000000002</v>
      </c>
      <c r="CK204">
        <v>800</v>
      </c>
      <c r="CL204">
        <v>23</v>
      </c>
      <c r="CM204">
        <v>0.06</v>
      </c>
      <c r="CN204">
        <v>0.09</v>
      </c>
      <c r="CO204">
        <v>-370.47229268292688</v>
      </c>
      <c r="CP204">
        <v>-2.8971428571428328</v>
      </c>
      <c r="CQ204">
        <v>0.28848005755164058</v>
      </c>
      <c r="CR204">
        <v>-1</v>
      </c>
      <c r="CS204">
        <v>23.17623658536586</v>
      </c>
      <c r="CT204">
        <v>5.001324041817666E-2</v>
      </c>
      <c r="CU204">
        <v>5.3650520465533006E-3</v>
      </c>
      <c r="CV204">
        <v>-1</v>
      </c>
      <c r="CW204">
        <v>0</v>
      </c>
      <c r="CX204">
        <v>0</v>
      </c>
      <c r="CY204" t="s">
        <v>333</v>
      </c>
      <c r="CZ204">
        <v>2.3645</v>
      </c>
      <c r="DA204">
        <v>2.71374</v>
      </c>
      <c r="DB204">
        <v>9.4491500000000006E-2</v>
      </c>
      <c r="DC204">
        <v>0.14622099999999999</v>
      </c>
      <c r="DD204">
        <v>0.111719</v>
      </c>
      <c r="DE204">
        <v>1.5596399999999999E-3</v>
      </c>
      <c r="DF204">
        <v>33077</v>
      </c>
      <c r="DG204">
        <v>27537.4</v>
      </c>
      <c r="DH204">
        <v>31184.400000000001</v>
      </c>
      <c r="DI204">
        <v>28105</v>
      </c>
      <c r="DJ204">
        <v>37606.300000000003</v>
      </c>
      <c r="DK204">
        <v>39914.199999999997</v>
      </c>
      <c r="DL204">
        <v>44382.400000000001</v>
      </c>
      <c r="DM204">
        <v>42602</v>
      </c>
      <c r="DN204">
        <v>1.4485300000000001</v>
      </c>
      <c r="DO204">
        <v>2.0294699999999999</v>
      </c>
      <c r="DP204">
        <v>0.14777499999999999</v>
      </c>
      <c r="DQ204">
        <v>0.133045</v>
      </c>
      <c r="DR204">
        <v>24.560199999999998</v>
      </c>
      <c r="DS204">
        <v>24.4057</v>
      </c>
      <c r="DT204">
        <v>24.4</v>
      </c>
      <c r="DU204">
        <v>29.4</v>
      </c>
      <c r="DV204">
        <v>10.1197</v>
      </c>
      <c r="DW204">
        <v>61.773000000000003</v>
      </c>
      <c r="DX204">
        <v>36.402200000000001</v>
      </c>
      <c r="DY204">
        <v>1</v>
      </c>
      <c r="DZ204">
        <v>-9.5218499999999998E-2</v>
      </c>
      <c r="EA204">
        <v>0.50531300000000001</v>
      </c>
      <c r="EB204">
        <v>20.188400000000001</v>
      </c>
      <c r="EC204">
        <v>5.2411000000000003</v>
      </c>
      <c r="ED204">
        <v>12.039899999999999</v>
      </c>
      <c r="EE204">
        <v>5.0169499999999996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1.8689100000000001</v>
      </c>
      <c r="EL204">
        <v>1.8646199999999999</v>
      </c>
      <c r="EM204">
        <v>1.8692</v>
      </c>
      <c r="EN204">
        <v>1.8672500000000001</v>
      </c>
      <c r="EO204">
        <v>1.8633999999999999</v>
      </c>
      <c r="EP204">
        <v>1.8644799999999999</v>
      </c>
      <c r="EQ204">
        <v>1.87015</v>
      </c>
      <c r="ER204">
        <v>1.8693900000000001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2.1000000000000001E-2</v>
      </c>
      <c r="FG204">
        <v>0.27189999999999998</v>
      </c>
      <c r="FH204">
        <v>0.30965466913576151</v>
      </c>
      <c r="FI204">
        <v>-6.1462078757559423E-4</v>
      </c>
      <c r="FJ204">
        <v>-1.8861989874597051E-7</v>
      </c>
      <c r="FK204">
        <v>1.1980462299894961E-10</v>
      </c>
      <c r="FL204">
        <v>0.27184999999999349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41.2</v>
      </c>
      <c r="FU204">
        <v>41.3</v>
      </c>
      <c r="FV204">
        <v>1.7626999999999999</v>
      </c>
      <c r="FW204">
        <v>2.5891099999999998</v>
      </c>
      <c r="FX204">
        <v>1.5490699999999999</v>
      </c>
      <c r="FY204">
        <v>2.3303199999999999</v>
      </c>
      <c r="FZ204">
        <v>1.50146</v>
      </c>
      <c r="GA204">
        <v>2.34375</v>
      </c>
      <c r="GB204">
        <v>33.918700000000001</v>
      </c>
      <c r="GC204">
        <v>23.982399999999998</v>
      </c>
      <c r="GD204">
        <v>19</v>
      </c>
      <c r="GE204">
        <v>271.06799999999998</v>
      </c>
      <c r="GF204">
        <v>576.95299999999997</v>
      </c>
      <c r="GG204">
        <v>23.139399999999998</v>
      </c>
      <c r="GH204">
        <v>26.1692</v>
      </c>
      <c r="GI204">
        <v>29.9998</v>
      </c>
      <c r="GJ204">
        <v>26.3062</v>
      </c>
      <c r="GK204">
        <v>26.290700000000001</v>
      </c>
      <c r="GL204">
        <v>35.235999999999997</v>
      </c>
      <c r="GM204">
        <v>100</v>
      </c>
      <c r="GN204">
        <v>13.2507</v>
      </c>
      <c r="GO204">
        <v>23.1555</v>
      </c>
      <c r="GP204">
        <v>800</v>
      </c>
      <c r="GQ204">
        <v>0</v>
      </c>
      <c r="GR204">
        <v>99.782200000000003</v>
      </c>
      <c r="GS204">
        <v>99.656599999999997</v>
      </c>
    </row>
    <row r="205" spans="1:201" x14ac:dyDescent="0.25">
      <c r="A205">
        <v>189</v>
      </c>
      <c r="B205">
        <v>1690305799.5999999</v>
      </c>
      <c r="C205">
        <v>2049.599999904633</v>
      </c>
      <c r="D205" t="s">
        <v>709</v>
      </c>
      <c r="E205" t="s">
        <v>710</v>
      </c>
      <c r="F205" t="s">
        <v>330</v>
      </c>
      <c r="H205">
        <v>1690305799.5999999</v>
      </c>
      <c r="I205">
        <f t="shared" si="60"/>
        <v>2.1637598109826082E-3</v>
      </c>
      <c r="J205">
        <f t="shared" si="61"/>
        <v>2.1637598109826084</v>
      </c>
      <c r="K205">
        <f t="shared" si="62"/>
        <v>32.851586627257774</v>
      </c>
      <c r="L205">
        <f t="shared" si="63"/>
        <v>428.62599999999998</v>
      </c>
      <c r="M205">
        <f t="shared" si="64"/>
        <v>113.46526513307157</v>
      </c>
      <c r="N205">
        <f t="shared" si="65"/>
        <v>11.27171897747019</v>
      </c>
      <c r="O205">
        <f t="shared" si="66"/>
        <v>42.580007306826005</v>
      </c>
      <c r="P205">
        <f t="shared" si="67"/>
        <v>0.17652634118908095</v>
      </c>
      <c r="Q205">
        <f t="shared" si="68"/>
        <v>2.099445058228766</v>
      </c>
      <c r="R205">
        <f t="shared" si="69"/>
        <v>0.16867548274688063</v>
      </c>
      <c r="S205">
        <f t="shared" si="70"/>
        <v>0.1060984462041767</v>
      </c>
      <c r="T205">
        <f t="shared" si="71"/>
        <v>276.11582936400004</v>
      </c>
      <c r="U205">
        <f t="shared" si="72"/>
        <v>26.920690978534878</v>
      </c>
      <c r="V205">
        <f t="shared" si="73"/>
        <v>26.920690978534878</v>
      </c>
      <c r="W205">
        <f t="shared" si="74"/>
        <v>3.5625217684713819</v>
      </c>
      <c r="X205">
        <f t="shared" si="75"/>
        <v>71.128590942758535</v>
      </c>
      <c r="Y205">
        <f t="shared" si="76"/>
        <v>2.3259532391439004</v>
      </c>
      <c r="Z205">
        <f t="shared" si="77"/>
        <v>3.2700679267156225</v>
      </c>
      <c r="AA205">
        <f t="shared" si="78"/>
        <v>1.2365685293274815</v>
      </c>
      <c r="AB205">
        <f t="shared" si="79"/>
        <v>-95.421807664333016</v>
      </c>
      <c r="AC205">
        <f t="shared" si="80"/>
        <v>-164.08368218821499</v>
      </c>
      <c r="AD205">
        <f t="shared" si="81"/>
        <v>-16.731747917301877</v>
      </c>
      <c r="AE205">
        <f t="shared" si="82"/>
        <v>-0.121408405849877</v>
      </c>
      <c r="AF205">
        <v>8</v>
      </c>
      <c r="AG205">
        <v>3</v>
      </c>
      <c r="AH205">
        <f t="shared" si="83"/>
        <v>1</v>
      </c>
      <c r="AI205">
        <f t="shared" si="84"/>
        <v>0</v>
      </c>
      <c r="AJ205">
        <f t="shared" si="85"/>
        <v>52728.711770966147</v>
      </c>
      <c r="AK205">
        <f t="shared" si="86"/>
        <v>1800</v>
      </c>
      <c r="AL205">
        <f t="shared" si="87"/>
        <v>1499.1119153999998</v>
      </c>
      <c r="AM205">
        <f t="shared" si="88"/>
        <v>0.83283995299999991</v>
      </c>
      <c r="AN205">
        <f t="shared" si="89"/>
        <v>0.15339768298000001</v>
      </c>
      <c r="AO205">
        <v>33</v>
      </c>
      <c r="AP205">
        <v>0.5</v>
      </c>
      <c r="AQ205" t="s">
        <v>331</v>
      </c>
      <c r="AR205">
        <v>2</v>
      </c>
      <c r="AS205">
        <v>1690305799.5999999</v>
      </c>
      <c r="AT205">
        <v>428.62599999999998</v>
      </c>
      <c r="AU205">
        <v>799.97500000000002</v>
      </c>
      <c r="AV205">
        <v>23.413900000000002</v>
      </c>
      <c r="AW205">
        <v>0.18360799999999999</v>
      </c>
      <c r="AX205">
        <v>428.60500000000002</v>
      </c>
      <c r="AY205">
        <v>23.141999999999999</v>
      </c>
      <c r="AZ205">
        <v>300.178</v>
      </c>
      <c r="BA205">
        <v>99.240700000000004</v>
      </c>
      <c r="BB205">
        <v>0.10000100000000001</v>
      </c>
      <c r="BC205">
        <v>25.471</v>
      </c>
      <c r="BD205">
        <v>26.982900000000001</v>
      </c>
      <c r="BE205">
        <v>26.538900000000002</v>
      </c>
      <c r="BF205">
        <v>0</v>
      </c>
      <c r="BG205">
        <v>0</v>
      </c>
      <c r="BH205">
        <v>9996.8799999999992</v>
      </c>
      <c r="BI205">
        <v>1058.3499999999999</v>
      </c>
      <c r="BJ205">
        <v>1.5137799999999999</v>
      </c>
      <c r="BK205">
        <v>-371.34899999999999</v>
      </c>
      <c r="BL205">
        <v>438.90199999999999</v>
      </c>
      <c r="BM205">
        <v>800.12199999999996</v>
      </c>
      <c r="BN205">
        <v>23.2302</v>
      </c>
      <c r="BO205">
        <v>799.97500000000002</v>
      </c>
      <c r="BP205">
        <v>0.18360799999999999</v>
      </c>
      <c r="BQ205">
        <v>2.32361</v>
      </c>
      <c r="BR205">
        <v>1.8221399999999999E-2</v>
      </c>
      <c r="BS205">
        <v>19.841000000000001</v>
      </c>
      <c r="BT205">
        <v>-40.318600000000004</v>
      </c>
      <c r="BU205">
        <v>1800</v>
      </c>
      <c r="BV205">
        <v>0.90999399999999997</v>
      </c>
      <c r="BW205">
        <v>3.3998E-2</v>
      </c>
      <c r="BX205">
        <v>2.20039E-2</v>
      </c>
      <c r="BY205">
        <v>3.4004E-2</v>
      </c>
      <c r="BZ205">
        <v>26</v>
      </c>
      <c r="CA205">
        <v>33528.300000000003</v>
      </c>
      <c r="CB205">
        <v>1690303320.5</v>
      </c>
      <c r="CC205" t="s">
        <v>332</v>
      </c>
      <c r="CD205">
        <v>1690303320.5</v>
      </c>
      <c r="CE205">
        <v>1690303310.0999999</v>
      </c>
      <c r="CF205">
        <v>8</v>
      </c>
      <c r="CG205">
        <v>7.3999999999999996E-2</v>
      </c>
      <c r="CH205">
        <v>-0.01</v>
      </c>
      <c r="CI205">
        <v>-0.24199999999999999</v>
      </c>
      <c r="CJ205">
        <v>0.27200000000000002</v>
      </c>
      <c r="CK205">
        <v>800</v>
      </c>
      <c r="CL205">
        <v>23</v>
      </c>
      <c r="CM205">
        <v>0.06</v>
      </c>
      <c r="CN205">
        <v>0.09</v>
      </c>
      <c r="CO205">
        <v>-370.96243902439022</v>
      </c>
      <c r="CP205">
        <v>-2.9892752613245608</v>
      </c>
      <c r="CQ205">
        <v>0.29923284422413182</v>
      </c>
      <c r="CR205">
        <v>-1</v>
      </c>
      <c r="CS205">
        <v>23.19567804878049</v>
      </c>
      <c r="CT205">
        <v>0.18387386759581609</v>
      </c>
      <c r="CU205">
        <v>1.8629134174598019E-2</v>
      </c>
      <c r="CV205">
        <v>-1</v>
      </c>
      <c r="CW205">
        <v>0</v>
      </c>
      <c r="CX205">
        <v>0</v>
      </c>
      <c r="CY205" t="s">
        <v>333</v>
      </c>
      <c r="CZ205">
        <v>2.3647300000000002</v>
      </c>
      <c r="DA205">
        <v>2.7137899999999999</v>
      </c>
      <c r="DB205">
        <v>9.4436400000000004E-2</v>
      </c>
      <c r="DC205">
        <v>0.14621700000000001</v>
      </c>
      <c r="DD205">
        <v>0.111835</v>
      </c>
      <c r="DE205">
        <v>1.54593E-3</v>
      </c>
      <c r="DF205">
        <v>33078.9</v>
      </c>
      <c r="DG205">
        <v>27537.599999999999</v>
      </c>
      <c r="DH205">
        <v>31184.3</v>
      </c>
      <c r="DI205">
        <v>28105</v>
      </c>
      <c r="DJ205">
        <v>37601.1</v>
      </c>
      <c r="DK205">
        <v>39914.800000000003</v>
      </c>
      <c r="DL205">
        <v>44382.2</v>
      </c>
      <c r="DM205">
        <v>42602.1</v>
      </c>
      <c r="DN205">
        <v>1.4484300000000001</v>
      </c>
      <c r="DO205">
        <v>2.0292500000000002</v>
      </c>
      <c r="DP205">
        <v>0.14774499999999999</v>
      </c>
      <c r="DQ205">
        <v>0.13011700000000001</v>
      </c>
      <c r="DR205">
        <v>24.561800000000002</v>
      </c>
      <c r="DS205">
        <v>24.4057</v>
      </c>
      <c r="DT205">
        <v>24.2</v>
      </c>
      <c r="DU205">
        <v>29.4</v>
      </c>
      <c r="DV205">
        <v>10.0365</v>
      </c>
      <c r="DW205">
        <v>61.7331</v>
      </c>
      <c r="DX205">
        <v>36.510399999999997</v>
      </c>
      <c r="DY205">
        <v>1</v>
      </c>
      <c r="DZ205">
        <v>-9.5360799999999996E-2</v>
      </c>
      <c r="EA205">
        <v>0.54416399999999998</v>
      </c>
      <c r="EB205">
        <v>20.188199999999998</v>
      </c>
      <c r="EC205">
        <v>5.2411000000000003</v>
      </c>
      <c r="ED205">
        <v>12.039899999999999</v>
      </c>
      <c r="EE205">
        <v>5.0171000000000001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1.8689100000000001</v>
      </c>
      <c r="EL205">
        <v>1.8646199999999999</v>
      </c>
      <c r="EM205">
        <v>1.8692</v>
      </c>
      <c r="EN205">
        <v>1.8672599999999999</v>
      </c>
      <c r="EO205">
        <v>1.8633999999999999</v>
      </c>
      <c r="EP205">
        <v>1.8644700000000001</v>
      </c>
      <c r="EQ205">
        <v>1.8701700000000001</v>
      </c>
      <c r="ER205">
        <v>1.8694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2.1000000000000001E-2</v>
      </c>
      <c r="FG205">
        <v>0.27189999999999998</v>
      </c>
      <c r="FH205">
        <v>0.30965466913576151</v>
      </c>
      <c r="FI205">
        <v>-6.1462078757559423E-4</v>
      </c>
      <c r="FJ205">
        <v>-1.8861989874597051E-7</v>
      </c>
      <c r="FK205">
        <v>1.1980462299894961E-10</v>
      </c>
      <c r="FL205">
        <v>0.27184999999999349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41.3</v>
      </c>
      <c r="FU205">
        <v>41.5</v>
      </c>
      <c r="FV205">
        <v>1.7626999999999999</v>
      </c>
      <c r="FW205">
        <v>2.5866699999999998</v>
      </c>
      <c r="FX205">
        <v>1.5490699999999999</v>
      </c>
      <c r="FY205">
        <v>2.3303199999999999</v>
      </c>
      <c r="FZ205">
        <v>1.50146</v>
      </c>
      <c r="GA205">
        <v>2.3889200000000002</v>
      </c>
      <c r="GB205">
        <v>33.941299999999998</v>
      </c>
      <c r="GC205">
        <v>23.982399999999998</v>
      </c>
      <c r="GD205">
        <v>19</v>
      </c>
      <c r="GE205">
        <v>271.02699999999999</v>
      </c>
      <c r="GF205">
        <v>576.76900000000001</v>
      </c>
      <c r="GG205">
        <v>23.180099999999999</v>
      </c>
      <c r="GH205">
        <v>26.171399999999998</v>
      </c>
      <c r="GI205">
        <v>30.0002</v>
      </c>
      <c r="GJ205">
        <v>26.3062</v>
      </c>
      <c r="GK205">
        <v>26.290700000000001</v>
      </c>
      <c r="GL205">
        <v>35.236400000000003</v>
      </c>
      <c r="GM205">
        <v>100</v>
      </c>
      <c r="GN205">
        <v>12.4933</v>
      </c>
      <c r="GO205">
        <v>23.182500000000001</v>
      </c>
      <c r="GP205">
        <v>800</v>
      </c>
      <c r="GQ205">
        <v>0</v>
      </c>
      <c r="GR205">
        <v>99.781700000000001</v>
      </c>
      <c r="GS205">
        <v>99.656800000000004</v>
      </c>
    </row>
    <row r="206" spans="1:201" x14ac:dyDescent="0.25">
      <c r="A206">
        <v>190</v>
      </c>
      <c r="B206">
        <v>1690305809.5999999</v>
      </c>
      <c r="C206">
        <v>2059.599999904633</v>
      </c>
      <c r="D206" t="s">
        <v>711</v>
      </c>
      <c r="E206" t="s">
        <v>712</v>
      </c>
      <c r="F206" t="s">
        <v>330</v>
      </c>
      <c r="H206">
        <v>1690305809.5999999</v>
      </c>
      <c r="I206">
        <f t="shared" si="60"/>
        <v>2.1662965387543353E-3</v>
      </c>
      <c r="J206">
        <f t="shared" si="61"/>
        <v>2.1662965387543354</v>
      </c>
      <c r="K206">
        <f t="shared" si="62"/>
        <v>32.901029410698804</v>
      </c>
      <c r="L206">
        <f t="shared" si="63"/>
        <v>428.03</v>
      </c>
      <c r="M206">
        <f t="shared" si="64"/>
        <v>113.54139387751194</v>
      </c>
      <c r="N206">
        <f t="shared" si="65"/>
        <v>11.279369314265217</v>
      </c>
      <c r="O206">
        <f t="shared" si="66"/>
        <v>42.521130688189992</v>
      </c>
      <c r="P206">
        <f t="shared" si="67"/>
        <v>0.17718064041453399</v>
      </c>
      <c r="Q206">
        <f t="shared" si="68"/>
        <v>2.1026350708015733</v>
      </c>
      <c r="R206">
        <f t="shared" si="69"/>
        <v>0.16928429902029776</v>
      </c>
      <c r="S206">
        <f t="shared" si="70"/>
        <v>0.1064828132936509</v>
      </c>
      <c r="T206">
        <f t="shared" si="71"/>
        <v>276.11589519</v>
      </c>
      <c r="U206">
        <f t="shared" si="72"/>
        <v>26.919595322870304</v>
      </c>
      <c r="V206">
        <f t="shared" si="73"/>
        <v>26.919595322870304</v>
      </c>
      <c r="W206">
        <f t="shared" si="74"/>
        <v>3.5622923888551106</v>
      </c>
      <c r="X206">
        <f t="shared" si="75"/>
        <v>71.205982599242375</v>
      </c>
      <c r="Y206">
        <f t="shared" si="76"/>
        <v>2.3287330076241002</v>
      </c>
      <c r="Z206">
        <f t="shared" si="77"/>
        <v>3.2704176287132336</v>
      </c>
      <c r="AA206">
        <f t="shared" si="78"/>
        <v>1.2335593812310104</v>
      </c>
      <c r="AB206">
        <f t="shared" si="79"/>
        <v>-95.533677359066189</v>
      </c>
      <c r="AC206">
        <f t="shared" si="80"/>
        <v>-164.00475638391433</v>
      </c>
      <c r="AD206">
        <f t="shared" si="81"/>
        <v>-16.698386002459955</v>
      </c>
      <c r="AE206">
        <f t="shared" si="82"/>
        <v>-0.12092455544043901</v>
      </c>
      <c r="AF206">
        <v>7</v>
      </c>
      <c r="AG206">
        <v>2</v>
      </c>
      <c r="AH206">
        <f t="shared" si="83"/>
        <v>1</v>
      </c>
      <c r="AI206">
        <f t="shared" si="84"/>
        <v>0</v>
      </c>
      <c r="AJ206">
        <f t="shared" si="85"/>
        <v>52870.975818275576</v>
      </c>
      <c r="AK206">
        <f t="shared" si="86"/>
        <v>1800</v>
      </c>
      <c r="AL206">
        <f t="shared" si="87"/>
        <v>1499.1128819999999</v>
      </c>
      <c r="AM206">
        <f t="shared" si="88"/>
        <v>0.83284048999999993</v>
      </c>
      <c r="AN206">
        <f t="shared" si="89"/>
        <v>0.15339771955000001</v>
      </c>
      <c r="AO206">
        <v>33</v>
      </c>
      <c r="AP206">
        <v>0.5</v>
      </c>
      <c r="AQ206" t="s">
        <v>331</v>
      </c>
      <c r="AR206">
        <v>2</v>
      </c>
      <c r="AS206">
        <v>1690305809.5999999</v>
      </c>
      <c r="AT206">
        <v>428.03</v>
      </c>
      <c r="AU206">
        <v>799.95500000000004</v>
      </c>
      <c r="AV206">
        <v>23.441700000000001</v>
      </c>
      <c r="AW206">
        <v>0.182666</v>
      </c>
      <c r="AX206">
        <v>428.00799999999998</v>
      </c>
      <c r="AY206">
        <v>23.169799999999999</v>
      </c>
      <c r="AZ206">
        <v>300.14999999999998</v>
      </c>
      <c r="BA206">
        <v>99.241399999999999</v>
      </c>
      <c r="BB206">
        <v>0.100073</v>
      </c>
      <c r="BC206">
        <v>25.472799999999999</v>
      </c>
      <c r="BD206">
        <v>27.0106</v>
      </c>
      <c r="BE206">
        <v>26.549399999999999</v>
      </c>
      <c r="BF206">
        <v>0</v>
      </c>
      <c r="BG206">
        <v>0</v>
      </c>
      <c r="BH206">
        <v>10025</v>
      </c>
      <c r="BI206">
        <v>1058.3</v>
      </c>
      <c r="BJ206">
        <v>1.5137799999999999</v>
      </c>
      <c r="BK206">
        <v>-371.92599999999999</v>
      </c>
      <c r="BL206">
        <v>438.30399999999997</v>
      </c>
      <c r="BM206">
        <v>800.10199999999998</v>
      </c>
      <c r="BN206">
        <v>23.259</v>
      </c>
      <c r="BO206">
        <v>799.95500000000004</v>
      </c>
      <c r="BP206">
        <v>0.182666</v>
      </c>
      <c r="BQ206">
        <v>2.32639</v>
      </c>
      <c r="BR206">
        <v>1.8127999999999998E-2</v>
      </c>
      <c r="BS206">
        <v>19.860299999999999</v>
      </c>
      <c r="BT206">
        <v>-40.367600000000003</v>
      </c>
      <c r="BU206">
        <v>1800</v>
      </c>
      <c r="BV206">
        <v>0.90999600000000003</v>
      </c>
      <c r="BW206">
        <v>3.3997399999999997E-2</v>
      </c>
      <c r="BX206">
        <v>2.2003499999999999E-2</v>
      </c>
      <c r="BY206">
        <v>3.4003499999999999E-2</v>
      </c>
      <c r="BZ206">
        <v>26</v>
      </c>
      <c r="CA206">
        <v>33528.300000000003</v>
      </c>
      <c r="CB206">
        <v>1690303320.5</v>
      </c>
      <c r="CC206" t="s">
        <v>332</v>
      </c>
      <c r="CD206">
        <v>1690303320.5</v>
      </c>
      <c r="CE206">
        <v>1690303310.0999999</v>
      </c>
      <c r="CF206">
        <v>8</v>
      </c>
      <c r="CG206">
        <v>7.3999999999999996E-2</v>
      </c>
      <c r="CH206">
        <v>-0.01</v>
      </c>
      <c r="CI206">
        <v>-0.24199999999999999</v>
      </c>
      <c r="CJ206">
        <v>0.27200000000000002</v>
      </c>
      <c r="CK206">
        <v>800</v>
      </c>
      <c r="CL206">
        <v>23</v>
      </c>
      <c r="CM206">
        <v>0.06</v>
      </c>
      <c r="CN206">
        <v>0.09</v>
      </c>
      <c r="CO206">
        <v>-371.40264999999999</v>
      </c>
      <c r="CP206">
        <v>-2.5369305816129302</v>
      </c>
      <c r="CQ206">
        <v>0.25027530341605869</v>
      </c>
      <c r="CR206">
        <v>-1</v>
      </c>
      <c r="CS206">
        <v>23.225582500000002</v>
      </c>
      <c r="CT206">
        <v>0.18818048780479249</v>
      </c>
      <c r="CU206">
        <v>1.827413318737723E-2</v>
      </c>
      <c r="CV206">
        <v>-1</v>
      </c>
      <c r="CW206">
        <v>0</v>
      </c>
      <c r="CX206">
        <v>0</v>
      </c>
      <c r="CY206" t="s">
        <v>333</v>
      </c>
      <c r="CZ206">
        <v>2.36463</v>
      </c>
      <c r="DA206">
        <v>2.7138900000000001</v>
      </c>
      <c r="DB206">
        <v>9.4337699999999997E-2</v>
      </c>
      <c r="DC206">
        <v>0.14621600000000001</v>
      </c>
      <c r="DD206">
        <v>0.11193</v>
      </c>
      <c r="DE206">
        <v>1.5380999999999999E-3</v>
      </c>
      <c r="DF206">
        <v>33082.5</v>
      </c>
      <c r="DG206">
        <v>27537.4</v>
      </c>
      <c r="DH206">
        <v>31184.3</v>
      </c>
      <c r="DI206">
        <v>28104.799999999999</v>
      </c>
      <c r="DJ206">
        <v>37596.9</v>
      </c>
      <c r="DK206">
        <v>39915.1</v>
      </c>
      <c r="DL206">
        <v>44382</v>
      </c>
      <c r="DM206">
        <v>42602</v>
      </c>
      <c r="DN206">
        <v>1.4488799999999999</v>
      </c>
      <c r="DO206">
        <v>2.02935</v>
      </c>
      <c r="DP206">
        <v>0.14941399999999999</v>
      </c>
      <c r="DQ206">
        <v>0.130631</v>
      </c>
      <c r="DR206">
        <v>24.5623</v>
      </c>
      <c r="DS206">
        <v>24.407699999999998</v>
      </c>
      <c r="DT206">
        <v>24</v>
      </c>
      <c r="DU206">
        <v>29.5</v>
      </c>
      <c r="DV206">
        <v>10.011799999999999</v>
      </c>
      <c r="DW206">
        <v>61.633099999999999</v>
      </c>
      <c r="DX206">
        <v>36.754800000000003</v>
      </c>
      <c r="DY206">
        <v>1</v>
      </c>
      <c r="DZ206">
        <v>-9.5099100000000006E-2</v>
      </c>
      <c r="EA206">
        <v>0.69449899999999998</v>
      </c>
      <c r="EB206">
        <v>20.1874</v>
      </c>
      <c r="EC206">
        <v>5.24125</v>
      </c>
      <c r="ED206">
        <v>12.039899999999999</v>
      </c>
      <c r="EE206">
        <v>5.0171000000000001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1.8689199999999999</v>
      </c>
      <c r="EL206">
        <v>1.86463</v>
      </c>
      <c r="EM206">
        <v>1.8692</v>
      </c>
      <c r="EN206">
        <v>1.8672500000000001</v>
      </c>
      <c r="EO206">
        <v>1.8633999999999999</v>
      </c>
      <c r="EP206">
        <v>1.8644799999999999</v>
      </c>
      <c r="EQ206">
        <v>1.8701700000000001</v>
      </c>
      <c r="ER206">
        <v>1.8693900000000001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2.1999999999999999E-2</v>
      </c>
      <c r="FG206">
        <v>0.27189999999999998</v>
      </c>
      <c r="FH206">
        <v>0.30965466913576151</v>
      </c>
      <c r="FI206">
        <v>-6.1462078757559423E-4</v>
      </c>
      <c r="FJ206">
        <v>-1.8861989874597051E-7</v>
      </c>
      <c r="FK206">
        <v>1.1980462299894961E-10</v>
      </c>
      <c r="FL206">
        <v>0.27184999999999349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41.5</v>
      </c>
      <c r="FU206">
        <v>41.7</v>
      </c>
      <c r="FV206">
        <v>1.7626999999999999</v>
      </c>
      <c r="FW206">
        <v>2.5842299999999998</v>
      </c>
      <c r="FX206">
        <v>1.5490699999999999</v>
      </c>
      <c r="FY206">
        <v>2.3303199999999999</v>
      </c>
      <c r="FZ206">
        <v>1.50146</v>
      </c>
      <c r="GA206">
        <v>2.3901400000000002</v>
      </c>
      <c r="GB206">
        <v>33.918700000000001</v>
      </c>
      <c r="GC206">
        <v>23.991199999999999</v>
      </c>
      <c r="GD206">
        <v>19</v>
      </c>
      <c r="GE206">
        <v>271.22199999999998</v>
      </c>
      <c r="GF206">
        <v>576.851</v>
      </c>
      <c r="GG206">
        <v>23.197900000000001</v>
      </c>
      <c r="GH206">
        <v>26.171399999999998</v>
      </c>
      <c r="GI206">
        <v>30.0002</v>
      </c>
      <c r="GJ206">
        <v>26.308399999999999</v>
      </c>
      <c r="GK206">
        <v>26.290700000000001</v>
      </c>
      <c r="GL206">
        <v>35.234699999999997</v>
      </c>
      <c r="GM206">
        <v>100</v>
      </c>
      <c r="GN206">
        <v>12.1</v>
      </c>
      <c r="GO206">
        <v>23.172999999999998</v>
      </c>
      <c r="GP206">
        <v>800</v>
      </c>
      <c r="GQ206">
        <v>0</v>
      </c>
      <c r="GR206">
        <v>99.781599999999997</v>
      </c>
      <c r="GS206">
        <v>99.656400000000005</v>
      </c>
    </row>
    <row r="207" spans="1:201" x14ac:dyDescent="0.25">
      <c r="A207">
        <v>191</v>
      </c>
      <c r="B207">
        <v>1690305819.5999999</v>
      </c>
      <c r="C207">
        <v>2069.599999904633</v>
      </c>
      <c r="D207" t="s">
        <v>713</v>
      </c>
      <c r="E207" t="s">
        <v>714</v>
      </c>
      <c r="F207" t="s">
        <v>330</v>
      </c>
      <c r="H207">
        <v>1690305819.5999999</v>
      </c>
      <c r="I207">
        <f t="shared" si="60"/>
        <v>2.1682430192671203E-3</v>
      </c>
      <c r="J207">
        <f t="shared" si="61"/>
        <v>2.1682430192671203</v>
      </c>
      <c r="K207">
        <f t="shared" si="62"/>
        <v>32.951369976360084</v>
      </c>
      <c r="L207">
        <f t="shared" si="63"/>
        <v>427.59199999999998</v>
      </c>
      <c r="M207">
        <f t="shared" si="64"/>
        <v>112.95399227634388</v>
      </c>
      <c r="N207">
        <f t="shared" si="65"/>
        <v>11.220987622510563</v>
      </c>
      <c r="O207">
        <f t="shared" si="66"/>
        <v>42.477511797424</v>
      </c>
      <c r="P207">
        <f t="shared" si="67"/>
        <v>0.17738853384875233</v>
      </c>
      <c r="Q207">
        <f t="shared" si="68"/>
        <v>2.0961875359849089</v>
      </c>
      <c r="R207">
        <f t="shared" si="69"/>
        <v>0.16945092352076865</v>
      </c>
      <c r="S207">
        <f t="shared" si="70"/>
        <v>0.10659038860616193</v>
      </c>
      <c r="T207">
        <f t="shared" si="71"/>
        <v>276.115632156</v>
      </c>
      <c r="U207">
        <f t="shared" si="72"/>
        <v>26.926639037779392</v>
      </c>
      <c r="V207">
        <f t="shared" si="73"/>
        <v>26.926639037779392</v>
      </c>
      <c r="W207">
        <f t="shared" si="74"/>
        <v>3.5637672419572688</v>
      </c>
      <c r="X207">
        <f t="shared" si="75"/>
        <v>71.239350804482655</v>
      </c>
      <c r="Y207">
        <f t="shared" si="76"/>
        <v>2.3303364515538001</v>
      </c>
      <c r="Z207">
        <f t="shared" si="77"/>
        <v>3.2711365632028842</v>
      </c>
      <c r="AA207">
        <f t="shared" si="78"/>
        <v>1.2334307904034687</v>
      </c>
      <c r="AB207">
        <f t="shared" si="79"/>
        <v>-95.619517149680007</v>
      </c>
      <c r="AC207">
        <f t="shared" si="80"/>
        <v>-163.87972315054202</v>
      </c>
      <c r="AD207">
        <f t="shared" si="81"/>
        <v>-16.737879912656592</v>
      </c>
      <c r="AE207">
        <f t="shared" si="82"/>
        <v>-0.12148805687860431</v>
      </c>
      <c r="AF207">
        <v>7</v>
      </c>
      <c r="AG207">
        <v>2</v>
      </c>
      <c r="AH207">
        <f t="shared" si="83"/>
        <v>1</v>
      </c>
      <c r="AI207">
        <f t="shared" si="84"/>
        <v>0</v>
      </c>
      <c r="AJ207">
        <f t="shared" si="85"/>
        <v>52582.440330291829</v>
      </c>
      <c r="AK207">
        <f t="shared" si="86"/>
        <v>1800</v>
      </c>
      <c r="AL207">
        <f t="shared" si="87"/>
        <v>1499.1120665999999</v>
      </c>
      <c r="AM207">
        <f t="shared" si="88"/>
        <v>0.83284003699999998</v>
      </c>
      <c r="AN207">
        <f t="shared" si="89"/>
        <v>0.15339757341999999</v>
      </c>
      <c r="AO207">
        <v>33</v>
      </c>
      <c r="AP207">
        <v>0.5</v>
      </c>
      <c r="AQ207" t="s">
        <v>331</v>
      </c>
      <c r="AR207">
        <v>2</v>
      </c>
      <c r="AS207">
        <v>1690305819.5999999</v>
      </c>
      <c r="AT207">
        <v>427.59199999999998</v>
      </c>
      <c r="AU207">
        <v>800.02700000000004</v>
      </c>
      <c r="AV207">
        <v>23.457899999999999</v>
      </c>
      <c r="AW207">
        <v>0.18099000000000001</v>
      </c>
      <c r="AX207">
        <v>427.57</v>
      </c>
      <c r="AY207">
        <v>23.1861</v>
      </c>
      <c r="AZ207">
        <v>300.18400000000003</v>
      </c>
      <c r="BA207">
        <v>99.241200000000006</v>
      </c>
      <c r="BB207">
        <v>0.100022</v>
      </c>
      <c r="BC207">
        <v>25.476500000000001</v>
      </c>
      <c r="BD207">
        <v>27.0395</v>
      </c>
      <c r="BE207">
        <v>26.569299999999998</v>
      </c>
      <c r="BF207">
        <v>0</v>
      </c>
      <c r="BG207">
        <v>0</v>
      </c>
      <c r="BH207">
        <v>9968.1200000000008</v>
      </c>
      <c r="BI207">
        <v>1058.3399999999999</v>
      </c>
      <c r="BJ207">
        <v>1.5137799999999999</v>
      </c>
      <c r="BK207">
        <v>-372.435</v>
      </c>
      <c r="BL207">
        <v>437.863</v>
      </c>
      <c r="BM207">
        <v>800.17200000000003</v>
      </c>
      <c r="BN207">
        <v>23.276900000000001</v>
      </c>
      <c r="BO207">
        <v>800.02700000000004</v>
      </c>
      <c r="BP207">
        <v>0.18099000000000001</v>
      </c>
      <c r="BQ207">
        <v>2.3279899999999998</v>
      </c>
      <c r="BR207">
        <v>1.7961600000000001E-2</v>
      </c>
      <c r="BS207">
        <v>19.871400000000001</v>
      </c>
      <c r="BT207">
        <v>-40.455599999999997</v>
      </c>
      <c r="BU207">
        <v>1800</v>
      </c>
      <c r="BV207">
        <v>0.90999699999999994</v>
      </c>
      <c r="BW207">
        <v>3.3996800000000001E-2</v>
      </c>
      <c r="BX207">
        <v>2.2003100000000001E-2</v>
      </c>
      <c r="BY207">
        <v>3.40028E-2</v>
      </c>
      <c r="BZ207">
        <v>26</v>
      </c>
      <c r="CA207">
        <v>33528.300000000003</v>
      </c>
      <c r="CB207">
        <v>1690303320.5</v>
      </c>
      <c r="CC207" t="s">
        <v>332</v>
      </c>
      <c r="CD207">
        <v>1690303320.5</v>
      </c>
      <c r="CE207">
        <v>1690303310.0999999</v>
      </c>
      <c r="CF207">
        <v>8</v>
      </c>
      <c r="CG207">
        <v>7.3999999999999996E-2</v>
      </c>
      <c r="CH207">
        <v>-0.01</v>
      </c>
      <c r="CI207">
        <v>-0.24199999999999999</v>
      </c>
      <c r="CJ207">
        <v>0.27200000000000002</v>
      </c>
      <c r="CK207">
        <v>800</v>
      </c>
      <c r="CL207">
        <v>23</v>
      </c>
      <c r="CM207">
        <v>0.06</v>
      </c>
      <c r="CN207">
        <v>0.09</v>
      </c>
      <c r="CO207">
        <v>-371.86165</v>
      </c>
      <c r="CP207">
        <v>-3.1452833020624391</v>
      </c>
      <c r="CQ207">
        <v>0.30648479162921022</v>
      </c>
      <c r="CR207">
        <v>-1</v>
      </c>
      <c r="CS207">
        <v>23.2541975</v>
      </c>
      <c r="CT207">
        <v>0.15916435272040341</v>
      </c>
      <c r="CU207">
        <v>1.5391060514142491E-2</v>
      </c>
      <c r="CV207">
        <v>-1</v>
      </c>
      <c r="CW207">
        <v>0</v>
      </c>
      <c r="CX207">
        <v>0</v>
      </c>
      <c r="CY207" t="s">
        <v>333</v>
      </c>
      <c r="CZ207">
        <v>2.3647300000000002</v>
      </c>
      <c r="DA207">
        <v>2.7137899999999999</v>
      </c>
      <c r="DB207">
        <v>9.4264700000000007E-2</v>
      </c>
      <c r="DC207">
        <v>0.14622299999999999</v>
      </c>
      <c r="DD207">
        <v>0.111985</v>
      </c>
      <c r="DE207">
        <v>1.5241199999999999E-3</v>
      </c>
      <c r="DF207">
        <v>33084.699999999997</v>
      </c>
      <c r="DG207">
        <v>27537</v>
      </c>
      <c r="DH207">
        <v>31183.9</v>
      </c>
      <c r="DI207">
        <v>28104.7</v>
      </c>
      <c r="DJ207">
        <v>37594.199999999997</v>
      </c>
      <c r="DK207">
        <v>39915.4</v>
      </c>
      <c r="DL207">
        <v>44381.599999999999</v>
      </c>
      <c r="DM207">
        <v>42601.8</v>
      </c>
      <c r="DN207">
        <v>1.44913</v>
      </c>
      <c r="DO207">
        <v>2.0293299999999999</v>
      </c>
      <c r="DP207">
        <v>0.15105299999999999</v>
      </c>
      <c r="DQ207">
        <v>0.13184499999999999</v>
      </c>
      <c r="DR207">
        <v>24.564299999999999</v>
      </c>
      <c r="DS207">
        <v>24.407699999999998</v>
      </c>
      <c r="DT207">
        <v>23.8</v>
      </c>
      <c r="DU207">
        <v>29.5</v>
      </c>
      <c r="DV207">
        <v>9.9273299999999995</v>
      </c>
      <c r="DW207">
        <v>61.653100000000002</v>
      </c>
      <c r="DX207">
        <v>36.850999999999999</v>
      </c>
      <c r="DY207">
        <v>1</v>
      </c>
      <c r="DZ207">
        <v>-9.4758599999999998E-2</v>
      </c>
      <c r="EA207">
        <v>0.89715100000000003</v>
      </c>
      <c r="EB207">
        <v>20.1861</v>
      </c>
      <c r="EC207">
        <v>5.24125</v>
      </c>
      <c r="ED207">
        <v>12.039899999999999</v>
      </c>
      <c r="EE207">
        <v>5.0170000000000003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1.8646199999999999</v>
      </c>
      <c r="EM207">
        <v>1.8692</v>
      </c>
      <c r="EN207">
        <v>1.8672599999999999</v>
      </c>
      <c r="EO207">
        <v>1.8633999999999999</v>
      </c>
      <c r="EP207">
        <v>1.8644700000000001</v>
      </c>
      <c r="EQ207">
        <v>1.8701700000000001</v>
      </c>
      <c r="ER207">
        <v>1.86937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2.1999999999999999E-2</v>
      </c>
      <c r="FG207">
        <v>0.27179999999999999</v>
      </c>
      <c r="FH207">
        <v>0.30965466913576151</v>
      </c>
      <c r="FI207">
        <v>-6.1462078757559423E-4</v>
      </c>
      <c r="FJ207">
        <v>-1.8861989874597051E-7</v>
      </c>
      <c r="FK207">
        <v>1.1980462299894961E-10</v>
      </c>
      <c r="FL207">
        <v>0.27184999999999349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41.7</v>
      </c>
      <c r="FU207">
        <v>41.8</v>
      </c>
      <c r="FV207">
        <v>1.7626999999999999</v>
      </c>
      <c r="FW207">
        <v>2.5915499999999998</v>
      </c>
      <c r="FX207">
        <v>1.5490699999999999</v>
      </c>
      <c r="FY207">
        <v>2.3303199999999999</v>
      </c>
      <c r="FZ207">
        <v>1.50146</v>
      </c>
      <c r="GA207">
        <v>2.3913600000000002</v>
      </c>
      <c r="GB207">
        <v>33.941299999999998</v>
      </c>
      <c r="GC207">
        <v>23.991199999999999</v>
      </c>
      <c r="GD207">
        <v>19</v>
      </c>
      <c r="GE207">
        <v>271.32600000000002</v>
      </c>
      <c r="GF207">
        <v>576.85500000000002</v>
      </c>
      <c r="GG207">
        <v>23.137699999999999</v>
      </c>
      <c r="GH207">
        <v>26.1736</v>
      </c>
      <c r="GI207">
        <v>30.000299999999999</v>
      </c>
      <c r="GJ207">
        <v>26.308399999999999</v>
      </c>
      <c r="GK207">
        <v>26.292899999999999</v>
      </c>
      <c r="GL207">
        <v>35.233699999999999</v>
      </c>
      <c r="GM207">
        <v>100</v>
      </c>
      <c r="GN207">
        <v>11.3559</v>
      </c>
      <c r="GO207">
        <v>23.1037</v>
      </c>
      <c r="GP207">
        <v>800</v>
      </c>
      <c r="GQ207">
        <v>0</v>
      </c>
      <c r="GR207">
        <v>99.7804</v>
      </c>
      <c r="GS207">
        <v>99.655900000000003</v>
      </c>
    </row>
    <row r="208" spans="1:201" x14ac:dyDescent="0.25">
      <c r="A208">
        <v>192</v>
      </c>
      <c r="B208">
        <v>1690305829.5999999</v>
      </c>
      <c r="C208">
        <v>2079.599999904633</v>
      </c>
      <c r="D208" t="s">
        <v>715</v>
      </c>
      <c r="E208" t="s">
        <v>716</v>
      </c>
      <c r="F208" t="s">
        <v>330</v>
      </c>
      <c r="H208">
        <v>1690305829.5999999</v>
      </c>
      <c r="I208">
        <f t="shared" si="60"/>
        <v>2.1676831425221903E-3</v>
      </c>
      <c r="J208">
        <f t="shared" si="61"/>
        <v>2.1676831425221903</v>
      </c>
      <c r="K208">
        <f t="shared" si="62"/>
        <v>32.973446807329466</v>
      </c>
      <c r="L208">
        <f t="shared" si="63"/>
        <v>427.19099999999997</v>
      </c>
      <c r="M208">
        <f t="shared" si="64"/>
        <v>112.78646605017862</v>
      </c>
      <c r="N208">
        <f t="shared" si="65"/>
        <v>11.20441010191777</v>
      </c>
      <c r="O208">
        <f t="shared" si="66"/>
        <v>42.437921175035989</v>
      </c>
      <c r="P208">
        <f t="shared" si="67"/>
        <v>0.17763537132230042</v>
      </c>
      <c r="Q208">
        <f t="shared" si="68"/>
        <v>2.09839315441458</v>
      </c>
      <c r="R208">
        <f t="shared" si="69"/>
        <v>0.16968415120499086</v>
      </c>
      <c r="S208">
        <f t="shared" si="70"/>
        <v>0.10673731835538609</v>
      </c>
      <c r="T208">
        <f t="shared" si="71"/>
        <v>276.11555284799999</v>
      </c>
      <c r="U208">
        <f t="shared" si="72"/>
        <v>26.91746324317673</v>
      </c>
      <c r="V208">
        <f t="shared" si="73"/>
        <v>26.91746324317673</v>
      </c>
      <c r="W208">
        <f t="shared" si="74"/>
        <v>3.5618460669417953</v>
      </c>
      <c r="X208">
        <f t="shared" si="75"/>
        <v>71.275451090168929</v>
      </c>
      <c r="Y208">
        <f t="shared" si="76"/>
        <v>2.3304095214659997</v>
      </c>
      <c r="Z208">
        <f t="shared" si="77"/>
        <v>3.2695822836923925</v>
      </c>
      <c r="AA208">
        <f t="shared" si="78"/>
        <v>1.2314365454757956</v>
      </c>
      <c r="AB208">
        <f t="shared" si="79"/>
        <v>-95.594826585228589</v>
      </c>
      <c r="AC208">
        <f t="shared" si="80"/>
        <v>-163.91914220549941</v>
      </c>
      <c r="AD208">
        <f t="shared" si="81"/>
        <v>-16.722868375781314</v>
      </c>
      <c r="AE208">
        <f t="shared" si="82"/>
        <v>-0.12128431850933907</v>
      </c>
      <c r="AF208">
        <v>7</v>
      </c>
      <c r="AG208">
        <v>2</v>
      </c>
      <c r="AH208">
        <f t="shared" si="83"/>
        <v>1</v>
      </c>
      <c r="AI208">
        <f t="shared" si="84"/>
        <v>0</v>
      </c>
      <c r="AJ208">
        <f t="shared" si="85"/>
        <v>52682.220874533494</v>
      </c>
      <c r="AK208">
        <f t="shared" si="86"/>
        <v>1800</v>
      </c>
      <c r="AL208">
        <f t="shared" si="87"/>
        <v>1499.1120648000001</v>
      </c>
      <c r="AM208">
        <f t="shared" si="88"/>
        <v>0.83284003600000001</v>
      </c>
      <c r="AN208">
        <f t="shared" si="89"/>
        <v>0.15339752936000001</v>
      </c>
      <c r="AO208">
        <v>33</v>
      </c>
      <c r="AP208">
        <v>0.5</v>
      </c>
      <c r="AQ208" t="s">
        <v>331</v>
      </c>
      <c r="AR208">
        <v>2</v>
      </c>
      <c r="AS208">
        <v>1690305829.5999999</v>
      </c>
      <c r="AT208">
        <v>427.19099999999997</v>
      </c>
      <c r="AU208">
        <v>799.97199999999998</v>
      </c>
      <c r="AV208">
        <v>23.458500000000001</v>
      </c>
      <c r="AW208">
        <v>0.18040300000000001</v>
      </c>
      <c r="AX208">
        <v>427.16899999999998</v>
      </c>
      <c r="AY208">
        <v>23.186599999999999</v>
      </c>
      <c r="AZ208">
        <v>300.09100000000001</v>
      </c>
      <c r="BA208">
        <v>99.241699999999994</v>
      </c>
      <c r="BB208">
        <v>0.100096</v>
      </c>
      <c r="BC208">
        <v>25.468499999999999</v>
      </c>
      <c r="BD208">
        <v>26.978400000000001</v>
      </c>
      <c r="BE208">
        <v>26.562200000000001</v>
      </c>
      <c r="BF208">
        <v>0</v>
      </c>
      <c r="BG208">
        <v>0</v>
      </c>
      <c r="BH208">
        <v>9987.5</v>
      </c>
      <c r="BI208">
        <v>1058.3599999999999</v>
      </c>
      <c r="BJ208">
        <v>1.5137799999999999</v>
      </c>
      <c r="BK208">
        <v>-372.78100000000001</v>
      </c>
      <c r="BL208">
        <v>437.45299999999997</v>
      </c>
      <c r="BM208">
        <v>800.11599999999999</v>
      </c>
      <c r="BN208">
        <v>23.278099999999998</v>
      </c>
      <c r="BO208">
        <v>799.97199999999998</v>
      </c>
      <c r="BP208">
        <v>0.18040300000000001</v>
      </c>
      <c r="BQ208">
        <v>2.3280599999999998</v>
      </c>
      <c r="BR208">
        <v>1.7903499999999999E-2</v>
      </c>
      <c r="BS208">
        <v>19.8719</v>
      </c>
      <c r="BT208">
        <v>-40.486499999999999</v>
      </c>
      <c r="BU208">
        <v>1800</v>
      </c>
      <c r="BV208">
        <v>0.90999799999999997</v>
      </c>
      <c r="BW208">
        <v>3.3996400000000003E-2</v>
      </c>
      <c r="BX208">
        <v>2.2002799999999999E-2</v>
      </c>
      <c r="BY208">
        <v>3.4002400000000002E-2</v>
      </c>
      <c r="BZ208">
        <v>26</v>
      </c>
      <c r="CA208">
        <v>33528.400000000001</v>
      </c>
      <c r="CB208">
        <v>1690303320.5</v>
      </c>
      <c r="CC208" t="s">
        <v>332</v>
      </c>
      <c r="CD208">
        <v>1690303320.5</v>
      </c>
      <c r="CE208">
        <v>1690303310.0999999</v>
      </c>
      <c r="CF208">
        <v>8</v>
      </c>
      <c r="CG208">
        <v>7.3999999999999996E-2</v>
      </c>
      <c r="CH208">
        <v>-0.01</v>
      </c>
      <c r="CI208">
        <v>-0.24199999999999999</v>
      </c>
      <c r="CJ208">
        <v>0.27200000000000002</v>
      </c>
      <c r="CK208">
        <v>800</v>
      </c>
      <c r="CL208">
        <v>23</v>
      </c>
      <c r="CM208">
        <v>0.06</v>
      </c>
      <c r="CN208">
        <v>0.09</v>
      </c>
      <c r="CO208">
        <v>-372.33634146341461</v>
      </c>
      <c r="CP208">
        <v>-2.4361254355400179</v>
      </c>
      <c r="CQ208">
        <v>0.24914513448366629</v>
      </c>
      <c r="CR208">
        <v>-1</v>
      </c>
      <c r="CS208">
        <v>23.272297560975609</v>
      </c>
      <c r="CT208">
        <v>5.4750522648143118E-2</v>
      </c>
      <c r="CU208">
        <v>6.2117704088397591E-3</v>
      </c>
      <c r="CV208">
        <v>-1</v>
      </c>
      <c r="CW208">
        <v>0</v>
      </c>
      <c r="CX208">
        <v>0</v>
      </c>
      <c r="CY208" t="s">
        <v>333</v>
      </c>
      <c r="CZ208">
        <v>2.3644500000000002</v>
      </c>
      <c r="DA208">
        <v>2.7138800000000001</v>
      </c>
      <c r="DB208">
        <v>9.4198299999999999E-2</v>
      </c>
      <c r="DC208">
        <v>0.14621700000000001</v>
      </c>
      <c r="DD208">
        <v>0.111987</v>
      </c>
      <c r="DE208">
        <v>1.51924E-3</v>
      </c>
      <c r="DF208">
        <v>33086.800000000003</v>
      </c>
      <c r="DG208">
        <v>27537.4</v>
      </c>
      <c r="DH208">
        <v>31183.599999999999</v>
      </c>
      <c r="DI208">
        <v>28104.799999999999</v>
      </c>
      <c r="DJ208">
        <v>37593.599999999999</v>
      </c>
      <c r="DK208">
        <v>39915.699999999997</v>
      </c>
      <c r="DL208">
        <v>44381.1</v>
      </c>
      <c r="DM208">
        <v>42601.9</v>
      </c>
      <c r="DN208">
        <v>1.4489300000000001</v>
      </c>
      <c r="DO208">
        <v>2.0292699999999999</v>
      </c>
      <c r="DP208">
        <v>0.14718600000000001</v>
      </c>
      <c r="DQ208">
        <v>0.13122</v>
      </c>
      <c r="DR208">
        <v>24.566500000000001</v>
      </c>
      <c r="DS208">
        <v>24.410900000000002</v>
      </c>
      <c r="DT208">
        <v>23.6</v>
      </c>
      <c r="DU208">
        <v>29.5</v>
      </c>
      <c r="DV208">
        <v>9.8459400000000006</v>
      </c>
      <c r="DW208">
        <v>61.403100000000002</v>
      </c>
      <c r="DX208">
        <v>37.207500000000003</v>
      </c>
      <c r="DY208">
        <v>1</v>
      </c>
      <c r="DZ208">
        <v>-9.4133599999999998E-2</v>
      </c>
      <c r="EA208">
        <v>0.84769899999999998</v>
      </c>
      <c r="EB208">
        <v>20.186199999999999</v>
      </c>
      <c r="EC208">
        <v>5.24125</v>
      </c>
      <c r="ED208">
        <v>12.039899999999999</v>
      </c>
      <c r="EE208">
        <v>5.0170000000000003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1.8689199999999999</v>
      </c>
      <c r="EL208">
        <v>1.8646199999999999</v>
      </c>
      <c r="EM208">
        <v>1.8692</v>
      </c>
      <c r="EN208">
        <v>1.8672599999999999</v>
      </c>
      <c r="EO208">
        <v>1.8633999999999999</v>
      </c>
      <c r="EP208">
        <v>1.8644799999999999</v>
      </c>
      <c r="EQ208">
        <v>1.87018</v>
      </c>
      <c r="ER208">
        <v>1.86941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2.1999999999999999E-2</v>
      </c>
      <c r="FG208">
        <v>0.27189999999999998</v>
      </c>
      <c r="FH208">
        <v>0.30965466913576151</v>
      </c>
      <c r="FI208">
        <v>-6.1462078757559423E-4</v>
      </c>
      <c r="FJ208">
        <v>-1.8861989874597051E-7</v>
      </c>
      <c r="FK208">
        <v>1.1980462299894961E-10</v>
      </c>
      <c r="FL208">
        <v>0.27184999999999349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41.8</v>
      </c>
      <c r="FU208">
        <v>42</v>
      </c>
      <c r="FV208">
        <v>1.7626999999999999</v>
      </c>
      <c r="FW208">
        <v>2.5891099999999998</v>
      </c>
      <c r="FX208">
        <v>1.5490699999999999</v>
      </c>
      <c r="FY208">
        <v>2.3303199999999999</v>
      </c>
      <c r="FZ208">
        <v>1.50146</v>
      </c>
      <c r="GA208">
        <v>2.3901400000000002</v>
      </c>
      <c r="GB208">
        <v>33.941299999999998</v>
      </c>
      <c r="GC208">
        <v>23.982399999999998</v>
      </c>
      <c r="GD208">
        <v>19</v>
      </c>
      <c r="GE208">
        <v>271.24299999999999</v>
      </c>
      <c r="GF208">
        <v>576.81399999999996</v>
      </c>
      <c r="GG208">
        <v>23.049700000000001</v>
      </c>
      <c r="GH208">
        <v>26.1736</v>
      </c>
      <c r="GI208">
        <v>30.000399999999999</v>
      </c>
      <c r="GJ208">
        <v>26.308399999999999</v>
      </c>
      <c r="GK208">
        <v>26.292899999999999</v>
      </c>
      <c r="GL208">
        <v>35.235799999999998</v>
      </c>
      <c r="GM208">
        <v>100</v>
      </c>
      <c r="GN208">
        <v>10.962400000000001</v>
      </c>
      <c r="GO208">
        <v>23.053899999999999</v>
      </c>
      <c r="GP208">
        <v>800</v>
      </c>
      <c r="GQ208">
        <v>0</v>
      </c>
      <c r="GR208">
        <v>99.779300000000006</v>
      </c>
      <c r="GS208">
        <v>99.656300000000002</v>
      </c>
    </row>
    <row r="209" spans="1:201" x14ac:dyDescent="0.25">
      <c r="A209">
        <v>193</v>
      </c>
      <c r="B209">
        <v>1690305839.5999999</v>
      </c>
      <c r="C209">
        <v>2089.599999904633</v>
      </c>
      <c r="D209" t="s">
        <v>717</v>
      </c>
      <c r="E209" t="s">
        <v>718</v>
      </c>
      <c r="F209" t="s">
        <v>330</v>
      </c>
      <c r="H209">
        <v>1690305839.5999999</v>
      </c>
      <c r="I209">
        <f t="shared" ref="I209:I272" si="90">(J209)/1000</f>
        <v>2.1683275099884077E-3</v>
      </c>
      <c r="J209">
        <f t="shared" ref="J209:J226" si="91">1000*AZ209*AH209*(AV209-AW209)/(100*AO209*(1000-AH209*AV209))</f>
        <v>2.1683275099884076</v>
      </c>
      <c r="K209">
        <f t="shared" ref="K209:K226" si="92">AZ209*AH209*(AU209-AT209*(1000-AH209*AW209)/(1000-AH209*AV209))/(100*AO209)</f>
        <v>33.005769537507248</v>
      </c>
      <c r="L209">
        <f t="shared" ref="L209:L272" si="93">AT209 - IF(AH209&gt;1, K209*AO209*100/(AJ209*BH209), 0)</f>
        <v>426.82299999999998</v>
      </c>
      <c r="M209">
        <f t="shared" ref="M209:M272" si="94">((S209-I209/2)*L209-K209)/(S209+I209/2)</f>
        <v>112.83513505265587</v>
      </c>
      <c r="N209">
        <f t="shared" ref="N209:N272" si="95">M209*(BA209+BB209)/1000</f>
        <v>11.208881040872305</v>
      </c>
      <c r="O209">
        <f t="shared" ref="O209:O226" si="96">(AT209 - IF(AH209&gt;1, K209*AO209*100/(AJ209*BH209), 0))*(BA209+BB209)/1000</f>
        <v>42.399986761886105</v>
      </c>
      <c r="P209">
        <f t="shared" ref="P209:P272" si="97">2/((1/R209-1/Q209)+SIGN(R209)*SQRT((1/R209-1/Q209)*(1/R209-1/Q209) + 4*AP209/((AP209+1)*(AP209+1))*(2*1/R209*1/Q209-1/Q209*1/Q209)))</f>
        <v>0.17804395572169274</v>
      </c>
      <c r="Q209">
        <f t="shared" ref="Q209:Q226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2.1024674898617235</v>
      </c>
      <c r="R209">
        <f t="shared" ref="R209:R226" si="99">I209*(1000-(1000*0.61365*EXP(17.502*V209/(240.97+V209))/(BA209+BB209)+AV209)/2)/(1000*0.61365*EXP(17.502*V209/(240.97+V209))/(BA209+BB209)-AV209)</f>
        <v>0.17007173259156713</v>
      </c>
      <c r="S209">
        <f t="shared" ref="S209:S226" si="100">1/((AP209+1)/(P209/1.6)+1/(Q209/1.37)) + AP209/((AP209+1)/(P209/1.6) + AP209/(Q209/1.37))</f>
        <v>0.10698135526114139</v>
      </c>
      <c r="T209">
        <f t="shared" ref="T209:T226" si="101">(AK209*AN209)</f>
        <v>276.11571672000002</v>
      </c>
      <c r="U209">
        <f t="shared" ref="U209:U272" si="102">(BC209+(T209+2*0.95*0.0000000567*(((BC209+$B$7)+273)^4-(BC209+273)^4)-44100*I209)/(1.84*29.3*Q209+8*0.95*0.0000000567*(BC209+273)^3))</f>
        <v>26.908694731259008</v>
      </c>
      <c r="V209">
        <f t="shared" ref="V209:V272" si="103">($C$7*BD209+$D$7*BE209+$E$7*U209)</f>
        <v>26.908694731259008</v>
      </c>
      <c r="W209">
        <f t="shared" ref="W209:W272" si="104">0.61365*EXP(17.502*V209/(240.97+V209))</f>
        <v>3.5600110112943457</v>
      </c>
      <c r="X209">
        <f t="shared" ref="X209:X272" si="105">(Y209/Z209*100)</f>
        <v>71.320431274504813</v>
      </c>
      <c r="Y209">
        <f t="shared" ref="Y209:Y226" si="106">AV209*(BA209+BB209)/1000</f>
        <v>2.3310490984749901</v>
      </c>
      <c r="Z209">
        <f t="shared" ref="Z209:Z226" si="107">0.61365*EXP(17.502*BC209/(240.97+BC209))</f>
        <v>3.2684169975122952</v>
      </c>
      <c r="AA209">
        <f t="shared" ref="AA209:AA226" si="108">(W209-AV209*(BA209+BB209)/1000)</f>
        <v>1.2289619128193556</v>
      </c>
      <c r="AB209">
        <f t="shared" ref="AB209:AB226" si="109">(-I209*44100)</f>
        <v>-95.623243190488779</v>
      </c>
      <c r="AC209">
        <f t="shared" ref="AC209:AC226" si="110">2*29.3*Q209*0.92*(BC209-V209)</f>
        <v>-163.92360913822409</v>
      </c>
      <c r="AD209">
        <f t="shared" ref="AD209:AD226" si="111">2*0.95*0.0000000567*(((BC209+$B$7)+273)^4-(V209+273)^4)</f>
        <v>-16.689680084123196</v>
      </c>
      <c r="AE209">
        <f t="shared" ref="AE209:AE272" si="112">T209+AD209+AB209+AC209</f>
        <v>-0.12081569283606086</v>
      </c>
      <c r="AF209">
        <v>7</v>
      </c>
      <c r="AG209">
        <v>2</v>
      </c>
      <c r="AH209">
        <f t="shared" ref="AH209:AH226" si="113">IF(AF209*$H$13&gt;=AJ209,1,(AJ209/(AJ209-AF209*$H$13)))</f>
        <v>1</v>
      </c>
      <c r="AI209">
        <f t="shared" ref="AI209:AI272" si="114">(AH209-1)*100</f>
        <v>0</v>
      </c>
      <c r="AJ209">
        <f t="shared" ref="AJ209:AJ226" si="115">MAX(0,($B$13+$C$13*BH209)/(1+$D$13*BH209)*BA209/(BC209+273)*$E$13)</f>
        <v>52865.242286243672</v>
      </c>
      <c r="AK209">
        <f t="shared" ref="AK209:AK226" si="116">$B$11*BI209+$C$11*BJ209+$D$11*BU209</f>
        <v>1800</v>
      </c>
      <c r="AL209">
        <f t="shared" ref="AL209:AL272" si="117">AK209*AM209</f>
        <v>1499.1134489999997</v>
      </c>
      <c r="AM209">
        <f t="shared" ref="AM209:AM226" si="118">($B$11*$D$9+$C$11*$D$9+$D$11*(BV209*$E$9+BW209*$F$9+BX209*$G$9+BY209*$H$9))/($B$11+$C$11+$D$11)</f>
        <v>0.83284080499999991</v>
      </c>
      <c r="AN209">
        <f t="shared" ref="AN209:AN226" si="119">($B$11*$K$9+$C$11*$K$9+$D$11*(BV209*$L$9+BW209*$M$9+BX209*$N$9+BY209*$O$9))/($B$11+$C$11+$D$11)</f>
        <v>0.15339762040000002</v>
      </c>
      <c r="AO209">
        <v>33</v>
      </c>
      <c r="AP209">
        <v>0.5</v>
      </c>
      <c r="AQ209" t="s">
        <v>331</v>
      </c>
      <c r="AR209">
        <v>2</v>
      </c>
      <c r="AS209">
        <v>1690305839.5999999</v>
      </c>
      <c r="AT209">
        <v>426.82299999999998</v>
      </c>
      <c r="AU209">
        <v>799.99099999999999</v>
      </c>
      <c r="AV209">
        <v>23.465699999999998</v>
      </c>
      <c r="AW209">
        <v>0.17852699999999999</v>
      </c>
      <c r="AX209">
        <v>426.80099999999999</v>
      </c>
      <c r="AY209">
        <v>23.1938</v>
      </c>
      <c r="AZ209">
        <v>300.06099999999998</v>
      </c>
      <c r="BA209">
        <v>99.238600000000005</v>
      </c>
      <c r="BB209">
        <v>9.9970699999999996E-2</v>
      </c>
      <c r="BC209">
        <v>25.462499999999999</v>
      </c>
      <c r="BD209">
        <v>26.967300000000002</v>
      </c>
      <c r="BE209">
        <v>26.544499999999999</v>
      </c>
      <c r="BF209">
        <v>0</v>
      </c>
      <c r="BG209">
        <v>0</v>
      </c>
      <c r="BH209">
        <v>10023.799999999999</v>
      </c>
      <c r="BI209">
        <v>1058.3</v>
      </c>
      <c r="BJ209">
        <v>1.5137799999999999</v>
      </c>
      <c r="BK209">
        <v>-373.16800000000001</v>
      </c>
      <c r="BL209">
        <v>437.07900000000001</v>
      </c>
      <c r="BM209">
        <v>800.13400000000001</v>
      </c>
      <c r="BN209">
        <v>23.287199999999999</v>
      </c>
      <c r="BO209">
        <v>799.99099999999999</v>
      </c>
      <c r="BP209">
        <v>0.17852699999999999</v>
      </c>
      <c r="BQ209">
        <v>2.3287</v>
      </c>
      <c r="BR209">
        <v>1.7716800000000001E-2</v>
      </c>
      <c r="BS209">
        <v>19.876300000000001</v>
      </c>
      <c r="BT209">
        <v>-40.586300000000001</v>
      </c>
      <c r="BU209">
        <v>1800</v>
      </c>
      <c r="BV209">
        <v>0.91</v>
      </c>
      <c r="BW209">
        <v>3.3995900000000003E-2</v>
      </c>
      <c r="BX209">
        <v>2.2002500000000001E-2</v>
      </c>
      <c r="BY209">
        <v>3.4001999999999998E-2</v>
      </c>
      <c r="BZ209">
        <v>26</v>
      </c>
      <c r="CA209">
        <v>33528.300000000003</v>
      </c>
      <c r="CB209">
        <v>1690303320.5</v>
      </c>
      <c r="CC209" t="s">
        <v>332</v>
      </c>
      <c r="CD209">
        <v>1690303320.5</v>
      </c>
      <c r="CE209">
        <v>1690303310.0999999</v>
      </c>
      <c r="CF209">
        <v>8</v>
      </c>
      <c r="CG209">
        <v>7.3999999999999996E-2</v>
      </c>
      <c r="CH209">
        <v>-0.01</v>
      </c>
      <c r="CI209">
        <v>-0.24199999999999999</v>
      </c>
      <c r="CJ209">
        <v>0.27200000000000002</v>
      </c>
      <c r="CK209">
        <v>800</v>
      </c>
      <c r="CL209">
        <v>23</v>
      </c>
      <c r="CM209">
        <v>0.06</v>
      </c>
      <c r="CN209">
        <v>0.09</v>
      </c>
      <c r="CO209">
        <v>-372.72727500000002</v>
      </c>
      <c r="CP209">
        <v>-2.4041763602237221</v>
      </c>
      <c r="CQ209">
        <v>0.24027442513717179</v>
      </c>
      <c r="CR209">
        <v>-1</v>
      </c>
      <c r="CS209">
        <v>23.277862500000001</v>
      </c>
      <c r="CT209">
        <v>1.5713696060007519E-2</v>
      </c>
      <c r="CU209">
        <v>1.705679849795841E-3</v>
      </c>
      <c r="CV209">
        <v>-1</v>
      </c>
      <c r="CW209">
        <v>0</v>
      </c>
      <c r="CX209">
        <v>0</v>
      </c>
      <c r="CY209" t="s">
        <v>333</v>
      </c>
      <c r="CZ209">
        <v>2.36435</v>
      </c>
      <c r="DA209">
        <v>2.7137799999999999</v>
      </c>
      <c r="DB209">
        <v>9.4133800000000004E-2</v>
      </c>
      <c r="DC209">
        <v>0.14621500000000001</v>
      </c>
      <c r="DD209">
        <v>0.112008</v>
      </c>
      <c r="DE209">
        <v>1.5035700000000001E-3</v>
      </c>
      <c r="DF209">
        <v>33089.4</v>
      </c>
      <c r="DG209">
        <v>27537.5</v>
      </c>
      <c r="DH209">
        <v>31183.8</v>
      </c>
      <c r="DI209">
        <v>28104.9</v>
      </c>
      <c r="DJ209">
        <v>37593.1</v>
      </c>
      <c r="DK209">
        <v>39916.400000000001</v>
      </c>
      <c r="DL209">
        <v>44381.5</v>
      </c>
      <c r="DM209">
        <v>42601.9</v>
      </c>
      <c r="DN209">
        <v>1.4488000000000001</v>
      </c>
      <c r="DO209">
        <v>2.02922</v>
      </c>
      <c r="DP209">
        <v>0.14638200000000001</v>
      </c>
      <c r="DQ209">
        <v>0.13008700000000001</v>
      </c>
      <c r="DR209">
        <v>24.5686</v>
      </c>
      <c r="DS209">
        <v>24.411799999999999</v>
      </c>
      <c r="DT209">
        <v>23.5</v>
      </c>
      <c r="DU209">
        <v>29.5</v>
      </c>
      <c r="DV209">
        <v>9.8045100000000005</v>
      </c>
      <c r="DW209">
        <v>61.363100000000003</v>
      </c>
      <c r="DX209">
        <v>37.223599999999998</v>
      </c>
      <c r="DY209">
        <v>1</v>
      </c>
      <c r="DZ209">
        <v>-9.4601099999999994E-2</v>
      </c>
      <c r="EA209">
        <v>0.581569</v>
      </c>
      <c r="EB209">
        <v>20.188099999999999</v>
      </c>
      <c r="EC209">
        <v>5.2411000000000003</v>
      </c>
      <c r="ED209">
        <v>12.039899999999999</v>
      </c>
      <c r="EE209">
        <v>5.0171999999999999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1.8689100000000001</v>
      </c>
      <c r="EL209">
        <v>1.86463</v>
      </c>
      <c r="EM209">
        <v>1.8692</v>
      </c>
      <c r="EN209">
        <v>1.8672299999999999</v>
      </c>
      <c r="EO209">
        <v>1.8633999999999999</v>
      </c>
      <c r="EP209">
        <v>1.8644700000000001</v>
      </c>
      <c r="EQ209">
        <v>1.87019</v>
      </c>
      <c r="ER209">
        <v>1.8694200000000001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2.1999999999999999E-2</v>
      </c>
      <c r="FG209">
        <v>0.27189999999999998</v>
      </c>
      <c r="FH209">
        <v>0.30965466913576151</v>
      </c>
      <c r="FI209">
        <v>-6.1462078757559423E-4</v>
      </c>
      <c r="FJ209">
        <v>-1.8861989874597051E-7</v>
      </c>
      <c r="FK209">
        <v>1.1980462299894961E-10</v>
      </c>
      <c r="FL209">
        <v>0.27184999999999349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42</v>
      </c>
      <c r="FU209">
        <v>42.2</v>
      </c>
      <c r="FV209">
        <v>1.7626999999999999</v>
      </c>
      <c r="FW209">
        <v>2.5927699999999998</v>
      </c>
      <c r="FX209">
        <v>1.5490699999999999</v>
      </c>
      <c r="FY209">
        <v>2.3303199999999999</v>
      </c>
      <c r="FZ209">
        <v>1.50146</v>
      </c>
      <c r="GA209">
        <v>2.35107</v>
      </c>
      <c r="GB209">
        <v>33.941299999999998</v>
      </c>
      <c r="GC209">
        <v>23.982399999999998</v>
      </c>
      <c r="GD209">
        <v>19</v>
      </c>
      <c r="GE209">
        <v>271.20100000000002</v>
      </c>
      <c r="GF209">
        <v>576.78499999999997</v>
      </c>
      <c r="GG209">
        <v>23.101099999999999</v>
      </c>
      <c r="GH209">
        <v>26.175799999999999</v>
      </c>
      <c r="GI209">
        <v>29.9998</v>
      </c>
      <c r="GJ209">
        <v>26.310600000000001</v>
      </c>
      <c r="GK209">
        <v>26.294</v>
      </c>
      <c r="GL209">
        <v>35.233400000000003</v>
      </c>
      <c r="GM209">
        <v>100</v>
      </c>
      <c r="GN209">
        <v>10.571400000000001</v>
      </c>
      <c r="GO209">
        <v>23.112400000000001</v>
      </c>
      <c r="GP209">
        <v>800</v>
      </c>
      <c r="GQ209">
        <v>0</v>
      </c>
      <c r="GR209">
        <v>99.780100000000004</v>
      </c>
      <c r="GS209">
        <v>99.656400000000005</v>
      </c>
    </row>
    <row r="210" spans="1:201" x14ac:dyDescent="0.25">
      <c r="A210">
        <v>194</v>
      </c>
      <c r="B210">
        <v>1690305849.5999999</v>
      </c>
      <c r="C210">
        <v>2099.599999904633</v>
      </c>
      <c r="D210" t="s">
        <v>719</v>
      </c>
      <c r="E210" t="s">
        <v>720</v>
      </c>
      <c r="F210" t="s">
        <v>330</v>
      </c>
      <c r="H210">
        <v>1690305849.5999999</v>
      </c>
      <c r="I210">
        <f t="shared" si="90"/>
        <v>2.1714900134782401E-3</v>
      </c>
      <c r="J210">
        <f t="shared" si="91"/>
        <v>2.1714900134782402</v>
      </c>
      <c r="K210">
        <f t="shared" si="92"/>
        <v>33.044114050829322</v>
      </c>
      <c r="L210">
        <f t="shared" si="93"/>
        <v>426.39400000000001</v>
      </c>
      <c r="M210">
        <f t="shared" si="94"/>
        <v>113.09953358925129</v>
      </c>
      <c r="N210">
        <f t="shared" si="95"/>
        <v>11.23551079351855</v>
      </c>
      <c r="O210">
        <f t="shared" si="96"/>
        <v>42.358745763624</v>
      </c>
      <c r="P210">
        <f t="shared" si="97"/>
        <v>0.17867704836856274</v>
      </c>
      <c r="Q210">
        <f t="shared" si="98"/>
        <v>2.1002414599267958</v>
      </c>
      <c r="R210">
        <f t="shared" si="99"/>
        <v>0.17064130546487205</v>
      </c>
      <c r="S210">
        <f t="shared" si="100"/>
        <v>0.10734267619333253</v>
      </c>
      <c r="T210">
        <f t="shared" si="101"/>
        <v>276.11546218199993</v>
      </c>
      <c r="U210">
        <f t="shared" si="102"/>
        <v>26.913859560619105</v>
      </c>
      <c r="V210">
        <f t="shared" si="103"/>
        <v>26.913859560619105</v>
      </c>
      <c r="W210">
        <f t="shared" si="104"/>
        <v>3.5610917959490695</v>
      </c>
      <c r="X210">
        <f t="shared" si="105"/>
        <v>71.40317091825797</v>
      </c>
      <c r="Y210">
        <f t="shared" si="106"/>
        <v>2.334432864204</v>
      </c>
      <c r="Z210">
        <f t="shared" si="107"/>
        <v>3.269368620724769</v>
      </c>
      <c r="AA210">
        <f t="shared" si="108"/>
        <v>1.2266589317450696</v>
      </c>
      <c r="AB210">
        <f t="shared" si="109"/>
        <v>-95.762709594390387</v>
      </c>
      <c r="AC210">
        <f t="shared" si="110"/>
        <v>-163.78003786140576</v>
      </c>
      <c r="AD210">
        <f t="shared" si="111"/>
        <v>-16.693578704489955</v>
      </c>
      <c r="AE210">
        <f t="shared" si="112"/>
        <v>-0.12086397828616668</v>
      </c>
      <c r="AF210">
        <v>7</v>
      </c>
      <c r="AG210">
        <v>2</v>
      </c>
      <c r="AH210">
        <f t="shared" si="113"/>
        <v>1</v>
      </c>
      <c r="AI210">
        <f t="shared" si="114"/>
        <v>0</v>
      </c>
      <c r="AJ210">
        <f t="shared" si="115"/>
        <v>52764.940058300861</v>
      </c>
      <c r="AK210">
        <f t="shared" si="116"/>
        <v>1800</v>
      </c>
      <c r="AL210">
        <f t="shared" si="117"/>
        <v>1499.1133391999999</v>
      </c>
      <c r="AM210">
        <f t="shared" si="118"/>
        <v>0.83284074399999997</v>
      </c>
      <c r="AN210">
        <f t="shared" si="119"/>
        <v>0.15339747898999997</v>
      </c>
      <c r="AO210">
        <v>33</v>
      </c>
      <c r="AP210">
        <v>0.5</v>
      </c>
      <c r="AQ210" t="s">
        <v>331</v>
      </c>
      <c r="AR210">
        <v>2</v>
      </c>
      <c r="AS210">
        <v>1690305849.5999999</v>
      </c>
      <c r="AT210">
        <v>426.39400000000001</v>
      </c>
      <c r="AU210">
        <v>800.00199999999995</v>
      </c>
      <c r="AV210">
        <v>23.498999999999999</v>
      </c>
      <c r="AW210">
        <v>0.17780299999999999</v>
      </c>
      <c r="AX210">
        <v>426.37099999999998</v>
      </c>
      <c r="AY210">
        <v>23.2272</v>
      </c>
      <c r="AZ210">
        <v>300.05</v>
      </c>
      <c r="BA210">
        <v>99.241799999999998</v>
      </c>
      <c r="BB210">
        <v>9.9996000000000002E-2</v>
      </c>
      <c r="BC210">
        <v>25.467400000000001</v>
      </c>
      <c r="BD210">
        <v>26.9725</v>
      </c>
      <c r="BE210">
        <v>26.550899999999999</v>
      </c>
      <c r="BF210">
        <v>0</v>
      </c>
      <c r="BG210">
        <v>0</v>
      </c>
      <c r="BH210">
        <v>10003.799999999999</v>
      </c>
      <c r="BI210">
        <v>1058.18</v>
      </c>
      <c r="BJ210">
        <v>1.5137799999999999</v>
      </c>
      <c r="BK210">
        <v>-373.60899999999998</v>
      </c>
      <c r="BL210">
        <v>436.65499999999997</v>
      </c>
      <c r="BM210">
        <v>800.14499999999998</v>
      </c>
      <c r="BN210">
        <v>23.321200000000001</v>
      </c>
      <c r="BO210">
        <v>800.00199999999995</v>
      </c>
      <c r="BP210">
        <v>0.17780299999999999</v>
      </c>
      <c r="BQ210">
        <v>2.33209</v>
      </c>
      <c r="BR210">
        <v>1.7645500000000001E-2</v>
      </c>
      <c r="BS210">
        <v>19.899799999999999</v>
      </c>
      <c r="BT210">
        <v>-40.624699999999997</v>
      </c>
      <c r="BU210">
        <v>1800</v>
      </c>
      <c r="BV210">
        <v>0.91000300000000001</v>
      </c>
      <c r="BW210">
        <v>3.39946E-2</v>
      </c>
      <c r="BX210">
        <v>2.2001699999999999E-2</v>
      </c>
      <c r="BY210">
        <v>3.4000700000000002E-2</v>
      </c>
      <c r="BZ210">
        <v>26</v>
      </c>
      <c r="CA210">
        <v>33528.300000000003</v>
      </c>
      <c r="CB210">
        <v>1690303320.5</v>
      </c>
      <c r="CC210" t="s">
        <v>332</v>
      </c>
      <c r="CD210">
        <v>1690303320.5</v>
      </c>
      <c r="CE210">
        <v>1690303310.0999999</v>
      </c>
      <c r="CF210">
        <v>8</v>
      </c>
      <c r="CG210">
        <v>7.3999999999999996E-2</v>
      </c>
      <c r="CH210">
        <v>-0.01</v>
      </c>
      <c r="CI210">
        <v>-0.24199999999999999</v>
      </c>
      <c r="CJ210">
        <v>0.27200000000000002</v>
      </c>
      <c r="CK210">
        <v>800</v>
      </c>
      <c r="CL210">
        <v>23</v>
      </c>
      <c r="CM210">
        <v>0.06</v>
      </c>
      <c r="CN210">
        <v>0.09</v>
      </c>
      <c r="CO210">
        <v>-373.12927500000001</v>
      </c>
      <c r="CP210">
        <v>-2.375335834896199</v>
      </c>
      <c r="CQ210">
        <v>0.23311016574786761</v>
      </c>
      <c r="CR210">
        <v>-1</v>
      </c>
      <c r="CS210">
        <v>23.289982500000001</v>
      </c>
      <c r="CT210">
        <v>0.12655497185740019</v>
      </c>
      <c r="CU210">
        <v>1.3037041219157049E-2</v>
      </c>
      <c r="CV210">
        <v>-1</v>
      </c>
      <c r="CW210">
        <v>0</v>
      </c>
      <c r="CX210">
        <v>0</v>
      </c>
      <c r="CY210" t="s">
        <v>333</v>
      </c>
      <c r="CZ210">
        <v>2.3643000000000001</v>
      </c>
      <c r="DA210">
        <v>2.7137899999999999</v>
      </c>
      <c r="DB210">
        <v>9.4065399999999993E-2</v>
      </c>
      <c r="DC210">
        <v>0.14621999999999999</v>
      </c>
      <c r="DD210">
        <v>0.112124</v>
      </c>
      <c r="DE210">
        <v>1.4975800000000001E-3</v>
      </c>
      <c r="DF210">
        <v>33092.199999999997</v>
      </c>
      <c r="DG210">
        <v>27537.200000000001</v>
      </c>
      <c r="DH210">
        <v>31184.1</v>
      </c>
      <c r="DI210">
        <v>28104.799999999999</v>
      </c>
      <c r="DJ210">
        <v>37588.300000000003</v>
      </c>
      <c r="DK210">
        <v>39916.400000000001</v>
      </c>
      <c r="DL210">
        <v>44381.7</v>
      </c>
      <c r="DM210">
        <v>42601.7</v>
      </c>
      <c r="DN210">
        <v>1.44878</v>
      </c>
      <c r="DO210">
        <v>2.0293299999999999</v>
      </c>
      <c r="DP210">
        <v>0.14657500000000001</v>
      </c>
      <c r="DQ210">
        <v>0.130437</v>
      </c>
      <c r="DR210">
        <v>24.570599999999999</v>
      </c>
      <c r="DS210">
        <v>24.412400000000002</v>
      </c>
      <c r="DT210">
        <v>23.3</v>
      </c>
      <c r="DU210">
        <v>29.5</v>
      </c>
      <c r="DV210">
        <v>9.7187699999999992</v>
      </c>
      <c r="DW210">
        <v>61.833100000000002</v>
      </c>
      <c r="DX210">
        <v>37.171500000000002</v>
      </c>
      <c r="DY210">
        <v>1</v>
      </c>
      <c r="DZ210">
        <v>-9.4837400000000002E-2</v>
      </c>
      <c r="EA210">
        <v>0.57244799999999996</v>
      </c>
      <c r="EB210">
        <v>20.188199999999998</v>
      </c>
      <c r="EC210">
        <v>5.2411000000000003</v>
      </c>
      <c r="ED210">
        <v>12.039899999999999</v>
      </c>
      <c r="EE210">
        <v>5.01715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1.8689100000000001</v>
      </c>
      <c r="EL210">
        <v>1.8646400000000001</v>
      </c>
      <c r="EM210">
        <v>1.8692</v>
      </c>
      <c r="EN210">
        <v>1.8672599999999999</v>
      </c>
      <c r="EO210">
        <v>1.8633999999999999</v>
      </c>
      <c r="EP210">
        <v>1.8644700000000001</v>
      </c>
      <c r="EQ210">
        <v>1.87016</v>
      </c>
      <c r="ER210">
        <v>1.86941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2.3E-2</v>
      </c>
      <c r="FG210">
        <v>0.27179999999999999</v>
      </c>
      <c r="FH210">
        <v>0.30965466913576151</v>
      </c>
      <c r="FI210">
        <v>-6.1462078757559423E-4</v>
      </c>
      <c r="FJ210">
        <v>-1.8861989874597051E-7</v>
      </c>
      <c r="FK210">
        <v>1.1980462299894961E-10</v>
      </c>
      <c r="FL210">
        <v>0.27184999999999349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42.2</v>
      </c>
      <c r="FU210">
        <v>42.3</v>
      </c>
      <c r="FV210">
        <v>1.7626999999999999</v>
      </c>
      <c r="FW210">
        <v>2.5927699999999998</v>
      </c>
      <c r="FX210">
        <v>1.5490699999999999</v>
      </c>
      <c r="FY210">
        <v>2.3303199999999999</v>
      </c>
      <c r="FZ210">
        <v>1.50146</v>
      </c>
      <c r="GA210">
        <v>2.3803700000000001</v>
      </c>
      <c r="GB210">
        <v>33.941299999999998</v>
      </c>
      <c r="GC210">
        <v>23.982399999999998</v>
      </c>
      <c r="GD210">
        <v>19</v>
      </c>
      <c r="GE210">
        <v>271.19</v>
      </c>
      <c r="GF210">
        <v>576.87900000000002</v>
      </c>
      <c r="GG210">
        <v>23.1373</v>
      </c>
      <c r="GH210">
        <v>26.175799999999999</v>
      </c>
      <c r="GI210">
        <v>30.0001</v>
      </c>
      <c r="GJ210">
        <v>26.310600000000001</v>
      </c>
      <c r="GK210">
        <v>26.295100000000001</v>
      </c>
      <c r="GL210">
        <v>35.231299999999997</v>
      </c>
      <c r="GM210">
        <v>100</v>
      </c>
      <c r="GN210">
        <v>9.8073899999999998</v>
      </c>
      <c r="GO210">
        <v>23.1418</v>
      </c>
      <c r="GP210">
        <v>800</v>
      </c>
      <c r="GQ210">
        <v>0</v>
      </c>
      <c r="GR210">
        <v>99.780699999999996</v>
      </c>
      <c r="GS210">
        <v>99.656000000000006</v>
      </c>
    </row>
    <row r="211" spans="1:201" x14ac:dyDescent="0.25">
      <c r="A211">
        <v>195</v>
      </c>
      <c r="B211">
        <v>1690305859.5999999</v>
      </c>
      <c r="C211">
        <v>2109.599999904633</v>
      </c>
      <c r="D211" t="s">
        <v>721</v>
      </c>
      <c r="E211" t="s">
        <v>722</v>
      </c>
      <c r="F211" t="s">
        <v>330</v>
      </c>
      <c r="H211">
        <v>1690305859.5999999</v>
      </c>
      <c r="I211">
        <f t="shared" si="90"/>
        <v>2.1742313906584964E-3</v>
      </c>
      <c r="J211">
        <f t="shared" si="91"/>
        <v>2.1742313906584965</v>
      </c>
      <c r="K211">
        <f t="shared" si="92"/>
        <v>33.07567619740373</v>
      </c>
      <c r="L211">
        <f t="shared" si="93"/>
        <v>426.03899999999999</v>
      </c>
      <c r="M211">
        <f t="shared" si="94"/>
        <v>113.44616874297471</v>
      </c>
      <c r="N211">
        <f t="shared" si="95"/>
        <v>11.269647686720823</v>
      </c>
      <c r="O211">
        <f t="shared" si="96"/>
        <v>42.3223585600389</v>
      </c>
      <c r="P211">
        <f t="shared" si="97"/>
        <v>0.1792691503559376</v>
      </c>
      <c r="Q211">
        <f t="shared" si="98"/>
        <v>2.1014114725571162</v>
      </c>
      <c r="R211">
        <f t="shared" si="99"/>
        <v>0.17118564171075101</v>
      </c>
      <c r="S211">
        <f t="shared" si="100"/>
        <v>0.10768691929490637</v>
      </c>
      <c r="T211">
        <f t="shared" si="101"/>
        <v>276.11532554399997</v>
      </c>
      <c r="U211">
        <f t="shared" si="102"/>
        <v>26.915153972948893</v>
      </c>
      <c r="V211">
        <f t="shared" si="103"/>
        <v>26.915153972948893</v>
      </c>
      <c r="W211">
        <f t="shared" si="104"/>
        <v>3.5613627076685552</v>
      </c>
      <c r="X211">
        <f t="shared" si="105"/>
        <v>71.472402479214807</v>
      </c>
      <c r="Y211">
        <f t="shared" si="106"/>
        <v>2.33711280164166</v>
      </c>
      <c r="Z211">
        <f t="shared" si="107"/>
        <v>3.269951366642986</v>
      </c>
      <c r="AA211">
        <f t="shared" si="108"/>
        <v>1.2242499060268952</v>
      </c>
      <c r="AB211">
        <f t="shared" si="109"/>
        <v>-95.883604328039695</v>
      </c>
      <c r="AC211">
        <f t="shared" si="110"/>
        <v>-163.67804899748043</v>
      </c>
      <c r="AD211">
        <f t="shared" si="111"/>
        <v>-16.674253293216513</v>
      </c>
      <c r="AE211">
        <f t="shared" si="112"/>
        <v>-0.12058107473666269</v>
      </c>
      <c r="AF211">
        <v>7</v>
      </c>
      <c r="AG211">
        <v>2</v>
      </c>
      <c r="AH211">
        <f t="shared" si="113"/>
        <v>1</v>
      </c>
      <c r="AI211">
        <f t="shared" si="114"/>
        <v>0</v>
      </c>
      <c r="AJ211">
        <f t="shared" si="115"/>
        <v>52816.636411395426</v>
      </c>
      <c r="AK211">
        <f t="shared" si="116"/>
        <v>1800</v>
      </c>
      <c r="AL211">
        <f t="shared" si="117"/>
        <v>1499.1130764</v>
      </c>
      <c r="AM211">
        <f t="shared" si="118"/>
        <v>0.83284059799999999</v>
      </c>
      <c r="AN211">
        <f t="shared" si="119"/>
        <v>0.15339740307999999</v>
      </c>
      <c r="AO211">
        <v>33</v>
      </c>
      <c r="AP211">
        <v>0.5</v>
      </c>
      <c r="AQ211" t="s">
        <v>331</v>
      </c>
      <c r="AR211">
        <v>2</v>
      </c>
      <c r="AS211">
        <v>1690305859.5999999</v>
      </c>
      <c r="AT211">
        <v>426.03899999999999</v>
      </c>
      <c r="AU211">
        <v>799.99599999999998</v>
      </c>
      <c r="AV211">
        <v>23.526599999999998</v>
      </c>
      <c r="AW211">
        <v>0.17677699999999999</v>
      </c>
      <c r="AX211">
        <v>426.01600000000002</v>
      </c>
      <c r="AY211">
        <v>23.254799999999999</v>
      </c>
      <c r="AZ211">
        <v>300.05200000000002</v>
      </c>
      <c r="BA211">
        <v>99.239199999999997</v>
      </c>
      <c r="BB211">
        <v>9.9965100000000001E-2</v>
      </c>
      <c r="BC211">
        <v>25.470400000000001</v>
      </c>
      <c r="BD211">
        <v>26.955400000000001</v>
      </c>
      <c r="BE211">
        <v>26.559699999999999</v>
      </c>
      <c r="BF211">
        <v>0</v>
      </c>
      <c r="BG211">
        <v>0</v>
      </c>
      <c r="BH211">
        <v>10014.4</v>
      </c>
      <c r="BI211">
        <v>1058.1300000000001</v>
      </c>
      <c r="BJ211">
        <v>1.5165900000000001</v>
      </c>
      <c r="BK211">
        <v>-373.95699999999999</v>
      </c>
      <c r="BL211">
        <v>436.30399999999997</v>
      </c>
      <c r="BM211">
        <v>800.13699999999994</v>
      </c>
      <c r="BN211">
        <v>23.349900000000002</v>
      </c>
      <c r="BO211">
        <v>799.99599999999998</v>
      </c>
      <c r="BP211">
        <v>0.17677699999999999</v>
      </c>
      <c r="BQ211">
        <v>2.3347699999999998</v>
      </c>
      <c r="BR211">
        <v>1.7543199999999998E-2</v>
      </c>
      <c r="BS211">
        <v>19.918299999999999</v>
      </c>
      <c r="BT211">
        <v>-40.680100000000003</v>
      </c>
      <c r="BU211">
        <v>1800</v>
      </c>
      <c r="BV211">
        <v>0.91000400000000004</v>
      </c>
      <c r="BW211">
        <v>3.3994099999999999E-2</v>
      </c>
      <c r="BX211">
        <v>2.2001400000000001E-2</v>
      </c>
      <c r="BY211">
        <v>3.4000200000000001E-2</v>
      </c>
      <c r="BZ211">
        <v>26</v>
      </c>
      <c r="CA211">
        <v>33528.400000000001</v>
      </c>
      <c r="CB211">
        <v>1690303320.5</v>
      </c>
      <c r="CC211" t="s">
        <v>332</v>
      </c>
      <c r="CD211">
        <v>1690303320.5</v>
      </c>
      <c r="CE211">
        <v>1690303310.0999999</v>
      </c>
      <c r="CF211">
        <v>8</v>
      </c>
      <c r="CG211">
        <v>7.3999999999999996E-2</v>
      </c>
      <c r="CH211">
        <v>-0.01</v>
      </c>
      <c r="CI211">
        <v>-0.24199999999999999</v>
      </c>
      <c r="CJ211">
        <v>0.27200000000000002</v>
      </c>
      <c r="CK211">
        <v>800</v>
      </c>
      <c r="CL211">
        <v>23</v>
      </c>
      <c r="CM211">
        <v>0.06</v>
      </c>
      <c r="CN211">
        <v>0.09</v>
      </c>
      <c r="CO211">
        <v>-373.531475</v>
      </c>
      <c r="CP211">
        <v>-2.623756097559331</v>
      </c>
      <c r="CQ211">
        <v>0.25803798048930621</v>
      </c>
      <c r="CR211">
        <v>-1</v>
      </c>
      <c r="CS211">
        <v>23.3170325</v>
      </c>
      <c r="CT211">
        <v>0.19700600375229191</v>
      </c>
      <c r="CU211">
        <v>1.896655460936475E-2</v>
      </c>
      <c r="CV211">
        <v>-1</v>
      </c>
      <c r="CW211">
        <v>0</v>
      </c>
      <c r="CX211">
        <v>0</v>
      </c>
      <c r="CY211" t="s">
        <v>333</v>
      </c>
      <c r="CZ211">
        <v>2.3643200000000002</v>
      </c>
      <c r="DA211">
        <v>2.7137699999999998</v>
      </c>
      <c r="DB211">
        <v>9.4003600000000007E-2</v>
      </c>
      <c r="DC211">
        <v>0.14621600000000001</v>
      </c>
      <c r="DD211">
        <v>0.112215</v>
      </c>
      <c r="DE211">
        <v>1.4889899999999999E-3</v>
      </c>
      <c r="DF211">
        <v>33094.199999999997</v>
      </c>
      <c r="DG211">
        <v>27536.7</v>
      </c>
      <c r="DH211">
        <v>31183.8</v>
      </c>
      <c r="DI211">
        <v>28104.1</v>
      </c>
      <c r="DJ211">
        <v>37583.9</v>
      </c>
      <c r="DK211">
        <v>39915.9</v>
      </c>
      <c r="DL211">
        <v>44381.1</v>
      </c>
      <c r="DM211">
        <v>42600.800000000003</v>
      </c>
      <c r="DN211">
        <v>1.4486699999999999</v>
      </c>
      <c r="DO211">
        <v>2.0291800000000002</v>
      </c>
      <c r="DP211">
        <v>0.14530899999999999</v>
      </c>
      <c r="DQ211">
        <v>0.13076499999999999</v>
      </c>
      <c r="DR211">
        <v>24.574300000000001</v>
      </c>
      <c r="DS211">
        <v>24.415900000000001</v>
      </c>
      <c r="DT211">
        <v>23.1</v>
      </c>
      <c r="DU211">
        <v>29.5</v>
      </c>
      <c r="DV211">
        <v>9.6359999999999992</v>
      </c>
      <c r="DW211">
        <v>61.643099999999997</v>
      </c>
      <c r="DX211">
        <v>37.131399999999999</v>
      </c>
      <c r="DY211">
        <v>1</v>
      </c>
      <c r="DZ211">
        <v>-9.4400399999999995E-2</v>
      </c>
      <c r="EA211">
        <v>0.53113299999999997</v>
      </c>
      <c r="EB211">
        <v>20.188500000000001</v>
      </c>
      <c r="EC211">
        <v>5.2409499999999998</v>
      </c>
      <c r="ED211">
        <v>12.039899999999999</v>
      </c>
      <c r="EE211">
        <v>5.01715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1.86463</v>
      </c>
      <c r="EM211">
        <v>1.8692</v>
      </c>
      <c r="EN211">
        <v>1.8672599999999999</v>
      </c>
      <c r="EO211">
        <v>1.8633999999999999</v>
      </c>
      <c r="EP211">
        <v>1.8644700000000001</v>
      </c>
      <c r="EQ211">
        <v>1.87018</v>
      </c>
      <c r="ER211">
        <v>1.86944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2.3E-2</v>
      </c>
      <c r="FG211">
        <v>0.27179999999999999</v>
      </c>
      <c r="FH211">
        <v>0.30965466913576151</v>
      </c>
      <c r="FI211">
        <v>-6.1462078757559423E-4</v>
      </c>
      <c r="FJ211">
        <v>-1.8861989874597051E-7</v>
      </c>
      <c r="FK211">
        <v>1.1980462299894961E-10</v>
      </c>
      <c r="FL211">
        <v>0.27184999999999349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42.3</v>
      </c>
      <c r="FU211">
        <v>42.5</v>
      </c>
      <c r="FV211">
        <v>1.7626999999999999</v>
      </c>
      <c r="FW211">
        <v>2.5964399999999999</v>
      </c>
      <c r="FX211">
        <v>1.5490699999999999</v>
      </c>
      <c r="FY211">
        <v>2.3303199999999999</v>
      </c>
      <c r="FZ211">
        <v>1.50146</v>
      </c>
      <c r="GA211">
        <v>2.31812</v>
      </c>
      <c r="GB211">
        <v>33.941299999999998</v>
      </c>
      <c r="GC211">
        <v>23.973700000000001</v>
      </c>
      <c r="GD211">
        <v>19</v>
      </c>
      <c r="GE211">
        <v>271.15800000000002</v>
      </c>
      <c r="GF211">
        <v>576.75699999999995</v>
      </c>
      <c r="GG211">
        <v>23.1708</v>
      </c>
      <c r="GH211">
        <v>26.177900000000001</v>
      </c>
      <c r="GI211">
        <v>30.0001</v>
      </c>
      <c r="GJ211">
        <v>26.312799999999999</v>
      </c>
      <c r="GK211">
        <v>26.295100000000001</v>
      </c>
      <c r="GL211">
        <v>35.235500000000002</v>
      </c>
      <c r="GM211">
        <v>100</v>
      </c>
      <c r="GN211">
        <v>9.4257200000000001</v>
      </c>
      <c r="GO211">
        <v>23.180499999999999</v>
      </c>
      <c r="GP211">
        <v>800</v>
      </c>
      <c r="GQ211">
        <v>0</v>
      </c>
      <c r="GR211">
        <v>99.779700000000005</v>
      </c>
      <c r="GS211">
        <v>99.653700000000001</v>
      </c>
    </row>
    <row r="212" spans="1:201" x14ac:dyDescent="0.25">
      <c r="A212">
        <v>196</v>
      </c>
      <c r="B212">
        <v>1690305869.5999999</v>
      </c>
      <c r="C212">
        <v>2119.599999904633</v>
      </c>
      <c r="D212" t="s">
        <v>723</v>
      </c>
      <c r="E212" t="s">
        <v>724</v>
      </c>
      <c r="F212" t="s">
        <v>330</v>
      </c>
      <c r="H212">
        <v>1690305869.5999999</v>
      </c>
      <c r="I212">
        <f t="shared" si="90"/>
        <v>2.1767984980221315E-3</v>
      </c>
      <c r="J212">
        <f t="shared" si="91"/>
        <v>2.1767984980221313</v>
      </c>
      <c r="K212">
        <f t="shared" si="92"/>
        <v>33.12243022535003</v>
      </c>
      <c r="L212">
        <f t="shared" si="93"/>
        <v>425.66399999999999</v>
      </c>
      <c r="M212">
        <f t="shared" si="94"/>
        <v>112.90580210262972</v>
      </c>
      <c r="N212">
        <f t="shared" si="95"/>
        <v>11.216536811055674</v>
      </c>
      <c r="O212">
        <f t="shared" si="96"/>
        <v>42.287250400128002</v>
      </c>
      <c r="P212">
        <f t="shared" si="97"/>
        <v>0.17943881447892476</v>
      </c>
      <c r="Q212">
        <f t="shared" si="98"/>
        <v>2.0982084566354868</v>
      </c>
      <c r="R212">
        <f t="shared" si="99"/>
        <v>0.17132860713649348</v>
      </c>
      <c r="S212">
        <f t="shared" si="100"/>
        <v>0.1077784992371642</v>
      </c>
      <c r="T212">
        <f t="shared" si="101"/>
        <v>276.11376322012671</v>
      </c>
      <c r="U212">
        <f t="shared" si="102"/>
        <v>26.926221949423333</v>
      </c>
      <c r="V212">
        <f t="shared" si="103"/>
        <v>26.926221949423333</v>
      </c>
      <c r="W212">
        <f t="shared" si="104"/>
        <v>3.5636798947793422</v>
      </c>
      <c r="X212">
        <f t="shared" si="105"/>
        <v>71.486712674992702</v>
      </c>
      <c r="Y212">
        <f t="shared" si="106"/>
        <v>2.3389698263082006</v>
      </c>
      <c r="Z212">
        <f t="shared" si="107"/>
        <v>3.2718945084831308</v>
      </c>
      <c r="AA212">
        <f t="shared" si="108"/>
        <v>1.2247100684711416</v>
      </c>
      <c r="AB212">
        <f t="shared" si="109"/>
        <v>-95.996813762776</v>
      </c>
      <c r="AC212">
        <f t="shared" si="110"/>
        <v>-163.54937546372506</v>
      </c>
      <c r="AD212">
        <f t="shared" si="111"/>
        <v>-16.688341770522655</v>
      </c>
      <c r="AE212">
        <f t="shared" si="112"/>
        <v>-0.12076777689699725</v>
      </c>
      <c r="AF212">
        <v>7</v>
      </c>
      <c r="AG212">
        <v>2</v>
      </c>
      <c r="AH212">
        <f t="shared" si="113"/>
        <v>1</v>
      </c>
      <c r="AI212">
        <f t="shared" si="114"/>
        <v>0</v>
      </c>
      <c r="AJ212">
        <f t="shared" si="115"/>
        <v>52671.933132386679</v>
      </c>
      <c r="AK212">
        <f t="shared" si="116"/>
        <v>1799.99</v>
      </c>
      <c r="AL212">
        <f t="shared" si="117"/>
        <v>1499.1046129947699</v>
      </c>
      <c r="AM212">
        <f t="shared" si="118"/>
        <v>0.832840523</v>
      </c>
      <c r="AN212">
        <f t="shared" si="119"/>
        <v>0.15339738733</v>
      </c>
      <c r="AO212">
        <v>33</v>
      </c>
      <c r="AP212">
        <v>0.5</v>
      </c>
      <c r="AQ212" t="s">
        <v>331</v>
      </c>
      <c r="AR212">
        <v>2</v>
      </c>
      <c r="AS212">
        <v>1690305869.5999999</v>
      </c>
      <c r="AT212">
        <v>425.66399999999999</v>
      </c>
      <c r="AU212">
        <v>800.01099999999997</v>
      </c>
      <c r="AV212">
        <v>23.5441</v>
      </c>
      <c r="AW212">
        <v>0.175071</v>
      </c>
      <c r="AX212">
        <v>425.64100000000002</v>
      </c>
      <c r="AY212">
        <v>23.272300000000001</v>
      </c>
      <c r="AZ212">
        <v>300.154</v>
      </c>
      <c r="BA212">
        <v>99.244200000000006</v>
      </c>
      <c r="BB212">
        <v>0.10000199999999999</v>
      </c>
      <c r="BC212">
        <v>25.480399999999999</v>
      </c>
      <c r="BD212">
        <v>26.986999999999998</v>
      </c>
      <c r="BE212">
        <v>26.559000000000001</v>
      </c>
      <c r="BF212">
        <v>0</v>
      </c>
      <c r="BG212">
        <v>0</v>
      </c>
      <c r="BH212">
        <v>9985.6200000000008</v>
      </c>
      <c r="BI212">
        <v>1058.19</v>
      </c>
      <c r="BJ212">
        <v>1.5137799999999999</v>
      </c>
      <c r="BK212">
        <v>-374.346</v>
      </c>
      <c r="BL212">
        <v>435.928</v>
      </c>
      <c r="BM212">
        <v>800.15099999999995</v>
      </c>
      <c r="BN212">
        <v>23.3691</v>
      </c>
      <c r="BO212">
        <v>800.01099999999997</v>
      </c>
      <c r="BP212">
        <v>0.175071</v>
      </c>
      <c r="BQ212">
        <v>2.3366199999999999</v>
      </c>
      <c r="BR212">
        <v>1.7374799999999999E-2</v>
      </c>
      <c r="BS212">
        <v>19.931100000000001</v>
      </c>
      <c r="BT212">
        <v>-40.771799999999999</v>
      </c>
      <c r="BU212">
        <v>1799.99</v>
      </c>
      <c r="BV212">
        <v>0.91000400000000004</v>
      </c>
      <c r="BW212">
        <v>3.3994099999999999E-2</v>
      </c>
      <c r="BX212">
        <v>2.2001400000000001E-2</v>
      </c>
      <c r="BY212">
        <v>3.4000099999999998E-2</v>
      </c>
      <c r="BZ212">
        <v>26</v>
      </c>
      <c r="CA212">
        <v>33528.300000000003</v>
      </c>
      <c r="CB212">
        <v>1690303320.5</v>
      </c>
      <c r="CC212" t="s">
        <v>332</v>
      </c>
      <c r="CD212">
        <v>1690303320.5</v>
      </c>
      <c r="CE212">
        <v>1690303310.0999999</v>
      </c>
      <c r="CF212">
        <v>8</v>
      </c>
      <c r="CG212">
        <v>7.3999999999999996E-2</v>
      </c>
      <c r="CH212">
        <v>-0.01</v>
      </c>
      <c r="CI212">
        <v>-0.24199999999999999</v>
      </c>
      <c r="CJ212">
        <v>0.27200000000000002</v>
      </c>
      <c r="CK212">
        <v>800</v>
      </c>
      <c r="CL212">
        <v>23</v>
      </c>
      <c r="CM212">
        <v>0.06</v>
      </c>
      <c r="CN212">
        <v>0.09</v>
      </c>
      <c r="CO212">
        <v>-373.89585</v>
      </c>
      <c r="CP212">
        <v>-2.0219887429641239</v>
      </c>
      <c r="CQ212">
        <v>0.2038597005295596</v>
      </c>
      <c r="CR212">
        <v>-1</v>
      </c>
      <c r="CS212">
        <v>23.344357500000001</v>
      </c>
      <c r="CT212">
        <v>0.13569343339582421</v>
      </c>
      <c r="CU212">
        <v>1.326412242668139E-2</v>
      </c>
      <c r="CV212">
        <v>-1</v>
      </c>
      <c r="CW212">
        <v>0</v>
      </c>
      <c r="CX212">
        <v>0</v>
      </c>
      <c r="CY212" t="s">
        <v>333</v>
      </c>
      <c r="CZ212">
        <v>2.3646400000000001</v>
      </c>
      <c r="DA212">
        <v>2.7137799999999999</v>
      </c>
      <c r="DB212">
        <v>9.3945799999999996E-2</v>
      </c>
      <c r="DC212">
        <v>0.14622399999999999</v>
      </c>
      <c r="DD212">
        <v>0.112279</v>
      </c>
      <c r="DE212">
        <v>1.47484E-3</v>
      </c>
      <c r="DF212">
        <v>33096.400000000001</v>
      </c>
      <c r="DG212">
        <v>27537</v>
      </c>
      <c r="DH212">
        <v>31183.9</v>
      </c>
      <c r="DI212">
        <v>28104.6</v>
      </c>
      <c r="DJ212">
        <v>37581.5</v>
      </c>
      <c r="DK212">
        <v>39917.1</v>
      </c>
      <c r="DL212">
        <v>44381.5</v>
      </c>
      <c r="DM212">
        <v>42601.5</v>
      </c>
      <c r="DN212">
        <v>1.4490000000000001</v>
      </c>
      <c r="DO212">
        <v>2.0292500000000002</v>
      </c>
      <c r="DP212">
        <v>0.14705199999999999</v>
      </c>
      <c r="DQ212">
        <v>0.13055700000000001</v>
      </c>
      <c r="DR212">
        <v>24.577400000000001</v>
      </c>
      <c r="DS212">
        <v>24.418600000000001</v>
      </c>
      <c r="DT212">
        <v>23</v>
      </c>
      <c r="DU212">
        <v>29.5</v>
      </c>
      <c r="DV212">
        <v>9.5930800000000005</v>
      </c>
      <c r="DW212">
        <v>61.753100000000003</v>
      </c>
      <c r="DX212">
        <v>36.674700000000001</v>
      </c>
      <c r="DY212">
        <v>1</v>
      </c>
      <c r="DZ212">
        <v>-9.4263200000000005E-2</v>
      </c>
      <c r="EA212">
        <v>0.51972200000000002</v>
      </c>
      <c r="EB212">
        <v>20.188400000000001</v>
      </c>
      <c r="EC212">
        <v>5.2411000000000003</v>
      </c>
      <c r="ED212">
        <v>12.039899999999999</v>
      </c>
      <c r="EE212">
        <v>5.0171999999999999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1.8689199999999999</v>
      </c>
      <c r="EL212">
        <v>1.86463</v>
      </c>
      <c r="EM212">
        <v>1.8692</v>
      </c>
      <c r="EN212">
        <v>1.8672800000000001</v>
      </c>
      <c r="EO212">
        <v>1.8633999999999999</v>
      </c>
      <c r="EP212">
        <v>1.8644700000000001</v>
      </c>
      <c r="EQ212">
        <v>1.8702000000000001</v>
      </c>
      <c r="ER212">
        <v>1.8694500000000001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2.3E-2</v>
      </c>
      <c r="FG212">
        <v>0.27179999999999999</v>
      </c>
      <c r="FH212">
        <v>0.30965466913576151</v>
      </c>
      <c r="FI212">
        <v>-6.1462078757559423E-4</v>
      </c>
      <c r="FJ212">
        <v>-1.8861989874597051E-7</v>
      </c>
      <c r="FK212">
        <v>1.1980462299894961E-10</v>
      </c>
      <c r="FL212">
        <v>0.27184999999999349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42.5</v>
      </c>
      <c r="FU212">
        <v>42.7</v>
      </c>
      <c r="FV212">
        <v>1.7626999999999999</v>
      </c>
      <c r="FW212">
        <v>2.5952099999999998</v>
      </c>
      <c r="FX212">
        <v>1.5490699999999999</v>
      </c>
      <c r="FY212">
        <v>2.3303199999999999</v>
      </c>
      <c r="FZ212">
        <v>1.50146</v>
      </c>
      <c r="GA212">
        <v>2.2778299999999998</v>
      </c>
      <c r="GB212">
        <v>33.941299999999998</v>
      </c>
      <c r="GC212">
        <v>23.973700000000001</v>
      </c>
      <c r="GD212">
        <v>19</v>
      </c>
      <c r="GE212">
        <v>271.29199999999997</v>
      </c>
      <c r="GF212">
        <v>576.84299999999996</v>
      </c>
      <c r="GG212">
        <v>23.2256</v>
      </c>
      <c r="GH212">
        <v>26.180199999999999</v>
      </c>
      <c r="GI212">
        <v>30.0002</v>
      </c>
      <c r="GJ212">
        <v>26.312899999999999</v>
      </c>
      <c r="GK212">
        <v>26.2973</v>
      </c>
      <c r="GL212">
        <v>35.234099999999998</v>
      </c>
      <c r="GM212">
        <v>100</v>
      </c>
      <c r="GN212">
        <v>9.0472599999999996</v>
      </c>
      <c r="GO212">
        <v>23.2242</v>
      </c>
      <c r="GP212">
        <v>800</v>
      </c>
      <c r="GQ212">
        <v>0</v>
      </c>
      <c r="GR212">
        <v>99.780299999999997</v>
      </c>
      <c r="GS212">
        <v>99.6554</v>
      </c>
    </row>
    <row r="213" spans="1:201" x14ac:dyDescent="0.25">
      <c r="A213">
        <v>197</v>
      </c>
      <c r="B213">
        <v>1690305879.5999999</v>
      </c>
      <c r="C213">
        <v>2129.599999904633</v>
      </c>
      <c r="D213" t="s">
        <v>725</v>
      </c>
      <c r="E213" t="s">
        <v>726</v>
      </c>
      <c r="F213" t="s">
        <v>330</v>
      </c>
      <c r="H213">
        <v>1690305879.5999999</v>
      </c>
      <c r="I213">
        <f t="shared" si="90"/>
        <v>2.1793705523568191E-3</v>
      </c>
      <c r="J213">
        <f t="shared" si="91"/>
        <v>2.179370552356819</v>
      </c>
      <c r="K213">
        <f t="shared" si="92"/>
        <v>33.154254162264465</v>
      </c>
      <c r="L213">
        <f t="shared" si="93"/>
        <v>425.3</v>
      </c>
      <c r="M213">
        <f t="shared" si="94"/>
        <v>112.93876903955822</v>
      </c>
      <c r="N213">
        <f t="shared" si="95"/>
        <v>11.219780375180655</v>
      </c>
      <c r="O213">
        <f t="shared" si="96"/>
        <v>42.250970451899995</v>
      </c>
      <c r="P213">
        <f t="shared" si="97"/>
        <v>0.17985173371343799</v>
      </c>
      <c r="Q213">
        <f t="shared" si="98"/>
        <v>2.0989851825283514</v>
      </c>
      <c r="R213">
        <f t="shared" si="99"/>
        <v>0.17170793612041496</v>
      </c>
      <c r="S213">
        <f t="shared" si="100"/>
        <v>0.10801841483403642</v>
      </c>
      <c r="T213">
        <f t="shared" si="101"/>
        <v>276.11515731600002</v>
      </c>
      <c r="U213">
        <f t="shared" si="102"/>
        <v>26.931428305770329</v>
      </c>
      <c r="V213">
        <f t="shared" si="103"/>
        <v>26.931428305770329</v>
      </c>
      <c r="W213">
        <f t="shared" si="104"/>
        <v>3.5647703505440194</v>
      </c>
      <c r="X213">
        <f t="shared" si="105"/>
        <v>71.531332684334032</v>
      </c>
      <c r="Y213">
        <f t="shared" si="106"/>
        <v>2.3413475116562998</v>
      </c>
      <c r="Z213">
        <f t="shared" si="107"/>
        <v>3.2731775346457024</v>
      </c>
      <c r="AA213">
        <f t="shared" si="108"/>
        <v>1.2234228388877195</v>
      </c>
      <c r="AB213">
        <f t="shared" si="109"/>
        <v>-96.110241358935724</v>
      </c>
      <c r="AC213">
        <f t="shared" si="110"/>
        <v>-163.45221363819732</v>
      </c>
      <c r="AD213">
        <f t="shared" si="111"/>
        <v>-16.673242336301723</v>
      </c>
      <c r="AE213">
        <f t="shared" si="112"/>
        <v>-0.12054001743473464</v>
      </c>
      <c r="AF213">
        <v>7</v>
      </c>
      <c r="AG213">
        <v>2</v>
      </c>
      <c r="AH213">
        <f t="shared" si="113"/>
        <v>1</v>
      </c>
      <c r="AI213">
        <f t="shared" si="114"/>
        <v>0</v>
      </c>
      <c r="AJ213">
        <f t="shared" si="115"/>
        <v>52705.424649983783</v>
      </c>
      <c r="AK213">
        <f t="shared" si="116"/>
        <v>1800</v>
      </c>
      <c r="AL213">
        <f t="shared" si="117"/>
        <v>1499.1133536</v>
      </c>
      <c r="AM213">
        <f t="shared" si="118"/>
        <v>0.83284075199999996</v>
      </c>
      <c r="AN213">
        <f t="shared" si="119"/>
        <v>0.15339730962000001</v>
      </c>
      <c r="AO213">
        <v>33</v>
      </c>
      <c r="AP213">
        <v>0.5</v>
      </c>
      <c r="AQ213" t="s">
        <v>331</v>
      </c>
      <c r="AR213">
        <v>2</v>
      </c>
      <c r="AS213">
        <v>1690305879.5999999</v>
      </c>
      <c r="AT213">
        <v>425.3</v>
      </c>
      <c r="AU213">
        <v>799.96400000000006</v>
      </c>
      <c r="AV213">
        <v>23.568100000000001</v>
      </c>
      <c r="AW213">
        <v>0.174294</v>
      </c>
      <c r="AX213">
        <v>425.27600000000001</v>
      </c>
      <c r="AY213">
        <v>23.296199999999999</v>
      </c>
      <c r="AZ213">
        <v>300.18299999999999</v>
      </c>
      <c r="BA213">
        <v>99.243899999999996</v>
      </c>
      <c r="BB213">
        <v>0.100023</v>
      </c>
      <c r="BC213">
        <v>25.486999999999998</v>
      </c>
      <c r="BD213">
        <v>26.946100000000001</v>
      </c>
      <c r="BE213">
        <v>26.592099999999999</v>
      </c>
      <c r="BF213">
        <v>0</v>
      </c>
      <c r="BG213">
        <v>0</v>
      </c>
      <c r="BH213">
        <v>9992.5</v>
      </c>
      <c r="BI213">
        <v>1058.22</v>
      </c>
      <c r="BJ213">
        <v>1.5137799999999999</v>
      </c>
      <c r="BK213">
        <v>-374.66399999999999</v>
      </c>
      <c r="BL213">
        <v>435.565</v>
      </c>
      <c r="BM213">
        <v>800.10299999999995</v>
      </c>
      <c r="BN213">
        <v>23.393799999999999</v>
      </c>
      <c r="BO213">
        <v>799.96400000000006</v>
      </c>
      <c r="BP213">
        <v>0.174294</v>
      </c>
      <c r="BQ213">
        <v>2.3389799999999998</v>
      </c>
      <c r="BR213">
        <v>1.72976E-2</v>
      </c>
      <c r="BS213">
        <v>19.947399999999998</v>
      </c>
      <c r="BT213">
        <v>-40.814100000000003</v>
      </c>
      <c r="BU213">
        <v>1800</v>
      </c>
      <c r="BV213">
        <v>0.91000700000000001</v>
      </c>
      <c r="BW213">
        <v>3.3993000000000002E-2</v>
      </c>
      <c r="BX213">
        <v>2.2000599999999999E-2</v>
      </c>
      <c r="BY213">
        <v>3.3999000000000001E-2</v>
      </c>
      <c r="BZ213">
        <v>26</v>
      </c>
      <c r="CA213">
        <v>33528.5</v>
      </c>
      <c r="CB213">
        <v>1690303320.5</v>
      </c>
      <c r="CC213" t="s">
        <v>332</v>
      </c>
      <c r="CD213">
        <v>1690303320.5</v>
      </c>
      <c r="CE213">
        <v>1690303310.0999999</v>
      </c>
      <c r="CF213">
        <v>8</v>
      </c>
      <c r="CG213">
        <v>7.3999999999999996E-2</v>
      </c>
      <c r="CH213">
        <v>-0.01</v>
      </c>
      <c r="CI213">
        <v>-0.24199999999999999</v>
      </c>
      <c r="CJ213">
        <v>0.27200000000000002</v>
      </c>
      <c r="CK213">
        <v>800</v>
      </c>
      <c r="CL213">
        <v>23</v>
      </c>
      <c r="CM213">
        <v>0.06</v>
      </c>
      <c r="CN213">
        <v>0.09</v>
      </c>
      <c r="CO213">
        <v>-374.26740000000001</v>
      </c>
      <c r="CP213">
        <v>-2.337996247654321</v>
      </c>
      <c r="CQ213">
        <v>0.23006344777039031</v>
      </c>
      <c r="CR213">
        <v>-1</v>
      </c>
      <c r="CS213">
        <v>23.368255000000001</v>
      </c>
      <c r="CT213">
        <v>0.14870318949344391</v>
      </c>
      <c r="CU213">
        <v>1.4489219268131889E-2</v>
      </c>
      <c r="CV213">
        <v>-1</v>
      </c>
      <c r="CW213">
        <v>0</v>
      </c>
      <c r="CX213">
        <v>0</v>
      </c>
      <c r="CY213" t="s">
        <v>333</v>
      </c>
      <c r="CZ213">
        <v>2.3647499999999999</v>
      </c>
      <c r="DA213">
        <v>2.7138100000000001</v>
      </c>
      <c r="DB213">
        <v>9.3884400000000007E-2</v>
      </c>
      <c r="DC213">
        <v>0.14621799999999999</v>
      </c>
      <c r="DD213">
        <v>0.11236</v>
      </c>
      <c r="DE213">
        <v>1.4683599999999999E-3</v>
      </c>
      <c r="DF213">
        <v>33098.1</v>
      </c>
      <c r="DG213">
        <v>27536.5</v>
      </c>
      <c r="DH213">
        <v>31183.4</v>
      </c>
      <c r="DI213">
        <v>28103.9</v>
      </c>
      <c r="DJ213">
        <v>37577.4</v>
      </c>
      <c r="DK213">
        <v>39916.6</v>
      </c>
      <c r="DL213">
        <v>44380.7</v>
      </c>
      <c r="DM213">
        <v>42600.7</v>
      </c>
      <c r="DN213">
        <v>1.4494499999999999</v>
      </c>
      <c r="DO213">
        <v>2.02935</v>
      </c>
      <c r="DP213">
        <v>0.14433299999999999</v>
      </c>
      <c r="DQ213">
        <v>0.1323</v>
      </c>
      <c r="DR213">
        <v>24.5809</v>
      </c>
      <c r="DS213">
        <v>24.423200000000001</v>
      </c>
      <c r="DT213">
        <v>22.8</v>
      </c>
      <c r="DU213">
        <v>29.5</v>
      </c>
      <c r="DV213">
        <v>9.5114300000000007</v>
      </c>
      <c r="DW213">
        <v>61.773099999999999</v>
      </c>
      <c r="DX213">
        <v>36.486400000000003</v>
      </c>
      <c r="DY213">
        <v>1</v>
      </c>
      <c r="DZ213">
        <v>-9.4253000000000003E-2</v>
      </c>
      <c r="EA213">
        <v>0.52671599999999996</v>
      </c>
      <c r="EB213">
        <v>20.188400000000001</v>
      </c>
      <c r="EC213">
        <v>5.2411000000000003</v>
      </c>
      <c r="ED213">
        <v>12.039899999999999</v>
      </c>
      <c r="EE213">
        <v>5.0169499999999996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1.8689100000000001</v>
      </c>
      <c r="EL213">
        <v>1.8646199999999999</v>
      </c>
      <c r="EM213">
        <v>1.8692</v>
      </c>
      <c r="EN213">
        <v>1.8672500000000001</v>
      </c>
      <c r="EO213">
        <v>1.8633999999999999</v>
      </c>
      <c r="EP213">
        <v>1.8644700000000001</v>
      </c>
      <c r="EQ213">
        <v>1.87018</v>
      </c>
      <c r="ER213">
        <v>1.8694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2.4E-2</v>
      </c>
      <c r="FG213">
        <v>0.27189999999999998</v>
      </c>
      <c r="FH213">
        <v>0.30965466913576151</v>
      </c>
      <c r="FI213">
        <v>-6.1462078757559423E-4</v>
      </c>
      <c r="FJ213">
        <v>-1.8861989874597051E-7</v>
      </c>
      <c r="FK213">
        <v>1.1980462299894961E-10</v>
      </c>
      <c r="FL213">
        <v>0.27184999999999349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42.7</v>
      </c>
      <c r="FU213">
        <v>42.8</v>
      </c>
      <c r="FV213">
        <v>1.7626999999999999</v>
      </c>
      <c r="FW213">
        <v>2.5939899999999998</v>
      </c>
      <c r="FX213">
        <v>1.5490699999999999</v>
      </c>
      <c r="FY213">
        <v>2.3303199999999999</v>
      </c>
      <c r="FZ213">
        <v>1.50146</v>
      </c>
      <c r="GA213">
        <v>2.2900399999999999</v>
      </c>
      <c r="GB213">
        <v>33.918700000000001</v>
      </c>
      <c r="GC213">
        <v>23.982399999999998</v>
      </c>
      <c r="GD213">
        <v>19</v>
      </c>
      <c r="GE213">
        <v>271.488</v>
      </c>
      <c r="GF213">
        <v>576.92399999999998</v>
      </c>
      <c r="GG213">
        <v>23.243200000000002</v>
      </c>
      <c r="GH213">
        <v>26.180399999999999</v>
      </c>
      <c r="GI213">
        <v>30.0001</v>
      </c>
      <c r="GJ213">
        <v>26.315100000000001</v>
      </c>
      <c r="GK213">
        <v>26.2973</v>
      </c>
      <c r="GL213">
        <v>35.2346</v>
      </c>
      <c r="GM213">
        <v>100</v>
      </c>
      <c r="GN213">
        <v>8.6710799999999999</v>
      </c>
      <c r="GO213">
        <v>23.2484</v>
      </c>
      <c r="GP213">
        <v>800</v>
      </c>
      <c r="GQ213">
        <v>0</v>
      </c>
      <c r="GR213">
        <v>99.778499999999994</v>
      </c>
      <c r="GS213">
        <v>99.653400000000005</v>
      </c>
    </row>
    <row r="214" spans="1:201" x14ac:dyDescent="0.25">
      <c r="A214">
        <v>198</v>
      </c>
      <c r="B214">
        <v>1690305889.5999999</v>
      </c>
      <c r="C214">
        <v>2139.599999904633</v>
      </c>
      <c r="D214" t="s">
        <v>727</v>
      </c>
      <c r="E214" t="s">
        <v>728</v>
      </c>
      <c r="F214" t="s">
        <v>330</v>
      </c>
      <c r="H214">
        <v>1690305889.5999999</v>
      </c>
      <c r="I214">
        <f t="shared" si="90"/>
        <v>2.1814890203659537E-3</v>
      </c>
      <c r="J214">
        <f t="shared" si="91"/>
        <v>2.1814890203659538</v>
      </c>
      <c r="K214">
        <f t="shared" si="92"/>
        <v>33.178516225979081</v>
      </c>
      <c r="L214">
        <f t="shared" si="93"/>
        <v>425.04399999999998</v>
      </c>
      <c r="M214">
        <f t="shared" si="94"/>
        <v>112.98165603903769</v>
      </c>
      <c r="N214">
        <f t="shared" si="95"/>
        <v>11.223550789636251</v>
      </c>
      <c r="O214">
        <f t="shared" si="96"/>
        <v>42.22369443922679</v>
      </c>
      <c r="P214">
        <f t="shared" si="97"/>
        <v>0.18015863125286055</v>
      </c>
      <c r="Q214">
        <f t="shared" si="98"/>
        <v>2.1015517766531016</v>
      </c>
      <c r="R214">
        <f t="shared" si="99"/>
        <v>0.17199718865127714</v>
      </c>
      <c r="S214">
        <f t="shared" si="100"/>
        <v>0.10820070223168342</v>
      </c>
      <c r="T214">
        <f t="shared" si="101"/>
        <v>276.1151947919999</v>
      </c>
      <c r="U214">
        <f t="shared" si="102"/>
        <v>26.93596855643991</v>
      </c>
      <c r="V214">
        <f t="shared" si="103"/>
        <v>26.93596855643991</v>
      </c>
      <c r="W214">
        <f t="shared" si="104"/>
        <v>3.5657215302188927</v>
      </c>
      <c r="X214">
        <f t="shared" si="105"/>
        <v>71.559876161038261</v>
      </c>
      <c r="Y214">
        <f t="shared" si="106"/>
        <v>2.3432419918205398</v>
      </c>
      <c r="Z214">
        <f t="shared" si="107"/>
        <v>3.2745193501275924</v>
      </c>
      <c r="AA214">
        <f t="shared" si="108"/>
        <v>1.2224795383983529</v>
      </c>
      <c r="AB214">
        <f t="shared" si="109"/>
        <v>-96.203665798138559</v>
      </c>
      <c r="AC214">
        <f t="shared" si="110"/>
        <v>-163.3847225966187</v>
      </c>
      <c r="AD214">
        <f t="shared" si="111"/>
        <v>-16.646957799275167</v>
      </c>
      <c r="AE214">
        <f t="shared" si="112"/>
        <v>-0.12015140203254759</v>
      </c>
      <c r="AF214">
        <v>7</v>
      </c>
      <c r="AG214">
        <v>2</v>
      </c>
      <c r="AH214">
        <f t="shared" si="113"/>
        <v>1</v>
      </c>
      <c r="AI214">
        <f t="shared" si="114"/>
        <v>0</v>
      </c>
      <c r="AJ214">
        <f t="shared" si="115"/>
        <v>52818.758554367298</v>
      </c>
      <c r="AK214">
        <f t="shared" si="116"/>
        <v>1800</v>
      </c>
      <c r="AL214">
        <f t="shared" si="117"/>
        <v>1499.1141852000001</v>
      </c>
      <c r="AM214">
        <f t="shared" si="118"/>
        <v>0.832841214</v>
      </c>
      <c r="AN214">
        <f t="shared" si="119"/>
        <v>0.15339733043999995</v>
      </c>
      <c r="AO214">
        <v>33</v>
      </c>
      <c r="AP214">
        <v>0.5</v>
      </c>
      <c r="AQ214" t="s">
        <v>331</v>
      </c>
      <c r="AR214">
        <v>2</v>
      </c>
      <c r="AS214">
        <v>1690305889.5999999</v>
      </c>
      <c r="AT214">
        <v>425.04399999999998</v>
      </c>
      <c r="AU214">
        <v>799.96100000000001</v>
      </c>
      <c r="AV214">
        <v>23.588200000000001</v>
      </c>
      <c r="AW214">
        <v>0.17322799999999999</v>
      </c>
      <c r="AX214">
        <v>425.02100000000002</v>
      </c>
      <c r="AY214">
        <v>23.316400000000002</v>
      </c>
      <c r="AZ214">
        <v>300.197</v>
      </c>
      <c r="BA214">
        <v>99.239599999999996</v>
      </c>
      <c r="BB214">
        <v>9.9984699999999996E-2</v>
      </c>
      <c r="BC214">
        <v>25.4939</v>
      </c>
      <c r="BD214">
        <v>27.016200000000001</v>
      </c>
      <c r="BE214">
        <v>26.578199999999999</v>
      </c>
      <c r="BF214">
        <v>0</v>
      </c>
      <c r="BG214">
        <v>0</v>
      </c>
      <c r="BH214">
        <v>10015.6</v>
      </c>
      <c r="BI214">
        <v>1058.2</v>
      </c>
      <c r="BJ214">
        <v>1.5137799999999999</v>
      </c>
      <c r="BK214">
        <v>-374.91699999999997</v>
      </c>
      <c r="BL214">
        <v>435.31200000000001</v>
      </c>
      <c r="BM214">
        <v>800.09900000000005</v>
      </c>
      <c r="BN214">
        <v>23.414999999999999</v>
      </c>
      <c r="BO214">
        <v>799.96100000000001</v>
      </c>
      <c r="BP214">
        <v>0.17322799999999999</v>
      </c>
      <c r="BQ214">
        <v>2.3408899999999999</v>
      </c>
      <c r="BR214">
        <v>1.7191000000000001E-2</v>
      </c>
      <c r="BS214">
        <v>19.9605</v>
      </c>
      <c r="BT214">
        <v>-40.872700000000002</v>
      </c>
      <c r="BU214">
        <v>1800</v>
      </c>
      <c r="BV214">
        <v>0.91000899999999996</v>
      </c>
      <c r="BW214">
        <v>3.3992399999999999E-2</v>
      </c>
      <c r="BX214">
        <v>2.2000200000000001E-2</v>
      </c>
      <c r="BY214">
        <v>3.3998399999999998E-2</v>
      </c>
      <c r="BZ214">
        <v>26</v>
      </c>
      <c r="CA214">
        <v>33528.400000000001</v>
      </c>
      <c r="CB214">
        <v>1690303320.5</v>
      </c>
      <c r="CC214" t="s">
        <v>332</v>
      </c>
      <c r="CD214">
        <v>1690303320.5</v>
      </c>
      <c r="CE214">
        <v>1690303310.0999999</v>
      </c>
      <c r="CF214">
        <v>8</v>
      </c>
      <c r="CG214">
        <v>7.3999999999999996E-2</v>
      </c>
      <c r="CH214">
        <v>-0.01</v>
      </c>
      <c r="CI214">
        <v>-0.24199999999999999</v>
      </c>
      <c r="CJ214">
        <v>0.27200000000000002</v>
      </c>
      <c r="CK214">
        <v>800</v>
      </c>
      <c r="CL214">
        <v>23</v>
      </c>
      <c r="CM214">
        <v>0.06</v>
      </c>
      <c r="CN214">
        <v>0.09</v>
      </c>
      <c r="CO214">
        <v>-374.62843902439022</v>
      </c>
      <c r="CP214">
        <v>-1.613038327527027</v>
      </c>
      <c r="CQ214">
        <v>0.1636367256739511</v>
      </c>
      <c r="CR214">
        <v>-1</v>
      </c>
      <c r="CS214">
        <v>23.39175853658536</v>
      </c>
      <c r="CT214">
        <v>0.12620696864117709</v>
      </c>
      <c r="CU214">
        <v>1.261222743155411E-2</v>
      </c>
      <c r="CV214">
        <v>-1</v>
      </c>
      <c r="CW214">
        <v>0</v>
      </c>
      <c r="CX214">
        <v>0</v>
      </c>
      <c r="CY214" t="s">
        <v>333</v>
      </c>
      <c r="CZ214">
        <v>2.3647900000000002</v>
      </c>
      <c r="DA214">
        <v>2.7137899999999999</v>
      </c>
      <c r="DB214">
        <v>9.3838000000000005E-2</v>
      </c>
      <c r="DC214">
        <v>0.14621100000000001</v>
      </c>
      <c r="DD214">
        <v>0.112423</v>
      </c>
      <c r="DE214">
        <v>1.4594E-3</v>
      </c>
      <c r="DF214">
        <v>33099.5</v>
      </c>
      <c r="DG214">
        <v>27536.7</v>
      </c>
      <c r="DH214">
        <v>31183.1</v>
      </c>
      <c r="DI214">
        <v>28103.9</v>
      </c>
      <c r="DJ214">
        <v>37574.300000000003</v>
      </c>
      <c r="DK214">
        <v>39916.9</v>
      </c>
      <c r="DL214">
        <v>44380.2</v>
      </c>
      <c r="DM214">
        <v>42600.6</v>
      </c>
      <c r="DN214">
        <v>1.4491000000000001</v>
      </c>
      <c r="DO214">
        <v>2.0293999999999999</v>
      </c>
      <c r="DP214">
        <v>0.14836299999999999</v>
      </c>
      <c r="DQ214">
        <v>0.13116</v>
      </c>
      <c r="DR214">
        <v>24.585100000000001</v>
      </c>
      <c r="DS214">
        <v>24.428000000000001</v>
      </c>
      <c r="DT214">
        <v>22.7</v>
      </c>
      <c r="DU214">
        <v>29.5</v>
      </c>
      <c r="DV214">
        <v>9.468</v>
      </c>
      <c r="DW214">
        <v>61.313000000000002</v>
      </c>
      <c r="DX214">
        <v>36.342100000000002</v>
      </c>
      <c r="DY214">
        <v>1</v>
      </c>
      <c r="DZ214">
        <v>-9.4049800000000003E-2</v>
      </c>
      <c r="EA214">
        <v>0.510656</v>
      </c>
      <c r="EB214">
        <v>20.188400000000001</v>
      </c>
      <c r="EC214">
        <v>5.24125</v>
      </c>
      <c r="ED214">
        <v>12.039899999999999</v>
      </c>
      <c r="EE214">
        <v>5.01715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1.8689100000000001</v>
      </c>
      <c r="EL214">
        <v>1.86463</v>
      </c>
      <c r="EM214">
        <v>1.8692</v>
      </c>
      <c r="EN214">
        <v>1.86724</v>
      </c>
      <c r="EO214">
        <v>1.8633999999999999</v>
      </c>
      <c r="EP214">
        <v>1.8644700000000001</v>
      </c>
      <c r="EQ214">
        <v>1.8701700000000001</v>
      </c>
      <c r="ER214">
        <v>1.8694299999999999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2.3E-2</v>
      </c>
      <c r="FG214">
        <v>0.27179999999999999</v>
      </c>
      <c r="FH214">
        <v>0.30965466913576151</v>
      </c>
      <c r="FI214">
        <v>-6.1462078757559423E-4</v>
      </c>
      <c r="FJ214">
        <v>-1.8861989874597051E-7</v>
      </c>
      <c r="FK214">
        <v>1.1980462299894961E-10</v>
      </c>
      <c r="FL214">
        <v>0.27184999999999349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42.8</v>
      </c>
      <c r="FU214">
        <v>43</v>
      </c>
      <c r="FV214">
        <v>1.7626999999999999</v>
      </c>
      <c r="FW214">
        <v>2.5915499999999998</v>
      </c>
      <c r="FX214">
        <v>1.5490699999999999</v>
      </c>
      <c r="FY214">
        <v>2.3315399999999999</v>
      </c>
      <c r="FZ214">
        <v>1.50146</v>
      </c>
      <c r="GA214">
        <v>2.2997999999999998</v>
      </c>
      <c r="GB214">
        <v>33.941299999999998</v>
      </c>
      <c r="GC214">
        <v>23.982399999999998</v>
      </c>
      <c r="GD214">
        <v>19</v>
      </c>
      <c r="GE214">
        <v>271.34300000000002</v>
      </c>
      <c r="GF214">
        <v>576.98900000000003</v>
      </c>
      <c r="GG214">
        <v>23.290700000000001</v>
      </c>
      <c r="GH214">
        <v>26.182400000000001</v>
      </c>
      <c r="GI214">
        <v>30.000299999999999</v>
      </c>
      <c r="GJ214">
        <v>26.315100000000001</v>
      </c>
      <c r="GK214">
        <v>26.299399999999999</v>
      </c>
      <c r="GL214">
        <v>35.234900000000003</v>
      </c>
      <c r="GM214">
        <v>100</v>
      </c>
      <c r="GN214">
        <v>7.8864599999999996</v>
      </c>
      <c r="GO214">
        <v>23.285399999999999</v>
      </c>
      <c r="GP214">
        <v>800</v>
      </c>
      <c r="GQ214">
        <v>0</v>
      </c>
      <c r="GR214">
        <v>99.777600000000007</v>
      </c>
      <c r="GS214">
        <v>99.653199999999998</v>
      </c>
    </row>
    <row r="215" spans="1:201" x14ac:dyDescent="0.25">
      <c r="A215">
        <v>199</v>
      </c>
      <c r="B215">
        <v>1690305899.5999999</v>
      </c>
      <c r="C215">
        <v>2149.599999904633</v>
      </c>
      <c r="D215" t="s">
        <v>729</v>
      </c>
      <c r="E215" t="s">
        <v>730</v>
      </c>
      <c r="F215" t="s">
        <v>330</v>
      </c>
      <c r="H215">
        <v>1690305899.5999999</v>
      </c>
      <c r="I215">
        <f t="shared" si="90"/>
        <v>2.1832107155877111E-3</v>
      </c>
      <c r="J215">
        <f t="shared" si="91"/>
        <v>2.1832107155877112</v>
      </c>
      <c r="K215">
        <f t="shared" si="92"/>
        <v>33.210411380035694</v>
      </c>
      <c r="L215">
        <f t="shared" si="93"/>
        <v>424.68299999999999</v>
      </c>
      <c r="M215">
        <f t="shared" si="94"/>
        <v>112.4097110077599</v>
      </c>
      <c r="N215">
        <f t="shared" si="95"/>
        <v>11.166901419540491</v>
      </c>
      <c r="O215">
        <f t="shared" si="96"/>
        <v>42.188465329541998</v>
      </c>
      <c r="P215">
        <f t="shared" si="97"/>
        <v>0.18022358511082853</v>
      </c>
      <c r="Q215">
        <f t="shared" si="98"/>
        <v>2.0964692664742852</v>
      </c>
      <c r="R215">
        <f t="shared" si="99"/>
        <v>0.17203756653770139</v>
      </c>
      <c r="S215">
        <f t="shared" si="100"/>
        <v>0.1082279716272615</v>
      </c>
      <c r="T215">
        <f t="shared" si="101"/>
        <v>276.115272984</v>
      </c>
      <c r="U215">
        <f t="shared" si="102"/>
        <v>26.946223145550473</v>
      </c>
      <c r="V215">
        <f t="shared" si="103"/>
        <v>26.946223145550473</v>
      </c>
      <c r="W215">
        <f t="shared" si="104"/>
        <v>3.5678706755735545</v>
      </c>
      <c r="X215">
        <f t="shared" si="105"/>
        <v>71.572197227900645</v>
      </c>
      <c r="Y215">
        <f t="shared" si="106"/>
        <v>2.3447175672998002</v>
      </c>
      <c r="Z215">
        <f t="shared" si="107"/>
        <v>3.2760173057615312</v>
      </c>
      <c r="AA215">
        <f t="shared" si="108"/>
        <v>1.2231531082737543</v>
      </c>
      <c r="AB215">
        <f t="shared" si="109"/>
        <v>-96.279592557418056</v>
      </c>
      <c r="AC215">
        <f t="shared" si="110"/>
        <v>-163.27831591302166</v>
      </c>
      <c r="AD215">
        <f t="shared" si="111"/>
        <v>-16.677948881536203</v>
      </c>
      <c r="AE215">
        <f t="shared" si="112"/>
        <v>-0.12058436797593686</v>
      </c>
      <c r="AF215">
        <v>7</v>
      </c>
      <c r="AG215">
        <v>2</v>
      </c>
      <c r="AH215">
        <f t="shared" si="113"/>
        <v>1</v>
      </c>
      <c r="AI215">
        <f t="shared" si="114"/>
        <v>0</v>
      </c>
      <c r="AJ215">
        <f t="shared" si="115"/>
        <v>52590.570116584371</v>
      </c>
      <c r="AK215">
        <f t="shared" si="116"/>
        <v>1800</v>
      </c>
      <c r="AL215">
        <f t="shared" si="117"/>
        <v>1499.1151733999998</v>
      </c>
      <c r="AM215">
        <f t="shared" si="118"/>
        <v>0.8328417629999999</v>
      </c>
      <c r="AN215">
        <f t="shared" si="119"/>
        <v>0.15339737387999999</v>
      </c>
      <c r="AO215">
        <v>33</v>
      </c>
      <c r="AP215">
        <v>0.5</v>
      </c>
      <c r="AQ215" t="s">
        <v>331</v>
      </c>
      <c r="AR215">
        <v>2</v>
      </c>
      <c r="AS215">
        <v>1690305899.5999999</v>
      </c>
      <c r="AT215">
        <v>424.68299999999999</v>
      </c>
      <c r="AU215">
        <v>799.90499999999997</v>
      </c>
      <c r="AV215">
        <v>23.602699999999999</v>
      </c>
      <c r="AW215">
        <v>0.172406</v>
      </c>
      <c r="AX215">
        <v>424.65899999999999</v>
      </c>
      <c r="AY215">
        <v>23.3308</v>
      </c>
      <c r="AZ215">
        <v>300.233</v>
      </c>
      <c r="BA215">
        <v>99.241</v>
      </c>
      <c r="BB215">
        <v>0.100074</v>
      </c>
      <c r="BC215">
        <v>25.5016</v>
      </c>
      <c r="BD215">
        <v>27.033000000000001</v>
      </c>
      <c r="BE215">
        <v>26.6035</v>
      </c>
      <c r="BF215">
        <v>0</v>
      </c>
      <c r="BG215">
        <v>0</v>
      </c>
      <c r="BH215">
        <v>9970.6200000000008</v>
      </c>
      <c r="BI215">
        <v>1058.24</v>
      </c>
      <c r="BJ215">
        <v>1.5137799999999999</v>
      </c>
      <c r="BK215">
        <v>-375.22300000000001</v>
      </c>
      <c r="BL215">
        <v>434.94900000000001</v>
      </c>
      <c r="BM215">
        <v>800.04300000000001</v>
      </c>
      <c r="BN215">
        <v>23.430299999999999</v>
      </c>
      <c r="BO215">
        <v>799.90499999999997</v>
      </c>
      <c r="BP215">
        <v>0.172406</v>
      </c>
      <c r="BQ215">
        <v>2.3423500000000002</v>
      </c>
      <c r="BR215">
        <v>1.7109699999999999E-2</v>
      </c>
      <c r="BS215">
        <v>19.970700000000001</v>
      </c>
      <c r="BT215">
        <v>-40.9178</v>
      </c>
      <c r="BU215">
        <v>1800</v>
      </c>
      <c r="BV215">
        <v>0.91001100000000001</v>
      </c>
      <c r="BW215">
        <v>3.3991800000000003E-2</v>
      </c>
      <c r="BX215">
        <v>2.1999899999999999E-2</v>
      </c>
      <c r="BY215">
        <v>3.3997800000000002E-2</v>
      </c>
      <c r="BZ215">
        <v>26</v>
      </c>
      <c r="CA215">
        <v>33528.400000000001</v>
      </c>
      <c r="CB215">
        <v>1690303320.5</v>
      </c>
      <c r="CC215" t="s">
        <v>332</v>
      </c>
      <c r="CD215">
        <v>1690303320.5</v>
      </c>
      <c r="CE215">
        <v>1690303310.0999999</v>
      </c>
      <c r="CF215">
        <v>8</v>
      </c>
      <c r="CG215">
        <v>7.3999999999999996E-2</v>
      </c>
      <c r="CH215">
        <v>-0.01</v>
      </c>
      <c r="CI215">
        <v>-0.24199999999999999</v>
      </c>
      <c r="CJ215">
        <v>0.27200000000000002</v>
      </c>
      <c r="CK215">
        <v>800</v>
      </c>
      <c r="CL215">
        <v>23</v>
      </c>
      <c r="CM215">
        <v>0.06</v>
      </c>
      <c r="CN215">
        <v>0.09</v>
      </c>
      <c r="CO215">
        <v>-374.90912500000002</v>
      </c>
      <c r="CP215">
        <v>-1.629782363977099</v>
      </c>
      <c r="CQ215">
        <v>0.16321491774651209</v>
      </c>
      <c r="CR215">
        <v>-1</v>
      </c>
      <c r="CS215">
        <v>23.412600000000001</v>
      </c>
      <c r="CT215">
        <v>0.128663414634058</v>
      </c>
      <c r="CU215">
        <v>1.2497419733689039E-2</v>
      </c>
      <c r="CV215">
        <v>-1</v>
      </c>
      <c r="CW215">
        <v>0</v>
      </c>
      <c r="CX215">
        <v>0</v>
      </c>
      <c r="CY215" t="s">
        <v>333</v>
      </c>
      <c r="CZ215">
        <v>2.3649100000000001</v>
      </c>
      <c r="DA215">
        <v>2.7138399999999998</v>
      </c>
      <c r="DB215">
        <v>9.3778500000000001E-2</v>
      </c>
      <c r="DC215">
        <v>0.146206</v>
      </c>
      <c r="DD215">
        <v>0.112473</v>
      </c>
      <c r="DE215">
        <v>1.45257E-3</v>
      </c>
      <c r="DF215">
        <v>33101.5</v>
      </c>
      <c r="DG215">
        <v>27536.5</v>
      </c>
      <c r="DH215">
        <v>31183</v>
      </c>
      <c r="DI215">
        <v>28103.599999999999</v>
      </c>
      <c r="DJ215">
        <v>37572</v>
      </c>
      <c r="DK215">
        <v>39916.9</v>
      </c>
      <c r="DL215">
        <v>44380.1</v>
      </c>
      <c r="DM215">
        <v>42600.3</v>
      </c>
      <c r="DN215">
        <v>1.4490000000000001</v>
      </c>
      <c r="DO215">
        <v>2.0292500000000002</v>
      </c>
      <c r="DP215">
        <v>0.149146</v>
      </c>
      <c r="DQ215">
        <v>0.13233700000000001</v>
      </c>
      <c r="DR215">
        <v>24.589099999999998</v>
      </c>
      <c r="DS215">
        <v>24.434000000000001</v>
      </c>
      <c r="DT215">
        <v>22.5</v>
      </c>
      <c r="DU215">
        <v>29.5</v>
      </c>
      <c r="DV215">
        <v>9.3845799999999997</v>
      </c>
      <c r="DW215">
        <v>61.843000000000004</v>
      </c>
      <c r="DX215">
        <v>36.234000000000002</v>
      </c>
      <c r="DY215">
        <v>1</v>
      </c>
      <c r="DZ215">
        <v>-9.3323199999999995E-2</v>
      </c>
      <c r="EA215">
        <v>0.76421300000000003</v>
      </c>
      <c r="EB215">
        <v>20.187100000000001</v>
      </c>
      <c r="EC215">
        <v>5.24125</v>
      </c>
      <c r="ED215">
        <v>12.039899999999999</v>
      </c>
      <c r="EE215">
        <v>5.0171000000000001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1.8689100000000001</v>
      </c>
      <c r="EL215">
        <v>1.8646199999999999</v>
      </c>
      <c r="EM215">
        <v>1.8692</v>
      </c>
      <c r="EN215">
        <v>1.8672500000000001</v>
      </c>
      <c r="EO215">
        <v>1.8633999999999999</v>
      </c>
      <c r="EP215">
        <v>1.8644700000000001</v>
      </c>
      <c r="EQ215">
        <v>1.87018</v>
      </c>
      <c r="ER215">
        <v>1.8694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2.4E-2</v>
      </c>
      <c r="FG215">
        <v>0.27189999999999998</v>
      </c>
      <c r="FH215">
        <v>0.30965466913576151</v>
      </c>
      <c r="FI215">
        <v>-6.1462078757559423E-4</v>
      </c>
      <c r="FJ215">
        <v>-1.8861989874597051E-7</v>
      </c>
      <c r="FK215">
        <v>1.1980462299894961E-10</v>
      </c>
      <c r="FL215">
        <v>0.27184999999999349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43</v>
      </c>
      <c r="FU215">
        <v>43.2</v>
      </c>
      <c r="FV215">
        <v>1.7626999999999999</v>
      </c>
      <c r="FW215">
        <v>2.5915499999999998</v>
      </c>
      <c r="FX215">
        <v>1.5490699999999999</v>
      </c>
      <c r="FY215">
        <v>2.3315399999999999</v>
      </c>
      <c r="FZ215">
        <v>1.50146</v>
      </c>
      <c r="GA215">
        <v>2.34741</v>
      </c>
      <c r="GB215">
        <v>33.941299999999998</v>
      </c>
      <c r="GC215">
        <v>23.991199999999999</v>
      </c>
      <c r="GD215">
        <v>19</v>
      </c>
      <c r="GE215">
        <v>271.31099999999998</v>
      </c>
      <c r="GF215">
        <v>576.86699999999996</v>
      </c>
      <c r="GG215">
        <v>23.202400000000001</v>
      </c>
      <c r="GH215">
        <v>26.1846</v>
      </c>
      <c r="GI215">
        <v>30.000399999999999</v>
      </c>
      <c r="GJ215">
        <v>26.3172</v>
      </c>
      <c r="GK215">
        <v>26.299399999999999</v>
      </c>
      <c r="GL215">
        <v>35.238100000000003</v>
      </c>
      <c r="GM215">
        <v>100</v>
      </c>
      <c r="GN215">
        <v>7.4947900000000001</v>
      </c>
      <c r="GO215">
        <v>23.198899999999998</v>
      </c>
      <c r="GP215">
        <v>800</v>
      </c>
      <c r="GQ215">
        <v>0</v>
      </c>
      <c r="GR215">
        <v>99.777199999999993</v>
      </c>
      <c r="GS215">
        <v>99.652199999999993</v>
      </c>
    </row>
    <row r="216" spans="1:201" x14ac:dyDescent="0.25">
      <c r="A216">
        <v>200</v>
      </c>
      <c r="B216">
        <v>1690305909.5999999</v>
      </c>
      <c r="C216">
        <v>2159.599999904633</v>
      </c>
      <c r="D216" t="s">
        <v>731</v>
      </c>
      <c r="E216" t="s">
        <v>732</v>
      </c>
      <c r="F216" t="s">
        <v>330</v>
      </c>
      <c r="H216">
        <v>1690305909.5999999</v>
      </c>
      <c r="I216">
        <f t="shared" si="90"/>
        <v>2.1834732386656884E-3</v>
      </c>
      <c r="J216">
        <f t="shared" si="91"/>
        <v>2.1834732386656883</v>
      </c>
      <c r="K216">
        <f t="shared" si="92"/>
        <v>33.247861093458319</v>
      </c>
      <c r="L216">
        <f t="shared" si="93"/>
        <v>424.31200000000001</v>
      </c>
      <c r="M216">
        <f t="shared" si="94"/>
        <v>112.37035687321547</v>
      </c>
      <c r="N216">
        <f t="shared" si="95"/>
        <v>11.162681458252466</v>
      </c>
      <c r="O216">
        <f t="shared" si="96"/>
        <v>42.150437417032002</v>
      </c>
      <c r="P216">
        <f t="shared" si="97"/>
        <v>0.18061390640527569</v>
      </c>
      <c r="Q216">
        <f t="shared" si="98"/>
        <v>2.1007675507067418</v>
      </c>
      <c r="R216">
        <f t="shared" si="99"/>
        <v>0.1724092593449662</v>
      </c>
      <c r="S216">
        <f t="shared" si="100"/>
        <v>0.10846187939599772</v>
      </c>
      <c r="T216">
        <f t="shared" si="101"/>
        <v>276.11361198496689</v>
      </c>
      <c r="U216">
        <f t="shared" si="102"/>
        <v>26.936142574735726</v>
      </c>
      <c r="V216">
        <f t="shared" si="103"/>
        <v>26.936142574735726</v>
      </c>
      <c r="W216">
        <f t="shared" si="104"/>
        <v>3.5657579913512105</v>
      </c>
      <c r="X216">
        <f t="shared" si="105"/>
        <v>71.615503671774576</v>
      </c>
      <c r="Y216">
        <f t="shared" si="106"/>
        <v>2.3451192431013999</v>
      </c>
      <c r="Z216">
        <f t="shared" si="107"/>
        <v>3.2745971512669385</v>
      </c>
      <c r="AA216">
        <f t="shared" si="108"/>
        <v>1.2206387482498107</v>
      </c>
      <c r="AB216">
        <f t="shared" si="109"/>
        <v>-96.291169825156857</v>
      </c>
      <c r="AC216">
        <f t="shared" si="110"/>
        <v>-163.29815919225044</v>
      </c>
      <c r="AD216">
        <f t="shared" si="111"/>
        <v>-16.644396976328046</v>
      </c>
      <c r="AE216">
        <f t="shared" si="112"/>
        <v>-0.12011400876843936</v>
      </c>
      <c r="AF216">
        <v>7</v>
      </c>
      <c r="AG216">
        <v>2</v>
      </c>
      <c r="AH216">
        <f t="shared" si="113"/>
        <v>1</v>
      </c>
      <c r="AI216">
        <f t="shared" si="114"/>
        <v>0</v>
      </c>
      <c r="AJ216">
        <f t="shared" si="115"/>
        <v>52783.611327551051</v>
      </c>
      <c r="AK216">
        <f t="shared" si="116"/>
        <v>1799.99</v>
      </c>
      <c r="AL216">
        <f t="shared" si="117"/>
        <v>1499.10630138539</v>
      </c>
      <c r="AM216">
        <f t="shared" si="118"/>
        <v>0.83284146100000001</v>
      </c>
      <c r="AN216">
        <f t="shared" si="119"/>
        <v>0.15339730330999998</v>
      </c>
      <c r="AO216">
        <v>33</v>
      </c>
      <c r="AP216">
        <v>0.5</v>
      </c>
      <c r="AQ216" t="s">
        <v>331</v>
      </c>
      <c r="AR216">
        <v>2</v>
      </c>
      <c r="AS216">
        <v>1690305909.5999999</v>
      </c>
      <c r="AT216">
        <v>424.31200000000001</v>
      </c>
      <c r="AU216">
        <v>799.98800000000006</v>
      </c>
      <c r="AV216">
        <v>23.607399999999998</v>
      </c>
      <c r="AW216">
        <v>0.17127899999999999</v>
      </c>
      <c r="AX216">
        <v>424.28800000000001</v>
      </c>
      <c r="AY216">
        <v>23.3355</v>
      </c>
      <c r="AZ216">
        <v>300.19299999999998</v>
      </c>
      <c r="BA216">
        <v>99.238299999999995</v>
      </c>
      <c r="BB216">
        <v>0.100011</v>
      </c>
      <c r="BC216">
        <v>25.494299999999999</v>
      </c>
      <c r="BD216">
        <v>26.992699999999999</v>
      </c>
      <c r="BE216">
        <v>26.589700000000001</v>
      </c>
      <c r="BF216">
        <v>0</v>
      </c>
      <c r="BG216">
        <v>0</v>
      </c>
      <c r="BH216">
        <v>10008.799999999999</v>
      </c>
      <c r="BI216">
        <v>1058.33</v>
      </c>
      <c r="BJ216">
        <v>1.5137799999999999</v>
      </c>
      <c r="BK216">
        <v>-375.67599999999999</v>
      </c>
      <c r="BL216">
        <v>434.57100000000003</v>
      </c>
      <c r="BM216">
        <v>800.125</v>
      </c>
      <c r="BN216">
        <v>23.4361</v>
      </c>
      <c r="BO216">
        <v>799.98800000000006</v>
      </c>
      <c r="BP216">
        <v>0.17127899999999999</v>
      </c>
      <c r="BQ216">
        <v>2.3427500000000001</v>
      </c>
      <c r="BR216">
        <v>1.6997399999999999E-2</v>
      </c>
      <c r="BS216">
        <v>19.973400000000002</v>
      </c>
      <c r="BT216">
        <v>-40.980200000000004</v>
      </c>
      <c r="BU216">
        <v>1799.99</v>
      </c>
      <c r="BV216">
        <v>0.91001100000000001</v>
      </c>
      <c r="BW216">
        <v>3.3991599999999997E-2</v>
      </c>
      <c r="BX216">
        <v>2.19998E-2</v>
      </c>
      <c r="BY216">
        <v>3.3997699999999999E-2</v>
      </c>
      <c r="BZ216">
        <v>26</v>
      </c>
      <c r="CA216">
        <v>33528.300000000003</v>
      </c>
      <c r="CB216">
        <v>1690303320.5</v>
      </c>
      <c r="CC216" t="s">
        <v>332</v>
      </c>
      <c r="CD216">
        <v>1690303320.5</v>
      </c>
      <c r="CE216">
        <v>1690303310.0999999</v>
      </c>
      <c r="CF216">
        <v>8</v>
      </c>
      <c r="CG216">
        <v>7.3999999999999996E-2</v>
      </c>
      <c r="CH216">
        <v>-0.01</v>
      </c>
      <c r="CI216">
        <v>-0.24199999999999999</v>
      </c>
      <c r="CJ216">
        <v>0.27200000000000002</v>
      </c>
      <c r="CK216">
        <v>800</v>
      </c>
      <c r="CL216">
        <v>23</v>
      </c>
      <c r="CM216">
        <v>0.06</v>
      </c>
      <c r="CN216">
        <v>0.09</v>
      </c>
      <c r="CO216">
        <v>-375.23677500000002</v>
      </c>
      <c r="CP216">
        <v>-2.2599737335822998</v>
      </c>
      <c r="CQ216">
        <v>0.22417955833438469</v>
      </c>
      <c r="CR216">
        <v>-1</v>
      </c>
      <c r="CS216">
        <v>23.427154999999999</v>
      </c>
      <c r="CT216">
        <v>4.571257035642555E-2</v>
      </c>
      <c r="CU216">
        <v>5.2803385308140957E-3</v>
      </c>
      <c r="CV216">
        <v>-1</v>
      </c>
      <c r="CW216">
        <v>0</v>
      </c>
      <c r="CX216">
        <v>0</v>
      </c>
      <c r="CY216" t="s">
        <v>333</v>
      </c>
      <c r="CZ216">
        <v>2.3647800000000001</v>
      </c>
      <c r="DA216">
        <v>2.7138100000000001</v>
      </c>
      <c r="DB216">
        <v>9.3714199999999998E-2</v>
      </c>
      <c r="DC216">
        <v>0.14621100000000001</v>
      </c>
      <c r="DD216">
        <v>0.112486</v>
      </c>
      <c r="DE216">
        <v>1.4431299999999999E-3</v>
      </c>
      <c r="DF216">
        <v>33104</v>
      </c>
      <c r="DG216">
        <v>27536.1</v>
      </c>
      <c r="DH216">
        <v>31183.200000000001</v>
      </c>
      <c r="DI216">
        <v>28103.3</v>
      </c>
      <c r="DJ216">
        <v>37571.699999999997</v>
      </c>
      <c r="DK216">
        <v>39916.9</v>
      </c>
      <c r="DL216">
        <v>44380.4</v>
      </c>
      <c r="DM216">
        <v>42599.9</v>
      </c>
      <c r="DN216">
        <v>1.4489300000000001</v>
      </c>
      <c r="DO216">
        <v>2.0293800000000002</v>
      </c>
      <c r="DP216">
        <v>0.14651600000000001</v>
      </c>
      <c r="DQ216">
        <v>0.13122</v>
      </c>
      <c r="DR216">
        <v>24.591899999999999</v>
      </c>
      <c r="DS216">
        <v>24.438500000000001</v>
      </c>
      <c r="DT216">
        <v>22.4</v>
      </c>
      <c r="DU216">
        <v>29.5</v>
      </c>
      <c r="DV216">
        <v>9.3438800000000004</v>
      </c>
      <c r="DW216">
        <v>61.533000000000001</v>
      </c>
      <c r="DX216">
        <v>36.694699999999997</v>
      </c>
      <c r="DY216">
        <v>1</v>
      </c>
      <c r="DZ216">
        <v>-9.3130099999999993E-2</v>
      </c>
      <c r="EA216">
        <v>0.80465399999999998</v>
      </c>
      <c r="EB216">
        <v>20.187000000000001</v>
      </c>
      <c r="EC216">
        <v>5.2406499999999996</v>
      </c>
      <c r="ED216">
        <v>12.039899999999999</v>
      </c>
      <c r="EE216">
        <v>5.0171000000000001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1.8689199999999999</v>
      </c>
      <c r="EL216">
        <v>1.8646199999999999</v>
      </c>
      <c r="EM216">
        <v>1.8692</v>
      </c>
      <c r="EN216">
        <v>1.8672500000000001</v>
      </c>
      <c r="EO216">
        <v>1.8633999999999999</v>
      </c>
      <c r="EP216">
        <v>1.8644700000000001</v>
      </c>
      <c r="EQ216">
        <v>1.8701700000000001</v>
      </c>
      <c r="ER216">
        <v>1.86941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2.4E-2</v>
      </c>
      <c r="FG216">
        <v>0.27189999999999998</v>
      </c>
      <c r="FH216">
        <v>0.30965466913576151</v>
      </c>
      <c r="FI216">
        <v>-6.1462078757559423E-4</v>
      </c>
      <c r="FJ216">
        <v>-1.8861989874597051E-7</v>
      </c>
      <c r="FK216">
        <v>1.1980462299894961E-10</v>
      </c>
      <c r="FL216">
        <v>0.27184999999999349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43.2</v>
      </c>
      <c r="FU216">
        <v>43.3</v>
      </c>
      <c r="FV216">
        <v>1.7626999999999999</v>
      </c>
      <c r="FW216">
        <v>2.5878899999999998</v>
      </c>
      <c r="FX216">
        <v>1.5490699999999999</v>
      </c>
      <c r="FY216">
        <v>2.3315399999999999</v>
      </c>
      <c r="FZ216">
        <v>1.50146</v>
      </c>
      <c r="GA216">
        <v>2.3962400000000001</v>
      </c>
      <c r="GB216">
        <v>33.941299999999998</v>
      </c>
      <c r="GC216">
        <v>23.991199999999999</v>
      </c>
      <c r="GD216">
        <v>19</v>
      </c>
      <c r="GE216">
        <v>271.27999999999997</v>
      </c>
      <c r="GF216">
        <v>576.99400000000003</v>
      </c>
      <c r="GG216">
        <v>23.1584</v>
      </c>
      <c r="GH216">
        <v>26.1846</v>
      </c>
      <c r="GI216">
        <v>30.0001</v>
      </c>
      <c r="GJ216">
        <v>26.3172</v>
      </c>
      <c r="GK216">
        <v>26.301600000000001</v>
      </c>
      <c r="GL216">
        <v>35.235300000000002</v>
      </c>
      <c r="GM216">
        <v>100</v>
      </c>
      <c r="GN216">
        <v>7.1064299999999996</v>
      </c>
      <c r="GO216">
        <v>23.1477</v>
      </c>
      <c r="GP216">
        <v>800</v>
      </c>
      <c r="GQ216">
        <v>0</v>
      </c>
      <c r="GR216">
        <v>99.777799999999999</v>
      </c>
      <c r="GS216">
        <v>99.651399999999995</v>
      </c>
    </row>
    <row r="217" spans="1:201" x14ac:dyDescent="0.25">
      <c r="A217">
        <v>201</v>
      </c>
      <c r="B217">
        <v>1690305919.5999999</v>
      </c>
      <c r="C217">
        <v>2169.599999904633</v>
      </c>
      <c r="D217" t="s">
        <v>733</v>
      </c>
      <c r="E217" t="s">
        <v>734</v>
      </c>
      <c r="F217" t="s">
        <v>330</v>
      </c>
      <c r="H217">
        <v>1690305919.5999999</v>
      </c>
      <c r="I217">
        <f t="shared" si="90"/>
        <v>2.1834535386191416E-3</v>
      </c>
      <c r="J217">
        <f t="shared" si="91"/>
        <v>2.1834535386191418</v>
      </c>
      <c r="K217">
        <f t="shared" si="92"/>
        <v>33.269485687088284</v>
      </c>
      <c r="L217">
        <f t="shared" si="93"/>
        <v>423.94799999999998</v>
      </c>
      <c r="M217">
        <f t="shared" si="94"/>
        <v>112.30481648632687</v>
      </c>
      <c r="N217">
        <f t="shared" si="95"/>
        <v>11.156285292907555</v>
      </c>
      <c r="O217">
        <f t="shared" si="96"/>
        <v>42.114710529208793</v>
      </c>
      <c r="P217">
        <f t="shared" si="97"/>
        <v>0.18092319874147766</v>
      </c>
      <c r="Q217">
        <f t="shared" si="98"/>
        <v>2.097445657169299</v>
      </c>
      <c r="R217">
        <f t="shared" si="99"/>
        <v>0.17267871649777961</v>
      </c>
      <c r="S217">
        <f t="shared" si="100"/>
        <v>0.10863362021996127</v>
      </c>
      <c r="T217">
        <f t="shared" si="101"/>
        <v>276.11512515000004</v>
      </c>
      <c r="U217">
        <f t="shared" si="102"/>
        <v>26.931444200806478</v>
      </c>
      <c r="V217">
        <f t="shared" si="103"/>
        <v>26.931444200806478</v>
      </c>
      <c r="W217">
        <f t="shared" si="104"/>
        <v>3.5647736801577441</v>
      </c>
      <c r="X217">
        <f t="shared" si="105"/>
        <v>71.672485363553434</v>
      </c>
      <c r="Y217">
        <f t="shared" si="106"/>
        <v>2.3460373671818395</v>
      </c>
      <c r="Z217">
        <f t="shared" si="107"/>
        <v>3.273274751505737</v>
      </c>
      <c r="AA217">
        <f t="shared" si="108"/>
        <v>1.2187363129759046</v>
      </c>
      <c r="AB217">
        <f t="shared" si="109"/>
        <v>-96.290301053104145</v>
      </c>
      <c r="AC217">
        <f t="shared" si="110"/>
        <v>-163.27758631612286</v>
      </c>
      <c r="AD217">
        <f t="shared" si="111"/>
        <v>-16.667697285745792</v>
      </c>
      <c r="AE217">
        <f t="shared" si="112"/>
        <v>-0.12045950497278568</v>
      </c>
      <c r="AF217">
        <v>7</v>
      </c>
      <c r="AG217">
        <v>2</v>
      </c>
      <c r="AH217">
        <f t="shared" si="113"/>
        <v>1</v>
      </c>
      <c r="AI217">
        <f t="shared" si="114"/>
        <v>0</v>
      </c>
      <c r="AJ217">
        <f t="shared" si="115"/>
        <v>52636.551488138175</v>
      </c>
      <c r="AK217">
        <f t="shared" si="116"/>
        <v>1800</v>
      </c>
      <c r="AL217">
        <f t="shared" si="117"/>
        <v>1499.112261</v>
      </c>
      <c r="AM217">
        <f t="shared" si="118"/>
        <v>0.83284014500000003</v>
      </c>
      <c r="AN217">
        <f t="shared" si="119"/>
        <v>0.15339729175000003</v>
      </c>
      <c r="AO217">
        <v>33</v>
      </c>
      <c r="AP217">
        <v>0.5</v>
      </c>
      <c r="AQ217" t="s">
        <v>331</v>
      </c>
      <c r="AR217">
        <v>2</v>
      </c>
      <c r="AS217">
        <v>1690305919.5999999</v>
      </c>
      <c r="AT217">
        <v>423.94799999999998</v>
      </c>
      <c r="AU217">
        <v>800.01700000000005</v>
      </c>
      <c r="AV217">
        <v>23.616399999999999</v>
      </c>
      <c r="AW217">
        <v>0.17047499999999999</v>
      </c>
      <c r="AX217">
        <v>423.92399999999998</v>
      </c>
      <c r="AY217">
        <v>23.3446</v>
      </c>
      <c r="AZ217">
        <v>300.06200000000001</v>
      </c>
      <c r="BA217">
        <v>99.239400000000003</v>
      </c>
      <c r="BB217">
        <v>9.9930599999999994E-2</v>
      </c>
      <c r="BC217">
        <v>25.487500000000001</v>
      </c>
      <c r="BD217">
        <v>26.964300000000001</v>
      </c>
      <c r="BE217">
        <v>26.5733</v>
      </c>
      <c r="BF217">
        <v>0</v>
      </c>
      <c r="BG217">
        <v>0</v>
      </c>
      <c r="BH217">
        <v>9979.3799999999992</v>
      </c>
      <c r="BI217">
        <v>1058.27</v>
      </c>
      <c r="BJ217">
        <v>1.5137799999999999</v>
      </c>
      <c r="BK217">
        <v>-376.06799999999998</v>
      </c>
      <c r="BL217">
        <v>434.20299999999997</v>
      </c>
      <c r="BM217">
        <v>800.15300000000002</v>
      </c>
      <c r="BN217">
        <v>23.446000000000002</v>
      </c>
      <c r="BO217">
        <v>800.01700000000005</v>
      </c>
      <c r="BP217">
        <v>0.17047499999999999</v>
      </c>
      <c r="BQ217">
        <v>2.34368</v>
      </c>
      <c r="BR217">
        <v>1.69178E-2</v>
      </c>
      <c r="BS217">
        <v>19.979800000000001</v>
      </c>
      <c r="BT217">
        <v>-41.024700000000003</v>
      </c>
      <c r="BU217">
        <v>1800</v>
      </c>
      <c r="BV217">
        <v>0.91000400000000004</v>
      </c>
      <c r="BW217">
        <v>3.40004E-2</v>
      </c>
      <c r="BX217">
        <v>2.1999000000000001E-2</v>
      </c>
      <c r="BY217">
        <v>3.3996499999999999E-2</v>
      </c>
      <c r="BZ217">
        <v>26</v>
      </c>
      <c r="CA217">
        <v>33528.400000000001</v>
      </c>
      <c r="CB217">
        <v>1690303320.5</v>
      </c>
      <c r="CC217" t="s">
        <v>332</v>
      </c>
      <c r="CD217">
        <v>1690303320.5</v>
      </c>
      <c r="CE217">
        <v>1690303310.0999999</v>
      </c>
      <c r="CF217">
        <v>8</v>
      </c>
      <c r="CG217">
        <v>7.3999999999999996E-2</v>
      </c>
      <c r="CH217">
        <v>-0.01</v>
      </c>
      <c r="CI217">
        <v>-0.24199999999999999</v>
      </c>
      <c r="CJ217">
        <v>0.27200000000000002</v>
      </c>
      <c r="CK217">
        <v>800</v>
      </c>
      <c r="CL217">
        <v>23</v>
      </c>
      <c r="CM217">
        <v>0.06</v>
      </c>
      <c r="CN217">
        <v>0.09</v>
      </c>
      <c r="CO217">
        <v>-375.64682926829272</v>
      </c>
      <c r="CP217">
        <v>-2.71237630661994</v>
      </c>
      <c r="CQ217">
        <v>0.26913582593534963</v>
      </c>
      <c r="CR217">
        <v>-1</v>
      </c>
      <c r="CS217">
        <v>23.43457317073171</v>
      </c>
      <c r="CT217">
        <v>4.3519860627246339E-2</v>
      </c>
      <c r="CU217">
        <v>4.5750129622765716E-3</v>
      </c>
      <c r="CV217">
        <v>-1</v>
      </c>
      <c r="CW217">
        <v>0</v>
      </c>
      <c r="CX217">
        <v>0</v>
      </c>
      <c r="CY217" t="s">
        <v>333</v>
      </c>
      <c r="CZ217">
        <v>2.36436</v>
      </c>
      <c r="DA217">
        <v>2.7136999999999998</v>
      </c>
      <c r="DB217">
        <v>9.3654000000000001E-2</v>
      </c>
      <c r="DC217">
        <v>0.14621600000000001</v>
      </c>
      <c r="DD217">
        <v>0.11251700000000001</v>
      </c>
      <c r="DE217">
        <v>1.43644E-3</v>
      </c>
      <c r="DF217">
        <v>33106.6</v>
      </c>
      <c r="DG217">
        <v>27536.3</v>
      </c>
      <c r="DH217">
        <v>31183.5</v>
      </c>
      <c r="DI217">
        <v>28103.7</v>
      </c>
      <c r="DJ217">
        <v>37570.5</v>
      </c>
      <c r="DK217">
        <v>39917.9</v>
      </c>
      <c r="DL217">
        <v>44380.6</v>
      </c>
      <c r="DM217">
        <v>42600.7</v>
      </c>
      <c r="DN217">
        <v>1.44878</v>
      </c>
      <c r="DO217">
        <v>2.0292699999999999</v>
      </c>
      <c r="DP217">
        <v>0.144623</v>
      </c>
      <c r="DQ217">
        <v>0.13005</v>
      </c>
      <c r="DR217">
        <v>24.5944</v>
      </c>
      <c r="DS217">
        <v>24.441199999999998</v>
      </c>
      <c r="DT217">
        <v>22.2</v>
      </c>
      <c r="DU217">
        <v>29.5</v>
      </c>
      <c r="DV217">
        <v>9.2613199999999996</v>
      </c>
      <c r="DW217">
        <v>61.823</v>
      </c>
      <c r="DX217">
        <v>37.035299999999999</v>
      </c>
      <c r="DY217">
        <v>1</v>
      </c>
      <c r="DZ217">
        <v>-9.3419699999999994E-2</v>
      </c>
      <c r="EA217">
        <v>0.586955</v>
      </c>
      <c r="EB217">
        <v>20.187899999999999</v>
      </c>
      <c r="EC217">
        <v>5.2411000000000003</v>
      </c>
      <c r="ED217">
        <v>12.039899999999999</v>
      </c>
      <c r="EE217">
        <v>5.0168499999999998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1.8689100000000001</v>
      </c>
      <c r="EL217">
        <v>1.8646199999999999</v>
      </c>
      <c r="EM217">
        <v>1.8692</v>
      </c>
      <c r="EN217">
        <v>1.86724</v>
      </c>
      <c r="EO217">
        <v>1.8633999999999999</v>
      </c>
      <c r="EP217">
        <v>1.8644700000000001</v>
      </c>
      <c r="EQ217">
        <v>1.87019</v>
      </c>
      <c r="ER217">
        <v>1.8694500000000001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2.4E-2</v>
      </c>
      <c r="FG217">
        <v>0.27179999999999999</v>
      </c>
      <c r="FH217">
        <v>0.30965466913576151</v>
      </c>
      <c r="FI217">
        <v>-6.1462078757559423E-4</v>
      </c>
      <c r="FJ217">
        <v>-1.8861989874597051E-7</v>
      </c>
      <c r="FK217">
        <v>1.1980462299894961E-10</v>
      </c>
      <c r="FL217">
        <v>0.27184999999999349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43.3</v>
      </c>
      <c r="FU217">
        <v>43.5</v>
      </c>
      <c r="FV217">
        <v>1.7626999999999999</v>
      </c>
      <c r="FW217">
        <v>2.5891099999999998</v>
      </c>
      <c r="FX217">
        <v>1.5490699999999999</v>
      </c>
      <c r="FY217">
        <v>2.3315399999999999</v>
      </c>
      <c r="FZ217">
        <v>1.50146</v>
      </c>
      <c r="GA217">
        <v>2.3950200000000001</v>
      </c>
      <c r="GB217">
        <v>33.941299999999998</v>
      </c>
      <c r="GC217">
        <v>23.991199999999999</v>
      </c>
      <c r="GD217">
        <v>19</v>
      </c>
      <c r="GE217">
        <v>271.22699999999998</v>
      </c>
      <c r="GF217">
        <v>576.91200000000003</v>
      </c>
      <c r="GG217">
        <v>23.1431</v>
      </c>
      <c r="GH217">
        <v>26.186800000000002</v>
      </c>
      <c r="GI217">
        <v>29.9999</v>
      </c>
      <c r="GJ217">
        <v>26.319500000000001</v>
      </c>
      <c r="GK217">
        <v>26.301600000000001</v>
      </c>
      <c r="GL217">
        <v>35.235500000000002</v>
      </c>
      <c r="GM217">
        <v>100</v>
      </c>
      <c r="GN217">
        <v>6.7245200000000001</v>
      </c>
      <c r="GO217">
        <v>23.168199999999999</v>
      </c>
      <c r="GP217">
        <v>800</v>
      </c>
      <c r="GQ217">
        <v>0</v>
      </c>
      <c r="GR217">
        <v>99.778599999999997</v>
      </c>
      <c r="GS217">
        <v>99.653000000000006</v>
      </c>
    </row>
    <row r="218" spans="1:201" x14ac:dyDescent="0.25">
      <c r="A218">
        <v>202</v>
      </c>
      <c r="B218">
        <v>1690305929.5999999</v>
      </c>
      <c r="C218">
        <v>2179.599999904633</v>
      </c>
      <c r="D218" t="s">
        <v>735</v>
      </c>
      <c r="E218" t="s">
        <v>736</v>
      </c>
      <c r="F218" t="s">
        <v>330</v>
      </c>
      <c r="H218">
        <v>1690305929.5999999</v>
      </c>
      <c r="I218">
        <f t="shared" si="90"/>
        <v>2.1852922307496543E-3</v>
      </c>
      <c r="J218">
        <f t="shared" si="91"/>
        <v>2.1852922307496545</v>
      </c>
      <c r="K218">
        <f t="shared" si="92"/>
        <v>33.281579014977574</v>
      </c>
      <c r="L218">
        <f t="shared" si="93"/>
        <v>423.83699999999999</v>
      </c>
      <c r="M218">
        <f t="shared" si="94"/>
        <v>112.73501941297522</v>
      </c>
      <c r="N218">
        <f t="shared" si="95"/>
        <v>11.199098519510249</v>
      </c>
      <c r="O218">
        <f t="shared" si="96"/>
        <v>42.103973937554997</v>
      </c>
      <c r="P218">
        <f t="shared" si="97"/>
        <v>0.1813123672347435</v>
      </c>
      <c r="Q218">
        <f t="shared" si="98"/>
        <v>2.1004247200114263</v>
      </c>
      <c r="R218">
        <f t="shared" si="99"/>
        <v>0.17304441791795397</v>
      </c>
      <c r="S218">
        <f t="shared" si="100"/>
        <v>0.10886418107561391</v>
      </c>
      <c r="T218">
        <f t="shared" si="101"/>
        <v>276.11521468199999</v>
      </c>
      <c r="U218">
        <f t="shared" si="102"/>
        <v>26.931131968740978</v>
      </c>
      <c r="V218">
        <f t="shared" si="103"/>
        <v>26.931131968740978</v>
      </c>
      <c r="W218">
        <f t="shared" si="104"/>
        <v>3.5647082758227522</v>
      </c>
      <c r="X218">
        <f t="shared" si="105"/>
        <v>71.708523816612797</v>
      </c>
      <c r="Y218">
        <f t="shared" si="106"/>
        <v>2.3475237624679997</v>
      </c>
      <c r="Z218">
        <f t="shared" si="107"/>
        <v>3.2737025356588729</v>
      </c>
      <c r="AA218">
        <f t="shared" si="108"/>
        <v>1.2171845133547525</v>
      </c>
      <c r="AB218">
        <f t="shared" si="109"/>
        <v>-96.371387376059758</v>
      </c>
      <c r="AC218">
        <f t="shared" si="110"/>
        <v>-163.22501382348409</v>
      </c>
      <c r="AD218">
        <f t="shared" si="111"/>
        <v>-16.638855285166596</v>
      </c>
      <c r="AE218">
        <f t="shared" si="112"/>
        <v>-0.12004180271046039</v>
      </c>
      <c r="AF218">
        <v>7</v>
      </c>
      <c r="AG218">
        <v>2</v>
      </c>
      <c r="AH218">
        <f t="shared" si="113"/>
        <v>1</v>
      </c>
      <c r="AI218">
        <f t="shared" si="114"/>
        <v>0</v>
      </c>
      <c r="AJ218">
        <f t="shared" si="115"/>
        <v>52769.145144822469</v>
      </c>
      <c r="AK218">
        <f t="shared" si="116"/>
        <v>1800</v>
      </c>
      <c r="AL218">
        <f t="shared" si="117"/>
        <v>1499.1120071999999</v>
      </c>
      <c r="AM218">
        <f t="shared" si="118"/>
        <v>0.83284000399999991</v>
      </c>
      <c r="AN218">
        <f t="shared" si="119"/>
        <v>0.15339734149000001</v>
      </c>
      <c r="AO218">
        <v>33</v>
      </c>
      <c r="AP218">
        <v>0.5</v>
      </c>
      <c r="AQ218" t="s">
        <v>331</v>
      </c>
      <c r="AR218">
        <v>2</v>
      </c>
      <c r="AS218">
        <v>1690305929.5999999</v>
      </c>
      <c r="AT218">
        <v>423.83699999999999</v>
      </c>
      <c r="AU218">
        <v>799.99099999999999</v>
      </c>
      <c r="AV218">
        <v>23.6312</v>
      </c>
      <c r="AW218">
        <v>0.16924900000000001</v>
      </c>
      <c r="AX218">
        <v>423.81299999999999</v>
      </c>
      <c r="AY218">
        <v>23.359300000000001</v>
      </c>
      <c r="AZ218">
        <v>300.10500000000002</v>
      </c>
      <c r="BA218">
        <v>99.24</v>
      </c>
      <c r="BB218">
        <v>0.10001500000000001</v>
      </c>
      <c r="BC218">
        <v>25.489699999999999</v>
      </c>
      <c r="BD218">
        <v>26.985199999999999</v>
      </c>
      <c r="BE218">
        <v>26.577400000000001</v>
      </c>
      <c r="BF218">
        <v>0</v>
      </c>
      <c r="BG218">
        <v>0</v>
      </c>
      <c r="BH218">
        <v>10005.6</v>
      </c>
      <c r="BI218">
        <v>1058.21</v>
      </c>
      <c r="BJ218">
        <v>1.5137799999999999</v>
      </c>
      <c r="BK218">
        <v>-376.154</v>
      </c>
      <c r="BL218">
        <v>434.09500000000003</v>
      </c>
      <c r="BM218">
        <v>800.12699999999995</v>
      </c>
      <c r="BN218">
        <v>23.4619</v>
      </c>
      <c r="BO218">
        <v>799.99099999999999</v>
      </c>
      <c r="BP218">
        <v>0.16924900000000001</v>
      </c>
      <c r="BQ218">
        <v>2.3451599999999999</v>
      </c>
      <c r="BR218">
        <v>1.67963E-2</v>
      </c>
      <c r="BS218">
        <v>19.989999999999998</v>
      </c>
      <c r="BT218">
        <v>-41.0931</v>
      </c>
      <c r="BU218">
        <v>1800</v>
      </c>
      <c r="BV218">
        <v>0.91000199999999998</v>
      </c>
      <c r="BW218">
        <v>3.4003400000000003E-2</v>
      </c>
      <c r="BX218">
        <v>2.19987E-2</v>
      </c>
      <c r="BY218">
        <v>3.3996100000000001E-2</v>
      </c>
      <c r="BZ218">
        <v>26</v>
      </c>
      <c r="CA218">
        <v>33528.400000000001</v>
      </c>
      <c r="CB218">
        <v>1690303320.5</v>
      </c>
      <c r="CC218" t="s">
        <v>332</v>
      </c>
      <c r="CD218">
        <v>1690303320.5</v>
      </c>
      <c r="CE218">
        <v>1690303310.0999999</v>
      </c>
      <c r="CF218">
        <v>8</v>
      </c>
      <c r="CG218">
        <v>7.3999999999999996E-2</v>
      </c>
      <c r="CH218">
        <v>-0.01</v>
      </c>
      <c r="CI218">
        <v>-0.24199999999999999</v>
      </c>
      <c r="CJ218">
        <v>0.27200000000000002</v>
      </c>
      <c r="CK218">
        <v>800</v>
      </c>
      <c r="CL218">
        <v>23</v>
      </c>
      <c r="CM218">
        <v>0.06</v>
      </c>
      <c r="CN218">
        <v>0.09</v>
      </c>
      <c r="CO218">
        <v>-376.00273170731703</v>
      </c>
      <c r="CP218">
        <v>-1.860857142857713</v>
      </c>
      <c r="CQ218">
        <v>0.19419578056633299</v>
      </c>
      <c r="CR218">
        <v>-1</v>
      </c>
      <c r="CS218">
        <v>23.445673170731709</v>
      </c>
      <c r="CT218">
        <v>8.6032055749203723E-2</v>
      </c>
      <c r="CU218">
        <v>8.7438068505169535E-3</v>
      </c>
      <c r="CV218">
        <v>-1</v>
      </c>
      <c r="CW218">
        <v>0</v>
      </c>
      <c r="CX218">
        <v>0</v>
      </c>
      <c r="CY218" t="s">
        <v>333</v>
      </c>
      <c r="CZ218">
        <v>2.36449</v>
      </c>
      <c r="DA218">
        <v>2.7138100000000001</v>
      </c>
      <c r="DB218">
        <v>9.36361E-2</v>
      </c>
      <c r="DC218">
        <v>0.14621400000000001</v>
      </c>
      <c r="DD218">
        <v>0.112568</v>
      </c>
      <c r="DE218">
        <v>1.42622E-3</v>
      </c>
      <c r="DF218">
        <v>33107.4</v>
      </c>
      <c r="DG218">
        <v>27536.3</v>
      </c>
      <c r="DH218">
        <v>31183.7</v>
      </c>
      <c r="DI218">
        <v>28103.7</v>
      </c>
      <c r="DJ218">
        <v>37568.5</v>
      </c>
      <c r="DK218">
        <v>39918.1</v>
      </c>
      <c r="DL218">
        <v>44380.800000000003</v>
      </c>
      <c r="DM218">
        <v>42600.4</v>
      </c>
      <c r="DN218">
        <v>1.4492</v>
      </c>
      <c r="DO218">
        <v>2.0292699999999999</v>
      </c>
      <c r="DP218">
        <v>0.14571799999999999</v>
      </c>
      <c r="DQ218">
        <v>0.13011700000000001</v>
      </c>
      <c r="DR218">
        <v>24.5974</v>
      </c>
      <c r="DS218">
        <v>24.444299999999998</v>
      </c>
      <c r="DT218">
        <v>22.1</v>
      </c>
      <c r="DU218">
        <v>29.5</v>
      </c>
      <c r="DV218">
        <v>9.2190499999999993</v>
      </c>
      <c r="DW218">
        <v>61.933</v>
      </c>
      <c r="DX218">
        <v>37.335700000000003</v>
      </c>
      <c r="DY218">
        <v>1</v>
      </c>
      <c r="DZ218">
        <v>-9.3544199999999994E-2</v>
      </c>
      <c r="EA218">
        <v>0.55366800000000005</v>
      </c>
      <c r="EB218">
        <v>20.188500000000001</v>
      </c>
      <c r="EC218">
        <v>5.24125</v>
      </c>
      <c r="ED218">
        <v>12.039899999999999</v>
      </c>
      <c r="EE218">
        <v>5.01715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1.8689100000000001</v>
      </c>
      <c r="EL218">
        <v>1.8646199999999999</v>
      </c>
      <c r="EM218">
        <v>1.8692</v>
      </c>
      <c r="EN218">
        <v>1.8672299999999999</v>
      </c>
      <c r="EO218">
        <v>1.8633999999999999</v>
      </c>
      <c r="EP218">
        <v>1.8644700000000001</v>
      </c>
      <c r="EQ218">
        <v>1.87019</v>
      </c>
      <c r="ER218">
        <v>1.8694200000000001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2.4E-2</v>
      </c>
      <c r="FG218">
        <v>0.27189999999999998</v>
      </c>
      <c r="FH218">
        <v>0.30965466913576151</v>
      </c>
      <c r="FI218">
        <v>-6.1462078757559423E-4</v>
      </c>
      <c r="FJ218">
        <v>-1.8861989874597051E-7</v>
      </c>
      <c r="FK218">
        <v>1.1980462299894961E-10</v>
      </c>
      <c r="FL218">
        <v>0.27184999999999349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43.5</v>
      </c>
      <c r="FU218">
        <v>43.7</v>
      </c>
      <c r="FV218">
        <v>1.7626999999999999</v>
      </c>
      <c r="FW218">
        <v>2.5903299999999998</v>
      </c>
      <c r="FX218">
        <v>1.5490699999999999</v>
      </c>
      <c r="FY218">
        <v>2.3315399999999999</v>
      </c>
      <c r="FZ218">
        <v>1.50146</v>
      </c>
      <c r="GA218">
        <v>2.3815900000000001</v>
      </c>
      <c r="GB218">
        <v>33.941299999999998</v>
      </c>
      <c r="GC218">
        <v>23.982399999999998</v>
      </c>
      <c r="GD218">
        <v>19</v>
      </c>
      <c r="GE218">
        <v>271.404</v>
      </c>
      <c r="GF218">
        <v>576.93700000000001</v>
      </c>
      <c r="GG218">
        <v>23.194400000000002</v>
      </c>
      <c r="GH218">
        <v>26.188700000000001</v>
      </c>
      <c r="GI218">
        <v>30.0002</v>
      </c>
      <c r="GJ218">
        <v>26.319500000000001</v>
      </c>
      <c r="GK218">
        <v>26.303899999999999</v>
      </c>
      <c r="GL218">
        <v>35.236199999999997</v>
      </c>
      <c r="GM218">
        <v>100</v>
      </c>
      <c r="GN218">
        <v>5.9682500000000003</v>
      </c>
      <c r="GO218">
        <v>23.197500000000002</v>
      </c>
      <c r="GP218">
        <v>800</v>
      </c>
      <c r="GQ218">
        <v>0</v>
      </c>
      <c r="GR218">
        <v>99.7791</v>
      </c>
      <c r="GS218">
        <v>99.652600000000007</v>
      </c>
    </row>
    <row r="219" spans="1:201" x14ac:dyDescent="0.25">
      <c r="A219">
        <v>203</v>
      </c>
      <c r="B219">
        <v>1690305939.5999999</v>
      </c>
      <c r="C219">
        <v>2189.599999904633</v>
      </c>
      <c r="D219" t="s">
        <v>737</v>
      </c>
      <c r="E219" t="s">
        <v>738</v>
      </c>
      <c r="F219" t="s">
        <v>330</v>
      </c>
      <c r="H219">
        <v>1690305939.5999999</v>
      </c>
      <c r="I219">
        <f t="shared" si="90"/>
        <v>2.1869613817406758E-3</v>
      </c>
      <c r="J219">
        <f t="shared" si="91"/>
        <v>2.1869613817406757</v>
      </c>
      <c r="K219">
        <f t="shared" si="92"/>
        <v>33.308390681661166</v>
      </c>
      <c r="L219">
        <f t="shared" si="93"/>
        <v>423.483</v>
      </c>
      <c r="M219">
        <f t="shared" si="94"/>
        <v>112.80215276373323</v>
      </c>
      <c r="N219">
        <f t="shared" si="95"/>
        <v>11.205761084018198</v>
      </c>
      <c r="O219">
        <f t="shared" si="96"/>
        <v>42.068783306669104</v>
      </c>
      <c r="P219">
        <f t="shared" si="97"/>
        <v>0.18172030977199236</v>
      </c>
      <c r="Q219">
        <f t="shared" si="98"/>
        <v>2.0999264657380499</v>
      </c>
      <c r="R219">
        <f t="shared" si="99"/>
        <v>0.17341415587630218</v>
      </c>
      <c r="S219">
        <f t="shared" si="100"/>
        <v>0.10909847981466464</v>
      </c>
      <c r="T219">
        <f t="shared" si="101"/>
        <v>276.11516624400002</v>
      </c>
      <c r="U219">
        <f t="shared" si="102"/>
        <v>26.932249860312687</v>
      </c>
      <c r="V219">
        <f t="shared" si="103"/>
        <v>26.932249860312687</v>
      </c>
      <c r="W219">
        <f t="shared" si="104"/>
        <v>3.5649424492911121</v>
      </c>
      <c r="X219">
        <f t="shared" si="105"/>
        <v>71.761080098991087</v>
      </c>
      <c r="Y219">
        <f t="shared" si="106"/>
        <v>2.34943966958385</v>
      </c>
      <c r="Z219">
        <f t="shared" si="107"/>
        <v>3.2739747873678975</v>
      </c>
      <c r="AA219">
        <f t="shared" si="108"/>
        <v>1.2155027797072622</v>
      </c>
      <c r="AB219">
        <f t="shared" si="109"/>
        <v>-96.444996934763807</v>
      </c>
      <c r="AC219">
        <f t="shared" si="110"/>
        <v>-163.15435640084326</v>
      </c>
      <c r="AD219">
        <f t="shared" si="111"/>
        <v>-16.635808776241436</v>
      </c>
      <c r="AE219">
        <f t="shared" si="112"/>
        <v>-0.1199958678485018</v>
      </c>
      <c r="AF219">
        <v>7</v>
      </c>
      <c r="AG219">
        <v>2</v>
      </c>
      <c r="AH219">
        <f t="shared" si="113"/>
        <v>1</v>
      </c>
      <c r="AI219">
        <f t="shared" si="114"/>
        <v>0</v>
      </c>
      <c r="AJ219">
        <f t="shared" si="115"/>
        <v>52746.642487219542</v>
      </c>
      <c r="AK219">
        <f t="shared" si="116"/>
        <v>1800</v>
      </c>
      <c r="AL219">
        <f t="shared" si="117"/>
        <v>1499.1104843999999</v>
      </c>
      <c r="AM219">
        <f t="shared" si="118"/>
        <v>0.83283915799999997</v>
      </c>
      <c r="AN219">
        <f t="shared" si="119"/>
        <v>0.15339731458</v>
      </c>
      <c r="AO219">
        <v>33</v>
      </c>
      <c r="AP219">
        <v>0.5</v>
      </c>
      <c r="AQ219" t="s">
        <v>331</v>
      </c>
      <c r="AR219">
        <v>2</v>
      </c>
      <c r="AS219">
        <v>1690305939.5999999</v>
      </c>
      <c r="AT219">
        <v>423.483</v>
      </c>
      <c r="AU219">
        <v>799.97500000000002</v>
      </c>
      <c r="AV219">
        <v>23.650500000000001</v>
      </c>
      <c r="AW219">
        <v>0.168354</v>
      </c>
      <c r="AX219">
        <v>423.459</v>
      </c>
      <c r="AY219">
        <v>23.378699999999998</v>
      </c>
      <c r="AZ219">
        <v>300.07</v>
      </c>
      <c r="BA219">
        <v>99.24</v>
      </c>
      <c r="BB219">
        <v>9.9957699999999997E-2</v>
      </c>
      <c r="BC219">
        <v>25.491099999999999</v>
      </c>
      <c r="BD219">
        <v>27.042200000000001</v>
      </c>
      <c r="BE219">
        <v>26.5944</v>
      </c>
      <c r="BF219">
        <v>0</v>
      </c>
      <c r="BG219">
        <v>0</v>
      </c>
      <c r="BH219">
        <v>10001.200000000001</v>
      </c>
      <c r="BI219">
        <v>1058.29</v>
      </c>
      <c r="BJ219">
        <v>1.5137799999999999</v>
      </c>
      <c r="BK219">
        <v>-376.49099999999999</v>
      </c>
      <c r="BL219">
        <v>433.74200000000002</v>
      </c>
      <c r="BM219">
        <v>800.10900000000004</v>
      </c>
      <c r="BN219">
        <v>23.482199999999999</v>
      </c>
      <c r="BO219">
        <v>799.97500000000002</v>
      </c>
      <c r="BP219">
        <v>0.168354</v>
      </c>
      <c r="BQ219">
        <v>2.3470800000000001</v>
      </c>
      <c r="BR219">
        <v>1.67075E-2</v>
      </c>
      <c r="BS219">
        <v>20.0032</v>
      </c>
      <c r="BT219">
        <v>-41.143300000000004</v>
      </c>
      <c r="BU219">
        <v>1800</v>
      </c>
      <c r="BV219">
        <v>0.90999799999999997</v>
      </c>
      <c r="BW219">
        <v>3.4007900000000001E-2</v>
      </c>
      <c r="BX219">
        <v>2.1998400000000001E-2</v>
      </c>
      <c r="BY219">
        <v>3.3995600000000001E-2</v>
      </c>
      <c r="BZ219">
        <v>26</v>
      </c>
      <c r="CA219">
        <v>33528.300000000003</v>
      </c>
      <c r="CB219">
        <v>1690303320.5</v>
      </c>
      <c r="CC219" t="s">
        <v>332</v>
      </c>
      <c r="CD219">
        <v>1690303320.5</v>
      </c>
      <c r="CE219">
        <v>1690303310.0999999</v>
      </c>
      <c r="CF219">
        <v>8</v>
      </c>
      <c r="CG219">
        <v>7.3999999999999996E-2</v>
      </c>
      <c r="CH219">
        <v>-0.01</v>
      </c>
      <c r="CI219">
        <v>-0.24199999999999999</v>
      </c>
      <c r="CJ219">
        <v>0.27200000000000002</v>
      </c>
      <c r="CK219">
        <v>800</v>
      </c>
      <c r="CL219">
        <v>23</v>
      </c>
      <c r="CM219">
        <v>0.06</v>
      </c>
      <c r="CN219">
        <v>0.09</v>
      </c>
      <c r="CO219">
        <v>-376.22304878048777</v>
      </c>
      <c r="CP219">
        <v>-1.0836585365862059</v>
      </c>
      <c r="CQ219">
        <v>0.1216275705304808</v>
      </c>
      <c r="CR219">
        <v>-1</v>
      </c>
      <c r="CS219">
        <v>23.460834146341458</v>
      </c>
      <c r="CT219">
        <v>0.1016947735191223</v>
      </c>
      <c r="CU219">
        <v>1.0128867457844489E-2</v>
      </c>
      <c r="CV219">
        <v>-1</v>
      </c>
      <c r="CW219">
        <v>0</v>
      </c>
      <c r="CX219">
        <v>0</v>
      </c>
      <c r="CY219" t="s">
        <v>333</v>
      </c>
      <c r="CZ219">
        <v>2.3643700000000001</v>
      </c>
      <c r="DA219">
        <v>2.7137500000000001</v>
      </c>
      <c r="DB219">
        <v>9.3576500000000007E-2</v>
      </c>
      <c r="DC219">
        <v>0.14621100000000001</v>
      </c>
      <c r="DD219">
        <v>0.112633</v>
      </c>
      <c r="DE219">
        <v>1.41876E-3</v>
      </c>
      <c r="DF219">
        <v>33109.4</v>
      </c>
      <c r="DG219">
        <v>27536.400000000001</v>
      </c>
      <c r="DH219">
        <v>31183.5</v>
      </c>
      <c r="DI219">
        <v>28103.7</v>
      </c>
      <c r="DJ219">
        <v>37565.800000000003</v>
      </c>
      <c r="DK219">
        <v>39918.300000000003</v>
      </c>
      <c r="DL219">
        <v>44380.800000000003</v>
      </c>
      <c r="DM219">
        <v>42600.4</v>
      </c>
      <c r="DN219">
        <v>1.44913</v>
      </c>
      <c r="DO219">
        <v>2.0294300000000001</v>
      </c>
      <c r="DP219">
        <v>0.14907100000000001</v>
      </c>
      <c r="DQ219">
        <v>0.13100400000000001</v>
      </c>
      <c r="DR219">
        <v>24.599599999999999</v>
      </c>
      <c r="DS219">
        <v>24.4468</v>
      </c>
      <c r="DT219">
        <v>22</v>
      </c>
      <c r="DU219">
        <v>29.5</v>
      </c>
      <c r="DV219">
        <v>9.1764100000000006</v>
      </c>
      <c r="DW219">
        <v>61.262999999999998</v>
      </c>
      <c r="DX219">
        <v>36.999200000000002</v>
      </c>
      <c r="DY219">
        <v>1</v>
      </c>
      <c r="DZ219">
        <v>-9.3544199999999994E-2</v>
      </c>
      <c r="EA219">
        <v>0.67039499999999996</v>
      </c>
      <c r="EB219">
        <v>20.1876</v>
      </c>
      <c r="EC219">
        <v>5.2411000000000003</v>
      </c>
      <c r="ED219">
        <v>12.039899999999999</v>
      </c>
      <c r="EE219">
        <v>5.0165499999999996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1.8689100000000001</v>
      </c>
      <c r="EL219">
        <v>1.8646199999999999</v>
      </c>
      <c r="EM219">
        <v>1.8692</v>
      </c>
      <c r="EN219">
        <v>1.8672299999999999</v>
      </c>
      <c r="EO219">
        <v>1.8633999999999999</v>
      </c>
      <c r="EP219">
        <v>1.8644700000000001</v>
      </c>
      <c r="EQ219">
        <v>1.8702000000000001</v>
      </c>
      <c r="ER219">
        <v>1.8694299999999999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2.4E-2</v>
      </c>
      <c r="FG219">
        <v>0.27179999999999999</v>
      </c>
      <c r="FH219">
        <v>0.30965466913576151</v>
      </c>
      <c r="FI219">
        <v>-6.1462078757559423E-4</v>
      </c>
      <c r="FJ219">
        <v>-1.8861989874597051E-7</v>
      </c>
      <c r="FK219">
        <v>1.1980462299894961E-10</v>
      </c>
      <c r="FL219">
        <v>0.27184999999999349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43.7</v>
      </c>
      <c r="FU219">
        <v>43.8</v>
      </c>
      <c r="FV219">
        <v>1.7626999999999999</v>
      </c>
      <c r="FW219">
        <v>2.5891099999999998</v>
      </c>
      <c r="FX219">
        <v>1.5490699999999999</v>
      </c>
      <c r="FY219">
        <v>2.3315399999999999</v>
      </c>
      <c r="FZ219">
        <v>1.50146</v>
      </c>
      <c r="GA219">
        <v>2.3278799999999999</v>
      </c>
      <c r="GB219">
        <v>33.941299999999998</v>
      </c>
      <c r="GC219">
        <v>23.982399999999998</v>
      </c>
      <c r="GD219">
        <v>19</v>
      </c>
      <c r="GE219">
        <v>271.38099999999997</v>
      </c>
      <c r="GF219">
        <v>577.05999999999995</v>
      </c>
      <c r="GG219">
        <v>23.2027</v>
      </c>
      <c r="GH219">
        <v>26.189</v>
      </c>
      <c r="GI219">
        <v>30.0001</v>
      </c>
      <c r="GJ219">
        <v>26.3217</v>
      </c>
      <c r="GK219">
        <v>26.303899999999999</v>
      </c>
      <c r="GL219">
        <v>35.238300000000002</v>
      </c>
      <c r="GM219">
        <v>100</v>
      </c>
      <c r="GN219">
        <v>5.5921000000000003</v>
      </c>
      <c r="GO219">
        <v>23.187200000000001</v>
      </c>
      <c r="GP219">
        <v>800</v>
      </c>
      <c r="GQ219">
        <v>0</v>
      </c>
      <c r="GR219">
        <v>99.778899999999993</v>
      </c>
      <c r="GS219">
        <v>99.652500000000003</v>
      </c>
    </row>
    <row r="220" spans="1:201" x14ac:dyDescent="0.25">
      <c r="A220">
        <v>204</v>
      </c>
      <c r="B220">
        <v>1690305949.5999999</v>
      </c>
      <c r="C220">
        <v>2199.599999904633</v>
      </c>
      <c r="D220" t="s">
        <v>739</v>
      </c>
      <c r="E220" t="s">
        <v>740</v>
      </c>
      <c r="F220" t="s">
        <v>330</v>
      </c>
      <c r="H220">
        <v>1690305949.5999999</v>
      </c>
      <c r="I220">
        <f t="shared" si="90"/>
        <v>2.1884639323320678E-3</v>
      </c>
      <c r="J220">
        <f t="shared" si="91"/>
        <v>2.1884639323320676</v>
      </c>
      <c r="K220">
        <f t="shared" si="92"/>
        <v>33.344725455184893</v>
      </c>
      <c r="L220">
        <f t="shared" si="93"/>
        <v>423.19200000000001</v>
      </c>
      <c r="M220">
        <f t="shared" si="94"/>
        <v>112.47554220282827</v>
      </c>
      <c r="N220">
        <f t="shared" si="95"/>
        <v>11.173098448184193</v>
      </c>
      <c r="O220">
        <f t="shared" si="96"/>
        <v>42.039058322183998</v>
      </c>
      <c r="P220">
        <f t="shared" si="97"/>
        <v>0.18190042060442407</v>
      </c>
      <c r="Q220">
        <f t="shared" si="98"/>
        <v>2.0997688546364879</v>
      </c>
      <c r="R220">
        <f t="shared" si="99"/>
        <v>0.1735776046203541</v>
      </c>
      <c r="S220">
        <f t="shared" si="100"/>
        <v>0.10920203662095711</v>
      </c>
      <c r="T220">
        <f t="shared" si="101"/>
        <v>276.11505401400001</v>
      </c>
      <c r="U220">
        <f t="shared" si="102"/>
        <v>26.936908867902325</v>
      </c>
      <c r="V220">
        <f t="shared" si="103"/>
        <v>26.936908867902325</v>
      </c>
      <c r="W220">
        <f t="shared" si="104"/>
        <v>3.5659185525740309</v>
      </c>
      <c r="X220">
        <f t="shared" si="105"/>
        <v>71.779809294288157</v>
      </c>
      <c r="Y220">
        <f t="shared" si="106"/>
        <v>2.3507648723360997</v>
      </c>
      <c r="Z220">
        <f t="shared" si="107"/>
        <v>3.2749667287332298</v>
      </c>
      <c r="AA220">
        <f t="shared" si="108"/>
        <v>1.2151536802379312</v>
      </c>
      <c r="AB220">
        <f t="shared" si="109"/>
        <v>-96.511259415844194</v>
      </c>
      <c r="AC220">
        <f t="shared" si="110"/>
        <v>-163.09218921504527</v>
      </c>
      <c r="AD220">
        <f t="shared" si="111"/>
        <v>-16.631531798028451</v>
      </c>
      <c r="AE220">
        <f t="shared" si="112"/>
        <v>-0.11992641491789868</v>
      </c>
      <c r="AF220">
        <v>7</v>
      </c>
      <c r="AG220">
        <v>2</v>
      </c>
      <c r="AH220">
        <f t="shared" si="113"/>
        <v>1</v>
      </c>
      <c r="AI220">
        <f t="shared" si="114"/>
        <v>0</v>
      </c>
      <c r="AJ220">
        <f t="shared" si="115"/>
        <v>52738.661568552634</v>
      </c>
      <c r="AK220">
        <f t="shared" si="116"/>
        <v>1800</v>
      </c>
      <c r="AL220">
        <f t="shared" si="117"/>
        <v>1499.1100163999999</v>
      </c>
      <c r="AM220">
        <f t="shared" si="118"/>
        <v>0.83283889799999999</v>
      </c>
      <c r="AN220">
        <f t="shared" si="119"/>
        <v>0.15339725223</v>
      </c>
      <c r="AO220">
        <v>33</v>
      </c>
      <c r="AP220">
        <v>0.5</v>
      </c>
      <c r="AQ220" t="s">
        <v>331</v>
      </c>
      <c r="AR220">
        <v>2</v>
      </c>
      <c r="AS220">
        <v>1690305949.5999999</v>
      </c>
      <c r="AT220">
        <v>423.19200000000001</v>
      </c>
      <c r="AU220">
        <v>800.06600000000003</v>
      </c>
      <c r="AV220">
        <v>23.664300000000001</v>
      </c>
      <c r="AW220">
        <v>0.16744899999999999</v>
      </c>
      <c r="AX220">
        <v>423.16699999999997</v>
      </c>
      <c r="AY220">
        <v>23.392399999999999</v>
      </c>
      <c r="AZ220">
        <v>300.084</v>
      </c>
      <c r="BA220">
        <v>99.238100000000003</v>
      </c>
      <c r="BB220">
        <v>9.9927000000000002E-2</v>
      </c>
      <c r="BC220">
        <v>25.496200000000002</v>
      </c>
      <c r="BD220">
        <v>27.028300000000002</v>
      </c>
      <c r="BE220">
        <v>26.591799999999999</v>
      </c>
      <c r="BF220">
        <v>0</v>
      </c>
      <c r="BG220">
        <v>0</v>
      </c>
      <c r="BH220">
        <v>10000</v>
      </c>
      <c r="BI220">
        <v>1058.3399999999999</v>
      </c>
      <c r="BJ220">
        <v>1.5137799999999999</v>
      </c>
      <c r="BK220">
        <v>-376.87400000000002</v>
      </c>
      <c r="BL220">
        <v>433.44900000000001</v>
      </c>
      <c r="BM220">
        <v>800.2</v>
      </c>
      <c r="BN220">
        <v>23.4968</v>
      </c>
      <c r="BO220">
        <v>800.06600000000003</v>
      </c>
      <c r="BP220">
        <v>0.16744899999999999</v>
      </c>
      <c r="BQ220">
        <v>2.3483999999999998</v>
      </c>
      <c r="BR220">
        <v>1.6617300000000002E-2</v>
      </c>
      <c r="BS220">
        <v>20.0123</v>
      </c>
      <c r="BT220">
        <v>-41.194499999999998</v>
      </c>
      <c r="BU220">
        <v>1800</v>
      </c>
      <c r="BV220">
        <v>0.90999799999999997</v>
      </c>
      <c r="BW220">
        <v>3.4008900000000002E-2</v>
      </c>
      <c r="BX220">
        <v>2.1997900000000001E-2</v>
      </c>
      <c r="BY220">
        <v>3.3994900000000002E-2</v>
      </c>
      <c r="BZ220">
        <v>26</v>
      </c>
      <c r="CA220">
        <v>33528.300000000003</v>
      </c>
      <c r="CB220">
        <v>1690303320.5</v>
      </c>
      <c r="CC220" t="s">
        <v>332</v>
      </c>
      <c r="CD220">
        <v>1690303320.5</v>
      </c>
      <c r="CE220">
        <v>1690303310.0999999</v>
      </c>
      <c r="CF220">
        <v>8</v>
      </c>
      <c r="CG220">
        <v>7.3999999999999996E-2</v>
      </c>
      <c r="CH220">
        <v>-0.01</v>
      </c>
      <c r="CI220">
        <v>-0.24199999999999999</v>
      </c>
      <c r="CJ220">
        <v>0.27200000000000002</v>
      </c>
      <c r="CK220">
        <v>800</v>
      </c>
      <c r="CL220">
        <v>23</v>
      </c>
      <c r="CM220">
        <v>0.06</v>
      </c>
      <c r="CN220">
        <v>0.09</v>
      </c>
      <c r="CO220">
        <v>-376.47609756097557</v>
      </c>
      <c r="CP220">
        <v>-2.2029198606278322</v>
      </c>
      <c r="CQ220">
        <v>0.22043745917762131</v>
      </c>
      <c r="CR220">
        <v>-1</v>
      </c>
      <c r="CS220">
        <v>23.479497560975609</v>
      </c>
      <c r="CT220">
        <v>0.1248020905923624</v>
      </c>
      <c r="CU220">
        <v>1.235038239370217E-2</v>
      </c>
      <c r="CV220">
        <v>-1</v>
      </c>
      <c r="CW220">
        <v>0</v>
      </c>
      <c r="CX220">
        <v>0</v>
      </c>
      <c r="CY220" t="s">
        <v>333</v>
      </c>
      <c r="CZ220">
        <v>2.3644099999999999</v>
      </c>
      <c r="DA220">
        <v>2.7137199999999999</v>
      </c>
      <c r="DB220">
        <v>9.3526200000000004E-2</v>
      </c>
      <c r="DC220">
        <v>0.14621899999999999</v>
      </c>
      <c r="DD220">
        <v>0.112677</v>
      </c>
      <c r="DE220">
        <v>1.4111799999999999E-3</v>
      </c>
      <c r="DF220">
        <v>33110.9</v>
      </c>
      <c r="DG220">
        <v>27536</v>
      </c>
      <c r="DH220">
        <v>31183.200000000001</v>
      </c>
      <c r="DI220">
        <v>28103.5</v>
      </c>
      <c r="DJ220">
        <v>37563.300000000003</v>
      </c>
      <c r="DK220">
        <v>39918.5</v>
      </c>
      <c r="DL220">
        <v>44380.2</v>
      </c>
      <c r="DM220">
        <v>42600.3</v>
      </c>
      <c r="DN220">
        <v>1.4489000000000001</v>
      </c>
      <c r="DO220">
        <v>2.02935</v>
      </c>
      <c r="DP220">
        <v>0.147976</v>
      </c>
      <c r="DQ220">
        <v>0.13072</v>
      </c>
      <c r="DR220">
        <v>24.6036</v>
      </c>
      <c r="DS220">
        <v>24.448899999999998</v>
      </c>
      <c r="DT220">
        <v>21.9</v>
      </c>
      <c r="DU220">
        <v>29.5</v>
      </c>
      <c r="DV220">
        <v>9.1347900000000006</v>
      </c>
      <c r="DW220">
        <v>61.673000000000002</v>
      </c>
      <c r="DX220">
        <v>36.674700000000001</v>
      </c>
      <c r="DY220">
        <v>1</v>
      </c>
      <c r="DZ220">
        <v>-9.28176E-2</v>
      </c>
      <c r="EA220">
        <v>0.76607800000000004</v>
      </c>
      <c r="EB220">
        <v>20.187100000000001</v>
      </c>
      <c r="EC220">
        <v>5.2411000000000003</v>
      </c>
      <c r="ED220">
        <v>12.039899999999999</v>
      </c>
      <c r="EE220">
        <v>5.0166500000000003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1.86463</v>
      </c>
      <c r="EM220">
        <v>1.8692</v>
      </c>
      <c r="EN220">
        <v>1.8672299999999999</v>
      </c>
      <c r="EO220">
        <v>1.8633999999999999</v>
      </c>
      <c r="EP220">
        <v>1.8644700000000001</v>
      </c>
      <c r="EQ220">
        <v>1.8701700000000001</v>
      </c>
      <c r="ER220">
        <v>1.8694200000000001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2.5000000000000001E-2</v>
      </c>
      <c r="FG220">
        <v>0.27189999999999998</v>
      </c>
      <c r="FH220">
        <v>0.30965466913576151</v>
      </c>
      <c r="FI220">
        <v>-6.1462078757559423E-4</v>
      </c>
      <c r="FJ220">
        <v>-1.8861989874597051E-7</v>
      </c>
      <c r="FK220">
        <v>1.1980462299894961E-10</v>
      </c>
      <c r="FL220">
        <v>0.27184999999999349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43.8</v>
      </c>
      <c r="FU220">
        <v>44</v>
      </c>
      <c r="FV220">
        <v>1.7626999999999999</v>
      </c>
      <c r="FW220">
        <v>2.5988799999999999</v>
      </c>
      <c r="FX220">
        <v>1.5490699999999999</v>
      </c>
      <c r="FY220">
        <v>2.3315399999999999</v>
      </c>
      <c r="FZ220">
        <v>1.50146</v>
      </c>
      <c r="GA220">
        <v>2.2766099999999998</v>
      </c>
      <c r="GB220">
        <v>33.941299999999998</v>
      </c>
      <c r="GC220">
        <v>23.973700000000001</v>
      </c>
      <c r="GD220">
        <v>19</v>
      </c>
      <c r="GE220">
        <v>271.28800000000001</v>
      </c>
      <c r="GF220">
        <v>577.01</v>
      </c>
      <c r="GG220">
        <v>23.150099999999998</v>
      </c>
      <c r="GH220">
        <v>26.191199999999998</v>
      </c>
      <c r="GI220">
        <v>30.000299999999999</v>
      </c>
      <c r="GJ220">
        <v>26.3218</v>
      </c>
      <c r="GK220">
        <v>26.3049</v>
      </c>
      <c r="GL220">
        <v>35.234499999999997</v>
      </c>
      <c r="GM220">
        <v>100</v>
      </c>
      <c r="GN220">
        <v>5.2181600000000001</v>
      </c>
      <c r="GO220">
        <v>23.1431</v>
      </c>
      <c r="GP220">
        <v>800</v>
      </c>
      <c r="GQ220">
        <v>0</v>
      </c>
      <c r="GR220">
        <v>99.777500000000003</v>
      </c>
      <c r="GS220">
        <v>99.652100000000004</v>
      </c>
    </row>
    <row r="221" spans="1:201" x14ac:dyDescent="0.25">
      <c r="A221">
        <v>205</v>
      </c>
      <c r="B221">
        <v>1690305959.5999999</v>
      </c>
      <c r="C221">
        <v>2209.599999904633</v>
      </c>
      <c r="D221" t="s">
        <v>741</v>
      </c>
      <c r="E221" t="s">
        <v>742</v>
      </c>
      <c r="F221" t="s">
        <v>330</v>
      </c>
      <c r="H221">
        <v>1690305959.5999999</v>
      </c>
      <c r="I221">
        <f t="shared" si="90"/>
        <v>2.189200376093511E-3</v>
      </c>
      <c r="J221">
        <f t="shared" si="91"/>
        <v>2.189200376093511</v>
      </c>
      <c r="K221">
        <f t="shared" si="92"/>
        <v>33.374095544131151</v>
      </c>
      <c r="L221">
        <f t="shared" si="93"/>
        <v>422.91800000000001</v>
      </c>
      <c r="M221">
        <f t="shared" si="94"/>
        <v>112.80781268739337</v>
      </c>
      <c r="N221">
        <f t="shared" si="95"/>
        <v>11.20648516340248</v>
      </c>
      <c r="O221">
        <f t="shared" si="96"/>
        <v>42.0132629064396</v>
      </c>
      <c r="P221">
        <f t="shared" si="97"/>
        <v>0.18242235121895117</v>
      </c>
      <c r="Q221">
        <f t="shared" si="98"/>
        <v>2.1036968685189139</v>
      </c>
      <c r="R221">
        <f t="shared" si="99"/>
        <v>0.17406774419556048</v>
      </c>
      <c r="S221">
        <f t="shared" si="100"/>
        <v>0.10951107867090604</v>
      </c>
      <c r="T221">
        <f t="shared" si="101"/>
        <v>276.115132206</v>
      </c>
      <c r="U221">
        <f t="shared" si="102"/>
        <v>26.923420546166913</v>
      </c>
      <c r="V221">
        <f t="shared" si="103"/>
        <v>26.923420546166913</v>
      </c>
      <c r="W221">
        <f t="shared" si="104"/>
        <v>3.5630932697495732</v>
      </c>
      <c r="X221">
        <f t="shared" si="105"/>
        <v>71.829822834457502</v>
      </c>
      <c r="Y221">
        <f t="shared" si="106"/>
        <v>2.3508941781345603</v>
      </c>
      <c r="Z221">
        <f t="shared" si="107"/>
        <v>3.2728664576446822</v>
      </c>
      <c r="AA221">
        <f t="shared" si="108"/>
        <v>1.2121990916150129</v>
      </c>
      <c r="AB221">
        <f t="shared" si="109"/>
        <v>-96.543736585723835</v>
      </c>
      <c r="AC221">
        <f t="shared" si="110"/>
        <v>-163.09238925106291</v>
      </c>
      <c r="AD221">
        <f t="shared" si="111"/>
        <v>-16.598476294586494</v>
      </c>
      <c r="AE221">
        <f t="shared" si="112"/>
        <v>-0.11946992537320966</v>
      </c>
      <c r="AF221">
        <v>7</v>
      </c>
      <c r="AG221">
        <v>2</v>
      </c>
      <c r="AH221">
        <f t="shared" si="113"/>
        <v>1</v>
      </c>
      <c r="AI221">
        <f t="shared" si="114"/>
        <v>0</v>
      </c>
      <c r="AJ221">
        <f t="shared" si="115"/>
        <v>52916.254175722344</v>
      </c>
      <c r="AK221">
        <f t="shared" si="116"/>
        <v>1800</v>
      </c>
      <c r="AL221">
        <f t="shared" si="117"/>
        <v>1499.1110046000001</v>
      </c>
      <c r="AM221">
        <f t="shared" si="118"/>
        <v>0.83283944700000001</v>
      </c>
      <c r="AN221">
        <f t="shared" si="119"/>
        <v>0.15339729566999999</v>
      </c>
      <c r="AO221">
        <v>33</v>
      </c>
      <c r="AP221">
        <v>0.5</v>
      </c>
      <c r="AQ221" t="s">
        <v>331</v>
      </c>
      <c r="AR221">
        <v>2</v>
      </c>
      <c r="AS221">
        <v>1690305959.5999999</v>
      </c>
      <c r="AT221">
        <v>422.91800000000001</v>
      </c>
      <c r="AU221">
        <v>800.005</v>
      </c>
      <c r="AV221">
        <v>23.6648</v>
      </c>
      <c r="AW221">
        <v>0.16671</v>
      </c>
      <c r="AX221">
        <v>422.89299999999997</v>
      </c>
      <c r="AY221">
        <v>23.392900000000001</v>
      </c>
      <c r="AZ221">
        <v>300.16899999999998</v>
      </c>
      <c r="BA221">
        <v>99.241399999999999</v>
      </c>
      <c r="BB221">
        <v>9.9992200000000003E-2</v>
      </c>
      <c r="BC221">
        <v>25.485399999999998</v>
      </c>
      <c r="BD221">
        <v>27.0184</v>
      </c>
      <c r="BE221">
        <v>26.586600000000001</v>
      </c>
      <c r="BF221">
        <v>0</v>
      </c>
      <c r="BG221">
        <v>0</v>
      </c>
      <c r="BH221">
        <v>10034.4</v>
      </c>
      <c r="BI221">
        <v>1058.32</v>
      </c>
      <c r="BJ221">
        <v>1.51098</v>
      </c>
      <c r="BK221">
        <v>-377.08699999999999</v>
      </c>
      <c r="BL221">
        <v>433.16899999999998</v>
      </c>
      <c r="BM221">
        <v>800.13900000000001</v>
      </c>
      <c r="BN221">
        <v>23.498100000000001</v>
      </c>
      <c r="BO221">
        <v>800.005</v>
      </c>
      <c r="BP221">
        <v>0.16671</v>
      </c>
      <c r="BQ221">
        <v>2.3485299999999998</v>
      </c>
      <c r="BR221">
        <v>1.65445E-2</v>
      </c>
      <c r="BS221">
        <v>20.013200000000001</v>
      </c>
      <c r="BT221">
        <v>-41.235999999999997</v>
      </c>
      <c r="BU221">
        <v>1800</v>
      </c>
      <c r="BV221">
        <v>0.91</v>
      </c>
      <c r="BW221">
        <v>3.4008299999999998E-2</v>
      </c>
      <c r="BX221">
        <v>2.1997599999999999E-2</v>
      </c>
      <c r="BY221">
        <v>3.3994299999999998E-2</v>
      </c>
      <c r="BZ221">
        <v>26</v>
      </c>
      <c r="CA221">
        <v>33528.400000000001</v>
      </c>
      <c r="CB221">
        <v>1690303320.5</v>
      </c>
      <c r="CC221" t="s">
        <v>332</v>
      </c>
      <c r="CD221">
        <v>1690303320.5</v>
      </c>
      <c r="CE221">
        <v>1690303310.0999999</v>
      </c>
      <c r="CF221">
        <v>8</v>
      </c>
      <c r="CG221">
        <v>7.3999999999999996E-2</v>
      </c>
      <c r="CH221">
        <v>-0.01</v>
      </c>
      <c r="CI221">
        <v>-0.24199999999999999</v>
      </c>
      <c r="CJ221">
        <v>0.27200000000000002</v>
      </c>
      <c r="CK221">
        <v>800</v>
      </c>
      <c r="CL221">
        <v>23</v>
      </c>
      <c r="CM221">
        <v>0.06</v>
      </c>
      <c r="CN221">
        <v>0.09</v>
      </c>
      <c r="CO221">
        <v>-376.77145000000002</v>
      </c>
      <c r="CP221">
        <v>-1.616150093807585</v>
      </c>
      <c r="CQ221">
        <v>0.17003234251165081</v>
      </c>
      <c r="CR221">
        <v>-1</v>
      </c>
      <c r="CS221">
        <v>23.492842499999998</v>
      </c>
      <c r="CT221">
        <v>4.265628517827226E-2</v>
      </c>
      <c r="CU221">
        <v>5.2985322260037616E-3</v>
      </c>
      <c r="CV221">
        <v>-1</v>
      </c>
      <c r="CW221">
        <v>0</v>
      </c>
      <c r="CX221">
        <v>0</v>
      </c>
      <c r="CY221" t="s">
        <v>333</v>
      </c>
      <c r="CZ221">
        <v>2.36469</v>
      </c>
      <c r="DA221">
        <v>2.7138100000000001</v>
      </c>
      <c r="DB221">
        <v>9.3482899999999994E-2</v>
      </c>
      <c r="DC221">
        <v>0.14621600000000001</v>
      </c>
      <c r="DD221">
        <v>0.112682</v>
      </c>
      <c r="DE221">
        <v>1.4050499999999999E-3</v>
      </c>
      <c r="DF221">
        <v>33112</v>
      </c>
      <c r="DG221">
        <v>27536.3</v>
      </c>
      <c r="DH221">
        <v>31182.799999999999</v>
      </c>
      <c r="DI221">
        <v>28103.7</v>
      </c>
      <c r="DJ221">
        <v>37562.699999999997</v>
      </c>
      <c r="DK221">
        <v>39918.9</v>
      </c>
      <c r="DL221">
        <v>44379.7</v>
      </c>
      <c r="DM221">
        <v>42600.5</v>
      </c>
      <c r="DN221">
        <v>1.4490700000000001</v>
      </c>
      <c r="DO221">
        <v>2.0294500000000002</v>
      </c>
      <c r="DP221">
        <v>0.14723800000000001</v>
      </c>
      <c r="DQ221">
        <v>0.13039999999999999</v>
      </c>
      <c r="DR221">
        <v>24.605699999999999</v>
      </c>
      <c r="DS221">
        <v>24.448899999999998</v>
      </c>
      <c r="DT221">
        <v>21.8</v>
      </c>
      <c r="DU221">
        <v>29.5</v>
      </c>
      <c r="DV221">
        <v>9.0930800000000005</v>
      </c>
      <c r="DW221">
        <v>61.033000000000001</v>
      </c>
      <c r="DX221">
        <v>36.265999999999998</v>
      </c>
      <c r="DY221">
        <v>1</v>
      </c>
      <c r="DZ221">
        <v>-9.26067E-2</v>
      </c>
      <c r="EA221">
        <v>0.77689299999999994</v>
      </c>
      <c r="EB221">
        <v>20.187000000000001</v>
      </c>
      <c r="EC221">
        <v>5.24125</v>
      </c>
      <c r="ED221">
        <v>12.039899999999999</v>
      </c>
      <c r="EE221">
        <v>5.0172499999999998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1.8689100000000001</v>
      </c>
      <c r="EL221">
        <v>1.8646199999999999</v>
      </c>
      <c r="EM221">
        <v>1.8692</v>
      </c>
      <c r="EN221">
        <v>1.86724</v>
      </c>
      <c r="EO221">
        <v>1.8633999999999999</v>
      </c>
      <c r="EP221">
        <v>1.8644700000000001</v>
      </c>
      <c r="EQ221">
        <v>1.87018</v>
      </c>
      <c r="ER221">
        <v>1.86944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2.5000000000000001E-2</v>
      </c>
      <c r="FG221">
        <v>0.27189999999999998</v>
      </c>
      <c r="FH221">
        <v>0.30965466913576151</v>
      </c>
      <c r="FI221">
        <v>-6.1462078757559423E-4</v>
      </c>
      <c r="FJ221">
        <v>-1.8861989874597051E-7</v>
      </c>
      <c r="FK221">
        <v>1.1980462299894961E-10</v>
      </c>
      <c r="FL221">
        <v>0.27184999999999349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44</v>
      </c>
      <c r="FU221">
        <v>44.2</v>
      </c>
      <c r="FV221">
        <v>1.7626999999999999</v>
      </c>
      <c r="FW221">
        <v>2.5878899999999998</v>
      </c>
      <c r="FX221">
        <v>1.5490699999999999</v>
      </c>
      <c r="FY221">
        <v>2.3315399999999999</v>
      </c>
      <c r="FZ221">
        <v>1.50146</v>
      </c>
      <c r="GA221">
        <v>2.32666</v>
      </c>
      <c r="GB221">
        <v>33.941299999999998</v>
      </c>
      <c r="GC221">
        <v>23.982399999999998</v>
      </c>
      <c r="GD221">
        <v>19</v>
      </c>
      <c r="GE221">
        <v>271.37</v>
      </c>
      <c r="GF221">
        <v>577.10400000000004</v>
      </c>
      <c r="GG221">
        <v>23.110399999999998</v>
      </c>
      <c r="GH221">
        <v>26.192</v>
      </c>
      <c r="GI221">
        <v>30</v>
      </c>
      <c r="GJ221">
        <v>26.323899999999998</v>
      </c>
      <c r="GK221">
        <v>26.306000000000001</v>
      </c>
      <c r="GL221">
        <v>35.236499999999999</v>
      </c>
      <c r="GM221">
        <v>100</v>
      </c>
      <c r="GN221">
        <v>4.8382800000000001</v>
      </c>
      <c r="GO221">
        <v>23.107900000000001</v>
      </c>
      <c r="GP221">
        <v>800</v>
      </c>
      <c r="GQ221">
        <v>0</v>
      </c>
      <c r="GR221">
        <v>99.776399999999995</v>
      </c>
      <c r="GS221">
        <v>99.652699999999996</v>
      </c>
    </row>
    <row r="222" spans="1:201" x14ac:dyDescent="0.25">
      <c r="A222">
        <v>206</v>
      </c>
      <c r="B222">
        <v>1690305969.5999999</v>
      </c>
      <c r="C222">
        <v>2219.599999904633</v>
      </c>
      <c r="D222" t="s">
        <v>743</v>
      </c>
      <c r="E222" t="s">
        <v>744</v>
      </c>
      <c r="F222" t="s">
        <v>330</v>
      </c>
      <c r="H222">
        <v>1690305969.5999999</v>
      </c>
      <c r="I222">
        <f t="shared" si="90"/>
        <v>2.1894898043228837E-3</v>
      </c>
      <c r="J222">
        <f t="shared" si="91"/>
        <v>2.1894898043228839</v>
      </c>
      <c r="K222">
        <f t="shared" si="92"/>
        <v>33.390382387371332</v>
      </c>
      <c r="L222">
        <f t="shared" si="93"/>
        <v>422.77499999999998</v>
      </c>
      <c r="M222">
        <f t="shared" si="94"/>
        <v>112.55027947737734</v>
      </c>
      <c r="N222">
        <f t="shared" si="95"/>
        <v>11.180767036982974</v>
      </c>
      <c r="O222">
        <f t="shared" si="96"/>
        <v>41.998552167172498</v>
      </c>
      <c r="P222">
        <f t="shared" si="97"/>
        <v>0.18244810614816431</v>
      </c>
      <c r="Q222">
        <f t="shared" si="98"/>
        <v>2.1017735127365449</v>
      </c>
      <c r="R222">
        <f t="shared" si="99"/>
        <v>0.17408392726768757</v>
      </c>
      <c r="S222">
        <f t="shared" si="100"/>
        <v>0.10952198442096642</v>
      </c>
      <c r="T222">
        <f t="shared" si="101"/>
        <v>276.1134106380855</v>
      </c>
      <c r="U222">
        <f t="shared" si="102"/>
        <v>26.923301129363452</v>
      </c>
      <c r="V222">
        <f t="shared" si="103"/>
        <v>26.923301129363452</v>
      </c>
      <c r="W222">
        <f t="shared" si="104"/>
        <v>3.5630682652674213</v>
      </c>
      <c r="X222">
        <f t="shared" si="105"/>
        <v>71.833168991300937</v>
      </c>
      <c r="Y222">
        <f t="shared" si="106"/>
        <v>2.3508361132045503</v>
      </c>
      <c r="Z222">
        <f t="shared" si="107"/>
        <v>3.2726331668441895</v>
      </c>
      <c r="AA222">
        <f t="shared" si="108"/>
        <v>1.2122321520628709</v>
      </c>
      <c r="AB222">
        <f t="shared" si="109"/>
        <v>-96.556500370639171</v>
      </c>
      <c r="AC222">
        <f t="shared" si="110"/>
        <v>-163.06571984769442</v>
      </c>
      <c r="AD222">
        <f t="shared" si="111"/>
        <v>-16.610839289085163</v>
      </c>
      <c r="AE222">
        <f t="shared" si="112"/>
        <v>-0.11964886933327534</v>
      </c>
      <c r="AF222">
        <v>7</v>
      </c>
      <c r="AG222">
        <v>2</v>
      </c>
      <c r="AH222">
        <f t="shared" si="113"/>
        <v>1</v>
      </c>
      <c r="AI222">
        <f t="shared" si="114"/>
        <v>0</v>
      </c>
      <c r="AJ222">
        <f t="shared" si="115"/>
        <v>52830.401119871101</v>
      </c>
      <c r="AK222">
        <f t="shared" si="116"/>
        <v>1799.99</v>
      </c>
      <c r="AL222">
        <f t="shared" si="117"/>
        <v>1499.1025466062499</v>
      </c>
      <c r="AM222">
        <f t="shared" si="118"/>
        <v>0.83283937499999994</v>
      </c>
      <c r="AN222">
        <f t="shared" si="119"/>
        <v>0.15339719145</v>
      </c>
      <c r="AO222">
        <v>33</v>
      </c>
      <c r="AP222">
        <v>0.5</v>
      </c>
      <c r="AQ222" t="s">
        <v>331</v>
      </c>
      <c r="AR222">
        <v>2</v>
      </c>
      <c r="AS222">
        <v>1690305969.5999999</v>
      </c>
      <c r="AT222">
        <v>422.77499999999998</v>
      </c>
      <c r="AU222">
        <v>800</v>
      </c>
      <c r="AV222">
        <v>23.6645</v>
      </c>
      <c r="AW222">
        <v>0.16572300000000001</v>
      </c>
      <c r="AX222">
        <v>422.75</v>
      </c>
      <c r="AY222">
        <v>23.392600000000002</v>
      </c>
      <c r="AZ222">
        <v>300.2</v>
      </c>
      <c r="BA222">
        <v>99.240200000000002</v>
      </c>
      <c r="BB222">
        <v>9.9997900000000001E-2</v>
      </c>
      <c r="BC222">
        <v>25.484200000000001</v>
      </c>
      <c r="BD222">
        <v>26.982700000000001</v>
      </c>
      <c r="BE222">
        <v>26.582699999999999</v>
      </c>
      <c r="BF222">
        <v>0</v>
      </c>
      <c r="BG222">
        <v>0</v>
      </c>
      <c r="BH222">
        <v>10017.5</v>
      </c>
      <c r="BI222">
        <v>1058.27</v>
      </c>
      <c r="BJ222">
        <v>1.5137799999999999</v>
      </c>
      <c r="BK222">
        <v>-377.22500000000002</v>
      </c>
      <c r="BL222">
        <v>433.02199999999999</v>
      </c>
      <c r="BM222">
        <v>800.13300000000004</v>
      </c>
      <c r="BN222">
        <v>23.498799999999999</v>
      </c>
      <c r="BO222">
        <v>800</v>
      </c>
      <c r="BP222">
        <v>0.16572300000000001</v>
      </c>
      <c r="BQ222">
        <v>2.3484699999999998</v>
      </c>
      <c r="BR222">
        <v>1.64464E-2</v>
      </c>
      <c r="BS222">
        <v>20.012799999999999</v>
      </c>
      <c r="BT222">
        <v>-41.292299999999997</v>
      </c>
      <c r="BU222">
        <v>1799.99</v>
      </c>
      <c r="BV222">
        <v>0.91000199999999998</v>
      </c>
      <c r="BW222">
        <v>3.40074E-2</v>
      </c>
      <c r="BX222">
        <v>2.1996999999999999E-2</v>
      </c>
      <c r="BY222">
        <v>3.3993500000000003E-2</v>
      </c>
      <c r="BZ222">
        <v>26</v>
      </c>
      <c r="CA222">
        <v>33528.300000000003</v>
      </c>
      <c r="CB222">
        <v>1690303320.5</v>
      </c>
      <c r="CC222" t="s">
        <v>332</v>
      </c>
      <c r="CD222">
        <v>1690303320.5</v>
      </c>
      <c r="CE222">
        <v>1690303310.0999999</v>
      </c>
      <c r="CF222">
        <v>8</v>
      </c>
      <c r="CG222">
        <v>7.3999999999999996E-2</v>
      </c>
      <c r="CH222">
        <v>-0.01</v>
      </c>
      <c r="CI222">
        <v>-0.24199999999999999</v>
      </c>
      <c r="CJ222">
        <v>0.27200000000000002</v>
      </c>
      <c r="CK222">
        <v>800</v>
      </c>
      <c r="CL222">
        <v>23</v>
      </c>
      <c r="CM222">
        <v>0.06</v>
      </c>
      <c r="CN222">
        <v>0.09</v>
      </c>
      <c r="CO222">
        <v>-377.02963414634138</v>
      </c>
      <c r="CP222">
        <v>-1.4402508710805451</v>
      </c>
      <c r="CQ222">
        <v>0.15187057328248019</v>
      </c>
      <c r="CR222">
        <v>-1</v>
      </c>
      <c r="CS222">
        <v>23.497465853658539</v>
      </c>
      <c r="CT222">
        <v>1.380418118468052E-2</v>
      </c>
      <c r="CU222">
        <v>1.6787930850724719E-3</v>
      </c>
      <c r="CV222">
        <v>-1</v>
      </c>
      <c r="CW222">
        <v>0</v>
      </c>
      <c r="CX222">
        <v>0</v>
      </c>
      <c r="CY222" t="s">
        <v>333</v>
      </c>
      <c r="CZ222">
        <v>2.3647999999999998</v>
      </c>
      <c r="DA222">
        <v>2.7138100000000001</v>
      </c>
      <c r="DB222">
        <v>9.3457799999999994E-2</v>
      </c>
      <c r="DC222">
        <v>0.14621400000000001</v>
      </c>
      <c r="DD222">
        <v>0.11268</v>
      </c>
      <c r="DE222">
        <v>1.3967999999999999E-3</v>
      </c>
      <c r="DF222">
        <v>33113.199999999997</v>
      </c>
      <c r="DG222">
        <v>27536.400000000001</v>
      </c>
      <c r="DH222">
        <v>31183</v>
      </c>
      <c r="DI222">
        <v>28103.8</v>
      </c>
      <c r="DJ222">
        <v>37563.1</v>
      </c>
      <c r="DK222">
        <v>39919.5</v>
      </c>
      <c r="DL222">
        <v>44380</v>
      </c>
      <c r="DM222">
        <v>42600.7</v>
      </c>
      <c r="DN222">
        <v>1.4489300000000001</v>
      </c>
      <c r="DO222">
        <v>2.0291800000000002</v>
      </c>
      <c r="DP222">
        <v>0.14505499999999999</v>
      </c>
      <c r="DQ222">
        <v>0.130162</v>
      </c>
      <c r="DR222">
        <v>24.605699999999999</v>
      </c>
      <c r="DS222">
        <v>24.448899999999998</v>
      </c>
      <c r="DT222">
        <v>21.7</v>
      </c>
      <c r="DU222">
        <v>29.6</v>
      </c>
      <c r="DV222">
        <v>9.1055100000000007</v>
      </c>
      <c r="DW222">
        <v>61.622999999999998</v>
      </c>
      <c r="DX222">
        <v>36.342100000000002</v>
      </c>
      <c r="DY222">
        <v>1</v>
      </c>
      <c r="DZ222">
        <v>-9.2418700000000006E-2</v>
      </c>
      <c r="EA222">
        <v>0.83017200000000002</v>
      </c>
      <c r="EB222">
        <v>20.187000000000001</v>
      </c>
      <c r="EC222">
        <v>5.2411000000000003</v>
      </c>
      <c r="ED222">
        <v>12.039899999999999</v>
      </c>
      <c r="EE222">
        <v>5.0171999999999999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1.8689199999999999</v>
      </c>
      <c r="EL222">
        <v>1.86463</v>
      </c>
      <c r="EM222">
        <v>1.86921</v>
      </c>
      <c r="EN222">
        <v>1.86724</v>
      </c>
      <c r="EO222">
        <v>1.8633999999999999</v>
      </c>
      <c r="EP222">
        <v>1.8644700000000001</v>
      </c>
      <c r="EQ222">
        <v>1.8701700000000001</v>
      </c>
      <c r="ER222">
        <v>1.8694599999999999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2.5000000000000001E-2</v>
      </c>
      <c r="FG222">
        <v>0.27189999999999998</v>
      </c>
      <c r="FH222">
        <v>0.30965466913576151</v>
      </c>
      <c r="FI222">
        <v>-6.1462078757559423E-4</v>
      </c>
      <c r="FJ222">
        <v>-1.8861989874597051E-7</v>
      </c>
      <c r="FK222">
        <v>1.1980462299894961E-10</v>
      </c>
      <c r="FL222">
        <v>0.27184999999999349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44.2</v>
      </c>
      <c r="FU222">
        <v>44.3</v>
      </c>
      <c r="FV222">
        <v>1.7626999999999999</v>
      </c>
      <c r="FW222">
        <v>2.5878899999999998</v>
      </c>
      <c r="FX222">
        <v>1.5490699999999999</v>
      </c>
      <c r="FY222">
        <v>2.3315399999999999</v>
      </c>
      <c r="FZ222">
        <v>1.50146</v>
      </c>
      <c r="GA222">
        <v>2.3596200000000001</v>
      </c>
      <c r="GB222">
        <v>33.941299999999998</v>
      </c>
      <c r="GC222">
        <v>23.982399999999998</v>
      </c>
      <c r="GD222">
        <v>19</v>
      </c>
      <c r="GE222">
        <v>271.30799999999999</v>
      </c>
      <c r="GF222">
        <v>576.89700000000005</v>
      </c>
      <c r="GG222">
        <v>23.074100000000001</v>
      </c>
      <c r="GH222">
        <v>26.1935</v>
      </c>
      <c r="GI222">
        <v>30.0002</v>
      </c>
      <c r="GJ222">
        <v>26.323899999999998</v>
      </c>
      <c r="GK222">
        <v>26.307700000000001</v>
      </c>
      <c r="GL222">
        <v>35.236800000000002</v>
      </c>
      <c r="GM222">
        <v>100</v>
      </c>
      <c r="GN222">
        <v>4.0777400000000004</v>
      </c>
      <c r="GO222">
        <v>23.064499999999999</v>
      </c>
      <c r="GP222">
        <v>800</v>
      </c>
      <c r="GQ222">
        <v>0</v>
      </c>
      <c r="GR222">
        <v>99.777199999999993</v>
      </c>
      <c r="GS222">
        <v>99.653099999999995</v>
      </c>
    </row>
    <row r="223" spans="1:201" x14ac:dyDescent="0.25">
      <c r="A223">
        <v>207</v>
      </c>
      <c r="B223">
        <v>1690305979.5999999</v>
      </c>
      <c r="C223">
        <v>2229.599999904633</v>
      </c>
      <c r="D223" t="s">
        <v>745</v>
      </c>
      <c r="E223" t="s">
        <v>746</v>
      </c>
      <c r="F223" t="s">
        <v>330</v>
      </c>
      <c r="H223">
        <v>1690305979.5999999</v>
      </c>
      <c r="I223">
        <f t="shared" si="90"/>
        <v>2.190275851461317E-3</v>
      </c>
      <c r="J223">
        <f t="shared" si="91"/>
        <v>2.1902758514613172</v>
      </c>
      <c r="K223">
        <f t="shared" si="92"/>
        <v>33.404749432847254</v>
      </c>
      <c r="L223">
        <f t="shared" si="93"/>
        <v>422.48099999999999</v>
      </c>
      <c r="M223">
        <f t="shared" si="94"/>
        <v>112.65319232645233</v>
      </c>
      <c r="N223">
        <f t="shared" si="95"/>
        <v>11.19078247324882</v>
      </c>
      <c r="O223">
        <f t="shared" si="96"/>
        <v>41.968566291312001</v>
      </c>
      <c r="P223">
        <f t="shared" si="97"/>
        <v>0.18276992892834504</v>
      </c>
      <c r="Q223">
        <f t="shared" si="98"/>
        <v>2.1023171294926732</v>
      </c>
      <c r="R223">
        <f t="shared" si="99"/>
        <v>0.17437900922389707</v>
      </c>
      <c r="S223">
        <f t="shared" si="100"/>
        <v>0.10970866507254844</v>
      </c>
      <c r="T223">
        <f t="shared" si="101"/>
        <v>276.11494461000001</v>
      </c>
      <c r="U223">
        <f t="shared" si="102"/>
        <v>26.922198368283194</v>
      </c>
      <c r="V223">
        <f t="shared" si="103"/>
        <v>26.922198368283194</v>
      </c>
      <c r="W223">
        <f t="shared" si="104"/>
        <v>3.5628373672317704</v>
      </c>
      <c r="X223">
        <f t="shared" si="105"/>
        <v>71.878589835619763</v>
      </c>
      <c r="Y223">
        <f t="shared" si="106"/>
        <v>2.3522527046784001</v>
      </c>
      <c r="Z223">
        <f t="shared" si="107"/>
        <v>3.2725359666317915</v>
      </c>
      <c r="AA223">
        <f t="shared" si="108"/>
        <v>1.2105846625533703</v>
      </c>
      <c r="AB223">
        <f t="shared" si="109"/>
        <v>-96.591165049444086</v>
      </c>
      <c r="AC223">
        <f t="shared" si="110"/>
        <v>-163.03957924209291</v>
      </c>
      <c r="AD223">
        <f t="shared" si="111"/>
        <v>-16.603748419307117</v>
      </c>
      <c r="AE223">
        <f t="shared" si="112"/>
        <v>-0.1195481008441277</v>
      </c>
      <c r="AF223">
        <v>7</v>
      </c>
      <c r="AG223">
        <v>2</v>
      </c>
      <c r="AH223">
        <f t="shared" si="113"/>
        <v>1</v>
      </c>
      <c r="AI223">
        <f t="shared" si="114"/>
        <v>0</v>
      </c>
      <c r="AJ223">
        <f t="shared" si="115"/>
        <v>52854.756048145595</v>
      </c>
      <c r="AK223">
        <f t="shared" si="116"/>
        <v>1800</v>
      </c>
      <c r="AL223">
        <f t="shared" si="117"/>
        <v>1499.1108749999999</v>
      </c>
      <c r="AM223">
        <f t="shared" si="118"/>
        <v>0.83283937499999994</v>
      </c>
      <c r="AN223">
        <f t="shared" si="119"/>
        <v>0.15339719145</v>
      </c>
      <c r="AO223">
        <v>33</v>
      </c>
      <c r="AP223">
        <v>0.5</v>
      </c>
      <c r="AQ223" t="s">
        <v>331</v>
      </c>
      <c r="AR223">
        <v>2</v>
      </c>
      <c r="AS223">
        <v>1690305979.5999999</v>
      </c>
      <c r="AT223">
        <v>422.48099999999999</v>
      </c>
      <c r="AU223">
        <v>799.98500000000001</v>
      </c>
      <c r="AV223">
        <v>23.679200000000002</v>
      </c>
      <c r="AW223">
        <v>0.16458600000000001</v>
      </c>
      <c r="AX223">
        <v>422.45499999999998</v>
      </c>
      <c r="AY223">
        <v>23.407399999999999</v>
      </c>
      <c r="AZ223">
        <v>300.101</v>
      </c>
      <c r="BA223">
        <v>99.238299999999995</v>
      </c>
      <c r="BB223">
        <v>0.100052</v>
      </c>
      <c r="BC223">
        <v>25.483699999999999</v>
      </c>
      <c r="BD223">
        <v>26.956299999999999</v>
      </c>
      <c r="BE223">
        <v>26.567699999999999</v>
      </c>
      <c r="BF223">
        <v>0</v>
      </c>
      <c r="BG223">
        <v>0</v>
      </c>
      <c r="BH223">
        <v>10022.5</v>
      </c>
      <c r="BI223">
        <v>1058.27</v>
      </c>
      <c r="BJ223">
        <v>1.5137799999999999</v>
      </c>
      <c r="BK223">
        <v>-377.50400000000002</v>
      </c>
      <c r="BL223">
        <v>432.72699999999998</v>
      </c>
      <c r="BM223">
        <v>800.11699999999996</v>
      </c>
      <c r="BN223">
        <v>23.514700000000001</v>
      </c>
      <c r="BO223">
        <v>799.98500000000001</v>
      </c>
      <c r="BP223">
        <v>0.16458600000000001</v>
      </c>
      <c r="BQ223">
        <v>2.3498899999999998</v>
      </c>
      <c r="BR223">
        <v>1.6333199999999999E-2</v>
      </c>
      <c r="BS223">
        <v>20.022500000000001</v>
      </c>
      <c r="BT223">
        <v>-41.357500000000002</v>
      </c>
      <c r="BU223">
        <v>1800</v>
      </c>
      <c r="BV223">
        <v>0.91000199999999998</v>
      </c>
      <c r="BW223">
        <v>3.40074E-2</v>
      </c>
      <c r="BX223">
        <v>2.1996999999999999E-2</v>
      </c>
      <c r="BY223">
        <v>3.3993500000000003E-2</v>
      </c>
      <c r="BZ223">
        <v>26</v>
      </c>
      <c r="CA223">
        <v>33528.400000000001</v>
      </c>
      <c r="CB223">
        <v>1690303320.5</v>
      </c>
      <c r="CC223" t="s">
        <v>332</v>
      </c>
      <c r="CD223">
        <v>1690303320.5</v>
      </c>
      <c r="CE223">
        <v>1690303310.0999999</v>
      </c>
      <c r="CF223">
        <v>8</v>
      </c>
      <c r="CG223">
        <v>7.3999999999999996E-2</v>
      </c>
      <c r="CH223">
        <v>-0.01</v>
      </c>
      <c r="CI223">
        <v>-0.24199999999999999</v>
      </c>
      <c r="CJ223">
        <v>0.27200000000000002</v>
      </c>
      <c r="CK223">
        <v>800</v>
      </c>
      <c r="CL223">
        <v>23</v>
      </c>
      <c r="CM223">
        <v>0.06</v>
      </c>
      <c r="CN223">
        <v>0.09</v>
      </c>
      <c r="CO223">
        <v>-377.25895121951208</v>
      </c>
      <c r="CP223">
        <v>-1.4276027874566899</v>
      </c>
      <c r="CQ223">
        <v>0.1670113113183366</v>
      </c>
      <c r="CR223">
        <v>-1</v>
      </c>
      <c r="CS223">
        <v>23.50001219512195</v>
      </c>
      <c r="CT223">
        <v>1.937142857143901E-2</v>
      </c>
      <c r="CU223">
        <v>3.404100477290571E-3</v>
      </c>
      <c r="CV223">
        <v>-1</v>
      </c>
      <c r="CW223">
        <v>0</v>
      </c>
      <c r="CX223">
        <v>0</v>
      </c>
      <c r="CY223" t="s">
        <v>333</v>
      </c>
      <c r="CZ223">
        <v>2.3644599999999998</v>
      </c>
      <c r="DA223">
        <v>2.7138599999999999</v>
      </c>
      <c r="DB223">
        <v>9.3406400000000001E-2</v>
      </c>
      <c r="DC223">
        <v>0.14620900000000001</v>
      </c>
      <c r="DD223">
        <v>0.11272699999999999</v>
      </c>
      <c r="DE223">
        <v>1.3872800000000001E-3</v>
      </c>
      <c r="DF223">
        <v>33114.699999999997</v>
      </c>
      <c r="DG223">
        <v>27536.400000000001</v>
      </c>
      <c r="DH223">
        <v>31182.7</v>
      </c>
      <c r="DI223">
        <v>28103.599999999999</v>
      </c>
      <c r="DJ223">
        <v>37560.6</v>
      </c>
      <c r="DK223">
        <v>39919.4</v>
      </c>
      <c r="DL223">
        <v>44379.4</v>
      </c>
      <c r="DM223">
        <v>42600.2</v>
      </c>
      <c r="DN223">
        <v>1.44902</v>
      </c>
      <c r="DO223">
        <v>2.0293000000000001</v>
      </c>
      <c r="DP223">
        <v>0.14344599999999999</v>
      </c>
      <c r="DQ223">
        <v>0.129245</v>
      </c>
      <c r="DR223">
        <v>24.605699999999999</v>
      </c>
      <c r="DS223">
        <v>24.448899999999998</v>
      </c>
      <c r="DT223">
        <v>21.6</v>
      </c>
      <c r="DU223">
        <v>29.6</v>
      </c>
      <c r="DV223">
        <v>9.0612700000000004</v>
      </c>
      <c r="DW223">
        <v>61.552999999999997</v>
      </c>
      <c r="DX223">
        <v>36.790900000000001</v>
      </c>
      <c r="DY223">
        <v>1</v>
      </c>
      <c r="DZ223">
        <v>-9.2761700000000002E-2</v>
      </c>
      <c r="EA223">
        <v>0.56579199999999996</v>
      </c>
      <c r="EB223">
        <v>20.188300000000002</v>
      </c>
      <c r="EC223">
        <v>5.2416999999999998</v>
      </c>
      <c r="ED223">
        <v>12.039899999999999</v>
      </c>
      <c r="EE223">
        <v>5.01715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1.8689100000000001</v>
      </c>
      <c r="EL223">
        <v>1.8646199999999999</v>
      </c>
      <c r="EM223">
        <v>1.8692</v>
      </c>
      <c r="EN223">
        <v>1.8672500000000001</v>
      </c>
      <c r="EO223">
        <v>1.8633999999999999</v>
      </c>
      <c r="EP223">
        <v>1.86446</v>
      </c>
      <c r="EQ223">
        <v>1.8701700000000001</v>
      </c>
      <c r="ER223">
        <v>1.8694200000000001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2.5999999999999999E-2</v>
      </c>
      <c r="FG223">
        <v>0.27179999999999999</v>
      </c>
      <c r="FH223">
        <v>0.30965466913576151</v>
      </c>
      <c r="FI223">
        <v>-6.1462078757559423E-4</v>
      </c>
      <c r="FJ223">
        <v>-1.8861989874597051E-7</v>
      </c>
      <c r="FK223">
        <v>1.1980462299894961E-10</v>
      </c>
      <c r="FL223">
        <v>0.27184999999999349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44.3</v>
      </c>
      <c r="FU223">
        <v>44.5</v>
      </c>
      <c r="FV223">
        <v>1.7626999999999999</v>
      </c>
      <c r="FW223">
        <v>2.5854499999999998</v>
      </c>
      <c r="FX223">
        <v>1.5490699999999999</v>
      </c>
      <c r="FY223">
        <v>2.3315399999999999</v>
      </c>
      <c r="FZ223">
        <v>1.50146</v>
      </c>
      <c r="GA223">
        <v>2.3950200000000001</v>
      </c>
      <c r="GB223">
        <v>33.941299999999998</v>
      </c>
      <c r="GC223">
        <v>23.982399999999998</v>
      </c>
      <c r="GD223">
        <v>19</v>
      </c>
      <c r="GE223">
        <v>271.358</v>
      </c>
      <c r="GF223">
        <v>577.00599999999997</v>
      </c>
      <c r="GG223">
        <v>23.123699999999999</v>
      </c>
      <c r="GH223">
        <v>26.195599999999999</v>
      </c>
      <c r="GI223">
        <v>29.9999</v>
      </c>
      <c r="GJ223">
        <v>26.3261</v>
      </c>
      <c r="GK223">
        <v>26.308199999999999</v>
      </c>
      <c r="GL223">
        <v>35.237000000000002</v>
      </c>
      <c r="GM223">
        <v>100</v>
      </c>
      <c r="GN223">
        <v>3.6874500000000001</v>
      </c>
      <c r="GO223">
        <v>23.133099999999999</v>
      </c>
      <c r="GP223">
        <v>800</v>
      </c>
      <c r="GQ223">
        <v>0</v>
      </c>
      <c r="GR223">
        <v>99.775999999999996</v>
      </c>
      <c r="GS223">
        <v>99.652199999999993</v>
      </c>
    </row>
    <row r="224" spans="1:201" x14ac:dyDescent="0.25">
      <c r="A224">
        <v>208</v>
      </c>
      <c r="B224">
        <v>1690305989.5999999</v>
      </c>
      <c r="C224">
        <v>2239.599999904633</v>
      </c>
      <c r="D224" t="s">
        <v>747</v>
      </c>
      <c r="E224" t="s">
        <v>748</v>
      </c>
      <c r="F224" t="s">
        <v>330</v>
      </c>
      <c r="H224">
        <v>1690305989.5999999</v>
      </c>
      <c r="I224">
        <f t="shared" si="90"/>
        <v>2.1926034677633099E-3</v>
      </c>
      <c r="J224">
        <f t="shared" si="91"/>
        <v>2.1926034677633099</v>
      </c>
      <c r="K224">
        <f t="shared" si="92"/>
        <v>33.41919173394696</v>
      </c>
      <c r="L224">
        <f t="shared" si="93"/>
        <v>422.33100000000002</v>
      </c>
      <c r="M224">
        <f t="shared" si="94"/>
        <v>113.13334940790975</v>
      </c>
      <c r="N224">
        <f t="shared" si="95"/>
        <v>11.239640103253363</v>
      </c>
      <c r="O224">
        <f t="shared" si="96"/>
        <v>41.957994431262009</v>
      </c>
      <c r="P224">
        <f t="shared" si="97"/>
        <v>0.18325866031291968</v>
      </c>
      <c r="Q224">
        <f t="shared" si="98"/>
        <v>2.0983289911311966</v>
      </c>
      <c r="R224">
        <f t="shared" si="99"/>
        <v>0.17480868150925824</v>
      </c>
      <c r="S224">
        <f t="shared" si="100"/>
        <v>0.1099821494876022</v>
      </c>
      <c r="T224">
        <f t="shared" si="101"/>
        <v>276.11349907159422</v>
      </c>
      <c r="U224">
        <f t="shared" si="102"/>
        <v>26.926042482861593</v>
      </c>
      <c r="V224">
        <f t="shared" si="103"/>
        <v>26.926042482861593</v>
      </c>
      <c r="W224">
        <f t="shared" si="104"/>
        <v>3.5636423112371225</v>
      </c>
      <c r="X224">
        <f t="shared" si="105"/>
        <v>71.942177984758885</v>
      </c>
      <c r="Y224">
        <f t="shared" si="106"/>
        <v>2.3546413462816003</v>
      </c>
      <c r="Z224">
        <f t="shared" si="107"/>
        <v>3.2729636664328354</v>
      </c>
      <c r="AA224">
        <f t="shared" si="108"/>
        <v>1.2090009649555222</v>
      </c>
      <c r="AB224">
        <f t="shared" si="109"/>
        <v>-96.693812928361965</v>
      </c>
      <c r="AC224">
        <f t="shared" si="110"/>
        <v>-162.91628049036262</v>
      </c>
      <c r="AD224">
        <f t="shared" si="111"/>
        <v>-16.623229385169456</v>
      </c>
      <c r="AE224">
        <f t="shared" si="112"/>
        <v>-0.11982373229983523</v>
      </c>
      <c r="AF224">
        <v>7</v>
      </c>
      <c r="AG224">
        <v>2</v>
      </c>
      <c r="AH224">
        <f t="shared" si="113"/>
        <v>1</v>
      </c>
      <c r="AI224">
        <f t="shared" si="114"/>
        <v>0</v>
      </c>
      <c r="AJ224">
        <f t="shared" si="115"/>
        <v>52676.43316894312</v>
      </c>
      <c r="AK224">
        <f t="shared" si="116"/>
        <v>1799.99</v>
      </c>
      <c r="AL224">
        <f t="shared" si="117"/>
        <v>1499.1032450023702</v>
      </c>
      <c r="AM224">
        <f t="shared" si="118"/>
        <v>0.83283976300000007</v>
      </c>
      <c r="AN224">
        <f t="shared" si="119"/>
        <v>0.15339724058000001</v>
      </c>
      <c r="AO224">
        <v>33</v>
      </c>
      <c r="AP224">
        <v>0.5</v>
      </c>
      <c r="AQ224" t="s">
        <v>331</v>
      </c>
      <c r="AR224">
        <v>2</v>
      </c>
      <c r="AS224">
        <v>1690305989.5999999</v>
      </c>
      <c r="AT224">
        <v>422.33100000000002</v>
      </c>
      <c r="AU224">
        <v>799.96199999999999</v>
      </c>
      <c r="AV224">
        <v>23.700800000000001</v>
      </c>
      <c r="AW224">
        <v>0.16414899999999999</v>
      </c>
      <c r="AX224">
        <v>422.30500000000001</v>
      </c>
      <c r="AY224">
        <v>23.428899999999999</v>
      </c>
      <c r="AZ224">
        <v>300.13200000000001</v>
      </c>
      <c r="BA224">
        <v>99.248500000000007</v>
      </c>
      <c r="BB224">
        <v>0.100102</v>
      </c>
      <c r="BC224">
        <v>25.485900000000001</v>
      </c>
      <c r="BD224">
        <v>26.988399999999999</v>
      </c>
      <c r="BE224">
        <v>26.585100000000001</v>
      </c>
      <c r="BF224">
        <v>0</v>
      </c>
      <c r="BG224">
        <v>0</v>
      </c>
      <c r="BH224">
        <v>9986.25</v>
      </c>
      <c r="BI224">
        <v>1058.29</v>
      </c>
      <c r="BJ224">
        <v>1.5137799999999999</v>
      </c>
      <c r="BK224">
        <v>-377.63200000000001</v>
      </c>
      <c r="BL224">
        <v>432.58300000000003</v>
      </c>
      <c r="BM224">
        <v>800.09400000000005</v>
      </c>
      <c r="BN224">
        <v>23.5366</v>
      </c>
      <c r="BO224">
        <v>799.96199999999999</v>
      </c>
      <c r="BP224">
        <v>0.16414899999999999</v>
      </c>
      <c r="BQ224">
        <v>2.3522599999999998</v>
      </c>
      <c r="BR224">
        <v>1.62915E-2</v>
      </c>
      <c r="BS224">
        <v>20.038900000000002</v>
      </c>
      <c r="BT224">
        <v>-41.381700000000002</v>
      </c>
      <c r="BU224">
        <v>1799.99</v>
      </c>
      <c r="BV224">
        <v>0.91000300000000001</v>
      </c>
      <c r="BW224">
        <v>3.4007200000000001E-2</v>
      </c>
      <c r="BX224">
        <v>2.19969E-2</v>
      </c>
      <c r="BY224">
        <v>3.3993200000000001E-2</v>
      </c>
      <c r="BZ224">
        <v>26</v>
      </c>
      <c r="CA224">
        <v>33528.300000000003</v>
      </c>
      <c r="CB224">
        <v>1690303320.5</v>
      </c>
      <c r="CC224" t="s">
        <v>332</v>
      </c>
      <c r="CD224">
        <v>1690303320.5</v>
      </c>
      <c r="CE224">
        <v>1690303310.0999999</v>
      </c>
      <c r="CF224">
        <v>8</v>
      </c>
      <c r="CG224">
        <v>7.3999999999999996E-2</v>
      </c>
      <c r="CH224">
        <v>-0.01</v>
      </c>
      <c r="CI224">
        <v>-0.24199999999999999</v>
      </c>
      <c r="CJ224">
        <v>0.27200000000000002</v>
      </c>
      <c r="CK224">
        <v>800</v>
      </c>
      <c r="CL224">
        <v>23</v>
      </c>
      <c r="CM224">
        <v>0.06</v>
      </c>
      <c r="CN224">
        <v>0.09</v>
      </c>
      <c r="CO224">
        <v>-377.46772499999997</v>
      </c>
      <c r="CP224">
        <v>-1.6167016885558321</v>
      </c>
      <c r="CQ224">
        <v>0.1784624592876603</v>
      </c>
      <c r="CR224">
        <v>-1</v>
      </c>
      <c r="CS224">
        <v>23.511869999999998</v>
      </c>
      <c r="CT224">
        <v>0.12655159474672029</v>
      </c>
      <c r="CU224">
        <v>1.2560796153110719E-2</v>
      </c>
      <c r="CV224">
        <v>-1</v>
      </c>
      <c r="CW224">
        <v>0</v>
      </c>
      <c r="CX224">
        <v>0</v>
      </c>
      <c r="CY224" t="s">
        <v>333</v>
      </c>
      <c r="CZ224">
        <v>2.3645800000000001</v>
      </c>
      <c r="DA224">
        <v>2.7138800000000001</v>
      </c>
      <c r="DB224">
        <v>9.3390399999999998E-2</v>
      </c>
      <c r="DC224">
        <v>0.14621999999999999</v>
      </c>
      <c r="DD224">
        <v>0.11280999999999999</v>
      </c>
      <c r="DE224">
        <v>1.3837599999999999E-3</v>
      </c>
      <c r="DF224">
        <v>33115.4</v>
      </c>
      <c r="DG224">
        <v>27536</v>
      </c>
      <c r="DH224">
        <v>31182.799999999999</v>
      </c>
      <c r="DI224">
        <v>28103.599999999999</v>
      </c>
      <c r="DJ224">
        <v>37557.1</v>
      </c>
      <c r="DK224">
        <v>39919.599999999999</v>
      </c>
      <c r="DL224">
        <v>44379.6</v>
      </c>
      <c r="DM224">
        <v>42600.3</v>
      </c>
      <c r="DN224">
        <v>1.4490000000000001</v>
      </c>
      <c r="DO224">
        <v>2.0289000000000001</v>
      </c>
      <c r="DP224">
        <v>0.145368</v>
      </c>
      <c r="DQ224">
        <v>0.13031100000000001</v>
      </c>
      <c r="DR224">
        <v>24.606300000000001</v>
      </c>
      <c r="DS224">
        <v>24.448899999999998</v>
      </c>
      <c r="DT224">
        <v>21.5</v>
      </c>
      <c r="DU224">
        <v>29.6</v>
      </c>
      <c r="DV224">
        <v>9.0197000000000003</v>
      </c>
      <c r="DW224">
        <v>61.993000000000002</v>
      </c>
      <c r="DX224">
        <v>37.063299999999998</v>
      </c>
      <c r="DY224">
        <v>1</v>
      </c>
      <c r="DZ224">
        <v>-9.2812500000000006E-2</v>
      </c>
      <c r="EA224">
        <v>0.50681600000000004</v>
      </c>
      <c r="EB224">
        <v>20.188800000000001</v>
      </c>
      <c r="EC224">
        <v>5.2408000000000001</v>
      </c>
      <c r="ED224">
        <v>12.039899999999999</v>
      </c>
      <c r="EE224">
        <v>5.0171000000000001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1.86893</v>
      </c>
      <c r="EL224">
        <v>1.8646199999999999</v>
      </c>
      <c r="EM224">
        <v>1.8692</v>
      </c>
      <c r="EN224">
        <v>1.86724</v>
      </c>
      <c r="EO224">
        <v>1.8633999999999999</v>
      </c>
      <c r="EP224">
        <v>1.8644499999999999</v>
      </c>
      <c r="EQ224">
        <v>1.87016</v>
      </c>
      <c r="ER224">
        <v>1.8694500000000001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2.5999999999999999E-2</v>
      </c>
      <c r="FG224">
        <v>0.27189999999999998</v>
      </c>
      <c r="FH224">
        <v>0.30965466913576151</v>
      </c>
      <c r="FI224">
        <v>-6.1462078757559423E-4</v>
      </c>
      <c r="FJ224">
        <v>-1.8861989874597051E-7</v>
      </c>
      <c r="FK224">
        <v>1.1980462299894961E-10</v>
      </c>
      <c r="FL224">
        <v>0.27184999999999349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44.5</v>
      </c>
      <c r="FU224">
        <v>44.7</v>
      </c>
      <c r="FV224">
        <v>1.7626999999999999</v>
      </c>
      <c r="FW224">
        <v>2.5891099999999998</v>
      </c>
      <c r="FX224">
        <v>1.5490699999999999</v>
      </c>
      <c r="FY224">
        <v>2.3315399999999999</v>
      </c>
      <c r="FZ224">
        <v>1.50146</v>
      </c>
      <c r="GA224">
        <v>2.3828100000000001</v>
      </c>
      <c r="GB224">
        <v>33.941299999999998</v>
      </c>
      <c r="GC224">
        <v>23.991199999999999</v>
      </c>
      <c r="GD224">
        <v>19</v>
      </c>
      <c r="GE224">
        <v>271.35500000000002</v>
      </c>
      <c r="GF224">
        <v>576.70299999999997</v>
      </c>
      <c r="GG224">
        <v>23.1724</v>
      </c>
      <c r="GH224">
        <v>26.196400000000001</v>
      </c>
      <c r="GI224">
        <v>30.0002</v>
      </c>
      <c r="GJ224">
        <v>26.3279</v>
      </c>
      <c r="GK224">
        <v>26.310400000000001</v>
      </c>
      <c r="GL224">
        <v>35.237499999999997</v>
      </c>
      <c r="GM224">
        <v>100</v>
      </c>
      <c r="GN224">
        <v>3.3036500000000002</v>
      </c>
      <c r="GO224">
        <v>23.182600000000001</v>
      </c>
      <c r="GP224">
        <v>800</v>
      </c>
      <c r="GQ224">
        <v>0</v>
      </c>
      <c r="GR224">
        <v>99.776200000000003</v>
      </c>
      <c r="GS224">
        <v>99.652299999999997</v>
      </c>
    </row>
    <row r="225" spans="1:201" x14ac:dyDescent="0.25">
      <c r="A225">
        <v>209</v>
      </c>
      <c r="B225">
        <v>1690305999.5999999</v>
      </c>
      <c r="C225">
        <v>2249.599999904633</v>
      </c>
      <c r="D225" t="s">
        <v>749</v>
      </c>
      <c r="E225" t="s">
        <v>750</v>
      </c>
      <c r="F225" t="s">
        <v>330</v>
      </c>
      <c r="H225">
        <v>1690305999.5999999</v>
      </c>
      <c r="I225">
        <f t="shared" si="90"/>
        <v>2.1940749869042275E-3</v>
      </c>
      <c r="J225">
        <f t="shared" si="91"/>
        <v>2.1940749869042273</v>
      </c>
      <c r="K225">
        <f t="shared" si="92"/>
        <v>33.437063505149453</v>
      </c>
      <c r="L225">
        <f t="shared" si="93"/>
        <v>422.08100000000002</v>
      </c>
      <c r="M225">
        <f t="shared" si="94"/>
        <v>113.20060710458277</v>
      </c>
      <c r="N225">
        <f t="shared" si="95"/>
        <v>11.246381038907867</v>
      </c>
      <c r="O225">
        <f t="shared" si="96"/>
        <v>41.933377184963</v>
      </c>
      <c r="P225">
        <f t="shared" si="97"/>
        <v>0.18354718601628009</v>
      </c>
      <c r="Q225">
        <f t="shared" si="98"/>
        <v>2.1008115968570307</v>
      </c>
      <c r="R225">
        <f t="shared" si="99"/>
        <v>0.17508075975369147</v>
      </c>
      <c r="S225">
        <f t="shared" si="100"/>
        <v>0.11015360081213911</v>
      </c>
      <c r="T225">
        <f t="shared" si="101"/>
        <v>276.11491514399995</v>
      </c>
      <c r="U225">
        <f t="shared" si="102"/>
        <v>26.929680447896764</v>
      </c>
      <c r="V225">
        <f t="shared" si="103"/>
        <v>26.929680447896764</v>
      </c>
      <c r="W225">
        <f t="shared" si="104"/>
        <v>3.5644042344655364</v>
      </c>
      <c r="X225">
        <f t="shared" si="105"/>
        <v>71.974034179134534</v>
      </c>
      <c r="Y225">
        <f t="shared" si="106"/>
        <v>2.3564817182615996</v>
      </c>
      <c r="Z225">
        <f t="shared" si="107"/>
        <v>3.2740720249147155</v>
      </c>
      <c r="AA225">
        <f t="shared" si="108"/>
        <v>1.2079225162039369</v>
      </c>
      <c r="AB225">
        <f t="shared" si="109"/>
        <v>-96.758706922476435</v>
      </c>
      <c r="AC225">
        <f t="shared" si="110"/>
        <v>-162.87548846113387</v>
      </c>
      <c r="AD225">
        <f t="shared" si="111"/>
        <v>-16.600204610793877</v>
      </c>
      <c r="AE225">
        <f t="shared" si="112"/>
        <v>-0.11948485040423407</v>
      </c>
      <c r="AF225">
        <v>7</v>
      </c>
      <c r="AG225">
        <v>2</v>
      </c>
      <c r="AH225">
        <f t="shared" si="113"/>
        <v>1</v>
      </c>
      <c r="AI225">
        <f t="shared" si="114"/>
        <v>0</v>
      </c>
      <c r="AJ225">
        <f t="shared" si="115"/>
        <v>52786.292827709229</v>
      </c>
      <c r="AK225">
        <f t="shared" si="116"/>
        <v>1800</v>
      </c>
      <c r="AL225">
        <f t="shared" si="117"/>
        <v>1499.1117264</v>
      </c>
      <c r="AM225">
        <f t="shared" si="118"/>
        <v>0.83283984799999999</v>
      </c>
      <c r="AN225">
        <f t="shared" si="119"/>
        <v>0.15339717507999998</v>
      </c>
      <c r="AO225">
        <v>33</v>
      </c>
      <c r="AP225">
        <v>0.5</v>
      </c>
      <c r="AQ225" t="s">
        <v>331</v>
      </c>
      <c r="AR225">
        <v>2</v>
      </c>
      <c r="AS225">
        <v>1690305999.5999999</v>
      </c>
      <c r="AT225">
        <v>422.08100000000002</v>
      </c>
      <c r="AU225">
        <v>799.971</v>
      </c>
      <c r="AV225">
        <v>23.719200000000001</v>
      </c>
      <c r="AW225">
        <v>0.163351</v>
      </c>
      <c r="AX225">
        <v>422.05500000000001</v>
      </c>
      <c r="AY225">
        <v>23.447399999999998</v>
      </c>
      <c r="AZ225">
        <v>300.08300000000003</v>
      </c>
      <c r="BA225">
        <v>99.249099999999999</v>
      </c>
      <c r="BB225">
        <v>0.100023</v>
      </c>
      <c r="BC225">
        <v>25.491599999999998</v>
      </c>
      <c r="BD225">
        <v>27.002600000000001</v>
      </c>
      <c r="BE225">
        <v>26.584800000000001</v>
      </c>
      <c r="BF225">
        <v>0</v>
      </c>
      <c r="BG225">
        <v>0</v>
      </c>
      <c r="BH225">
        <v>10008.1</v>
      </c>
      <c r="BI225">
        <v>1058.28</v>
      </c>
      <c r="BJ225">
        <v>1.5137799999999999</v>
      </c>
      <c r="BK225">
        <v>-377.89</v>
      </c>
      <c r="BL225">
        <v>432.33499999999998</v>
      </c>
      <c r="BM225">
        <v>800.10199999999998</v>
      </c>
      <c r="BN225">
        <v>23.555900000000001</v>
      </c>
      <c r="BO225">
        <v>799.971</v>
      </c>
      <c r="BP225">
        <v>0.163351</v>
      </c>
      <c r="BQ225">
        <v>2.3541099999999999</v>
      </c>
      <c r="BR225">
        <v>1.6212399999999998E-2</v>
      </c>
      <c r="BS225">
        <v>20.051500000000001</v>
      </c>
      <c r="BT225">
        <v>-41.427700000000002</v>
      </c>
      <c r="BU225">
        <v>1800</v>
      </c>
      <c r="BV225">
        <v>0.91000499999999995</v>
      </c>
      <c r="BW225">
        <v>3.4006399999999999E-2</v>
      </c>
      <c r="BX225">
        <v>2.1996399999999999E-2</v>
      </c>
      <c r="BY225">
        <v>3.3992399999999999E-2</v>
      </c>
      <c r="BZ225">
        <v>26</v>
      </c>
      <c r="CA225">
        <v>33528.400000000001</v>
      </c>
      <c r="CB225">
        <v>1690303320.5</v>
      </c>
      <c r="CC225" t="s">
        <v>332</v>
      </c>
      <c r="CD225">
        <v>1690303320.5</v>
      </c>
      <c r="CE225">
        <v>1690303310.0999999</v>
      </c>
      <c r="CF225">
        <v>8</v>
      </c>
      <c r="CG225">
        <v>7.3999999999999996E-2</v>
      </c>
      <c r="CH225">
        <v>-0.01</v>
      </c>
      <c r="CI225">
        <v>-0.24199999999999999</v>
      </c>
      <c r="CJ225">
        <v>0.27200000000000002</v>
      </c>
      <c r="CK225">
        <v>800</v>
      </c>
      <c r="CL225">
        <v>23</v>
      </c>
      <c r="CM225">
        <v>0.06</v>
      </c>
      <c r="CN225">
        <v>0.09</v>
      </c>
      <c r="CO225">
        <v>-377.66385000000002</v>
      </c>
      <c r="CP225">
        <v>-0.99953470919305165</v>
      </c>
      <c r="CQ225">
        <v>0.10312214844542229</v>
      </c>
      <c r="CR225">
        <v>-1</v>
      </c>
      <c r="CS225">
        <v>23.533655</v>
      </c>
      <c r="CT225">
        <v>0.12670469043147889</v>
      </c>
      <c r="CU225">
        <v>1.2210916222790051E-2</v>
      </c>
      <c r="CV225">
        <v>-1</v>
      </c>
      <c r="CW225">
        <v>0</v>
      </c>
      <c r="CX225">
        <v>0</v>
      </c>
      <c r="CY225" t="s">
        <v>333</v>
      </c>
      <c r="CZ225">
        <v>2.36442</v>
      </c>
      <c r="DA225">
        <v>2.7138200000000001</v>
      </c>
      <c r="DB225">
        <v>9.3349100000000004E-2</v>
      </c>
      <c r="DC225">
        <v>0.14622199999999999</v>
      </c>
      <c r="DD225">
        <v>0.112873</v>
      </c>
      <c r="DE225">
        <v>1.37711E-3</v>
      </c>
      <c r="DF225">
        <v>33116.699999999997</v>
      </c>
      <c r="DG225">
        <v>27535.7</v>
      </c>
      <c r="DH225">
        <v>31182.6</v>
      </c>
      <c r="DI225">
        <v>28103.4</v>
      </c>
      <c r="DJ225">
        <v>37554.400000000001</v>
      </c>
      <c r="DK225">
        <v>39919.4</v>
      </c>
      <c r="DL225">
        <v>44379.6</v>
      </c>
      <c r="DM225">
        <v>42599.8</v>
      </c>
      <c r="DN225">
        <v>1.4492</v>
      </c>
      <c r="DO225">
        <v>2.02915</v>
      </c>
      <c r="DP225">
        <v>0.14604600000000001</v>
      </c>
      <c r="DQ225">
        <v>0.13016900000000001</v>
      </c>
      <c r="DR225">
        <v>24.609400000000001</v>
      </c>
      <c r="DS225">
        <v>24.450900000000001</v>
      </c>
      <c r="DT225">
        <v>21.4</v>
      </c>
      <c r="DU225">
        <v>29.6</v>
      </c>
      <c r="DV225">
        <v>8.9776000000000007</v>
      </c>
      <c r="DW225">
        <v>61.953000000000003</v>
      </c>
      <c r="DX225">
        <v>37.295699999999997</v>
      </c>
      <c r="DY225">
        <v>1</v>
      </c>
      <c r="DZ225">
        <v>-9.27312E-2</v>
      </c>
      <c r="EA225">
        <v>0.725441</v>
      </c>
      <c r="EB225">
        <v>20.1875</v>
      </c>
      <c r="EC225">
        <v>5.24125</v>
      </c>
      <c r="ED225">
        <v>12.039899999999999</v>
      </c>
      <c r="EE225">
        <v>5.0171999999999999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1.8689100000000001</v>
      </c>
      <c r="EL225">
        <v>1.8646199999999999</v>
      </c>
      <c r="EM225">
        <v>1.8692</v>
      </c>
      <c r="EN225">
        <v>1.8672299999999999</v>
      </c>
      <c r="EO225">
        <v>1.8633999999999999</v>
      </c>
      <c r="EP225">
        <v>1.8644700000000001</v>
      </c>
      <c r="EQ225">
        <v>1.87016</v>
      </c>
      <c r="ER225">
        <v>1.8694500000000001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2.5999999999999999E-2</v>
      </c>
      <c r="FG225">
        <v>0.27179999999999999</v>
      </c>
      <c r="FH225">
        <v>0.30965466913576151</v>
      </c>
      <c r="FI225">
        <v>-6.1462078757559423E-4</v>
      </c>
      <c r="FJ225">
        <v>-1.8861989874597051E-7</v>
      </c>
      <c r="FK225">
        <v>1.1980462299894961E-10</v>
      </c>
      <c r="FL225">
        <v>0.27184999999999349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44.7</v>
      </c>
      <c r="FU225">
        <v>44.8</v>
      </c>
      <c r="FV225">
        <v>1.7626999999999999</v>
      </c>
      <c r="FW225">
        <v>2.5964399999999999</v>
      </c>
      <c r="FX225">
        <v>1.5490699999999999</v>
      </c>
      <c r="FY225">
        <v>2.3315399999999999</v>
      </c>
      <c r="FZ225">
        <v>1.50146</v>
      </c>
      <c r="GA225">
        <v>2.3779300000000001</v>
      </c>
      <c r="GB225">
        <v>33.941299999999998</v>
      </c>
      <c r="GC225">
        <v>23.982399999999998</v>
      </c>
      <c r="GD225">
        <v>19</v>
      </c>
      <c r="GE225">
        <v>271.44</v>
      </c>
      <c r="GF225">
        <v>576.90800000000002</v>
      </c>
      <c r="GG225">
        <v>23.192399999999999</v>
      </c>
      <c r="GH225">
        <v>26.197900000000001</v>
      </c>
      <c r="GI225">
        <v>30.0002</v>
      </c>
      <c r="GJ225">
        <v>26.328299999999999</v>
      </c>
      <c r="GK225">
        <v>26.310400000000001</v>
      </c>
      <c r="GL225">
        <v>35.237000000000002</v>
      </c>
      <c r="GM225">
        <v>100</v>
      </c>
      <c r="GN225">
        <v>2.9168099999999999</v>
      </c>
      <c r="GO225">
        <v>23.162500000000001</v>
      </c>
      <c r="GP225">
        <v>800</v>
      </c>
      <c r="GQ225">
        <v>0</v>
      </c>
      <c r="GR225">
        <v>99.7761</v>
      </c>
      <c r="GS225">
        <v>99.651200000000003</v>
      </c>
    </row>
    <row r="226" spans="1:201" x14ac:dyDescent="0.25">
      <c r="A226">
        <v>210</v>
      </c>
      <c r="B226">
        <v>1690306009.5999999</v>
      </c>
      <c r="C226">
        <v>2259.599999904633</v>
      </c>
      <c r="D226" t="s">
        <v>751</v>
      </c>
      <c r="E226" t="s">
        <v>752</v>
      </c>
      <c r="F226" t="s">
        <v>330</v>
      </c>
      <c r="H226">
        <v>1690306009.5999999</v>
      </c>
      <c r="I226">
        <f t="shared" si="90"/>
        <v>2.1944935910282637E-3</v>
      </c>
      <c r="J226">
        <f t="shared" si="91"/>
        <v>2.1944935910282637</v>
      </c>
      <c r="K226">
        <f t="shared" si="92"/>
        <v>33.447941577903102</v>
      </c>
      <c r="L226">
        <f t="shared" si="93"/>
        <v>421.988</v>
      </c>
      <c r="M226">
        <f t="shared" si="94"/>
        <v>113.10468408486061</v>
      </c>
      <c r="N226">
        <f t="shared" si="95"/>
        <v>11.235920658786991</v>
      </c>
      <c r="O226">
        <f t="shared" si="96"/>
        <v>41.920666021247996</v>
      </c>
      <c r="P226">
        <f t="shared" si="97"/>
        <v>0.18358875144991815</v>
      </c>
      <c r="Q226">
        <f t="shared" si="98"/>
        <v>2.1055864772009087</v>
      </c>
      <c r="R226">
        <f t="shared" si="99"/>
        <v>0.17513684291954643</v>
      </c>
      <c r="S226">
        <f t="shared" si="100"/>
        <v>0.11018746742594815</v>
      </c>
      <c r="T226">
        <f t="shared" si="101"/>
        <v>276.11473778999999</v>
      </c>
      <c r="U226">
        <f t="shared" si="102"/>
        <v>26.929964702661401</v>
      </c>
      <c r="V226">
        <f t="shared" si="103"/>
        <v>26.929964702661401</v>
      </c>
      <c r="W226">
        <f t="shared" si="104"/>
        <v>3.5644637738220095</v>
      </c>
      <c r="X226">
        <f t="shared" si="105"/>
        <v>71.969315727755301</v>
      </c>
      <c r="Y226">
        <f t="shared" si="106"/>
        <v>2.3568031530623998</v>
      </c>
      <c r="Z226">
        <f t="shared" si="107"/>
        <v>3.2747333071467399</v>
      </c>
      <c r="AA226">
        <f t="shared" si="108"/>
        <v>1.2076606207596097</v>
      </c>
      <c r="AB226">
        <f t="shared" si="109"/>
        <v>-96.777167364346425</v>
      </c>
      <c r="AC226">
        <f t="shared" si="110"/>
        <v>-162.89199583192098</v>
      </c>
      <c r="AD226">
        <f t="shared" si="111"/>
        <v>-16.564544131912641</v>
      </c>
      <c r="AE226">
        <f t="shared" si="112"/>
        <v>-0.11896953818009592</v>
      </c>
      <c r="AF226">
        <v>7</v>
      </c>
      <c r="AG226">
        <v>2</v>
      </c>
      <c r="AH226">
        <f t="shared" si="113"/>
        <v>1</v>
      </c>
      <c r="AI226">
        <f t="shared" si="114"/>
        <v>0</v>
      </c>
      <c r="AJ226">
        <f t="shared" si="115"/>
        <v>52999.161976902709</v>
      </c>
      <c r="AK226">
        <f t="shared" si="116"/>
        <v>1800</v>
      </c>
      <c r="AL226">
        <f t="shared" si="117"/>
        <v>1499.1113070000001</v>
      </c>
      <c r="AM226">
        <f t="shared" si="118"/>
        <v>0.83283961500000003</v>
      </c>
      <c r="AN226">
        <f t="shared" si="119"/>
        <v>0.15339707655000001</v>
      </c>
      <c r="AO226">
        <v>33</v>
      </c>
      <c r="AP226">
        <v>0.5</v>
      </c>
      <c r="AQ226" t="s">
        <v>331</v>
      </c>
      <c r="AR226">
        <v>2</v>
      </c>
      <c r="AS226">
        <v>1690306009.5999999</v>
      </c>
      <c r="AT226">
        <v>421.988</v>
      </c>
      <c r="AU226">
        <v>800.02</v>
      </c>
      <c r="AV226">
        <v>23.724399999999999</v>
      </c>
      <c r="AW226">
        <v>0.162769</v>
      </c>
      <c r="AX226">
        <v>421.96199999999999</v>
      </c>
      <c r="AY226">
        <v>23.4526</v>
      </c>
      <c r="AZ226">
        <v>300.065</v>
      </c>
      <c r="BA226">
        <v>99.240899999999996</v>
      </c>
      <c r="BB226">
        <v>9.9996000000000002E-2</v>
      </c>
      <c r="BC226">
        <v>25.495000000000001</v>
      </c>
      <c r="BD226">
        <v>27.0349</v>
      </c>
      <c r="BE226">
        <v>26.5777</v>
      </c>
      <c r="BF226">
        <v>0</v>
      </c>
      <c r="BG226">
        <v>0</v>
      </c>
      <c r="BH226">
        <v>10051.200000000001</v>
      </c>
      <c r="BI226">
        <v>1058.25</v>
      </c>
      <c r="BJ226">
        <v>1.40726</v>
      </c>
      <c r="BK226">
        <v>-378.03199999999998</v>
      </c>
      <c r="BL226">
        <v>432.24299999999999</v>
      </c>
      <c r="BM226">
        <v>800.15</v>
      </c>
      <c r="BN226">
        <v>23.561699999999998</v>
      </c>
      <c r="BO226">
        <v>800.02</v>
      </c>
      <c r="BP226">
        <v>0.162769</v>
      </c>
      <c r="BQ226">
        <v>2.3544299999999998</v>
      </c>
      <c r="BR226">
        <v>1.6153399999999998E-2</v>
      </c>
      <c r="BS226">
        <v>20.053699999999999</v>
      </c>
      <c r="BT226">
        <v>-41.4621</v>
      </c>
      <c r="BU226">
        <v>1800</v>
      </c>
      <c r="BV226">
        <v>0.91000599999999998</v>
      </c>
      <c r="BW226">
        <v>3.4005899999999999E-2</v>
      </c>
      <c r="BX226">
        <v>2.1996000000000002E-2</v>
      </c>
      <c r="BY226">
        <v>3.3991899999999999E-2</v>
      </c>
      <c r="BZ226">
        <v>26</v>
      </c>
      <c r="CA226">
        <v>33528.5</v>
      </c>
      <c r="CB226">
        <v>1690303320.5</v>
      </c>
      <c r="CC226" t="s">
        <v>332</v>
      </c>
      <c r="CD226">
        <v>1690303320.5</v>
      </c>
      <c r="CE226">
        <v>1690303310.0999999</v>
      </c>
      <c r="CF226">
        <v>8</v>
      </c>
      <c r="CG226">
        <v>7.3999999999999996E-2</v>
      </c>
      <c r="CH226">
        <v>-0.01</v>
      </c>
      <c r="CI226">
        <v>-0.24199999999999999</v>
      </c>
      <c r="CJ226">
        <v>0.27200000000000002</v>
      </c>
      <c r="CK226">
        <v>800</v>
      </c>
      <c r="CL226">
        <v>23</v>
      </c>
      <c r="CM226">
        <v>0.06</v>
      </c>
      <c r="CN226">
        <v>0.09</v>
      </c>
      <c r="CO226">
        <v>-377.85017073170729</v>
      </c>
      <c r="CP226">
        <v>-1.264975609756138</v>
      </c>
      <c r="CQ226">
        <v>0.1258564614927036</v>
      </c>
      <c r="CR226">
        <v>-1</v>
      </c>
      <c r="CS226">
        <v>23.55156829268293</v>
      </c>
      <c r="CT226">
        <v>8.481324041811672E-2</v>
      </c>
      <c r="CU226">
        <v>8.6340629732780689E-3</v>
      </c>
      <c r="CV226">
        <v>-1</v>
      </c>
      <c r="CW226">
        <v>0</v>
      </c>
      <c r="CX226">
        <v>0</v>
      </c>
      <c r="CY226" t="s">
        <v>333</v>
      </c>
      <c r="CZ226">
        <v>2.36436</v>
      </c>
      <c r="DA226">
        <v>2.7138300000000002</v>
      </c>
      <c r="DB226">
        <v>9.3325699999999998E-2</v>
      </c>
      <c r="DC226">
        <v>0.14621500000000001</v>
      </c>
      <c r="DD226">
        <v>0.112881</v>
      </c>
      <c r="DE226">
        <v>1.37214E-3</v>
      </c>
      <c r="DF226">
        <v>33117.300000000003</v>
      </c>
      <c r="DG226">
        <v>27535.5</v>
      </c>
      <c r="DH226">
        <v>31182.400000000001</v>
      </c>
      <c r="DI226">
        <v>28102.9</v>
      </c>
      <c r="DJ226">
        <v>37553.699999999997</v>
      </c>
      <c r="DK226">
        <v>39919.199999999997</v>
      </c>
      <c r="DL226">
        <v>44379.1</v>
      </c>
      <c r="DM226">
        <v>42599.3</v>
      </c>
      <c r="DN226">
        <v>1.44878</v>
      </c>
      <c r="DO226">
        <v>2.0293999999999999</v>
      </c>
      <c r="DP226">
        <v>0.147872</v>
      </c>
      <c r="DQ226">
        <v>0.129603</v>
      </c>
      <c r="DR226">
        <v>24.611899999999999</v>
      </c>
      <c r="DS226">
        <v>24.452999999999999</v>
      </c>
      <c r="DT226">
        <v>21.4</v>
      </c>
      <c r="DU226">
        <v>29.6</v>
      </c>
      <c r="DV226">
        <v>8.9772300000000005</v>
      </c>
      <c r="DW226">
        <v>60.982999999999997</v>
      </c>
      <c r="DX226">
        <v>37.0473</v>
      </c>
      <c r="DY226">
        <v>1</v>
      </c>
      <c r="DZ226">
        <v>-9.2418700000000006E-2</v>
      </c>
      <c r="EA226">
        <v>0.73851599999999995</v>
      </c>
      <c r="EB226">
        <v>20.1874</v>
      </c>
      <c r="EC226">
        <v>5.24125</v>
      </c>
      <c r="ED226">
        <v>12.039899999999999</v>
      </c>
      <c r="EE226">
        <v>5.01755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1.8689199999999999</v>
      </c>
      <c r="EL226">
        <v>1.86463</v>
      </c>
      <c r="EM226">
        <v>1.8692</v>
      </c>
      <c r="EN226">
        <v>1.8672299999999999</v>
      </c>
      <c r="EO226">
        <v>1.8633999999999999</v>
      </c>
      <c r="EP226">
        <v>1.8644700000000001</v>
      </c>
      <c r="EQ226">
        <v>1.87018</v>
      </c>
      <c r="ER226">
        <v>1.8694599999999999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2.5999999999999999E-2</v>
      </c>
      <c r="FG226">
        <v>0.27179999999999999</v>
      </c>
      <c r="FH226">
        <v>0.30965466913576151</v>
      </c>
      <c r="FI226">
        <v>-6.1462078757559423E-4</v>
      </c>
      <c r="FJ226">
        <v>-1.8861989874597051E-7</v>
      </c>
      <c r="FK226">
        <v>1.1980462299894961E-10</v>
      </c>
      <c r="FL226">
        <v>0.27184999999999349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44.8</v>
      </c>
      <c r="FU226">
        <v>45</v>
      </c>
      <c r="FV226">
        <v>1.7626999999999999</v>
      </c>
      <c r="FW226">
        <v>2.5964399999999999</v>
      </c>
      <c r="FX226">
        <v>1.5490699999999999</v>
      </c>
      <c r="FY226">
        <v>2.3315399999999999</v>
      </c>
      <c r="FZ226">
        <v>1.50146</v>
      </c>
      <c r="GA226">
        <v>2.3303199999999999</v>
      </c>
      <c r="GB226">
        <v>33.941299999999998</v>
      </c>
      <c r="GC226">
        <v>23.973700000000001</v>
      </c>
      <c r="GD226">
        <v>19</v>
      </c>
      <c r="GE226">
        <v>271.27199999999999</v>
      </c>
      <c r="GF226">
        <v>577.13699999999994</v>
      </c>
      <c r="GG226">
        <v>23.151499999999999</v>
      </c>
      <c r="GH226">
        <v>26.2</v>
      </c>
      <c r="GI226">
        <v>30.0002</v>
      </c>
      <c r="GJ226">
        <v>26.330100000000002</v>
      </c>
      <c r="GK226">
        <v>26.3127</v>
      </c>
      <c r="GL226">
        <v>35.2378</v>
      </c>
      <c r="GM226">
        <v>100</v>
      </c>
      <c r="GN226">
        <v>2.5311900000000001</v>
      </c>
      <c r="GO226">
        <v>23.144600000000001</v>
      </c>
      <c r="GP226">
        <v>800</v>
      </c>
      <c r="GQ226">
        <v>0</v>
      </c>
      <c r="GR226">
        <v>99.775099999999995</v>
      </c>
      <c r="GS226">
        <v>99.649900000000002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2023-07-25T17:26:58Z</dcterms:created>
  <dcterms:modified xsi:type="dcterms:W3CDTF">2023-07-25T18:40:22Z</dcterms:modified>
</cp:coreProperties>
</file>